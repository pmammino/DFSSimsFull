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at-I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0.000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sz val="10"/>
    </font>
    <font>
      <name val="Arial"/>
      <b val="1"/>
      <color rgb="001F3864"/>
      <sz val="11"/>
    </font>
    <font>
      <name val="Arial"/>
      <b val="1"/>
      <color rgb="00FFFFFF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wrapText="1"/>
    </xf>
    <xf numFmtId="164" fontId="5" fillId="3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3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</cols>
  <sheetData>
    <row r="1">
      <c r="A1" s="1" t="inlineStr">
        <is>
          <t>What-If — edit the YELLOW volume cells; every stat recalculates</t>
        </is>
      </c>
    </row>
    <row r="2">
      <c r="A2" s="2" t="inlineStr">
        <is>
          <t>The rest of the workbook holds computed values. This tab is live, so you can see the arithmetic and test a role change.</t>
        </is>
      </c>
    </row>
    <row r="4">
      <c r="A4" s="3" t="inlineStr">
        <is>
          <t>Top 25 hitters by projected PA</t>
        </is>
      </c>
    </row>
    <row r="5">
      <c r="A5" s="4" t="inlineStr">
        <is>
          <t>Name</t>
        </is>
      </c>
      <c r="B5" s="4" t="inlineStr">
        <is>
          <t>Team</t>
        </is>
      </c>
      <c r="C5" s="4" t="inlineStr">
        <is>
          <t>Role</t>
        </is>
      </c>
      <c r="D5" s="4" t="inlineStr">
        <is>
          <t>PA</t>
        </is>
      </c>
      <c r="E5" s="4" t="inlineStr">
        <is>
          <t>AB</t>
        </is>
      </c>
      <c r="F5" s="4" t="inlineStr">
        <is>
          <t>H</t>
        </is>
      </c>
      <c r="G5" s="4" t="inlineStr">
        <is>
          <t>HR</t>
        </is>
      </c>
      <c r="H5" s="4" t="inlineStr">
        <is>
          <t>BB</t>
        </is>
      </c>
      <c r="I5" s="4" t="inlineStr">
        <is>
          <t>SO</t>
        </is>
      </c>
      <c r="J5" s="4" t="inlineStr">
        <is>
          <t>R</t>
        </is>
      </c>
      <c r="K5" s="4" t="inlineStr">
        <is>
          <t>RBI</t>
        </is>
      </c>
      <c r="L5" s="4" t="inlineStr">
        <is>
          <t>SB</t>
        </is>
      </c>
      <c r="M5" s="4" t="inlineStr">
        <is>
          <t>AVG</t>
        </is>
      </c>
      <c r="N5" s="4" t="inlineStr">
        <is>
          <t>OBP</t>
        </is>
      </c>
      <c r="O5" s="4" t="inlineStr">
        <is>
          <t>SLG</t>
        </is>
      </c>
      <c r="P5" s="4" t="inlineStr">
        <is>
          <t>r_1B</t>
        </is>
      </c>
      <c r="Q5" s="4" t="inlineStr">
        <is>
          <t>r_2B</t>
        </is>
      </c>
      <c r="R5" s="4" t="inlineStr">
        <is>
          <t>r_3B</t>
        </is>
      </c>
      <c r="S5" s="4" t="inlineStr">
        <is>
          <t>r_HR</t>
        </is>
      </c>
      <c r="T5" s="4" t="inlineStr">
        <is>
          <t>r_BB</t>
        </is>
      </c>
      <c r="U5" s="4" t="inlineStr">
        <is>
          <t>r_HBP</t>
        </is>
      </c>
      <c r="V5" s="4" t="inlineStr">
        <is>
          <t>r_SF</t>
        </is>
      </c>
      <c r="W5" s="4" t="inlineStr">
        <is>
          <t>r_SO</t>
        </is>
      </c>
      <c r="X5" s="4" t="inlineStr">
        <is>
          <t>r_SB</t>
        </is>
      </c>
      <c r="Y5" s="4" t="inlineStr">
        <is>
          <t>r_R</t>
        </is>
      </c>
      <c r="Z5" s="4" t="inlineStr">
        <is>
          <t>r_RBI</t>
        </is>
      </c>
    </row>
    <row r="6">
      <c r="A6" s="2" t="inlineStr">
        <is>
          <t>Iván Herrera</t>
        </is>
      </c>
      <c r="B6" s="2" t="inlineStr">
        <is>
          <t>STL</t>
        </is>
      </c>
      <c r="C6" s="2" t="inlineStr">
        <is>
          <t>Everyday DH / 1B-DH</t>
        </is>
      </c>
      <c r="D6" s="5" t="n">
        <v>741.3</v>
      </c>
      <c r="E6" s="6">
        <f>D6-T6*D6-U6*D6-V6*D6</f>
        <v/>
      </c>
      <c r="F6" s="6">
        <f>(P6+Q6+R6+S6)*D6</f>
        <v/>
      </c>
      <c r="G6" s="6">
        <f>S6*D6</f>
        <v/>
      </c>
      <c r="H6" s="6">
        <f>T6*D6</f>
        <v/>
      </c>
      <c r="I6" s="6">
        <f>W6*D6</f>
        <v/>
      </c>
      <c r="J6" s="6">
        <f>Y6*D6</f>
        <v/>
      </c>
      <c r="K6" s="6">
        <f>Z6*D6</f>
        <v/>
      </c>
      <c r="L6" s="6">
        <f>X6*D6</f>
        <v/>
      </c>
      <c r="M6" s="7">
        <f>IFERROR(F6/E6,0)</f>
        <v/>
      </c>
      <c r="N6" s="7">
        <f>IFERROR((F6+H6+U6*D6)/D6,0)</f>
        <v/>
      </c>
      <c r="O6" s="7">
        <f>IFERROR((P6+2*Q6+3*R6+4*S6)*D6/E6,0)</f>
        <v/>
      </c>
      <c r="P6" s="8" t="n">
        <v>0.14499</v>
      </c>
      <c r="Q6" s="8" t="n">
        <v>0.03891</v>
      </c>
      <c r="R6" s="8" t="n">
        <v>0.00152</v>
      </c>
      <c r="S6" s="8" t="n">
        <v>0.03138</v>
      </c>
      <c r="T6" s="8" t="n">
        <v>0.09798</v>
      </c>
      <c r="U6" s="8" t="n">
        <v>0.03134</v>
      </c>
      <c r="V6" s="8" t="n">
        <v>0.0078</v>
      </c>
      <c r="W6" s="8" t="n">
        <v>0.20176</v>
      </c>
      <c r="X6" s="8" t="n">
        <v>0.01169</v>
      </c>
      <c r="Y6" s="8" t="n">
        <v>0.1230930645841687</v>
      </c>
      <c r="Z6" s="8" t="n">
        <v>0.1060260209083305</v>
      </c>
    </row>
    <row r="7">
      <c r="A7" s="2" t="inlineStr">
        <is>
          <t>Zach Neto</t>
        </is>
      </c>
      <c r="B7" s="2" t="inlineStr">
        <is>
          <t>LAA</t>
        </is>
      </c>
      <c r="C7" s="2" t="inlineStr">
        <is>
          <t>Full Time</t>
        </is>
      </c>
      <c r="D7" s="5" t="n">
        <v>737.2</v>
      </c>
      <c r="E7" s="6">
        <f>D7-T7*D7-U7*D7-V7*D7</f>
        <v/>
      </c>
      <c r="F7" s="6">
        <f>(P7+Q7+R7+S7)*D7</f>
        <v/>
      </c>
      <c r="G7" s="6">
        <f>S7*D7</f>
        <v/>
      </c>
      <c r="H7" s="6">
        <f>T7*D7</f>
        <v/>
      </c>
      <c r="I7" s="6">
        <f>W7*D7</f>
        <v/>
      </c>
      <c r="J7" s="6">
        <f>Y7*D7</f>
        <v/>
      </c>
      <c r="K7" s="6">
        <f>Z7*D7</f>
        <v/>
      </c>
      <c r="L7" s="6">
        <f>X7*D7</f>
        <v/>
      </c>
      <c r="M7" s="7">
        <f>IFERROR(F7/E7,0)</f>
        <v/>
      </c>
      <c r="N7" s="7">
        <f>IFERROR((F7+H7+U7*D7)/D7,0)</f>
        <v/>
      </c>
      <c r="O7" s="7">
        <f>IFERROR((P7+2*Q7+3*R7+4*S7)*D7/E7,0)</f>
        <v/>
      </c>
      <c r="P7" s="8" t="n">
        <v>0.11268</v>
      </c>
      <c r="Q7" s="8" t="n">
        <v>0.05133</v>
      </c>
      <c r="R7" s="8" t="n">
        <v>0.0034</v>
      </c>
      <c r="S7" s="8" t="n">
        <v>0.04691</v>
      </c>
      <c r="T7" s="8" t="n">
        <v>0.07509</v>
      </c>
      <c r="U7" s="8" t="n">
        <v>0.02595</v>
      </c>
      <c r="V7" s="8" t="n">
        <v>0.00368</v>
      </c>
      <c r="W7" s="8" t="n">
        <v>0.27311</v>
      </c>
      <c r="X7" s="8" t="n">
        <v>0.03728</v>
      </c>
      <c r="Y7" s="8" t="n">
        <v>0.1303038096201065</v>
      </c>
      <c r="Z7" s="8" t="n">
        <v>0.1109684056119617</v>
      </c>
    </row>
    <row r="8">
      <c r="A8" s="2" t="inlineStr">
        <is>
          <t>Kevin McGonigle</t>
        </is>
      </c>
      <c r="B8" s="2" t="inlineStr">
        <is>
          <t>DET</t>
        </is>
      </c>
      <c r="C8" s="2" t="inlineStr">
        <is>
          <t>Full Time</t>
        </is>
      </c>
      <c r="D8" s="5" t="n">
        <v>734.7</v>
      </c>
      <c r="E8" s="6">
        <f>D8-T8*D8-U8*D8-V8*D8</f>
        <v/>
      </c>
      <c r="F8" s="6">
        <f>(P8+Q8+R8+S8)*D8</f>
        <v/>
      </c>
      <c r="G8" s="6">
        <f>S8*D8</f>
        <v/>
      </c>
      <c r="H8" s="6">
        <f>T8*D8</f>
        <v/>
      </c>
      <c r="I8" s="6">
        <f>W8*D8</f>
        <v/>
      </c>
      <c r="J8" s="6">
        <f>Y8*D8</f>
        <v/>
      </c>
      <c r="K8" s="6">
        <f>Z8*D8</f>
        <v/>
      </c>
      <c r="L8" s="6">
        <f>X8*D8</f>
        <v/>
      </c>
      <c r="M8" s="7">
        <f>IFERROR(F8/E8,0)</f>
        <v/>
      </c>
      <c r="N8" s="7">
        <f>IFERROR((F8+H8+U8*D8)/D8,0)</f>
        <v/>
      </c>
      <c r="O8" s="7">
        <f>IFERROR((P8+2*Q8+3*R8+4*S8)*D8/E8,0)</f>
        <v/>
      </c>
      <c r="P8" s="8" t="n">
        <v>0.13896</v>
      </c>
      <c r="Q8" s="8" t="n">
        <v>0.04324</v>
      </c>
      <c r="R8" s="8" t="n">
        <v>0.007889999999999999</v>
      </c>
      <c r="S8" s="8" t="n">
        <v>0.02951</v>
      </c>
      <c r="T8" s="8" t="n">
        <v>0.12461</v>
      </c>
      <c r="U8" s="8" t="n">
        <v>0.0048</v>
      </c>
      <c r="V8" s="8" t="n">
        <v>0.00566</v>
      </c>
      <c r="W8" s="8" t="n">
        <v>0.15674</v>
      </c>
      <c r="X8" s="8" t="n">
        <v>0.01801</v>
      </c>
      <c r="Y8" s="8" t="n">
        <v>0.1298813524824761</v>
      </c>
      <c r="Z8" s="8" t="n">
        <v>0.102625303146428</v>
      </c>
    </row>
    <row r="9">
      <c r="A9" s="2" t="inlineStr">
        <is>
          <t>Rafael Devers</t>
        </is>
      </c>
      <c r="B9" s="2" t="inlineStr">
        <is>
          <t>SF</t>
        </is>
      </c>
      <c r="C9" s="2" t="inlineStr">
        <is>
          <t>Full Time</t>
        </is>
      </c>
      <c r="D9" s="5" t="n">
        <v>730.4</v>
      </c>
      <c r="E9" s="6">
        <f>D9-T9*D9-U9*D9-V9*D9</f>
        <v/>
      </c>
      <c r="F9" s="6">
        <f>(P9+Q9+R9+S9)*D9</f>
        <v/>
      </c>
      <c r="G9" s="6">
        <f>S9*D9</f>
        <v/>
      </c>
      <c r="H9" s="6">
        <f>T9*D9</f>
        <v/>
      </c>
      <c r="I9" s="6">
        <f>W9*D9</f>
        <v/>
      </c>
      <c r="J9" s="6">
        <f>Y9*D9</f>
        <v/>
      </c>
      <c r="K9" s="6">
        <f>Z9*D9</f>
        <v/>
      </c>
      <c r="L9" s="6">
        <f>X9*D9</f>
        <v/>
      </c>
      <c r="M9" s="7">
        <f>IFERROR(F9/E9,0)</f>
        <v/>
      </c>
      <c r="N9" s="7">
        <f>IFERROR((F9+H9+U9*D9)/D9,0)</f>
        <v/>
      </c>
      <c r="O9" s="7">
        <f>IFERROR((P9+2*Q9+3*R9+4*S9)*D9/E9,0)</f>
        <v/>
      </c>
      <c r="P9" s="8" t="n">
        <v>0.11544</v>
      </c>
      <c r="Q9" s="8" t="n">
        <v>0.04624</v>
      </c>
      <c r="R9" s="8" t="n">
        <v>0.00263</v>
      </c>
      <c r="S9" s="8" t="n">
        <v>0.05014</v>
      </c>
      <c r="T9" s="8" t="n">
        <v>0.11081</v>
      </c>
      <c r="U9" s="8" t="n">
        <v>0.00844</v>
      </c>
      <c r="V9" s="8" t="n">
        <v>0.00606</v>
      </c>
      <c r="W9" s="8" t="n">
        <v>0.23989</v>
      </c>
      <c r="X9" s="8" t="n">
        <v>0.00351</v>
      </c>
      <c r="Y9" s="8" t="n">
        <v>0.1267315780730025</v>
      </c>
      <c r="Z9" s="8" t="n">
        <v>0.1349398291004752</v>
      </c>
    </row>
    <row r="10">
      <c r="A10" s="2" t="inlineStr">
        <is>
          <t>Otto Lopez</t>
        </is>
      </c>
      <c r="B10" s="2" t="inlineStr">
        <is>
          <t>MIA</t>
        </is>
      </c>
      <c r="C10" s="2" t="inlineStr">
        <is>
          <t>Full Time</t>
        </is>
      </c>
      <c r="D10" s="5" t="n">
        <v>712.6</v>
      </c>
      <c r="E10" s="6">
        <f>D10-T10*D10-U10*D10-V10*D10</f>
        <v/>
      </c>
      <c r="F10" s="6">
        <f>(P10+Q10+R10+S10)*D10</f>
        <v/>
      </c>
      <c r="G10" s="6">
        <f>S10*D10</f>
        <v/>
      </c>
      <c r="H10" s="6">
        <f>T10*D10</f>
        <v/>
      </c>
      <c r="I10" s="6">
        <f>W10*D10</f>
        <v/>
      </c>
      <c r="J10" s="6">
        <f>Y10*D10</f>
        <v/>
      </c>
      <c r="K10" s="6">
        <f>Z10*D10</f>
        <v/>
      </c>
      <c r="L10" s="6">
        <f>X10*D10</f>
        <v/>
      </c>
      <c r="M10" s="7">
        <f>IFERROR(F10/E10,0)</f>
        <v/>
      </c>
      <c r="N10" s="7">
        <f>IFERROR((F10+H10+U10*D10)/D10,0)</f>
        <v/>
      </c>
      <c r="O10" s="7">
        <f>IFERROR((P10+2*Q10+3*R10+4*S10)*D10/E10,0)</f>
        <v/>
      </c>
      <c r="P10" s="8" t="n">
        <v>0.17324</v>
      </c>
      <c r="Q10" s="8" t="n">
        <v>0.04149</v>
      </c>
      <c r="R10" s="8" t="n">
        <v>0.00515</v>
      </c>
      <c r="S10" s="8" t="n">
        <v>0.02082</v>
      </c>
      <c r="T10" s="8" t="n">
        <v>0.06364</v>
      </c>
      <c r="U10" s="8" t="n">
        <v>0.00746</v>
      </c>
      <c r="V10" s="8" t="n">
        <v>0.008970000000000001</v>
      </c>
      <c r="W10" s="8" t="n">
        <v>0.15055</v>
      </c>
      <c r="X10" s="8" t="n">
        <v>0.03639</v>
      </c>
      <c r="Y10" s="8" t="n">
        <v>0.1158315806231305</v>
      </c>
      <c r="Z10" s="8" t="n">
        <v>0.1036612841354148</v>
      </c>
    </row>
    <row r="11">
      <c r="A11" s="2" t="inlineStr">
        <is>
          <t>Pete Alonso</t>
        </is>
      </c>
      <c r="B11" s="2" t="inlineStr">
        <is>
          <t>BAL</t>
        </is>
      </c>
      <c r="C11" s="2" t="inlineStr">
        <is>
          <t>Full Time</t>
        </is>
      </c>
      <c r="D11" s="5" t="n">
        <v>707.9</v>
      </c>
      <c r="E11" s="6">
        <f>D11-T11*D11-U11*D11-V11*D11</f>
        <v/>
      </c>
      <c r="F11" s="6">
        <f>(P11+Q11+R11+S11)*D11</f>
        <v/>
      </c>
      <c r="G11" s="6">
        <f>S11*D11</f>
        <v/>
      </c>
      <c r="H11" s="6">
        <f>T11*D11</f>
        <v/>
      </c>
      <c r="I11" s="6">
        <f>W11*D11</f>
        <v/>
      </c>
      <c r="J11" s="6">
        <f>Y11*D11</f>
        <v/>
      </c>
      <c r="K11" s="6">
        <f>Z11*D11</f>
        <v/>
      </c>
      <c r="L11" s="6">
        <f>X11*D11</f>
        <v/>
      </c>
      <c r="M11" s="7">
        <f>IFERROR(F11/E11,0)</f>
        <v/>
      </c>
      <c r="N11" s="7">
        <f>IFERROR((F11+H11+U11*D11)/D11,0)</f>
        <v/>
      </c>
      <c r="O11" s="7">
        <f>IFERROR((P11+2*Q11+3*R11+4*S11)*D11/E11,0)</f>
        <v/>
      </c>
      <c r="P11" s="8" t="n">
        <v>0.12882</v>
      </c>
      <c r="Q11" s="8" t="n">
        <v>0.04535</v>
      </c>
      <c r="R11" s="8" t="n">
        <v>0.00096</v>
      </c>
      <c r="S11" s="8" t="n">
        <v>0.05813</v>
      </c>
      <c r="T11" s="8" t="n">
        <v>0.09767000000000001</v>
      </c>
      <c r="U11" s="8" t="n">
        <v>0.02029</v>
      </c>
      <c r="V11" s="8" t="n">
        <v>0.00874</v>
      </c>
      <c r="W11" s="8" t="n">
        <v>0.23484</v>
      </c>
      <c r="X11" s="8" t="n">
        <v>0.00442</v>
      </c>
      <c r="Y11" s="8" t="n">
        <v>0.1254425219610099</v>
      </c>
      <c r="Z11" s="8" t="n">
        <v>0.1512845857562616</v>
      </c>
    </row>
    <row r="12">
      <c r="A12" s="2" t="inlineStr">
        <is>
          <t>Gunnar Henderson</t>
        </is>
      </c>
      <c r="B12" s="2" t="inlineStr">
        <is>
          <t>BAL</t>
        </is>
      </c>
      <c r="C12" s="2" t="inlineStr">
        <is>
          <t>Full Time</t>
        </is>
      </c>
      <c r="D12" s="5" t="n">
        <v>700.9</v>
      </c>
      <c r="E12" s="6">
        <f>D12-T12*D12-U12*D12-V12*D12</f>
        <v/>
      </c>
      <c r="F12" s="6">
        <f>(P12+Q12+R12+S12)*D12</f>
        <v/>
      </c>
      <c r="G12" s="6">
        <f>S12*D12</f>
        <v/>
      </c>
      <c r="H12" s="6">
        <f>T12*D12</f>
        <v/>
      </c>
      <c r="I12" s="6">
        <f>W12*D12</f>
        <v/>
      </c>
      <c r="J12" s="6">
        <f>Y12*D12</f>
        <v/>
      </c>
      <c r="K12" s="6">
        <f>Z12*D12</f>
        <v/>
      </c>
      <c r="L12" s="6">
        <f>X12*D12</f>
        <v/>
      </c>
      <c r="M12" s="7">
        <f>IFERROR(F12/E12,0)</f>
        <v/>
      </c>
      <c r="N12" s="7">
        <f>IFERROR((F12+H12+U12*D12)/D12,0)</f>
        <v/>
      </c>
      <c r="O12" s="7">
        <f>IFERROR((P12+2*Q12+3*R12+4*S12)*D12/E12,0)</f>
        <v/>
      </c>
      <c r="P12" s="8" t="n">
        <v>0.14566</v>
      </c>
      <c r="Q12" s="8" t="n">
        <v>0.04705</v>
      </c>
      <c r="R12" s="8" t="n">
        <v>0.00604</v>
      </c>
      <c r="S12" s="8" t="n">
        <v>0.02935</v>
      </c>
      <c r="T12" s="8" t="n">
        <v>0.09536</v>
      </c>
      <c r="U12" s="8" t="n">
        <v>0.00929</v>
      </c>
      <c r="V12" s="8" t="n">
        <v>0.00489</v>
      </c>
      <c r="W12" s="8" t="n">
        <v>0.23061</v>
      </c>
      <c r="X12" s="8" t="n">
        <v>0.02686</v>
      </c>
      <c r="Y12" s="8" t="n">
        <v>0.131541329396359</v>
      </c>
      <c r="Z12" s="8" t="n">
        <v>0.1040514823731052</v>
      </c>
    </row>
    <row r="13">
      <c r="A13" s="2" t="inlineStr">
        <is>
          <t>James Wood</t>
        </is>
      </c>
      <c r="B13" s="2" t="inlineStr">
        <is>
          <t>WSH</t>
        </is>
      </c>
      <c r="C13" s="2" t="inlineStr">
        <is>
          <t>Everyday DH / 1B-DH</t>
        </is>
      </c>
      <c r="D13" s="5" t="n">
        <v>694.4</v>
      </c>
      <c r="E13" s="6">
        <f>D13-T13*D13-U13*D13-V13*D13</f>
        <v/>
      </c>
      <c r="F13" s="6">
        <f>(P13+Q13+R13+S13)*D13</f>
        <v/>
      </c>
      <c r="G13" s="6">
        <f>S13*D13</f>
        <v/>
      </c>
      <c r="H13" s="6">
        <f>T13*D13</f>
        <v/>
      </c>
      <c r="I13" s="6">
        <f>W13*D13</f>
        <v/>
      </c>
      <c r="J13" s="6">
        <f>Y13*D13</f>
        <v/>
      </c>
      <c r="K13" s="6">
        <f>Z13*D13</f>
        <v/>
      </c>
      <c r="L13" s="6">
        <f>X13*D13</f>
        <v/>
      </c>
      <c r="M13" s="7">
        <f>IFERROR(F13/E13,0)</f>
        <v/>
      </c>
      <c r="N13" s="7">
        <f>IFERROR((F13+H13+U13*D13)/D13,0)</f>
        <v/>
      </c>
      <c r="O13" s="7">
        <f>IFERROR((P13+2*Q13+3*R13+4*S13)*D13/E13,0)</f>
        <v/>
      </c>
      <c r="P13" s="8" t="n">
        <v>0.11984</v>
      </c>
      <c r="Q13" s="8" t="n">
        <v>0.04589</v>
      </c>
      <c r="R13" s="8" t="n">
        <v>0.00315</v>
      </c>
      <c r="S13" s="8" t="n">
        <v>0.04509</v>
      </c>
      <c r="T13" s="8" t="n">
        <v>0.13208</v>
      </c>
      <c r="U13" s="8" t="n">
        <v>0.00554</v>
      </c>
      <c r="V13" s="8" t="n">
        <v>0.00426</v>
      </c>
      <c r="W13" s="8" t="n">
        <v>0.30125</v>
      </c>
      <c r="X13" s="8" t="n">
        <v>0.02916</v>
      </c>
      <c r="Y13" s="8" t="n">
        <v>0.1315745702104374</v>
      </c>
      <c r="Z13" s="8" t="n">
        <v>0.1190634236063804</v>
      </c>
    </row>
    <row r="14">
      <c r="A14" s="2" t="inlineStr">
        <is>
          <t>Alec Burleson</t>
        </is>
      </c>
      <c r="B14" s="2" t="inlineStr">
        <is>
          <t>STL</t>
        </is>
      </c>
      <c r="C14" s="2" t="inlineStr">
        <is>
          <t>Full Time</t>
        </is>
      </c>
      <c r="D14" s="5" t="n">
        <v>692.7</v>
      </c>
      <c r="E14" s="6">
        <f>D14-T14*D14-U14*D14-V14*D14</f>
        <v/>
      </c>
      <c r="F14" s="6">
        <f>(P14+Q14+R14+S14)*D14</f>
        <v/>
      </c>
      <c r="G14" s="6">
        <f>S14*D14</f>
        <v/>
      </c>
      <c r="H14" s="6">
        <f>T14*D14</f>
        <v/>
      </c>
      <c r="I14" s="6">
        <f>W14*D14</f>
        <v/>
      </c>
      <c r="J14" s="6">
        <f>Y14*D14</f>
        <v/>
      </c>
      <c r="K14" s="6">
        <f>Z14*D14</f>
        <v/>
      </c>
      <c r="L14" s="6">
        <f>X14*D14</f>
        <v/>
      </c>
      <c r="M14" s="7">
        <f>IFERROR(F14/E14,0)</f>
        <v/>
      </c>
      <c r="N14" s="7">
        <f>IFERROR((F14+H14+U14*D14)/D14,0)</f>
        <v/>
      </c>
      <c r="O14" s="7">
        <f>IFERROR((P14+2*Q14+3*R14+4*S14)*D14/E14,0)</f>
        <v/>
      </c>
      <c r="P14" s="8" t="n">
        <v>0.15897</v>
      </c>
      <c r="Q14" s="8" t="n">
        <v>0.04708</v>
      </c>
      <c r="R14" s="8" t="n">
        <v>0.00192</v>
      </c>
      <c r="S14" s="8" t="n">
        <v>0.03972</v>
      </c>
      <c r="T14" s="8" t="n">
        <v>0.07129000000000001</v>
      </c>
      <c r="U14" s="8" t="n">
        <v>0.00715</v>
      </c>
      <c r="V14" s="8" t="n">
        <v>0.00706</v>
      </c>
      <c r="W14" s="8" t="n">
        <v>0.16048</v>
      </c>
      <c r="X14" s="8" t="n">
        <v>0.008869999999999999</v>
      </c>
      <c r="Y14" s="8" t="n">
        <v>0.1101756550569657</v>
      </c>
      <c r="Z14" s="8" t="n">
        <v>0.1307899666340565</v>
      </c>
    </row>
    <row r="15">
      <c r="A15" s="2" t="inlineStr">
        <is>
          <t>Jordan Walker</t>
        </is>
      </c>
      <c r="B15" s="2" t="inlineStr">
        <is>
          <t>STL</t>
        </is>
      </c>
      <c r="C15" s="2" t="inlineStr">
        <is>
          <t>Full Time</t>
        </is>
      </c>
      <c r="D15" s="5" t="n">
        <v>689.6</v>
      </c>
      <c r="E15" s="6">
        <f>D15-T15*D15-U15*D15-V15*D15</f>
        <v/>
      </c>
      <c r="F15" s="6">
        <f>(P15+Q15+R15+S15)*D15</f>
        <v/>
      </c>
      <c r="G15" s="6">
        <f>S15*D15</f>
        <v/>
      </c>
      <c r="H15" s="6">
        <f>T15*D15</f>
        <v/>
      </c>
      <c r="I15" s="6">
        <f>W15*D15</f>
        <v/>
      </c>
      <c r="J15" s="6">
        <f>Y15*D15</f>
        <v/>
      </c>
      <c r="K15" s="6">
        <f>Z15*D15</f>
        <v/>
      </c>
      <c r="L15" s="6">
        <f>X15*D15</f>
        <v/>
      </c>
      <c r="M15" s="7">
        <f>IFERROR(F15/E15,0)</f>
        <v/>
      </c>
      <c r="N15" s="7">
        <f>IFERROR((F15+H15+U15*D15)/D15,0)</f>
        <v/>
      </c>
      <c r="O15" s="7">
        <f>IFERROR((P15+2*Q15+3*R15+4*S15)*D15/E15,0)</f>
        <v/>
      </c>
      <c r="P15" s="8" t="n">
        <v>0.13678</v>
      </c>
      <c r="Q15" s="8" t="n">
        <v>0.04442</v>
      </c>
      <c r="R15" s="8" t="n">
        <v>0.00356</v>
      </c>
      <c r="S15" s="8" t="n">
        <v>0.03162</v>
      </c>
      <c r="T15" s="8" t="n">
        <v>0.07277</v>
      </c>
      <c r="U15" s="8" t="n">
        <v>0.0086</v>
      </c>
      <c r="V15" s="8" t="n">
        <v>0.00522</v>
      </c>
      <c r="W15" s="8" t="n">
        <v>0.27063</v>
      </c>
      <c r="X15" s="8" t="n">
        <v>0.02463</v>
      </c>
      <c r="Y15" s="8" t="n">
        <v>0.1150328305120502</v>
      </c>
      <c r="Z15" s="8" t="n">
        <v>0.119402376147825</v>
      </c>
    </row>
    <row r="16">
      <c r="A16" s="2" t="inlineStr">
        <is>
          <t>Willy Adames</t>
        </is>
      </c>
      <c r="B16" s="2" t="inlineStr">
        <is>
          <t>SF</t>
        </is>
      </c>
      <c r="C16" s="2" t="inlineStr">
        <is>
          <t>Full Time</t>
        </is>
      </c>
      <c r="D16" s="5" t="n">
        <v>687.3</v>
      </c>
      <c r="E16" s="6">
        <f>D16-T16*D16-U16*D16-V16*D16</f>
        <v/>
      </c>
      <c r="F16" s="6">
        <f>(P16+Q16+R16+S16)*D16</f>
        <v/>
      </c>
      <c r="G16" s="6">
        <f>S16*D16</f>
        <v/>
      </c>
      <c r="H16" s="6">
        <f>T16*D16</f>
        <v/>
      </c>
      <c r="I16" s="6">
        <f>W16*D16</f>
        <v/>
      </c>
      <c r="J16" s="6">
        <f>Y16*D16</f>
        <v/>
      </c>
      <c r="K16" s="6">
        <f>Z16*D16</f>
        <v/>
      </c>
      <c r="L16" s="6">
        <f>X16*D16</f>
        <v/>
      </c>
      <c r="M16" s="7">
        <f>IFERROR(F16/E16,0)</f>
        <v/>
      </c>
      <c r="N16" s="7">
        <f>IFERROR((F16+H16+U16*D16)/D16,0)</f>
        <v/>
      </c>
      <c r="O16" s="7">
        <f>IFERROR((P16+2*Q16+3*R16+4*S16)*D16/E16,0)</f>
        <v/>
      </c>
      <c r="P16" s="8" t="n">
        <v>0.11341</v>
      </c>
      <c r="Q16" s="8" t="n">
        <v>0.04217</v>
      </c>
      <c r="R16" s="8" t="n">
        <v>0.00305</v>
      </c>
      <c r="S16" s="8" t="n">
        <v>0.04045</v>
      </c>
      <c r="T16" s="8" t="n">
        <v>0.09594</v>
      </c>
      <c r="U16" s="8" t="n">
        <v>0.00478</v>
      </c>
      <c r="V16" s="8" t="n">
        <v>0.00715</v>
      </c>
      <c r="W16" s="8" t="n">
        <v>0.26622</v>
      </c>
      <c r="X16" s="8" t="n">
        <v>0.01709</v>
      </c>
      <c r="Y16" s="8" t="n">
        <v>0.1184756046558352</v>
      </c>
      <c r="Z16" s="8" t="n">
        <v>0.1204035891994974</v>
      </c>
    </row>
    <row r="17">
      <c r="A17" s="2" t="inlineStr">
        <is>
          <t>Junior Caminero</t>
        </is>
      </c>
      <c r="B17" s="2" t="inlineStr">
        <is>
          <t>TB</t>
        </is>
      </c>
      <c r="C17" s="2" t="inlineStr">
        <is>
          <t>Full Time</t>
        </is>
      </c>
      <c r="D17" s="5" t="n">
        <v>683.1</v>
      </c>
      <c r="E17" s="6">
        <f>D17-T17*D17-U17*D17-V17*D17</f>
        <v/>
      </c>
      <c r="F17" s="6">
        <f>(P17+Q17+R17+S17)*D17</f>
        <v/>
      </c>
      <c r="G17" s="6">
        <f>S17*D17</f>
        <v/>
      </c>
      <c r="H17" s="6">
        <f>T17*D17</f>
        <v/>
      </c>
      <c r="I17" s="6">
        <f>W17*D17</f>
        <v/>
      </c>
      <c r="J17" s="6">
        <f>Y17*D17</f>
        <v/>
      </c>
      <c r="K17" s="6">
        <f>Z17*D17</f>
        <v/>
      </c>
      <c r="L17" s="6">
        <f>X17*D17</f>
        <v/>
      </c>
      <c r="M17" s="7">
        <f>IFERROR(F17/E17,0)</f>
        <v/>
      </c>
      <c r="N17" s="7">
        <f>IFERROR((F17+H17+U17*D17)/D17,0)</f>
        <v/>
      </c>
      <c r="O17" s="7">
        <f>IFERROR((P17+2*Q17+3*R17+4*S17)*D17/E17,0)</f>
        <v/>
      </c>
      <c r="P17" s="8" t="n">
        <v>0.13788</v>
      </c>
      <c r="Q17" s="8" t="n">
        <v>0.04268</v>
      </c>
      <c r="R17" s="8" t="n">
        <v>0.0013</v>
      </c>
      <c r="S17" s="8" t="n">
        <v>0.05434</v>
      </c>
      <c r="T17" s="8" t="n">
        <v>0.08524</v>
      </c>
      <c r="U17" s="8" t="n">
        <v>0.00523</v>
      </c>
      <c r="V17" s="8" t="n">
        <v>0.00626</v>
      </c>
      <c r="W17" s="8" t="n">
        <v>0.197</v>
      </c>
      <c r="X17" s="8" t="n">
        <v>0.009010000000000001</v>
      </c>
      <c r="Y17" s="8" t="n">
        <v>0.1255530901565326</v>
      </c>
      <c r="Z17" s="8" t="n">
        <v>0.1361003610582122</v>
      </c>
    </row>
    <row r="18">
      <c r="A18" s="2" t="inlineStr">
        <is>
          <t>Riley Greene</t>
        </is>
      </c>
      <c r="B18" s="2" t="inlineStr">
        <is>
          <t>DET</t>
        </is>
      </c>
      <c r="C18" s="2" t="inlineStr">
        <is>
          <t>Full Time</t>
        </is>
      </c>
      <c r="D18" s="5" t="n">
        <v>680.7</v>
      </c>
      <c r="E18" s="6">
        <f>D18-T18*D18-U18*D18-V18*D18</f>
        <v/>
      </c>
      <c r="F18" s="6">
        <f>(P18+Q18+R18+S18)*D18</f>
        <v/>
      </c>
      <c r="G18" s="6">
        <f>S18*D18</f>
        <v/>
      </c>
      <c r="H18" s="6">
        <f>T18*D18</f>
        <v/>
      </c>
      <c r="I18" s="6">
        <f>W18*D18</f>
        <v/>
      </c>
      <c r="J18" s="6">
        <f>Y18*D18</f>
        <v/>
      </c>
      <c r="K18" s="6">
        <f>Z18*D18</f>
        <v/>
      </c>
      <c r="L18" s="6">
        <f>X18*D18</f>
        <v/>
      </c>
      <c r="M18" s="7">
        <f>IFERROR(F18/E18,0)</f>
        <v/>
      </c>
      <c r="N18" s="7">
        <f>IFERROR((F18+H18+U18*D18)/D18,0)</f>
        <v/>
      </c>
      <c r="O18" s="7">
        <f>IFERROR((P18+2*Q18+3*R18+4*S18)*D18/E18,0)</f>
        <v/>
      </c>
      <c r="P18" s="8" t="n">
        <v>0.11759</v>
      </c>
      <c r="Q18" s="8" t="n">
        <v>0.04699</v>
      </c>
      <c r="R18" s="8" t="n">
        <v>0.00354</v>
      </c>
      <c r="S18" s="8" t="n">
        <v>0.04956</v>
      </c>
      <c r="T18" s="8" t="n">
        <v>0.09321</v>
      </c>
      <c r="U18" s="8" t="n">
        <v>0.00665</v>
      </c>
      <c r="V18" s="8" t="n">
        <v>0.00624</v>
      </c>
      <c r="W18" s="8" t="n">
        <v>0.28288</v>
      </c>
      <c r="X18" s="8" t="n">
        <v>0.00672</v>
      </c>
      <c r="Y18" s="8" t="n">
        <v>0.1295877323373255</v>
      </c>
      <c r="Z18" s="8" t="n">
        <v>0.128838494725562</v>
      </c>
    </row>
    <row r="19">
      <c r="A19" s="2" t="inlineStr">
        <is>
          <t>Spencer Torkelson</t>
        </is>
      </c>
      <c r="B19" s="2" t="inlineStr">
        <is>
          <t>DET</t>
        </is>
      </c>
      <c r="C19" s="2" t="inlineStr">
        <is>
          <t>Full Time</t>
        </is>
      </c>
      <c r="D19" s="5" t="n">
        <v>674.5</v>
      </c>
      <c r="E19" s="6">
        <f>D19-T19*D19-U19*D19-V19*D19</f>
        <v/>
      </c>
      <c r="F19" s="6">
        <f>(P19+Q19+R19+S19)*D19</f>
        <v/>
      </c>
      <c r="G19" s="6">
        <f>S19*D19</f>
        <v/>
      </c>
      <c r="H19" s="6">
        <f>T19*D19</f>
        <v/>
      </c>
      <c r="I19" s="6">
        <f>W19*D19</f>
        <v/>
      </c>
      <c r="J19" s="6">
        <f>Y19*D19</f>
        <v/>
      </c>
      <c r="K19" s="6">
        <f>Z19*D19</f>
        <v/>
      </c>
      <c r="L19" s="6">
        <f>X19*D19</f>
        <v/>
      </c>
      <c r="M19" s="7">
        <f>IFERROR(F19/E19,0)</f>
        <v/>
      </c>
      <c r="N19" s="7">
        <f>IFERROR((F19+H19+U19*D19)/D19,0)</f>
        <v/>
      </c>
      <c r="O19" s="7">
        <f>IFERROR((P19+2*Q19+3*R19+4*S19)*D19/E19,0)</f>
        <v/>
      </c>
      <c r="P19" s="8" t="n">
        <v>0.10141</v>
      </c>
      <c r="Q19" s="8" t="n">
        <v>0.04856</v>
      </c>
      <c r="R19" s="8" t="n">
        <v>0.00172</v>
      </c>
      <c r="S19" s="8" t="n">
        <v>0.04609</v>
      </c>
      <c r="T19" s="8" t="n">
        <v>0.10103</v>
      </c>
      <c r="U19" s="8" t="n">
        <v>0.01201</v>
      </c>
      <c r="V19" s="8" t="n">
        <v>0.00609</v>
      </c>
      <c r="W19" s="8" t="n">
        <v>0.27828</v>
      </c>
      <c r="X19" s="8" t="n">
        <v>0.00357</v>
      </c>
      <c r="Y19" s="8" t="n">
        <v>0.1187946607948934</v>
      </c>
      <c r="Z19" s="8" t="n">
        <v>0.1180656728483126</v>
      </c>
    </row>
    <row r="20">
      <c r="A20" s="2" t="inlineStr">
        <is>
          <t>Yandy Díaz</t>
        </is>
      </c>
      <c r="B20" s="2" t="inlineStr">
        <is>
          <t>TB</t>
        </is>
      </c>
      <c r="C20" s="2" t="inlineStr">
        <is>
          <t>Everyday DH / 1B-DH</t>
        </is>
      </c>
      <c r="D20" s="5" t="n">
        <v>667.5</v>
      </c>
      <c r="E20" s="6">
        <f>D20-T20*D20-U20*D20-V20*D20</f>
        <v/>
      </c>
      <c r="F20" s="6">
        <f>(P20+Q20+R20+S20)*D20</f>
        <v/>
      </c>
      <c r="G20" s="6">
        <f>S20*D20</f>
        <v/>
      </c>
      <c r="H20" s="6">
        <f>T20*D20</f>
        <v/>
      </c>
      <c r="I20" s="6">
        <f>W20*D20</f>
        <v/>
      </c>
      <c r="J20" s="6">
        <f>Y20*D20</f>
        <v/>
      </c>
      <c r="K20" s="6">
        <f>Z20*D20</f>
        <v/>
      </c>
      <c r="L20" s="6">
        <f>X20*D20</f>
        <v/>
      </c>
      <c r="M20" s="7">
        <f>IFERROR(F20/E20,0)</f>
        <v/>
      </c>
      <c r="N20" s="7">
        <f>IFERROR((F20+H20+U20*D20)/D20,0)</f>
        <v/>
      </c>
      <c r="O20" s="7">
        <f>IFERROR((P20+2*Q20+3*R20+4*S20)*D20/E20,0)</f>
        <v/>
      </c>
      <c r="P20" s="8" t="n">
        <v>0.17709</v>
      </c>
      <c r="Q20" s="8" t="n">
        <v>0.03649</v>
      </c>
      <c r="R20" s="8" t="n">
        <v>0.00173</v>
      </c>
      <c r="S20" s="8" t="n">
        <v>0.02962</v>
      </c>
      <c r="T20" s="8" t="n">
        <v>0.09177</v>
      </c>
      <c r="U20" s="8" t="n">
        <v>0.01059</v>
      </c>
      <c r="V20" s="8" t="n">
        <v>0.00568</v>
      </c>
      <c r="W20" s="8" t="n">
        <v>0.14952</v>
      </c>
      <c r="X20" s="8" t="n">
        <v>0.00386</v>
      </c>
      <c r="Y20" s="8" t="n">
        <v>0.11678301508444</v>
      </c>
      <c r="Z20" s="8" t="n">
        <v>0.1117991398232068</v>
      </c>
    </row>
    <row r="21">
      <c r="A21" s="2" t="inlineStr">
        <is>
          <t>Mike Trout</t>
        </is>
      </c>
      <c r="B21" s="2" t="inlineStr">
        <is>
          <t>LAA</t>
        </is>
      </c>
      <c r="C21" s="2" t="inlineStr">
        <is>
          <t>Everyday DH / 1B-DH</t>
        </is>
      </c>
      <c r="D21" s="5" t="n">
        <v>663.9</v>
      </c>
      <c r="E21" s="6">
        <f>D21-T21*D21-U21*D21-V21*D21</f>
        <v/>
      </c>
      <c r="F21" s="6">
        <f>(P21+Q21+R21+S21)*D21</f>
        <v/>
      </c>
      <c r="G21" s="6">
        <f>S21*D21</f>
        <v/>
      </c>
      <c r="H21" s="6">
        <f>T21*D21</f>
        <v/>
      </c>
      <c r="I21" s="6">
        <f>W21*D21</f>
        <v/>
      </c>
      <c r="J21" s="6">
        <f>Y21*D21</f>
        <v/>
      </c>
      <c r="K21" s="6">
        <f>Z21*D21</f>
        <v/>
      </c>
      <c r="L21" s="6">
        <f>X21*D21</f>
        <v/>
      </c>
      <c r="M21" s="7">
        <f>IFERROR(F21/E21,0)</f>
        <v/>
      </c>
      <c r="N21" s="7">
        <f>IFERROR((F21+H21+U21*D21)/D21,0)</f>
        <v/>
      </c>
      <c r="O21" s="7">
        <f>IFERROR((P21+2*Q21+3*R21+4*S21)*D21/E21,0)</f>
        <v/>
      </c>
      <c r="P21" s="8" t="n">
        <v>0.11165</v>
      </c>
      <c r="Q21" s="8" t="n">
        <v>0.03637</v>
      </c>
      <c r="R21" s="8" t="n">
        <v>0.00315</v>
      </c>
      <c r="S21" s="8" t="n">
        <v>0.04595</v>
      </c>
      <c r="T21" s="8" t="n">
        <v>0.14029</v>
      </c>
      <c r="U21" s="8" t="n">
        <v>0.01368</v>
      </c>
      <c r="V21" s="8" t="n">
        <v>0.005</v>
      </c>
      <c r="W21" s="8" t="n">
        <v>0.28316</v>
      </c>
      <c r="X21" s="8" t="n">
        <v>0.0123</v>
      </c>
      <c r="Y21" s="8" t="n">
        <v>0.1347873815640242</v>
      </c>
      <c r="Z21" s="8" t="n">
        <v>0.1082408993460784</v>
      </c>
    </row>
    <row r="22">
      <c r="A22" s="2" t="inlineStr">
        <is>
          <t>Daylen Lile</t>
        </is>
      </c>
      <c r="B22" s="2" t="inlineStr">
        <is>
          <t>WSH</t>
        </is>
      </c>
      <c r="C22" s="2" t="inlineStr">
        <is>
          <t>Strong Side Platoon</t>
        </is>
      </c>
      <c r="D22" s="5" t="n">
        <v>660.2</v>
      </c>
      <c r="E22" s="6">
        <f>D22-T22*D22-U22*D22-V22*D22</f>
        <v/>
      </c>
      <c r="F22" s="6">
        <f>(P22+Q22+R22+S22)*D22</f>
        <v/>
      </c>
      <c r="G22" s="6">
        <f>S22*D22</f>
        <v/>
      </c>
      <c r="H22" s="6">
        <f>T22*D22</f>
        <v/>
      </c>
      <c r="I22" s="6">
        <f>W22*D22</f>
        <v/>
      </c>
      <c r="J22" s="6">
        <f>Y22*D22</f>
        <v/>
      </c>
      <c r="K22" s="6">
        <f>Z22*D22</f>
        <v/>
      </c>
      <c r="L22" s="6">
        <f>X22*D22</f>
        <v/>
      </c>
      <c r="M22" s="7">
        <f>IFERROR(F22/E22,0)</f>
        <v/>
      </c>
      <c r="N22" s="7">
        <f>IFERROR((F22+H22+U22*D22)/D22,0)</f>
        <v/>
      </c>
      <c r="O22" s="7">
        <f>IFERROR((P22+2*Q22+3*R22+4*S22)*D22/E22,0)</f>
        <v/>
      </c>
      <c r="P22" s="8" t="n">
        <v>0.144</v>
      </c>
      <c r="Q22" s="8" t="n">
        <v>0.04791</v>
      </c>
      <c r="R22" s="8" t="n">
        <v>0.01378</v>
      </c>
      <c r="S22" s="8" t="n">
        <v>0.03032</v>
      </c>
      <c r="T22" s="8" t="n">
        <v>0.06187</v>
      </c>
      <c r="U22" s="8" t="n">
        <v>0.00971</v>
      </c>
      <c r="V22" s="8" t="n">
        <v>0.00949</v>
      </c>
      <c r="W22" s="8" t="n">
        <v>0.19166</v>
      </c>
      <c r="X22" s="8" t="n">
        <v>0.02656</v>
      </c>
      <c r="Y22" s="8" t="n">
        <v>0.1163062277907944</v>
      </c>
      <c r="Z22" s="8" t="n">
        <v>0.1138850343326633</v>
      </c>
    </row>
    <row r="23">
      <c r="A23" s="2" t="inlineStr">
        <is>
          <t>CJ Abrams</t>
        </is>
      </c>
      <c r="B23" s="2" t="inlineStr">
        <is>
          <t>WSH</t>
        </is>
      </c>
      <c r="C23" s="2" t="inlineStr">
        <is>
          <t>Full Time</t>
        </is>
      </c>
      <c r="D23" s="5" t="n">
        <v>659.1</v>
      </c>
      <c r="E23" s="6">
        <f>D23-T23*D23-U23*D23-V23*D23</f>
        <v/>
      </c>
      <c r="F23" s="6">
        <f>(P23+Q23+R23+S23)*D23</f>
        <v/>
      </c>
      <c r="G23" s="6">
        <f>S23*D23</f>
        <v/>
      </c>
      <c r="H23" s="6">
        <f>T23*D23</f>
        <v/>
      </c>
      <c r="I23" s="6">
        <f>W23*D23</f>
        <v/>
      </c>
      <c r="J23" s="6">
        <f>Y23*D23</f>
        <v/>
      </c>
      <c r="K23" s="6">
        <f>Z23*D23</f>
        <v/>
      </c>
      <c r="L23" s="6">
        <f>X23*D23</f>
        <v/>
      </c>
      <c r="M23" s="7">
        <f>IFERROR(F23/E23,0)</f>
        <v/>
      </c>
      <c r="N23" s="7">
        <f>IFERROR((F23+H23+U23*D23)/D23,0)</f>
        <v/>
      </c>
      <c r="O23" s="7">
        <f>IFERROR((P23+2*Q23+3*R23+4*S23)*D23/E23,0)</f>
        <v/>
      </c>
      <c r="P23" s="8" t="n">
        <v>0.13319</v>
      </c>
      <c r="Q23" s="8" t="n">
        <v>0.04479</v>
      </c>
      <c r="R23" s="8" t="n">
        <v>0.00755</v>
      </c>
      <c r="S23" s="8" t="n">
        <v>0.0372</v>
      </c>
      <c r="T23" s="8" t="n">
        <v>0.06406000000000001</v>
      </c>
      <c r="U23" s="8" t="n">
        <v>0.02176</v>
      </c>
      <c r="V23" s="8" t="n">
        <v>0.00628</v>
      </c>
      <c r="W23" s="8" t="n">
        <v>0.2157</v>
      </c>
      <c r="X23" s="8" t="n">
        <v>0.04791</v>
      </c>
      <c r="Y23" s="8" t="n">
        <v>0.1304282092261794</v>
      </c>
      <c r="Z23" s="8" t="n">
        <v>0.1110290142942965</v>
      </c>
    </row>
    <row r="24">
      <c r="A24" s="2" t="inlineStr">
        <is>
          <t>Gleyber Torres</t>
        </is>
      </c>
      <c r="B24" s="2" t="inlineStr">
        <is>
          <t>DET</t>
        </is>
      </c>
      <c r="C24" s="2" t="inlineStr">
        <is>
          <t>Everyday DH / 1B-DH</t>
        </is>
      </c>
      <c r="D24" s="5" t="n">
        <v>652.6</v>
      </c>
      <c r="E24" s="6">
        <f>D24-T24*D24-U24*D24-V24*D24</f>
        <v/>
      </c>
      <c r="F24" s="6">
        <f>(P24+Q24+R24+S24)*D24</f>
        <v/>
      </c>
      <c r="G24" s="6">
        <f>S24*D24</f>
        <v/>
      </c>
      <c r="H24" s="6">
        <f>T24*D24</f>
        <v/>
      </c>
      <c r="I24" s="6">
        <f>W24*D24</f>
        <v/>
      </c>
      <c r="J24" s="6">
        <f>Y24*D24</f>
        <v/>
      </c>
      <c r="K24" s="6">
        <f>Z24*D24</f>
        <v/>
      </c>
      <c r="L24" s="6">
        <f>X24*D24</f>
        <v/>
      </c>
      <c r="M24" s="7">
        <f>IFERROR(F24/E24,0)</f>
        <v/>
      </c>
      <c r="N24" s="7">
        <f>IFERROR((F24+H24+U24*D24)/D24,0)</f>
        <v/>
      </c>
      <c r="O24" s="7">
        <f>IFERROR((P24+2*Q24+3*R24+4*S24)*D24/E24,0)</f>
        <v/>
      </c>
      <c r="P24" s="8" t="n">
        <v>0.15816</v>
      </c>
      <c r="Q24" s="8" t="n">
        <v>0.03414</v>
      </c>
      <c r="R24" s="8" t="n">
        <v>0.00125</v>
      </c>
      <c r="S24" s="8" t="n">
        <v>0.02059</v>
      </c>
      <c r="T24" s="8" t="n">
        <v>0.10702</v>
      </c>
      <c r="U24" s="8" t="n">
        <v>0.00539</v>
      </c>
      <c r="V24" s="8" t="n">
        <v>0.00855</v>
      </c>
      <c r="W24" s="8" t="n">
        <v>0.1893</v>
      </c>
      <c r="X24" s="8" t="n">
        <v>0.009339999999999999</v>
      </c>
      <c r="Y24" s="8" t="n">
        <v>0.1205260071680228</v>
      </c>
      <c r="Z24" s="8" t="n">
        <v>0.1005395876325996</v>
      </c>
    </row>
    <row r="25">
      <c r="A25" s="2" t="inlineStr">
        <is>
          <t>Jonathan Aranda</t>
        </is>
      </c>
      <c r="B25" s="2" t="inlineStr">
        <is>
          <t>TB</t>
        </is>
      </c>
      <c r="C25" s="2" t="inlineStr">
        <is>
          <t>Full Time</t>
        </is>
      </c>
      <c r="D25" s="5" t="n">
        <v>650</v>
      </c>
      <c r="E25" s="6">
        <f>D25-T25*D25-U25*D25-V25*D25</f>
        <v/>
      </c>
      <c r="F25" s="6">
        <f>(P25+Q25+R25+S25)*D25</f>
        <v/>
      </c>
      <c r="G25" s="6">
        <f>S25*D25</f>
        <v/>
      </c>
      <c r="H25" s="6">
        <f>T25*D25</f>
        <v/>
      </c>
      <c r="I25" s="6">
        <f>W25*D25</f>
        <v/>
      </c>
      <c r="J25" s="6">
        <f>Y25*D25</f>
        <v/>
      </c>
      <c r="K25" s="6">
        <f>Z25*D25</f>
        <v/>
      </c>
      <c r="L25" s="6">
        <f>X25*D25</f>
        <v/>
      </c>
      <c r="M25" s="7">
        <f>IFERROR(F25/E25,0)</f>
        <v/>
      </c>
      <c r="N25" s="7">
        <f>IFERROR((F25+H25+U25*D25)/D25,0)</f>
        <v/>
      </c>
      <c r="O25" s="7">
        <f>IFERROR((P25+2*Q25+3*R25+4*S25)*D25/E25,0)</f>
        <v/>
      </c>
      <c r="P25" s="8" t="n">
        <v>0.14586</v>
      </c>
      <c r="Q25" s="8" t="n">
        <v>0.04295</v>
      </c>
      <c r="R25" s="8" t="n">
        <v>0.00178</v>
      </c>
      <c r="S25" s="8" t="n">
        <v>0.03656</v>
      </c>
      <c r="T25" s="8" t="n">
        <v>0.09694999999999999</v>
      </c>
      <c r="U25" s="8" t="n">
        <v>0.01603</v>
      </c>
      <c r="V25" s="8" t="n">
        <v>0.008800000000000001</v>
      </c>
      <c r="W25" s="8" t="n">
        <v>0.25179</v>
      </c>
      <c r="X25" s="8" t="n">
        <v>0.00285</v>
      </c>
      <c r="Y25" s="8" t="n">
        <v>0.113218964752279</v>
      </c>
      <c r="Z25" s="8" t="n">
        <v>0.1202794547056928</v>
      </c>
    </row>
    <row r="26">
      <c r="A26" s="2" t="inlineStr">
        <is>
          <t>Bryan Reynolds</t>
        </is>
      </c>
      <c r="B26" s="2" t="inlineStr">
        <is>
          <t>PIT</t>
        </is>
      </c>
      <c r="C26" s="2" t="inlineStr">
        <is>
          <t>Full Time</t>
        </is>
      </c>
      <c r="D26" s="5" t="n">
        <v>648.5</v>
      </c>
      <c r="E26" s="6">
        <f>D26-T26*D26-U26*D26-V26*D26</f>
        <v/>
      </c>
      <c r="F26" s="6">
        <f>(P26+Q26+R26+S26)*D26</f>
        <v/>
      </c>
      <c r="G26" s="6">
        <f>S26*D26</f>
        <v/>
      </c>
      <c r="H26" s="6">
        <f>T26*D26</f>
        <v/>
      </c>
      <c r="I26" s="6">
        <f>W26*D26</f>
        <v/>
      </c>
      <c r="J26" s="6">
        <f>Y26*D26</f>
        <v/>
      </c>
      <c r="K26" s="6">
        <f>Z26*D26</f>
        <v/>
      </c>
      <c r="L26" s="6">
        <f>X26*D26</f>
        <v/>
      </c>
      <c r="M26" s="7">
        <f>IFERROR(F26/E26,0)</f>
        <v/>
      </c>
      <c r="N26" s="7">
        <f>IFERROR((F26+H26+U26*D26)/D26,0)</f>
        <v/>
      </c>
      <c r="O26" s="7">
        <f>IFERROR((P26+2*Q26+3*R26+4*S26)*D26/E26,0)</f>
        <v/>
      </c>
      <c r="P26" s="8" t="n">
        <v>0.13819</v>
      </c>
      <c r="Q26" s="8" t="n">
        <v>0.04945</v>
      </c>
      <c r="R26" s="8" t="n">
        <v>0.00573</v>
      </c>
      <c r="S26" s="8" t="n">
        <v>0.03479</v>
      </c>
      <c r="T26" s="8" t="n">
        <v>0.09456000000000001</v>
      </c>
      <c r="U26" s="8" t="n">
        <v>0.01429</v>
      </c>
      <c r="V26" s="8" t="n">
        <v>0.00507</v>
      </c>
      <c r="W26" s="8" t="n">
        <v>0.23952</v>
      </c>
      <c r="X26" s="8" t="n">
        <v>0.01286</v>
      </c>
      <c r="Y26" s="8" t="n">
        <v>0.1225130555069963</v>
      </c>
      <c r="Z26" s="8" t="n">
        <v>0.115341748666688</v>
      </c>
    </row>
    <row r="27">
      <c r="A27" s="2" t="inlineStr">
        <is>
          <t>Jackson Holliday</t>
        </is>
      </c>
      <c r="B27" s="2" t="inlineStr">
        <is>
          <t>BAL</t>
        </is>
      </c>
      <c r="C27" s="2" t="inlineStr">
        <is>
          <t>Full Time</t>
        </is>
      </c>
      <c r="D27" s="5" t="n">
        <v>648</v>
      </c>
      <c r="E27" s="6">
        <f>D27-T27*D27-U27*D27-V27*D27</f>
        <v/>
      </c>
      <c r="F27" s="6">
        <f>(P27+Q27+R27+S27)*D27</f>
        <v/>
      </c>
      <c r="G27" s="6">
        <f>S27*D27</f>
        <v/>
      </c>
      <c r="H27" s="6">
        <f>T27*D27</f>
        <v/>
      </c>
      <c r="I27" s="6">
        <f>W27*D27</f>
        <v/>
      </c>
      <c r="J27" s="6">
        <f>Y27*D27</f>
        <v/>
      </c>
      <c r="K27" s="6">
        <f>Z27*D27</f>
        <v/>
      </c>
      <c r="L27" s="6">
        <f>X27*D27</f>
        <v/>
      </c>
      <c r="M27" s="7">
        <f>IFERROR(F27/E27,0)</f>
        <v/>
      </c>
      <c r="N27" s="7">
        <f>IFERROR((F27+H27+U27*D27)/D27,0)</f>
        <v/>
      </c>
      <c r="O27" s="7">
        <f>IFERROR((P27+2*Q27+3*R27+4*S27)*D27/E27,0)</f>
        <v/>
      </c>
      <c r="P27" s="8" t="n">
        <v>0.14401</v>
      </c>
      <c r="Q27" s="8" t="n">
        <v>0.03721</v>
      </c>
      <c r="R27" s="8" t="n">
        <v>0.00585</v>
      </c>
      <c r="S27" s="8" t="n">
        <v>0.02269</v>
      </c>
      <c r="T27" s="8" t="n">
        <v>0.08518000000000001</v>
      </c>
      <c r="U27" s="8" t="n">
        <v>0.00667</v>
      </c>
      <c r="V27" s="8" t="n">
        <v>0.00495</v>
      </c>
      <c r="W27" s="8" t="n">
        <v>0.24281</v>
      </c>
      <c r="X27" s="8" t="n">
        <v>0.02702</v>
      </c>
      <c r="Y27" s="8" t="n">
        <v>0.1161988599502667</v>
      </c>
      <c r="Z27" s="8" t="n">
        <v>0.09134144710833331</v>
      </c>
    </row>
    <row r="28">
      <c r="A28" s="2" t="inlineStr">
        <is>
          <t>Matt Olson</t>
        </is>
      </c>
      <c r="B28" s="2" t="inlineStr">
        <is>
          <t>ATL</t>
        </is>
      </c>
      <c r="C28" s="2" t="inlineStr">
        <is>
          <t>Full Time</t>
        </is>
      </c>
      <c r="D28" s="5" t="n">
        <v>642.6</v>
      </c>
      <c r="E28" s="6">
        <f>D28-T28*D28-U28*D28-V28*D28</f>
        <v/>
      </c>
      <c r="F28" s="6">
        <f>(P28+Q28+R28+S28)*D28</f>
        <v/>
      </c>
      <c r="G28" s="6">
        <f>S28*D28</f>
        <v/>
      </c>
      <c r="H28" s="6">
        <f>T28*D28</f>
        <v/>
      </c>
      <c r="I28" s="6">
        <f>W28*D28</f>
        <v/>
      </c>
      <c r="J28" s="6">
        <f>Y28*D28</f>
        <v/>
      </c>
      <c r="K28" s="6">
        <f>Z28*D28</f>
        <v/>
      </c>
      <c r="L28" s="6">
        <f>X28*D28</f>
        <v/>
      </c>
      <c r="M28" s="7">
        <f>IFERROR(F28/E28,0)</f>
        <v/>
      </c>
      <c r="N28" s="7">
        <f>IFERROR((F28+H28+U28*D28)/D28,0)</f>
        <v/>
      </c>
      <c r="O28" s="7">
        <f>IFERROR((P28+2*Q28+3*R28+4*S28)*D28/E28,0)</f>
        <v/>
      </c>
      <c r="P28" s="8" t="n">
        <v>0.11652</v>
      </c>
      <c r="Q28" s="8" t="n">
        <v>0.04933</v>
      </c>
      <c r="R28" s="8" t="n">
        <v>0.00157</v>
      </c>
      <c r="S28" s="8" t="n">
        <v>0.04717</v>
      </c>
      <c r="T28" s="8" t="n">
        <v>0.10922</v>
      </c>
      <c r="U28" s="8" t="n">
        <v>0.00668</v>
      </c>
      <c r="V28" s="8" t="n">
        <v>0.00665</v>
      </c>
      <c r="W28" s="8" t="n">
        <v>0.24703</v>
      </c>
      <c r="X28" s="8" t="n">
        <v>0.00144</v>
      </c>
      <c r="Y28" s="8" t="n">
        <v>0.1274285813226304</v>
      </c>
      <c r="Z28" s="8" t="n">
        <v>0.133931719516744</v>
      </c>
    </row>
    <row r="29">
      <c r="A29" s="2" t="inlineStr">
        <is>
          <t>Xavier Edwards</t>
        </is>
      </c>
      <c r="B29" s="2" t="inlineStr">
        <is>
          <t>MIA</t>
        </is>
      </c>
      <c r="C29" s="2" t="inlineStr">
        <is>
          <t>Full Time</t>
        </is>
      </c>
      <c r="D29" s="5" t="n">
        <v>642</v>
      </c>
      <c r="E29" s="6">
        <f>D29-T29*D29-U29*D29-V29*D29</f>
        <v/>
      </c>
      <c r="F29" s="6">
        <f>(P29+Q29+R29+S29)*D29</f>
        <v/>
      </c>
      <c r="G29" s="6">
        <f>S29*D29</f>
        <v/>
      </c>
      <c r="H29" s="6">
        <f>T29*D29</f>
        <v/>
      </c>
      <c r="I29" s="6">
        <f>W29*D29</f>
        <v/>
      </c>
      <c r="J29" s="6">
        <f>Y29*D29</f>
        <v/>
      </c>
      <c r="K29" s="6">
        <f>Z29*D29</f>
        <v/>
      </c>
      <c r="L29" s="6">
        <f>X29*D29</f>
        <v/>
      </c>
      <c r="M29" s="7">
        <f>IFERROR(F29/E29,0)</f>
        <v/>
      </c>
      <c r="N29" s="7">
        <f>IFERROR((F29+H29+U29*D29)/D29,0)</f>
        <v/>
      </c>
      <c r="O29" s="7">
        <f>IFERROR((P29+2*Q29+3*R29+4*S29)*D29/E29,0)</f>
        <v/>
      </c>
      <c r="P29" s="8" t="n">
        <v>0.18568</v>
      </c>
      <c r="Q29" s="8" t="n">
        <v>0.03121</v>
      </c>
      <c r="R29" s="8" t="n">
        <v>0.00535</v>
      </c>
      <c r="S29" s="8" t="n">
        <v>0.00733</v>
      </c>
      <c r="T29" s="8" t="n">
        <v>0.09419</v>
      </c>
      <c r="U29" s="8" t="n">
        <v>0.00282</v>
      </c>
      <c r="V29" s="8" t="n">
        <v>0.007889999999999999</v>
      </c>
      <c r="W29" s="8" t="n">
        <v>0.15608</v>
      </c>
      <c r="X29" s="8" t="n">
        <v>0.04288</v>
      </c>
      <c r="Y29" s="8" t="n">
        <v>0.1095421690112119</v>
      </c>
      <c r="Z29" s="8" t="n">
        <v>0.07872215198845629</v>
      </c>
    </row>
    <row r="30">
      <c r="A30" s="2" t="inlineStr">
        <is>
          <t>JJ Wetherholt</t>
        </is>
      </c>
      <c r="B30" s="2" t="inlineStr">
        <is>
          <t>STL</t>
        </is>
      </c>
      <c r="C30" s="2" t="inlineStr">
        <is>
          <t>Full Time</t>
        </is>
      </c>
      <c r="D30" s="5" t="n">
        <v>639.9</v>
      </c>
      <c r="E30" s="6">
        <f>D30-T30*D30-U30*D30-V30*D30</f>
        <v/>
      </c>
      <c r="F30" s="6">
        <f>(P30+Q30+R30+S30)*D30</f>
        <v/>
      </c>
      <c r="G30" s="6">
        <f>S30*D30</f>
        <v/>
      </c>
      <c r="H30" s="6">
        <f>T30*D30</f>
        <v/>
      </c>
      <c r="I30" s="6">
        <f>W30*D30</f>
        <v/>
      </c>
      <c r="J30" s="6">
        <f>Y30*D30</f>
        <v/>
      </c>
      <c r="K30" s="6">
        <f>Z30*D30</f>
        <v/>
      </c>
      <c r="L30" s="6">
        <f>X30*D30</f>
        <v/>
      </c>
      <c r="M30" s="7">
        <f>IFERROR(F30/E30,0)</f>
        <v/>
      </c>
      <c r="N30" s="7">
        <f>IFERROR((F30+H30+U30*D30)/D30,0)</f>
        <v/>
      </c>
      <c r="O30" s="7">
        <f>IFERROR((P30+2*Q30+3*R30+4*S30)*D30/E30,0)</f>
        <v/>
      </c>
      <c r="P30" s="8" t="n">
        <v>0.14275</v>
      </c>
      <c r="Q30" s="8" t="n">
        <v>0.03217</v>
      </c>
      <c r="R30" s="8" t="n">
        <v>0.00331</v>
      </c>
      <c r="S30" s="8" t="n">
        <v>0.02574</v>
      </c>
      <c r="T30" s="8" t="n">
        <v>0.09823</v>
      </c>
      <c r="U30" s="8" t="n">
        <v>0.02343</v>
      </c>
      <c r="V30" s="8" t="n">
        <v>0.00357</v>
      </c>
      <c r="W30" s="8" t="n">
        <v>0.18091</v>
      </c>
      <c r="X30" s="8" t="n">
        <v>0.01911</v>
      </c>
      <c r="Y30" s="8" t="n">
        <v>0.1270036645076521</v>
      </c>
      <c r="Z30" s="8" t="n">
        <v>0.08434083600255959</v>
      </c>
    </row>
    <row r="33">
      <c r="A33" s="3" t="inlineStr">
        <is>
          <t>Top 25 pitchers by projected IP</t>
        </is>
      </c>
    </row>
    <row r="34">
      <c r="A34" s="4" t="inlineStr">
        <is>
          <t>Name</t>
        </is>
      </c>
      <c r="B34" s="4" t="inlineStr">
        <is>
          <t>Team</t>
        </is>
      </c>
      <c r="C34" s="4" t="inlineStr">
        <is>
          <t>Role</t>
        </is>
      </c>
      <c r="D34" s="4" t="inlineStr">
        <is>
          <t>IP</t>
        </is>
      </c>
      <c r="E34" s="4" t="inlineStr">
        <is>
          <t>TBF</t>
        </is>
      </c>
      <c r="F34" s="4" t="inlineStr">
        <is>
          <t>H</t>
        </is>
      </c>
      <c r="G34" s="4" t="inlineStr">
        <is>
          <t>SO</t>
        </is>
      </c>
      <c r="H34" s="4" t="inlineStr">
        <is>
          <t>BB</t>
        </is>
      </c>
      <c r="I34" s="4" t="inlineStr">
        <is>
          <t>HR</t>
        </is>
      </c>
      <c r="J34" s="4" t="inlineStr">
        <is>
          <t>ER</t>
        </is>
      </c>
      <c r="K34" s="4" t="inlineStr">
        <is>
          <t>ERA</t>
        </is>
      </c>
      <c r="L34" s="4" t="inlineStr">
        <is>
          <t>WHIP</t>
        </is>
      </c>
      <c r="M34" s="4" t="inlineStr">
        <is>
          <t>K9</t>
        </is>
      </c>
      <c r="N34" s="4" t="inlineStr">
        <is>
          <t>TBF_per_IP</t>
        </is>
      </c>
      <c r="O34" s="4" t="inlineStr">
        <is>
          <t>r_SO</t>
        </is>
      </c>
      <c r="P34" s="4" t="inlineStr">
        <is>
          <t>r_BB</t>
        </is>
      </c>
      <c r="Q34" s="4" t="inlineStr">
        <is>
          <t>r_HR</t>
        </is>
      </c>
      <c r="R34" s="4" t="inlineStr">
        <is>
          <t>r_1B</t>
        </is>
      </c>
      <c r="S34" s="4" t="inlineStr">
        <is>
          <t>r_2B</t>
        </is>
      </c>
      <c r="T34" s="4" t="inlineStr">
        <is>
          <t>r_3B</t>
        </is>
      </c>
      <c r="U34" s="4" t="inlineStr">
        <is>
          <t>r_ERA</t>
        </is>
      </c>
    </row>
    <row r="35">
      <c r="A35" s="2" t="inlineStr">
        <is>
          <t>Sandy Alcantara</t>
        </is>
      </c>
      <c r="B35" s="2" t="inlineStr">
        <is>
          <t>MIA</t>
        </is>
      </c>
      <c r="C35" s="2" t="inlineStr">
        <is>
          <t>Ace (SP1)</t>
        </is>
      </c>
      <c r="D35" s="5" t="n">
        <v>215</v>
      </c>
      <c r="E35" s="6">
        <f>D35*N35</f>
        <v/>
      </c>
      <c r="F35" s="6">
        <f>(R35+S35+T35+Q35)*E35</f>
        <v/>
      </c>
      <c r="G35" s="6">
        <f>O35*E35</f>
        <v/>
      </c>
      <c r="H35" s="6">
        <f>P35*E35</f>
        <v/>
      </c>
      <c r="I35" s="6">
        <f>Q35*E35</f>
        <v/>
      </c>
      <c r="J35" s="6">
        <f>U35*D35/9</f>
        <v/>
      </c>
      <c r="K35" s="9">
        <f>U35</f>
        <v/>
      </c>
      <c r="L35" s="9">
        <f>IFERROR((F35+H35)/D35,0)</f>
        <v/>
      </c>
      <c r="M35" s="9">
        <f>IFERROR(G35*9/D35,0)</f>
        <v/>
      </c>
      <c r="N35" s="8" t="n">
        <v>4.223</v>
      </c>
      <c r="O35" s="8" t="n">
        <v>0.19018</v>
      </c>
      <c r="P35" s="8" t="n">
        <v>0.06875000000000001</v>
      </c>
      <c r="Q35" s="8" t="n">
        <v>0.02673</v>
      </c>
      <c r="R35" s="8" t="n">
        <v>0.15449</v>
      </c>
      <c r="S35" s="8" t="n">
        <v>0.04578</v>
      </c>
      <c r="T35" s="8" t="n">
        <v>0.0044</v>
      </c>
      <c r="U35" s="8" t="n">
        <v>4.17694</v>
      </c>
    </row>
    <row r="36">
      <c r="A36" s="2" t="inlineStr">
        <is>
          <t>Nolan McLean</t>
        </is>
      </c>
      <c r="B36" s="2" t="inlineStr">
        <is>
          <t>NYM</t>
        </is>
      </c>
      <c r="C36" s="2" t="inlineStr">
        <is>
          <t>Ace (SP1)</t>
        </is>
      </c>
      <c r="D36" s="5" t="n">
        <v>215</v>
      </c>
      <c r="E36" s="6">
        <f>D36*N36</f>
        <v/>
      </c>
      <c r="F36" s="6">
        <f>(R36+S36+T36+Q36)*E36</f>
        <v/>
      </c>
      <c r="G36" s="6">
        <f>O36*E36</f>
        <v/>
      </c>
      <c r="H36" s="6">
        <f>P36*E36</f>
        <v/>
      </c>
      <c r="I36" s="6">
        <f>Q36*E36</f>
        <v/>
      </c>
      <c r="J36" s="6">
        <f>U36*D36/9</f>
        <v/>
      </c>
      <c r="K36" s="9">
        <f>U36</f>
        <v/>
      </c>
      <c r="L36" s="9">
        <f>IFERROR((F36+H36)/D36,0)</f>
        <v/>
      </c>
      <c r="M36" s="9">
        <f>IFERROR(G36*9/D36,0)</f>
        <v/>
      </c>
      <c r="N36" s="8" t="n">
        <v>4.209</v>
      </c>
      <c r="O36" s="8" t="n">
        <v>0.25423</v>
      </c>
      <c r="P36" s="8" t="n">
        <v>0.09264</v>
      </c>
      <c r="Q36" s="8" t="n">
        <v>0.02148</v>
      </c>
      <c r="R36" s="8" t="n">
        <v>0.13526</v>
      </c>
      <c r="S36" s="8" t="n">
        <v>0.03729</v>
      </c>
      <c r="T36" s="8" t="n">
        <v>0.00316</v>
      </c>
      <c r="U36" s="8" t="n">
        <v>3.60625</v>
      </c>
    </row>
    <row r="37">
      <c r="A37" s="2" t="inlineStr">
        <is>
          <t>Michael Wacha</t>
        </is>
      </c>
      <c r="B37" s="2" t="inlineStr">
        <is>
          <t>KC</t>
        </is>
      </c>
      <c r="C37" s="2" t="inlineStr">
        <is>
          <t>Ace (SP1)</t>
        </is>
      </c>
      <c r="D37" s="5" t="n">
        <v>198.4</v>
      </c>
      <c r="E37" s="6">
        <f>D37*N37</f>
        <v/>
      </c>
      <c r="F37" s="6">
        <f>(R37+S37+T37+Q37)*E37</f>
        <v/>
      </c>
      <c r="G37" s="6">
        <f>O37*E37</f>
        <v/>
      </c>
      <c r="H37" s="6">
        <f>P37*E37</f>
        <v/>
      </c>
      <c r="I37" s="6">
        <f>Q37*E37</f>
        <v/>
      </c>
      <c r="J37" s="6">
        <f>U37*D37/9</f>
        <v/>
      </c>
      <c r="K37" s="9">
        <f>U37</f>
        <v/>
      </c>
      <c r="L37" s="9">
        <f>IFERROR((F37+H37)/D37,0)</f>
        <v/>
      </c>
      <c r="M37" s="9">
        <f>IFERROR(G37*9/D37,0)</f>
        <v/>
      </c>
      <c r="N37" s="8" t="n">
        <v>4.169</v>
      </c>
      <c r="O37" s="8" t="n">
        <v>0.19486</v>
      </c>
      <c r="P37" s="8" t="n">
        <v>0.0687</v>
      </c>
      <c r="Q37" s="8" t="n">
        <v>0.03151</v>
      </c>
      <c r="R37" s="8" t="n">
        <v>0.1391</v>
      </c>
      <c r="S37" s="8" t="n">
        <v>0.04859</v>
      </c>
      <c r="T37" s="8" t="n">
        <v>0.00602</v>
      </c>
      <c r="U37" s="8" t="n">
        <v>4.20948</v>
      </c>
    </row>
    <row r="38">
      <c r="A38" s="2" t="inlineStr">
        <is>
          <t>Sean Manaea</t>
        </is>
      </c>
      <c r="B38" s="2" t="inlineStr">
        <is>
          <t>NYM</t>
        </is>
      </c>
      <c r="C38" s="2" t="inlineStr">
        <is>
          <t>Mid-Rotation Starter (SP2-3)</t>
        </is>
      </c>
      <c r="D38" s="5" t="n">
        <v>196.9</v>
      </c>
      <c r="E38" s="6">
        <f>D38*N38</f>
        <v/>
      </c>
      <c r="F38" s="6">
        <f>(R38+S38+T38+Q38)*E38</f>
        <v/>
      </c>
      <c r="G38" s="6">
        <f>O38*E38</f>
        <v/>
      </c>
      <c r="H38" s="6">
        <f>P38*E38</f>
        <v/>
      </c>
      <c r="I38" s="6">
        <f>Q38*E38</f>
        <v/>
      </c>
      <c r="J38" s="6">
        <f>U38*D38/9</f>
        <v/>
      </c>
      <c r="K38" s="9">
        <f>U38</f>
        <v/>
      </c>
      <c r="L38" s="9">
        <f>IFERROR((F38+H38)/D38,0)</f>
        <v/>
      </c>
      <c r="M38" s="9">
        <f>IFERROR(G38*9/D38,0)</f>
        <v/>
      </c>
      <c r="N38" s="8" t="n">
        <v>4.24</v>
      </c>
      <c r="O38" s="8" t="n">
        <v>0.23499</v>
      </c>
      <c r="P38" s="8" t="n">
        <v>0.07563</v>
      </c>
      <c r="Q38" s="8" t="n">
        <v>0.03894</v>
      </c>
      <c r="R38" s="8" t="n">
        <v>0.13136</v>
      </c>
      <c r="S38" s="8" t="n">
        <v>0.04776</v>
      </c>
      <c r="T38" s="8" t="n">
        <v>0.00369</v>
      </c>
      <c r="U38" s="8" t="n">
        <v>4.5426</v>
      </c>
    </row>
    <row r="39">
      <c r="A39" s="2" t="inlineStr">
        <is>
          <t>Logan Webb</t>
        </is>
      </c>
      <c r="B39" s="2" t="inlineStr">
        <is>
          <t>SF</t>
        </is>
      </c>
      <c r="C39" s="2" t="inlineStr">
        <is>
          <t>Mid-Rotation Starter (SP2-3)</t>
        </is>
      </c>
      <c r="D39" s="5" t="n">
        <v>196.9</v>
      </c>
      <c r="E39" s="6">
        <f>D39*N39</f>
        <v/>
      </c>
      <c r="F39" s="6">
        <f>(R39+S39+T39+Q39)*E39</f>
        <v/>
      </c>
      <c r="G39" s="6">
        <f>O39*E39</f>
        <v/>
      </c>
      <c r="H39" s="6">
        <f>P39*E39</f>
        <v/>
      </c>
      <c r="I39" s="6">
        <f>Q39*E39</f>
        <v/>
      </c>
      <c r="J39" s="6">
        <f>U39*D39/9</f>
        <v/>
      </c>
      <c r="K39" s="9">
        <f>U39</f>
        <v/>
      </c>
      <c r="L39" s="9">
        <f>IFERROR((F39+H39)/D39,0)</f>
        <v/>
      </c>
      <c r="M39" s="9">
        <f>IFERROR(G39*9/D39,0)</f>
        <v/>
      </c>
      <c r="N39" s="8" t="n">
        <v>4.176</v>
      </c>
      <c r="O39" s="8" t="n">
        <v>0.217</v>
      </c>
      <c r="P39" s="8" t="n">
        <v>0.05752</v>
      </c>
      <c r="Q39" s="8" t="n">
        <v>0.02104</v>
      </c>
      <c r="R39" s="8" t="n">
        <v>0.17097</v>
      </c>
      <c r="S39" s="8" t="n">
        <v>0.03992</v>
      </c>
      <c r="T39" s="8" t="n">
        <v>0.00497</v>
      </c>
      <c r="U39" s="8" t="n">
        <v>3.80698</v>
      </c>
    </row>
    <row r="40">
      <c r="A40" s="2" t="inlineStr">
        <is>
          <t>Cristopher Sánchez</t>
        </is>
      </c>
      <c r="B40" s="2" t="inlineStr">
        <is>
          <t>PHI</t>
        </is>
      </c>
      <c r="C40" s="2" t="inlineStr">
        <is>
          <t>Ace (SP1)</t>
        </is>
      </c>
      <c r="D40" s="5" t="n">
        <v>195.6</v>
      </c>
      <c r="E40" s="6">
        <f>D40*N40</f>
        <v/>
      </c>
      <c r="F40" s="6">
        <f>(R40+S40+T40+Q40)*E40</f>
        <v/>
      </c>
      <c r="G40" s="6">
        <f>O40*E40</f>
        <v/>
      </c>
      <c r="H40" s="6">
        <f>P40*E40</f>
        <v/>
      </c>
      <c r="I40" s="6">
        <f>Q40*E40</f>
        <v/>
      </c>
      <c r="J40" s="6">
        <f>U40*D40/9</f>
        <v/>
      </c>
      <c r="K40" s="9">
        <f>U40</f>
        <v/>
      </c>
      <c r="L40" s="9">
        <f>IFERROR((F40+H40)/D40,0)</f>
        <v/>
      </c>
      <c r="M40" s="9">
        <f>IFERROR(G40*9/D40,0)</f>
        <v/>
      </c>
      <c r="N40" s="8" t="n">
        <v>4.108</v>
      </c>
      <c r="O40" s="8" t="n">
        <v>0.2398</v>
      </c>
      <c r="P40" s="8" t="n">
        <v>0.05796</v>
      </c>
      <c r="Q40" s="8" t="n">
        <v>0.02036</v>
      </c>
      <c r="R40" s="8" t="n">
        <v>0.16363</v>
      </c>
      <c r="S40" s="8" t="n">
        <v>0.03968</v>
      </c>
      <c r="T40" s="8" t="n">
        <v>0.00258</v>
      </c>
      <c r="U40" s="8" t="n">
        <v>3.46961</v>
      </c>
    </row>
    <row r="41">
      <c r="A41" s="2" t="inlineStr">
        <is>
          <t>Garrett Crochet</t>
        </is>
      </c>
      <c r="B41" s="2" t="inlineStr">
        <is>
          <t>BOS</t>
        </is>
      </c>
      <c r="C41" s="2" t="inlineStr">
        <is>
          <t>Ace (SP1)</t>
        </is>
      </c>
      <c r="D41" s="5" t="n">
        <v>192.6</v>
      </c>
      <c r="E41" s="6">
        <f>D41*N41</f>
        <v/>
      </c>
      <c r="F41" s="6">
        <f>(R41+S41+T41+Q41)*E41</f>
        <v/>
      </c>
      <c r="G41" s="6">
        <f>O41*E41</f>
        <v/>
      </c>
      <c r="H41" s="6">
        <f>P41*E41</f>
        <v/>
      </c>
      <c r="I41" s="6">
        <f>Q41*E41</f>
        <v/>
      </c>
      <c r="J41" s="6">
        <f>U41*D41/9</f>
        <v/>
      </c>
      <c r="K41" s="9">
        <f>U41</f>
        <v/>
      </c>
      <c r="L41" s="9">
        <f>IFERROR((F41+H41)/D41,0)</f>
        <v/>
      </c>
      <c r="M41" s="9">
        <f>IFERROR(G41*9/D41,0)</f>
        <v/>
      </c>
      <c r="N41" s="8" t="n">
        <v>4.049</v>
      </c>
      <c r="O41" s="8" t="n">
        <v>0.29938</v>
      </c>
      <c r="P41" s="8" t="n">
        <v>0.06698</v>
      </c>
      <c r="Q41" s="8" t="n">
        <v>0.02941</v>
      </c>
      <c r="R41" s="8" t="n">
        <v>0.13344</v>
      </c>
      <c r="S41" s="8" t="n">
        <v>0.03959</v>
      </c>
      <c r="T41" s="8" t="n">
        <v>0.00272</v>
      </c>
      <c r="U41" s="8" t="n">
        <v>3.43729</v>
      </c>
    </row>
    <row r="42">
      <c r="A42" s="2" t="inlineStr">
        <is>
          <t>Cade Cavalli</t>
        </is>
      </c>
      <c r="B42" s="2" t="inlineStr">
        <is>
          <t>WSH</t>
        </is>
      </c>
      <c r="C42" s="2" t="inlineStr">
        <is>
          <t>Ace (SP1)</t>
        </is>
      </c>
      <c r="D42" s="5" t="n">
        <v>192.5</v>
      </c>
      <c r="E42" s="6">
        <f>D42*N42</f>
        <v/>
      </c>
      <c r="F42" s="6">
        <f>(R42+S42+T42+Q42)*E42</f>
        <v/>
      </c>
      <c r="G42" s="6">
        <f>O42*E42</f>
        <v/>
      </c>
      <c r="H42" s="6">
        <f>P42*E42</f>
        <v/>
      </c>
      <c r="I42" s="6">
        <f>Q42*E42</f>
        <v/>
      </c>
      <c r="J42" s="6">
        <f>U42*D42/9</f>
        <v/>
      </c>
      <c r="K42" s="9">
        <f>U42</f>
        <v/>
      </c>
      <c r="L42" s="9">
        <f>IFERROR((F42+H42)/D42,0)</f>
        <v/>
      </c>
      <c r="M42" s="9">
        <f>IFERROR(G42*9/D42,0)</f>
        <v/>
      </c>
      <c r="N42" s="8" t="n">
        <v>4.214</v>
      </c>
      <c r="O42" s="8" t="n">
        <v>0.25001</v>
      </c>
      <c r="P42" s="8" t="n">
        <v>0.07227</v>
      </c>
      <c r="Q42" s="8" t="n">
        <v>0.02476</v>
      </c>
      <c r="R42" s="8" t="n">
        <v>0.15097</v>
      </c>
      <c r="S42" s="8" t="n">
        <v>0.03293</v>
      </c>
      <c r="T42" s="8" t="n">
        <v>0.00382</v>
      </c>
      <c r="U42" s="8" t="n">
        <v>3.78379</v>
      </c>
    </row>
    <row r="43">
      <c r="A43" s="2" t="inlineStr">
        <is>
          <t>Hunter Brown</t>
        </is>
      </c>
      <c r="B43" s="2" t="inlineStr">
        <is>
          <t>HOU</t>
        </is>
      </c>
      <c r="C43" s="2" t="inlineStr">
        <is>
          <t>Ace (SP1)</t>
        </is>
      </c>
      <c r="D43" s="5" t="n">
        <v>191</v>
      </c>
      <c r="E43" s="6">
        <f>D43*N43</f>
        <v/>
      </c>
      <c r="F43" s="6">
        <f>(R43+S43+T43+Q43)*E43</f>
        <v/>
      </c>
      <c r="G43" s="6">
        <f>O43*E43</f>
        <v/>
      </c>
      <c r="H43" s="6">
        <f>P43*E43</f>
        <v/>
      </c>
      <c r="I43" s="6">
        <f>Q43*E43</f>
        <v/>
      </c>
      <c r="J43" s="6">
        <f>U43*D43/9</f>
        <v/>
      </c>
      <c r="K43" s="9">
        <f>U43</f>
        <v/>
      </c>
      <c r="L43" s="9">
        <f>IFERROR((F43+H43)/D43,0)</f>
        <v/>
      </c>
      <c r="M43" s="9">
        <f>IFERROR(G43*9/D43,0)</f>
        <v/>
      </c>
      <c r="N43" s="8" t="n">
        <v>4.132</v>
      </c>
      <c r="O43" s="8" t="n">
        <v>0.25996</v>
      </c>
      <c r="P43" s="8" t="n">
        <v>0.09182999999999999</v>
      </c>
      <c r="Q43" s="8" t="n">
        <v>0.0205</v>
      </c>
      <c r="R43" s="8" t="n">
        <v>0.14138</v>
      </c>
      <c r="S43" s="8" t="n">
        <v>0.02819</v>
      </c>
      <c r="T43" s="8" t="n">
        <v>0.00328</v>
      </c>
      <c r="U43" s="8" t="n">
        <v>3.23628</v>
      </c>
    </row>
    <row r="44">
      <c r="A44" s="2" t="inlineStr">
        <is>
          <t>Paul Skenes</t>
        </is>
      </c>
      <c r="B44" s="2" t="inlineStr">
        <is>
          <t>PIT</t>
        </is>
      </c>
      <c r="C44" s="2" t="inlineStr">
        <is>
          <t>Ace (SP1)</t>
        </is>
      </c>
      <c r="D44" s="5" t="n">
        <v>189.3</v>
      </c>
      <c r="E44" s="6">
        <f>D44*N44</f>
        <v/>
      </c>
      <c r="F44" s="6">
        <f>(R44+S44+T44+Q44)*E44</f>
        <v/>
      </c>
      <c r="G44" s="6">
        <f>O44*E44</f>
        <v/>
      </c>
      <c r="H44" s="6">
        <f>P44*E44</f>
        <v/>
      </c>
      <c r="I44" s="6">
        <f>Q44*E44</f>
        <v/>
      </c>
      <c r="J44" s="6">
        <f>U44*D44/9</f>
        <v/>
      </c>
      <c r="K44" s="9">
        <f>U44</f>
        <v/>
      </c>
      <c r="L44" s="9">
        <f>IFERROR((F44+H44)/D44,0)</f>
        <v/>
      </c>
      <c r="M44" s="9">
        <f>IFERROR(G44*9/D44,0)</f>
        <v/>
      </c>
      <c r="N44" s="8" t="n">
        <v>4.008</v>
      </c>
      <c r="O44" s="8" t="n">
        <v>0.28344</v>
      </c>
      <c r="P44" s="8" t="n">
        <v>0.06651</v>
      </c>
      <c r="Q44" s="8" t="n">
        <v>0.0233</v>
      </c>
      <c r="R44" s="8" t="n">
        <v>0.12962</v>
      </c>
      <c r="S44" s="8" t="n">
        <v>0.03779</v>
      </c>
      <c r="T44" s="8" t="n">
        <v>0.00386</v>
      </c>
      <c r="U44" s="8" t="n">
        <v>3.10699</v>
      </c>
    </row>
    <row r="45">
      <c r="A45" s="2" t="inlineStr">
        <is>
          <t>Cam Schlittler</t>
        </is>
      </c>
      <c r="B45" s="2" t="inlineStr">
        <is>
          <t>NYY</t>
        </is>
      </c>
      <c r="C45" s="2" t="inlineStr">
        <is>
          <t>Ace (SP1)</t>
        </is>
      </c>
      <c r="D45" s="5" t="n">
        <v>188.2</v>
      </c>
      <c r="E45" s="6">
        <f>D45*N45</f>
        <v/>
      </c>
      <c r="F45" s="6">
        <f>(R45+S45+T45+Q45)*E45</f>
        <v/>
      </c>
      <c r="G45" s="6">
        <f>O45*E45</f>
        <v/>
      </c>
      <c r="H45" s="6">
        <f>P45*E45</f>
        <v/>
      </c>
      <c r="I45" s="6">
        <f>Q45*E45</f>
        <v/>
      </c>
      <c r="J45" s="6">
        <f>U45*D45/9</f>
        <v/>
      </c>
      <c r="K45" s="9">
        <f>U45</f>
        <v/>
      </c>
      <c r="L45" s="9">
        <f>IFERROR((F45+H45)/D45,0)</f>
        <v/>
      </c>
      <c r="M45" s="9">
        <f>IFERROR(G45*9/D45,0)</f>
        <v/>
      </c>
      <c r="N45" s="8" t="n">
        <v>4.061</v>
      </c>
      <c r="O45" s="8" t="n">
        <v>0.28613</v>
      </c>
      <c r="P45" s="8" t="n">
        <v>0.07699</v>
      </c>
      <c r="Q45" s="8" t="n">
        <v>0.02071</v>
      </c>
      <c r="R45" s="8" t="n">
        <v>0.13387</v>
      </c>
      <c r="S45" s="8" t="n">
        <v>0.03776</v>
      </c>
      <c r="T45" s="8" t="n">
        <v>0.00259</v>
      </c>
      <c r="U45" s="8" t="n">
        <v>3.13273</v>
      </c>
    </row>
    <row r="46">
      <c r="A46" s="2" t="inlineStr">
        <is>
          <t>Jeffrey Springs</t>
        </is>
      </c>
      <c r="B46" s="2" t="inlineStr">
        <is>
          <t>OAK</t>
        </is>
      </c>
      <c r="C46" s="2" t="inlineStr">
        <is>
          <t>Mid-Rotation Starter (SP2-3)</t>
        </is>
      </c>
      <c r="D46" s="5" t="n">
        <v>187.9</v>
      </c>
      <c r="E46" s="6">
        <f>D46*N46</f>
        <v/>
      </c>
      <c r="F46" s="6">
        <f>(R46+S46+T46+Q46)*E46</f>
        <v/>
      </c>
      <c r="G46" s="6">
        <f>O46*E46</f>
        <v/>
      </c>
      <c r="H46" s="6">
        <f>P46*E46</f>
        <v/>
      </c>
      <c r="I46" s="6">
        <f>Q46*E46</f>
        <v/>
      </c>
      <c r="J46" s="6">
        <f>U46*D46/9</f>
        <v/>
      </c>
      <c r="K46" s="9">
        <f>U46</f>
        <v/>
      </c>
      <c r="L46" s="9">
        <f>IFERROR((F46+H46)/D46,0)</f>
        <v/>
      </c>
      <c r="M46" s="9">
        <f>IFERROR(G46*9/D46,0)</f>
        <v/>
      </c>
      <c r="N46" s="8" t="n">
        <v>4.233</v>
      </c>
      <c r="O46" s="8" t="n">
        <v>0.20479</v>
      </c>
      <c r="P46" s="8" t="n">
        <v>0.08008</v>
      </c>
      <c r="Q46" s="8" t="n">
        <v>0.03977</v>
      </c>
      <c r="R46" s="8" t="n">
        <v>0.13796</v>
      </c>
      <c r="S46" s="8" t="n">
        <v>0.04579</v>
      </c>
      <c r="T46" s="8" t="n">
        <v>0.00309</v>
      </c>
      <c r="U46" s="8" t="n">
        <v>4.55937</v>
      </c>
    </row>
    <row r="47">
      <c r="A47" s="2" t="inlineStr">
        <is>
          <t>Logan Gilbert</t>
        </is>
      </c>
      <c r="B47" s="2" t="inlineStr">
        <is>
          <t>SEA</t>
        </is>
      </c>
      <c r="C47" s="2" t="inlineStr">
        <is>
          <t>Ace (SP1)</t>
        </is>
      </c>
      <c r="D47" s="5" t="n">
        <v>185</v>
      </c>
      <c r="E47" s="6">
        <f>D47*N47</f>
        <v/>
      </c>
      <c r="F47" s="6">
        <f>(R47+S47+T47+Q47)*E47</f>
        <v/>
      </c>
      <c r="G47" s="6">
        <f>O47*E47</f>
        <v/>
      </c>
      <c r="H47" s="6">
        <f>P47*E47</f>
        <v/>
      </c>
      <c r="I47" s="6">
        <f>Q47*E47</f>
        <v/>
      </c>
      <c r="J47" s="6">
        <f>U47*D47/9</f>
        <v/>
      </c>
      <c r="K47" s="9">
        <f>U47</f>
        <v/>
      </c>
      <c r="L47" s="9">
        <f>IFERROR((F47+H47)/D47,0)</f>
        <v/>
      </c>
      <c r="M47" s="9">
        <f>IFERROR(G47*9/D47,0)</f>
        <v/>
      </c>
      <c r="N47" s="8" t="n">
        <v>4.033</v>
      </c>
      <c r="O47" s="8" t="n">
        <v>0.26106</v>
      </c>
      <c r="P47" s="8" t="n">
        <v>0.05928</v>
      </c>
      <c r="Q47" s="8" t="n">
        <v>0.03687</v>
      </c>
      <c r="R47" s="8" t="n">
        <v>0.13067</v>
      </c>
      <c r="S47" s="8" t="n">
        <v>0.0407</v>
      </c>
      <c r="T47" s="8" t="n">
        <v>0.00277</v>
      </c>
      <c r="U47" s="8" t="n">
        <v>3.71069</v>
      </c>
    </row>
    <row r="48">
      <c r="A48" s="2" t="inlineStr">
        <is>
          <t>Framber Valdez</t>
        </is>
      </c>
      <c r="B48" s="2" t="inlineStr">
        <is>
          <t>DET</t>
        </is>
      </c>
      <c r="C48" s="2" t="inlineStr">
        <is>
          <t>Mid-Rotation Starter (SP2-3)</t>
        </is>
      </c>
      <c r="D48" s="5" t="n">
        <v>183.3</v>
      </c>
      <c r="E48" s="6">
        <f>D48*N48</f>
        <v/>
      </c>
      <c r="F48" s="6">
        <f>(R48+S48+T48+Q48)*E48</f>
        <v/>
      </c>
      <c r="G48" s="6">
        <f>O48*E48</f>
        <v/>
      </c>
      <c r="H48" s="6">
        <f>P48*E48</f>
        <v/>
      </c>
      <c r="I48" s="6">
        <f>Q48*E48</f>
        <v/>
      </c>
      <c r="J48" s="6">
        <f>U48*D48/9</f>
        <v/>
      </c>
      <c r="K48" s="9">
        <f>U48</f>
        <v/>
      </c>
      <c r="L48" s="9">
        <f>IFERROR((F48+H48)/D48,0)</f>
        <v/>
      </c>
      <c r="M48" s="9">
        <f>IFERROR(G48*9/D48,0)</f>
        <v/>
      </c>
      <c r="N48" s="8" t="n">
        <v>4.25</v>
      </c>
      <c r="O48" s="8" t="n">
        <v>0.21715</v>
      </c>
      <c r="P48" s="8" t="n">
        <v>0.08323999999999999</v>
      </c>
      <c r="Q48" s="8" t="n">
        <v>0.01972</v>
      </c>
      <c r="R48" s="8" t="n">
        <v>0.15434</v>
      </c>
      <c r="S48" s="8" t="n">
        <v>0.04101</v>
      </c>
      <c r="T48" s="8" t="n">
        <v>0.00366</v>
      </c>
      <c r="U48" s="8" t="n">
        <v>3.85389</v>
      </c>
    </row>
    <row r="49">
      <c r="A49" s="2" t="inlineStr">
        <is>
          <t>Tarik Skubal</t>
        </is>
      </c>
      <c r="B49" s="2" t="inlineStr">
        <is>
          <t>LAD</t>
        </is>
      </c>
      <c r="C49" s="2" t="inlineStr">
        <is>
          <t>Ace (SP1)</t>
        </is>
      </c>
      <c r="D49" s="5" t="n">
        <v>182.2</v>
      </c>
      <c r="E49" s="6">
        <f>D49*N49</f>
        <v/>
      </c>
      <c r="F49" s="6">
        <f>(R49+S49+T49+Q49)*E49</f>
        <v/>
      </c>
      <c r="G49" s="6">
        <f>O49*E49</f>
        <v/>
      </c>
      <c r="H49" s="6">
        <f>P49*E49</f>
        <v/>
      </c>
      <c r="I49" s="6">
        <f>Q49*E49</f>
        <v/>
      </c>
      <c r="J49" s="6">
        <f>U49*D49/9</f>
        <v/>
      </c>
      <c r="K49" s="9">
        <f>U49</f>
        <v/>
      </c>
      <c r="L49" s="9">
        <f>IFERROR((F49+H49)/D49,0)</f>
        <v/>
      </c>
      <c r="M49" s="9">
        <f>IFERROR(G49*9/D49,0)</f>
        <v/>
      </c>
      <c r="N49" s="8" t="n">
        <v>3.956</v>
      </c>
      <c r="O49" s="8" t="n">
        <v>0.29099</v>
      </c>
      <c r="P49" s="8" t="n">
        <v>0.05095</v>
      </c>
      <c r="Q49" s="8" t="n">
        <v>0.02316</v>
      </c>
      <c r="R49" s="8" t="n">
        <v>0.14109</v>
      </c>
      <c r="S49" s="8" t="n">
        <v>0.0371</v>
      </c>
      <c r="T49" s="8" t="n">
        <v>0.00319</v>
      </c>
      <c r="U49" s="8" t="n">
        <v>2.98544</v>
      </c>
    </row>
    <row r="50">
      <c r="A50" s="2" t="inlineStr">
        <is>
          <t>Miles Mikolas</t>
        </is>
      </c>
      <c r="B50" s="2" t="inlineStr">
        <is>
          <t>WSH</t>
        </is>
      </c>
      <c r="C50" s="2" t="inlineStr">
        <is>
          <t>Mid-Rotation Starter (SP2-3)</t>
        </is>
      </c>
      <c r="D50" s="5" t="n">
        <v>181.9</v>
      </c>
      <c r="E50" s="6">
        <f>D50*N50</f>
        <v/>
      </c>
      <c r="F50" s="6">
        <f>(R50+S50+T50+Q50)*E50</f>
        <v/>
      </c>
      <c r="G50" s="6">
        <f>O50*E50</f>
        <v/>
      </c>
      <c r="H50" s="6">
        <f>P50*E50</f>
        <v/>
      </c>
      <c r="I50" s="6">
        <f>Q50*E50</f>
        <v/>
      </c>
      <c r="J50" s="6">
        <f>U50*D50/9</f>
        <v/>
      </c>
      <c r="K50" s="9">
        <f>U50</f>
        <v/>
      </c>
      <c r="L50" s="9">
        <f>IFERROR((F50+H50)/D50,0)</f>
        <v/>
      </c>
      <c r="M50" s="9">
        <f>IFERROR(G50*9/D50,0)</f>
        <v/>
      </c>
      <c r="N50" s="8" t="n">
        <v>4.226</v>
      </c>
      <c r="O50" s="8" t="n">
        <v>0.15609</v>
      </c>
      <c r="P50" s="8" t="n">
        <v>0.04938</v>
      </c>
      <c r="Q50" s="8" t="n">
        <v>0.04466</v>
      </c>
      <c r="R50" s="8" t="n">
        <v>0.15048</v>
      </c>
      <c r="S50" s="8" t="n">
        <v>0.05396</v>
      </c>
      <c r="T50" s="8" t="n">
        <v>0.00522</v>
      </c>
      <c r="U50" s="8" t="n">
        <v>5.04316</v>
      </c>
    </row>
    <row r="51">
      <c r="A51" s="2" t="inlineStr">
        <is>
          <t>Michael McGreevy</t>
        </is>
      </c>
      <c r="B51" s="2" t="inlineStr">
        <is>
          <t>STL</t>
        </is>
      </c>
      <c r="C51" s="2" t="inlineStr">
        <is>
          <t>Ace (SP1)</t>
        </is>
      </c>
      <c r="D51" s="5" t="n">
        <v>181.4</v>
      </c>
      <c r="E51" s="6">
        <f>D51*N51</f>
        <v/>
      </c>
      <c r="F51" s="6">
        <f>(R51+S51+T51+Q51)*E51</f>
        <v/>
      </c>
      <c r="G51" s="6">
        <f>O51*E51</f>
        <v/>
      </c>
      <c r="H51" s="6">
        <f>P51*E51</f>
        <v/>
      </c>
      <c r="I51" s="6">
        <f>Q51*E51</f>
        <v/>
      </c>
      <c r="J51" s="6">
        <f>U51*D51/9</f>
        <v/>
      </c>
      <c r="K51" s="9">
        <f>U51</f>
        <v/>
      </c>
      <c r="L51" s="9">
        <f>IFERROR((F51+H51)/D51,0)</f>
        <v/>
      </c>
      <c r="M51" s="9">
        <f>IFERROR(G51*9/D51,0)</f>
        <v/>
      </c>
      <c r="N51" s="8" t="n">
        <v>4.274</v>
      </c>
      <c r="O51" s="8" t="n">
        <v>0.16504</v>
      </c>
      <c r="P51" s="8" t="n">
        <v>0.06455</v>
      </c>
      <c r="Q51" s="8" t="n">
        <v>0.03345</v>
      </c>
      <c r="R51" s="8" t="n">
        <v>0.16396</v>
      </c>
      <c r="S51" s="8" t="n">
        <v>0.04726</v>
      </c>
      <c r="T51" s="8" t="n">
        <v>0.00439</v>
      </c>
      <c r="U51" s="8" t="n">
        <v>4.67108</v>
      </c>
    </row>
    <row r="52">
      <c r="A52" s="2" t="inlineStr">
        <is>
          <t>Andrew Abbott</t>
        </is>
      </c>
      <c r="B52" s="2" t="inlineStr">
        <is>
          <t>CIN</t>
        </is>
      </c>
      <c r="C52" s="2" t="inlineStr">
        <is>
          <t>Ace (SP1)</t>
        </is>
      </c>
      <c r="D52" s="5" t="n">
        <v>179.6</v>
      </c>
      <c r="E52" s="6">
        <f>D52*N52</f>
        <v/>
      </c>
      <c r="F52" s="6">
        <f>(R52+S52+T52+Q52)*E52</f>
        <v/>
      </c>
      <c r="G52" s="6">
        <f>O52*E52</f>
        <v/>
      </c>
      <c r="H52" s="6">
        <f>P52*E52</f>
        <v/>
      </c>
      <c r="I52" s="6">
        <f>Q52*E52</f>
        <v/>
      </c>
      <c r="J52" s="6">
        <f>U52*D52/9</f>
        <v/>
      </c>
      <c r="K52" s="9">
        <f>U52</f>
        <v/>
      </c>
      <c r="L52" s="9">
        <f>IFERROR((F52+H52)/D52,0)</f>
        <v/>
      </c>
      <c r="M52" s="9">
        <f>IFERROR(G52*9/D52,0)</f>
        <v/>
      </c>
      <c r="N52" s="8" t="n">
        <v>4.237</v>
      </c>
      <c r="O52" s="8" t="n">
        <v>0.20158</v>
      </c>
      <c r="P52" s="8" t="n">
        <v>0.08919000000000001</v>
      </c>
      <c r="Q52" s="8" t="n">
        <v>0.0314</v>
      </c>
      <c r="R52" s="8" t="n">
        <v>0.14365</v>
      </c>
      <c r="S52" s="8" t="n">
        <v>0.04182</v>
      </c>
      <c r="T52" s="8" t="n">
        <v>0.00356</v>
      </c>
      <c r="U52" s="8" t="n">
        <v>4.22411</v>
      </c>
    </row>
    <row r="53">
      <c r="A53" s="2" t="inlineStr">
        <is>
          <t>Reid Detmers</t>
        </is>
      </c>
      <c r="B53" s="2" t="inlineStr">
        <is>
          <t>LAA</t>
        </is>
      </c>
      <c r="C53" s="2" t="inlineStr">
        <is>
          <t>Ace (SP1)</t>
        </is>
      </c>
      <c r="D53" s="5" t="n">
        <v>179.4</v>
      </c>
      <c r="E53" s="6">
        <f>D53*N53</f>
        <v/>
      </c>
      <c r="F53" s="6">
        <f>(R53+S53+T53+Q53)*E53</f>
        <v/>
      </c>
      <c r="G53" s="6">
        <f>O53*E53</f>
        <v/>
      </c>
      <c r="H53" s="6">
        <f>P53*E53</f>
        <v/>
      </c>
      <c r="I53" s="6">
        <f>Q53*E53</f>
        <v/>
      </c>
      <c r="J53" s="6">
        <f>U53*D53/9</f>
        <v/>
      </c>
      <c r="K53" s="9">
        <f>U53</f>
        <v/>
      </c>
      <c r="L53" s="9">
        <f>IFERROR((F53+H53)/D53,0)</f>
        <v/>
      </c>
      <c r="M53" s="9">
        <f>IFERROR(G53*9/D53,0)</f>
        <v/>
      </c>
      <c r="N53" s="8" t="n">
        <v>4.163</v>
      </c>
      <c r="O53" s="8" t="n">
        <v>0.26209</v>
      </c>
      <c r="P53" s="8" t="n">
        <v>0.08366999999999999</v>
      </c>
      <c r="Q53" s="8" t="n">
        <v>0.02818</v>
      </c>
      <c r="R53" s="8" t="n">
        <v>0.13336</v>
      </c>
      <c r="S53" s="8" t="n">
        <v>0.04009</v>
      </c>
      <c r="T53" s="8" t="n">
        <v>0.00302</v>
      </c>
      <c r="U53" s="8" t="n">
        <v>3.75451</v>
      </c>
    </row>
    <row r="54">
      <c r="A54" s="2" t="inlineStr">
        <is>
          <t>Kyle Freeland</t>
        </is>
      </c>
      <c r="B54" s="2" t="inlineStr">
        <is>
          <t>COL</t>
        </is>
      </c>
      <c r="C54" s="2" t="inlineStr">
        <is>
          <t>Ace (SP1)</t>
        </is>
      </c>
      <c r="D54" s="5" t="n">
        <v>178.2</v>
      </c>
      <c r="E54" s="6">
        <f>D54*N54</f>
        <v/>
      </c>
      <c r="F54" s="6">
        <f>(R54+S54+T54+Q54)*E54</f>
        <v/>
      </c>
      <c r="G54" s="6">
        <f>O54*E54</f>
        <v/>
      </c>
      <c r="H54" s="6">
        <f>P54*E54</f>
        <v/>
      </c>
      <c r="I54" s="6">
        <f>Q54*E54</f>
        <v/>
      </c>
      <c r="J54" s="6">
        <f>U54*D54/9</f>
        <v/>
      </c>
      <c r="K54" s="9">
        <f>U54</f>
        <v/>
      </c>
      <c r="L54" s="9">
        <f>IFERROR((F54+H54)/D54,0)</f>
        <v/>
      </c>
      <c r="M54" s="9">
        <f>IFERROR(G54*9/D54,0)</f>
        <v/>
      </c>
      <c r="N54" s="8" t="n">
        <v>4.367</v>
      </c>
      <c r="O54" s="8" t="n">
        <v>0.16742</v>
      </c>
      <c r="P54" s="8" t="n">
        <v>0.05891</v>
      </c>
      <c r="Q54" s="8" t="n">
        <v>0.03907</v>
      </c>
      <c r="R54" s="8" t="n">
        <v>0.16349</v>
      </c>
      <c r="S54" s="8" t="n">
        <v>0.05573</v>
      </c>
      <c r="T54" s="8" t="n">
        <v>0.00599</v>
      </c>
      <c r="U54" s="8" t="n">
        <v>5.35065</v>
      </c>
    </row>
    <row r="55">
      <c r="A55" s="2" t="inlineStr">
        <is>
          <t>Zack Littell</t>
        </is>
      </c>
      <c r="B55" s="2" t="inlineStr">
        <is>
          <t>ARI</t>
        </is>
      </c>
      <c r="C55" s="2" t="inlineStr">
        <is>
          <t>Mid-Rotation Starter (SP2-3)</t>
        </is>
      </c>
      <c r="D55" s="5" t="n">
        <v>176.4</v>
      </c>
      <c r="E55" s="6">
        <f>D55*N55</f>
        <v/>
      </c>
      <c r="F55" s="6">
        <f>(R55+S55+T55+Q55)*E55</f>
        <v/>
      </c>
      <c r="G55" s="6">
        <f>O55*E55</f>
        <v/>
      </c>
      <c r="H55" s="6">
        <f>P55*E55</f>
        <v/>
      </c>
      <c r="I55" s="6">
        <f>Q55*E55</f>
        <v/>
      </c>
      <c r="J55" s="6">
        <f>U55*D55/9</f>
        <v/>
      </c>
      <c r="K55" s="9">
        <f>U55</f>
        <v/>
      </c>
      <c r="L55" s="9">
        <f>IFERROR((F55+H55)/D55,0)</f>
        <v/>
      </c>
      <c r="M55" s="9">
        <f>IFERROR(G55*9/D55,0)</f>
        <v/>
      </c>
      <c r="N55" s="8" t="n">
        <v>4.257</v>
      </c>
      <c r="O55" s="8" t="n">
        <v>0.17562</v>
      </c>
      <c r="P55" s="8" t="n">
        <v>0.0552</v>
      </c>
      <c r="Q55" s="8" t="n">
        <v>0.0452</v>
      </c>
      <c r="R55" s="8" t="n">
        <v>0.15109</v>
      </c>
      <c r="S55" s="8" t="n">
        <v>0.05089</v>
      </c>
      <c r="T55" s="8" t="n">
        <v>0.00514</v>
      </c>
      <c r="U55" s="8" t="n">
        <v>5.0847</v>
      </c>
    </row>
    <row r="56">
      <c r="A56" s="2" t="inlineStr">
        <is>
          <t>Freddy Peralta</t>
        </is>
      </c>
      <c r="B56" s="2" t="inlineStr">
        <is>
          <t>TB</t>
        </is>
      </c>
      <c r="C56" s="2" t="inlineStr">
        <is>
          <t>Mid-Rotation Starter (SP2-3)</t>
        </is>
      </c>
      <c r="D56" s="5" t="n">
        <v>174.6</v>
      </c>
      <c r="E56" s="6">
        <f>D56*N56</f>
        <v/>
      </c>
      <c r="F56" s="6">
        <f>(R56+S56+T56+Q56)*E56</f>
        <v/>
      </c>
      <c r="G56" s="6">
        <f>O56*E56</f>
        <v/>
      </c>
      <c r="H56" s="6">
        <f>P56*E56</f>
        <v/>
      </c>
      <c r="I56" s="6">
        <f>Q56*E56</f>
        <v/>
      </c>
      <c r="J56" s="6">
        <f>U56*D56/9</f>
        <v/>
      </c>
      <c r="K56" s="9">
        <f>U56</f>
        <v/>
      </c>
      <c r="L56" s="9">
        <f>IFERROR((F56+H56)/D56,0)</f>
        <v/>
      </c>
      <c r="M56" s="9">
        <f>IFERROR(G56*9/D56,0)</f>
        <v/>
      </c>
      <c r="N56" s="8" t="n">
        <v>4.175</v>
      </c>
      <c r="O56" s="8" t="n">
        <v>0.25531</v>
      </c>
      <c r="P56" s="8" t="n">
        <v>0.08939999999999999</v>
      </c>
      <c r="Q56" s="8" t="n">
        <v>0.02869</v>
      </c>
      <c r="R56" s="8" t="n">
        <v>0.13059</v>
      </c>
      <c r="S56" s="8" t="n">
        <v>0.03841</v>
      </c>
      <c r="T56" s="8" t="n">
        <v>0.00359</v>
      </c>
      <c r="U56" s="8" t="n">
        <v>3.78599</v>
      </c>
    </row>
    <row r="57">
      <c r="A57" s="2" t="inlineStr">
        <is>
          <t>Brady Singer</t>
        </is>
      </c>
      <c r="B57" s="2" t="inlineStr">
        <is>
          <t>CIN</t>
        </is>
      </c>
      <c r="C57" s="2" t="inlineStr">
        <is>
          <t>Mid-Rotation Starter (SP2-3)</t>
        </is>
      </c>
      <c r="D57" s="5" t="n">
        <v>174.3</v>
      </c>
      <c r="E57" s="6">
        <f>D57*N57</f>
        <v/>
      </c>
      <c r="F57" s="6">
        <f>(R57+S57+T57+Q57)*E57</f>
        <v/>
      </c>
      <c r="G57" s="6">
        <f>O57*E57</f>
        <v/>
      </c>
      <c r="H57" s="6">
        <f>P57*E57</f>
        <v/>
      </c>
      <c r="I57" s="6">
        <f>Q57*E57</f>
        <v/>
      </c>
      <c r="J57" s="6">
        <f>U57*D57/9</f>
        <v/>
      </c>
      <c r="K57" s="9">
        <f>U57</f>
        <v/>
      </c>
      <c r="L57" s="9">
        <f>IFERROR((F57+H57)/D57,0)</f>
        <v/>
      </c>
      <c r="M57" s="9">
        <f>IFERROR(G57*9/D57,0)</f>
        <v/>
      </c>
      <c r="N57" s="8" t="n">
        <v>4.342</v>
      </c>
      <c r="O57" s="8" t="n">
        <v>0.20309</v>
      </c>
      <c r="P57" s="8" t="n">
        <v>0.07781</v>
      </c>
      <c r="Q57" s="8" t="n">
        <v>0.03427</v>
      </c>
      <c r="R57" s="8" t="n">
        <v>0.14808</v>
      </c>
      <c r="S57" s="8" t="n">
        <v>0.04727</v>
      </c>
      <c r="T57" s="8" t="n">
        <v>0.00491</v>
      </c>
      <c r="U57" s="8" t="n">
        <v>4.79918</v>
      </c>
    </row>
    <row r="58">
      <c r="A58" s="2" t="inlineStr">
        <is>
          <t>Noah Cameron</t>
        </is>
      </c>
      <c r="B58" s="2" t="inlineStr">
        <is>
          <t>KC</t>
        </is>
      </c>
      <c r="C58" s="2" t="inlineStr">
        <is>
          <t>Mid-Rotation Starter (SP2-3)</t>
        </is>
      </c>
      <c r="D58" s="5" t="n">
        <v>174</v>
      </c>
      <c r="E58" s="6">
        <f>D58*N58</f>
        <v/>
      </c>
      <c r="F58" s="6">
        <f>(R58+S58+T58+Q58)*E58</f>
        <v/>
      </c>
      <c r="G58" s="6">
        <f>O58*E58</f>
        <v/>
      </c>
      <c r="H58" s="6">
        <f>P58*E58</f>
        <v/>
      </c>
      <c r="I58" s="6">
        <f>Q58*E58</f>
        <v/>
      </c>
      <c r="J58" s="6">
        <f>U58*D58/9</f>
        <v/>
      </c>
      <c r="K58" s="9">
        <f>U58</f>
        <v/>
      </c>
      <c r="L58" s="9">
        <f>IFERROR((F58+H58)/D58,0)</f>
        <v/>
      </c>
      <c r="M58" s="9">
        <f>IFERROR(G58*9/D58,0)</f>
        <v/>
      </c>
      <c r="N58" s="8" t="n">
        <v>4.188</v>
      </c>
      <c r="O58" s="8" t="n">
        <v>0.20589</v>
      </c>
      <c r="P58" s="8" t="n">
        <v>0.07985</v>
      </c>
      <c r="Q58" s="8" t="n">
        <v>0.03049</v>
      </c>
      <c r="R58" s="8" t="n">
        <v>0.14201</v>
      </c>
      <c r="S58" s="8" t="n">
        <v>0.04204</v>
      </c>
      <c r="T58" s="8" t="n">
        <v>0.00353</v>
      </c>
      <c r="U58" s="8" t="n">
        <v>4.05278</v>
      </c>
    </row>
    <row r="59">
      <c r="A59" s="2" t="inlineStr">
        <is>
          <t>Seth Lugo</t>
        </is>
      </c>
      <c r="B59" s="2" t="inlineStr">
        <is>
          <t>KC</t>
        </is>
      </c>
      <c r="C59" s="2" t="inlineStr">
        <is>
          <t>Mid-Rotation Starter (SP2-3)</t>
        </is>
      </c>
      <c r="D59" s="5" t="n">
        <v>174</v>
      </c>
      <c r="E59" s="6">
        <f>D59*N59</f>
        <v/>
      </c>
      <c r="F59" s="6">
        <f>(R59+S59+T59+Q59)*E59</f>
        <v/>
      </c>
      <c r="G59" s="6">
        <f>O59*E59</f>
        <v/>
      </c>
      <c r="H59" s="6">
        <f>P59*E59</f>
        <v/>
      </c>
      <c r="I59" s="6">
        <f>Q59*E59</f>
        <v/>
      </c>
      <c r="J59" s="6">
        <f>U59*D59/9</f>
        <v/>
      </c>
      <c r="K59" s="9">
        <f>U59</f>
        <v/>
      </c>
      <c r="L59" s="9">
        <f>IFERROR((F59+H59)/D59,0)</f>
        <v/>
      </c>
      <c r="M59" s="9">
        <f>IFERROR(G59*9/D59,0)</f>
        <v/>
      </c>
      <c r="N59" s="8" t="n">
        <v>4.284</v>
      </c>
      <c r="O59" s="8" t="n">
        <v>0.20247</v>
      </c>
      <c r="P59" s="8" t="n">
        <v>0.07219</v>
      </c>
      <c r="Q59" s="8" t="n">
        <v>0.03648</v>
      </c>
      <c r="R59" s="8" t="n">
        <v>0.14832</v>
      </c>
      <c r="S59" s="8" t="n">
        <v>0.04772</v>
      </c>
      <c r="T59" s="8" t="n">
        <v>0.00531</v>
      </c>
      <c r="U59" s="8" t="n">
        <v>4.73457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2026-10-23T13:55:54Z</dcterms:created>
  <dcterms:modified xmlns:dcterms="http://purl.org/dc/terms/" xmlns:xsi="http://www.w3.org/2001/XMLSchema-instance" xsi:type="dcterms:W3CDTF">2026-10-23T13:55:54Z</dcterms:modified>
</cp:coreProperties>
</file>