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Assignments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IP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IP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IP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IP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49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46" customWidth="1" min="31" max="31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Ace (SP1)</t>
        </is>
      </c>
      <c r="N1" s="3" t="inlineStr">
        <is>
          <t>Mid-Rotation Starter (SP2-3)</t>
        </is>
      </c>
      <c r="O1" s="3" t="inlineStr">
        <is>
          <t>End-of-Rotation Starter (SP4-5)</t>
        </is>
      </c>
      <c r="P1" s="3" t="inlineStr">
        <is>
          <t>Innings-Limited Starter</t>
        </is>
      </c>
      <c r="Q1" s="3" t="inlineStr">
        <is>
          <t>Swing Arm / Long Relief</t>
        </is>
      </c>
      <c r="R1" s="3" t="inlineStr">
        <is>
          <t>Opener</t>
        </is>
      </c>
      <c r="S1" s="3" t="inlineStr">
        <is>
          <t>Closer</t>
        </is>
      </c>
      <c r="T1" s="3" t="inlineStr">
        <is>
          <t>Late Inning RP (Setup)</t>
        </is>
      </c>
      <c r="U1" s="3" t="inlineStr">
        <is>
          <t>Middle Relief</t>
        </is>
      </c>
      <c r="V1" s="3" t="inlineStr">
        <is>
          <t>Bullpen Depth Arm</t>
        </is>
      </c>
      <c r="W1" s="3" t="inlineStr">
        <is>
          <t>Rehab / Injury Return</t>
        </is>
      </c>
      <c r="X1" s="3" t="inlineStr">
        <is>
          <t>Depth (no MLB IP)</t>
        </is>
      </c>
      <c r="Y1" s="3" t="inlineStr">
        <is>
          <t>Proj IP</t>
        </is>
      </c>
      <c r="Z1" s="3" t="inlineStr">
        <is>
          <t>Role Prob Sum</t>
        </is>
      </c>
      <c r="AA1" s="3" t="inlineStr">
        <is>
          <t>Proj GS</t>
        </is>
      </c>
      <c r="AB1" s="3" t="inlineStr">
        <is>
          <t>Proj G</t>
        </is>
      </c>
      <c r="AC1" s="3" t="inlineStr">
        <is>
          <t>Save Wt</t>
        </is>
      </c>
      <c r="AD1" s="3" t="inlineStr">
        <is>
          <t>Hold Wt</t>
        </is>
      </c>
      <c r="AE1" s="3" t="inlineStr">
        <is>
          <t>Notes</t>
        </is>
      </c>
    </row>
    <row r="2">
      <c r="A2" s="4" t="inlineStr">
        <is>
          <t>ANCHORS -&gt;</t>
        </is>
      </c>
      <c r="M2" s="5" t="n">
        <v>195</v>
      </c>
      <c r="N2" s="5" t="n">
        <v>170</v>
      </c>
      <c r="O2" s="5" t="n">
        <v>130</v>
      </c>
      <c r="P2" s="5" t="n">
        <v>110</v>
      </c>
      <c r="Q2" s="5" t="n">
        <v>95</v>
      </c>
      <c r="R2" s="5" t="n">
        <v>55</v>
      </c>
      <c r="S2" s="5" t="n">
        <v>62</v>
      </c>
      <c r="T2" s="5" t="n">
        <v>65</v>
      </c>
      <c r="U2" s="5" t="n">
        <v>60</v>
      </c>
      <c r="V2" s="5" t="n">
        <v>40</v>
      </c>
      <c r="W2" s="5" t="n">
        <v>60</v>
      </c>
      <c r="X2" s="5" t="n">
        <v>1</v>
      </c>
      <c r="Y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M3" s="8" t="n">
        <v>32</v>
      </c>
      <c r="N3" s="8" t="n">
        <v>30</v>
      </c>
      <c r="O3" s="8" t="n">
        <v>25</v>
      </c>
      <c r="P3" s="8" t="n">
        <v>22</v>
      </c>
      <c r="Q3" s="8" t="n">
        <v>8</v>
      </c>
      <c r="R3" s="8" t="n">
        <v>18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10</v>
      </c>
      <c r="X3" s="8" t="n">
        <v>0</v>
      </c>
    </row>
    <row r="4" hidden="1" outlineLevel="1">
      <c r="A4" s="7" t="inlineStr">
        <is>
          <t>anchor:g</t>
        </is>
      </c>
      <c r="M4" s="8" t="n">
        <v>32</v>
      </c>
      <c r="N4" s="8" t="n">
        <v>30</v>
      </c>
      <c r="O4" s="8" t="n">
        <v>26</v>
      </c>
      <c r="P4" s="8" t="n">
        <v>22</v>
      </c>
      <c r="Q4" s="8" t="n">
        <v>30</v>
      </c>
      <c r="R4" s="8" t="n">
        <v>45</v>
      </c>
      <c r="S4" s="8" t="n">
        <v>60</v>
      </c>
      <c r="T4" s="8" t="n">
        <v>65</v>
      </c>
      <c r="U4" s="8" t="n">
        <v>58</v>
      </c>
      <c r="V4" s="8" t="n">
        <v>35</v>
      </c>
      <c r="W4" s="8" t="n">
        <v>14</v>
      </c>
      <c r="X4" s="8" t="n">
        <v>1</v>
      </c>
    </row>
    <row r="5" hidden="1" outlineLevel="1">
      <c r="A5" s="7" t="inlineStr">
        <is>
          <t>anchor:sv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0.01</v>
      </c>
      <c r="R5" s="8" t="n">
        <v>0</v>
      </c>
      <c r="S5" s="8" t="n">
        <v>0.65</v>
      </c>
      <c r="T5" s="8" t="n">
        <v>0.12</v>
      </c>
      <c r="U5" s="8" t="n">
        <v>0.04</v>
      </c>
      <c r="V5" s="8" t="n">
        <v>0.01</v>
      </c>
      <c r="W5" s="8" t="n">
        <v>0.02</v>
      </c>
      <c r="X5" s="8" t="n">
        <v>0</v>
      </c>
    </row>
    <row r="6" hidden="1" outlineLevel="1">
      <c r="A6" s="7" t="inlineStr">
        <is>
          <t>anchor:hld</t>
        </is>
      </c>
      <c r="M6" s="8" t="n">
        <v>0</v>
      </c>
      <c r="N6" s="8" t="n">
        <v>0</v>
      </c>
      <c r="O6" s="8" t="n">
        <v>0.01</v>
      </c>
      <c r="P6" s="8" t="n">
        <v>0</v>
      </c>
      <c r="Q6" s="8" t="n">
        <v>0.04</v>
      </c>
      <c r="R6" s="8" t="n">
        <v>0.03</v>
      </c>
      <c r="S6" s="8" t="n">
        <v>0.05</v>
      </c>
      <c r="T6" s="8" t="n">
        <v>0.28</v>
      </c>
      <c r="U6" s="8" t="n">
        <v>0.14</v>
      </c>
      <c r="V6" s="8" t="n">
        <v>0.05</v>
      </c>
      <c r="W6" s="8" t="n">
        <v>0.03</v>
      </c>
      <c r="X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2" t="n"/>
      <c r="N7" s="12" t="n"/>
      <c r="O7" s="12" t="n"/>
      <c r="P7" s="12" t="n"/>
      <c r="Q7" s="12" t="n"/>
      <c r="R7" s="12" t="n"/>
      <c r="S7" s="12" t="n">
        <v>0.7</v>
      </c>
      <c r="T7" s="12" t="n">
        <v>0.3</v>
      </c>
      <c r="U7" s="12" t="n"/>
      <c r="V7" s="12" t="n"/>
      <c r="W7" s="12" t="n"/>
      <c r="X7" s="12" t="n"/>
      <c r="Y7" s="13">
        <f>SUMPRODUCT(M7:X7,$M$2:$X$2)*$K7*$L7</f>
        <v/>
      </c>
      <c r="Z7" s="14">
        <f>SUM(M7:X7)</f>
        <v/>
      </c>
      <c r="AA7" s="13">
        <f>SUMPRODUCT(M7:X7,$M$3:$X$3)*$K7*$L7</f>
        <v/>
      </c>
      <c r="AB7" s="13">
        <f>SUMPRODUCT(M7:X7,$M$4:$X$4)*$K7*$L7</f>
        <v/>
      </c>
      <c r="AC7" s="15">
        <f>SUMPRODUCT(M7:X7,$M$5:$X$5)*$K7*$L7</f>
        <v/>
      </c>
      <c r="AD7" s="15">
        <f>SUMPRODUCT(M7:X7,$M$6:$X$6)*$K7*$L7</f>
        <v/>
      </c>
      <c r="AE7" s="16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7" t="inlineStr">
        <is>
          <t>R</t>
        </is>
      </c>
      <c r="F8" s="17" t="n"/>
      <c r="G8" s="9" t="n">
        <v>246</v>
      </c>
      <c r="H8" s="9" t="n">
        <v>868</v>
      </c>
      <c r="I8" s="9" t="inlineStr">
        <is>
          <t>Closer</t>
        </is>
      </c>
      <c r="J8" s="17" t="inlineStr">
        <is>
          <t>Opening Day</t>
        </is>
      </c>
      <c r="K8" s="11">
        <f>IFERROR(INDEX(Roles!$B$17:$B$20,MATCH(J8,Roles!$A$17:$A$20,0)),1)</f>
        <v/>
      </c>
      <c r="L8" s="18" t="n">
        <v>1</v>
      </c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3">
        <f>SUMPRODUCT(M8:X8,$M$2:$X$2)*$K8*$L8</f>
        <v/>
      </c>
      <c r="Z8" s="14">
        <f>SUM(M8:X8)</f>
        <v/>
      </c>
      <c r="AA8" s="13">
        <f>SUMPRODUCT(M8:X8,$M$3:$X$3)*$K8*$L8</f>
        <v/>
      </c>
      <c r="AB8" s="13">
        <f>SUMPRODUCT(M8:X8,$M$4:$X$4)*$K8*$L8</f>
        <v/>
      </c>
      <c r="AC8" s="15">
        <f>SUMPRODUCT(M8:X8,$M$5:$X$5)*$K8*$L8</f>
        <v/>
      </c>
      <c r="AD8" s="15">
        <f>SUMPRODUCT(M8:X8,$M$6:$X$6)*$K8*$L8</f>
        <v/>
      </c>
      <c r="AE8" s="19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7" t="inlineStr">
        <is>
          <t>R</t>
        </is>
      </c>
      <c r="F9" s="17" t="n"/>
      <c r="G9" s="9" t="n">
        <v>79</v>
      </c>
      <c r="H9" s="9" t="n">
        <v>788</v>
      </c>
      <c r="I9" s="9" t="inlineStr">
        <is>
          <t>Late Inning RP (Setup)</t>
        </is>
      </c>
      <c r="J9" s="17" t="inlineStr">
        <is>
          <t>Opening Day</t>
        </is>
      </c>
      <c r="K9" s="11">
        <f>IFERROR(INDEX(Roles!$B$17:$B$20,MATCH(J9,Roles!$A$17:$A$20,0)),1)</f>
        <v/>
      </c>
      <c r="L9" s="18" t="n">
        <v>1</v>
      </c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3">
        <f>SUMPRODUCT(M9:X9,$M$2:$X$2)*$K9*$L9</f>
        <v/>
      </c>
      <c r="Z9" s="14">
        <f>SUM(M9:X9)</f>
        <v/>
      </c>
      <c r="AA9" s="13">
        <f>SUMPRODUCT(M9:X9,$M$3:$X$3)*$K9*$L9</f>
        <v/>
      </c>
      <c r="AB9" s="13">
        <f>SUMPRODUCT(M9:X9,$M$4:$X$4)*$K9*$L9</f>
        <v/>
      </c>
      <c r="AC9" s="15">
        <f>SUMPRODUCT(M9:X9,$M$5:$X$5)*$K9*$L9</f>
        <v/>
      </c>
      <c r="AD9" s="15">
        <f>SUMPRODUCT(M9:X9,$M$6:$X$6)*$K9*$L9</f>
        <v/>
      </c>
      <c r="AE9" s="19" t="n"/>
    </row>
    <row r="10">
      <c r="A10" s="9" t="n">
        <v>623352</v>
      </c>
      <c r="B10" s="9" t="inlineStr">
        <is>
          <t>Josh Hader</t>
        </is>
      </c>
      <c r="C10" s="9" t="inlineStr">
        <is>
          <t>HOU</t>
        </is>
      </c>
      <c r="D10" s="9" t="n">
        <v>33</v>
      </c>
      <c r="E10" s="17" t="inlineStr">
        <is>
          <t>L</t>
        </is>
      </c>
      <c r="F10" s="17" t="n"/>
      <c r="G10" s="9" t="n">
        <v>155</v>
      </c>
      <c r="H10" s="9" t="n">
        <v>1089</v>
      </c>
      <c r="I10" s="9" t="inlineStr">
        <is>
          <t>Closer</t>
        </is>
      </c>
      <c r="J10" s="17" t="inlineStr">
        <is>
          <t>Opening Day</t>
        </is>
      </c>
      <c r="K10" s="11">
        <f>IFERROR(INDEX(Roles!$B$17:$B$20,MATCH(J10,Roles!$A$17:$A$20,0)),1)</f>
        <v/>
      </c>
      <c r="L10" s="18" t="n">
        <v>1</v>
      </c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3">
        <f>SUMPRODUCT(M10:X10,$M$2:$X$2)*$K10*$L10</f>
        <v/>
      </c>
      <c r="Z10" s="14">
        <f>SUM(M10:X10)</f>
        <v/>
      </c>
      <c r="AA10" s="13">
        <f>SUMPRODUCT(M10:X10,$M$3:$X$3)*$K10*$L10</f>
        <v/>
      </c>
      <c r="AB10" s="13">
        <f>SUMPRODUCT(M10:X10,$M$4:$X$4)*$K10*$L10</f>
        <v/>
      </c>
      <c r="AC10" s="15">
        <f>SUMPRODUCT(M10:X10,$M$5:$X$5)*$K10*$L10</f>
        <v/>
      </c>
      <c r="AD10" s="15">
        <f>SUMPRODUCT(M10:X10,$M$6:$X$6)*$K10*$L10</f>
        <v/>
      </c>
      <c r="AE10" s="19" t="n"/>
    </row>
    <row r="11">
      <c r="A11" s="9" t="n">
        <v>694819</v>
      </c>
      <c r="B11" s="9" t="inlineStr">
        <is>
          <t>Jacob Misiorowski</t>
        </is>
      </c>
      <c r="C11" s="9" t="inlineStr">
        <is>
          <t>MIL</t>
        </is>
      </c>
      <c r="D11" s="9" t="n">
        <v>25</v>
      </c>
      <c r="E11" s="17" t="inlineStr">
        <is>
          <t>R</t>
        </is>
      </c>
      <c r="F11" s="17" t="n"/>
      <c r="G11" s="9" t="n">
        <v>636</v>
      </c>
      <c r="H11" s="9" t="n">
        <v>909</v>
      </c>
      <c r="I11" s="9" t="inlineStr">
        <is>
          <t>Mid-Rotation Starter (SP2-3)</t>
        </is>
      </c>
      <c r="J11" s="17" t="inlineStr">
        <is>
          <t>Opening Day</t>
        </is>
      </c>
      <c r="K11" s="11">
        <f>IFERROR(INDEX(Roles!$B$17:$B$20,MATCH(J11,Roles!$A$17:$A$20,0)),1)</f>
        <v/>
      </c>
      <c r="L11" s="18" t="n">
        <v>1</v>
      </c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3">
        <f>SUMPRODUCT(M11:X11,$M$2:$X$2)*$K11*$L11</f>
        <v/>
      </c>
      <c r="Z11" s="14">
        <f>SUM(M11:X11)</f>
        <v/>
      </c>
      <c r="AA11" s="13">
        <f>SUMPRODUCT(M11:X11,$M$3:$X$3)*$K11*$L11</f>
        <v/>
      </c>
      <c r="AB11" s="13">
        <f>SUMPRODUCT(M11:X11,$M$4:$X$4)*$K11*$L11</f>
        <v/>
      </c>
      <c r="AC11" s="15">
        <f>SUMPRODUCT(M11:X11,$M$5:$X$5)*$K11*$L11</f>
        <v/>
      </c>
      <c r="AD11" s="15">
        <f>SUMPRODUCT(M11:X11,$M$6:$X$6)*$K11*$L11</f>
        <v/>
      </c>
      <c r="AE11" s="19" t="n"/>
    </row>
    <row r="12">
      <c r="A12" s="9" t="n">
        <v>642585</v>
      </c>
      <c r="B12" s="9" t="inlineStr">
        <is>
          <t>Félix Bautista</t>
        </is>
      </c>
      <c r="C12" s="9" t="inlineStr">
        <is>
          <t>BAL</t>
        </is>
      </c>
      <c r="D12" s="9" t="n">
        <v>32</v>
      </c>
      <c r="E12" s="17" t="inlineStr">
        <is>
          <t>R</t>
        </is>
      </c>
      <c r="F12" s="17" t="n"/>
      <c r="G12" s="9" t="n">
        <v>142</v>
      </c>
      <c r="H12" s="9" t="n">
        <v>632</v>
      </c>
      <c r="I12" s="9" t="inlineStr">
        <is>
          <t>Closer</t>
        </is>
      </c>
      <c r="J12" s="17" t="inlineStr">
        <is>
          <t>Opening Day</t>
        </is>
      </c>
      <c r="K12" s="11">
        <f>IFERROR(INDEX(Roles!$B$17:$B$20,MATCH(J12,Roles!$A$17:$A$20,0)),1)</f>
        <v/>
      </c>
      <c r="L12" s="18" t="n">
        <v>1</v>
      </c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3">
        <f>SUMPRODUCT(M12:X12,$M$2:$X$2)*$K12*$L12</f>
        <v/>
      </c>
      <c r="Z12" s="14">
        <f>SUM(M12:X12)</f>
        <v/>
      </c>
      <c r="AA12" s="13">
        <f>SUMPRODUCT(M12:X12,$M$3:$X$3)*$K12*$L12</f>
        <v/>
      </c>
      <c r="AB12" s="13">
        <f>SUMPRODUCT(M12:X12,$M$4:$X$4)*$K12*$L12</f>
        <v/>
      </c>
      <c r="AC12" s="15">
        <f>SUMPRODUCT(M12:X12,$M$5:$X$5)*$K12*$L12</f>
        <v/>
      </c>
      <c r="AD12" s="15">
        <f>SUMPRODUCT(M12:X12,$M$6:$X$6)*$K12*$L12</f>
        <v/>
      </c>
      <c r="AE12" s="19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7" t="inlineStr">
        <is>
          <t>L</t>
        </is>
      </c>
      <c r="F13" s="17" t="n"/>
      <c r="G13" s="9" t="n">
        <v>210</v>
      </c>
      <c r="H13" s="9" t="n">
        <v>1112</v>
      </c>
      <c r="I13" s="9" t="inlineStr">
        <is>
          <t>Closer</t>
        </is>
      </c>
      <c r="J13" s="17" t="inlineStr">
        <is>
          <t>Opening Day</t>
        </is>
      </c>
      <c r="K13" s="11">
        <f>IFERROR(INDEX(Roles!$B$17:$B$20,MATCH(J13,Roles!$A$17:$A$20,0)),1)</f>
        <v/>
      </c>
      <c r="L13" s="18" t="n">
        <v>1</v>
      </c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3">
        <f>SUMPRODUCT(M13:X13,$M$2:$X$2)*$K13*$L13</f>
        <v/>
      </c>
      <c r="Z13" s="14">
        <f>SUM(M13:X13)</f>
        <v/>
      </c>
      <c r="AA13" s="13">
        <f>SUMPRODUCT(M13:X13,$M$3:$X$3)*$K13*$L13</f>
        <v/>
      </c>
      <c r="AB13" s="13">
        <f>SUMPRODUCT(M13:X13,$M$4:$X$4)*$K13*$L13</f>
        <v/>
      </c>
      <c r="AC13" s="15">
        <f>SUMPRODUCT(M13:X13,$M$5:$X$5)*$K13*$L13</f>
        <v/>
      </c>
      <c r="AD13" s="15">
        <f>SUMPRODUCT(M13:X13,$M$6:$X$6)*$K13*$L13</f>
        <v/>
      </c>
      <c r="AE13" s="19" t="n"/>
    </row>
    <row r="14">
      <c r="A14" s="9" t="n">
        <v>642207</v>
      </c>
      <c r="B14" s="9" t="inlineStr">
        <is>
          <t>Devin Williams</t>
        </is>
      </c>
      <c r="C14" s="9" t="inlineStr">
        <is>
          <t>NYM</t>
        </is>
      </c>
      <c r="D14" s="9" t="n">
        <v>32</v>
      </c>
      <c r="E14" s="17" t="inlineStr">
        <is>
          <t>R</t>
        </is>
      </c>
      <c r="F14" s="17" t="n"/>
      <c r="G14" s="9" t="n">
        <v>178</v>
      </c>
      <c r="H14" s="9" t="n">
        <v>996</v>
      </c>
      <c r="I14" s="9" t="inlineStr">
        <is>
          <t>Closer</t>
        </is>
      </c>
      <c r="J14" s="17" t="inlineStr">
        <is>
          <t>Opening Day</t>
        </is>
      </c>
      <c r="K14" s="11">
        <f>IFERROR(INDEX(Roles!$B$17:$B$20,MATCH(J14,Roles!$A$17:$A$20,0)),1)</f>
        <v/>
      </c>
      <c r="L14" s="18" t="n">
        <v>1</v>
      </c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3">
        <f>SUMPRODUCT(M14:X14,$M$2:$X$2)*$K14*$L14</f>
        <v/>
      </c>
      <c r="Z14" s="14">
        <f>SUM(M14:X14)</f>
        <v/>
      </c>
      <c r="AA14" s="13">
        <f>SUMPRODUCT(M14:X14,$M$3:$X$3)*$K14*$L14</f>
        <v/>
      </c>
      <c r="AB14" s="13">
        <f>SUMPRODUCT(M14:X14,$M$4:$X$4)*$K14*$L14</f>
        <v/>
      </c>
      <c r="AC14" s="15">
        <f>SUMPRODUCT(M14:X14,$M$5:$X$5)*$K14*$L14</f>
        <v/>
      </c>
      <c r="AD14" s="15">
        <f>SUMPRODUCT(M14:X14,$M$6:$X$6)*$K14*$L14</f>
        <v/>
      </c>
      <c r="AE14" s="19" t="n"/>
    </row>
    <row r="15">
      <c r="A15" s="9" t="n">
        <v>671922</v>
      </c>
      <c r="B15" s="9" t="inlineStr">
        <is>
          <t>Cade Smith</t>
        </is>
      </c>
      <c r="C15" s="9" t="inlineStr">
        <is>
          <t>CLE</t>
        </is>
      </c>
      <c r="D15" s="9" t="n">
        <v>28</v>
      </c>
      <c r="E15" s="17" t="inlineStr">
        <is>
          <t>R</t>
        </is>
      </c>
      <c r="F15" s="17" t="n"/>
      <c r="G15" s="9" t="n">
        <v>278</v>
      </c>
      <c r="H15" s="9" t="n">
        <v>867</v>
      </c>
      <c r="I15" s="9" t="inlineStr">
        <is>
          <t>Closer</t>
        </is>
      </c>
      <c r="J15" s="17" t="inlineStr">
        <is>
          <t>Opening Day</t>
        </is>
      </c>
      <c r="K15" s="11">
        <f>IFERROR(INDEX(Roles!$B$17:$B$20,MATCH(J15,Roles!$A$17:$A$20,0)),1)</f>
        <v/>
      </c>
      <c r="L15" s="18" t="n">
        <v>1</v>
      </c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3">
        <f>SUMPRODUCT(M15:X15,$M$2:$X$2)*$K15*$L15</f>
        <v/>
      </c>
      <c r="Z15" s="14">
        <f>SUM(M15:X15)</f>
        <v/>
      </c>
      <c r="AA15" s="13">
        <f>SUMPRODUCT(M15:X15,$M$3:$X$3)*$K15*$L15</f>
        <v/>
      </c>
      <c r="AB15" s="13">
        <f>SUMPRODUCT(M15:X15,$M$4:$X$4)*$K15*$L15</f>
        <v/>
      </c>
      <c r="AC15" s="15">
        <f>SUMPRODUCT(M15:X15,$M$5:$X$5)*$K15*$L15</f>
        <v/>
      </c>
      <c r="AD15" s="15">
        <f>SUMPRODUCT(M15:X15,$M$6:$X$6)*$K15*$L15</f>
        <v/>
      </c>
      <c r="AE15" s="19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7" t="inlineStr">
        <is>
          <t>R</t>
        </is>
      </c>
      <c r="F16" s="17" t="n"/>
      <c r="G16" s="9" t="n">
        <v>234</v>
      </c>
      <c r="H16" s="9" t="n">
        <v>1179</v>
      </c>
      <c r="I16" s="9" t="inlineStr">
        <is>
          <t>Closer</t>
        </is>
      </c>
      <c r="J16" s="17" t="inlineStr">
        <is>
          <t>Opening Day</t>
        </is>
      </c>
      <c r="K16" s="11">
        <f>IFERROR(INDEX(Roles!$B$17:$B$20,MATCH(J16,Roles!$A$17:$A$20,0)),1)</f>
        <v/>
      </c>
      <c r="L16" s="18" t="n">
        <v>1</v>
      </c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3">
        <f>SUMPRODUCT(M16:X16,$M$2:$X$2)*$K16*$L16</f>
        <v/>
      </c>
      <c r="Z16" s="14">
        <f>SUM(M16:X16)</f>
        <v/>
      </c>
      <c r="AA16" s="13">
        <f>SUMPRODUCT(M16:X16,$M$3:$X$3)*$K16*$L16</f>
        <v/>
      </c>
      <c r="AB16" s="13">
        <f>SUMPRODUCT(M16:X16,$M$4:$X$4)*$K16*$L16</f>
        <v/>
      </c>
      <c r="AC16" s="15">
        <f>SUMPRODUCT(M16:X16,$M$5:$X$5)*$K16*$L16</f>
        <v/>
      </c>
      <c r="AD16" s="15">
        <f>SUMPRODUCT(M16:X16,$M$6:$X$6)*$K16*$L16</f>
        <v/>
      </c>
      <c r="AE16" s="19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7" t="inlineStr">
        <is>
          <t>R</t>
        </is>
      </c>
      <c r="F17" s="17" t="n"/>
      <c r="G17" s="9" t="n">
        <v>234</v>
      </c>
      <c r="H17" s="9" t="n">
        <v>1065</v>
      </c>
      <c r="I17" s="9" t="inlineStr">
        <is>
          <t>Late Inning RP (Setup)</t>
        </is>
      </c>
      <c r="J17" s="17" t="inlineStr">
        <is>
          <t>Opening Day</t>
        </is>
      </c>
      <c r="K17" s="11">
        <f>IFERROR(INDEX(Roles!$B$17:$B$20,MATCH(J17,Roles!$A$17:$A$20,0)),1)</f>
        <v/>
      </c>
      <c r="L17" s="18" t="n">
        <v>1</v>
      </c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3">
        <f>SUMPRODUCT(M17:X17,$M$2:$X$2)*$K17*$L17</f>
        <v/>
      </c>
      <c r="Z17" s="14">
        <f>SUM(M17:X17)</f>
        <v/>
      </c>
      <c r="AA17" s="13">
        <f>SUMPRODUCT(M17:X17,$M$3:$X$3)*$K17*$L17</f>
        <v/>
      </c>
      <c r="AB17" s="13">
        <f>SUMPRODUCT(M17:X17,$M$4:$X$4)*$K17*$L17</f>
        <v/>
      </c>
      <c r="AC17" s="15">
        <f>SUMPRODUCT(M17:X17,$M$5:$X$5)*$K17*$L17</f>
        <v/>
      </c>
      <c r="AD17" s="15">
        <f>SUMPRODUCT(M17:X17,$M$6:$X$6)*$K17*$L17</f>
        <v/>
      </c>
      <c r="AE17" s="19" t="n"/>
    </row>
    <row r="18">
      <c r="A18" s="9" t="n">
        <v>650556</v>
      </c>
      <c r="B18" s="9" t="inlineStr">
        <is>
          <t>Bryan Abreu</t>
        </is>
      </c>
      <c r="C18" s="9" t="inlineStr">
        <is>
          <t>HOU</t>
        </is>
      </c>
      <c r="D18" s="9" t="n">
        <v>30</v>
      </c>
      <c r="E18" s="17" t="inlineStr">
        <is>
          <t>R</t>
        </is>
      </c>
      <c r="F18" s="17" t="n"/>
      <c r="G18" s="9" t="n">
        <v>254</v>
      </c>
      <c r="H18" s="9" t="n">
        <v>1410</v>
      </c>
      <c r="I18" s="9" t="inlineStr">
        <is>
          <t>Middle Relief</t>
        </is>
      </c>
      <c r="J18" s="17" t="inlineStr">
        <is>
          <t>Opening Day</t>
        </is>
      </c>
      <c r="K18" s="11">
        <f>IFERROR(INDEX(Roles!$B$17:$B$20,MATCH(J18,Roles!$A$17:$A$20,0)),1)</f>
        <v/>
      </c>
      <c r="L18" s="18" t="n">
        <v>1</v>
      </c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3">
        <f>SUMPRODUCT(M18:X18,$M$2:$X$2)*$K18*$L18</f>
        <v/>
      </c>
      <c r="Z18" s="14">
        <f>SUM(M18:X18)</f>
        <v/>
      </c>
      <c r="AA18" s="13">
        <f>SUMPRODUCT(M18:X18,$M$3:$X$3)*$K18*$L18</f>
        <v/>
      </c>
      <c r="AB18" s="13">
        <f>SUMPRODUCT(M18:X18,$M$4:$X$4)*$K18*$L18</f>
        <v/>
      </c>
      <c r="AC18" s="15">
        <f>SUMPRODUCT(M18:X18,$M$5:$X$5)*$K18*$L18</f>
        <v/>
      </c>
      <c r="AD18" s="15">
        <f>SUMPRODUCT(M18:X18,$M$6:$X$6)*$K18*$L18</f>
        <v/>
      </c>
      <c r="AE18" s="19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7" t="inlineStr">
        <is>
          <t>L</t>
        </is>
      </c>
      <c r="F19" s="17" t="n"/>
      <c r="G19" s="9" t="n">
        <v>253</v>
      </c>
      <c r="H19" s="9" t="n">
        <v>499</v>
      </c>
      <c r="I19" s="9" t="inlineStr">
        <is>
          <t>Closer</t>
        </is>
      </c>
      <c r="J19" s="17" t="inlineStr">
        <is>
          <t>Opening Day</t>
        </is>
      </c>
      <c r="K19" s="11">
        <f>IFERROR(INDEX(Roles!$B$17:$B$20,MATCH(J19,Roles!$A$17:$A$20,0)),1)</f>
        <v/>
      </c>
      <c r="L19" s="18" t="n">
        <v>1</v>
      </c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3">
        <f>SUMPRODUCT(M19:X19,$M$2:$X$2)*$K19*$L19</f>
        <v/>
      </c>
      <c r="Z19" s="14">
        <f>SUM(M19:X19)</f>
        <v/>
      </c>
      <c r="AA19" s="13">
        <f>SUMPRODUCT(M19:X19,$M$3:$X$3)*$K19*$L19</f>
        <v/>
      </c>
      <c r="AB19" s="13">
        <f>SUMPRODUCT(M19:X19,$M$4:$X$4)*$K19*$L19</f>
        <v/>
      </c>
      <c r="AC19" s="15">
        <f>SUMPRODUCT(M19:X19,$M$5:$X$5)*$K19*$L19</f>
        <v/>
      </c>
      <c r="AD19" s="15">
        <f>SUMPRODUCT(M19:X19,$M$6:$X$6)*$K19*$L19</f>
        <v/>
      </c>
      <c r="AE19" s="19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7" t="inlineStr">
        <is>
          <t>R</t>
        </is>
      </c>
      <c r="F20" s="17" t="n"/>
      <c r="G20" s="9" t="n">
        <v>126</v>
      </c>
      <c r="H20" s="9" t="n">
        <v>763</v>
      </c>
      <c r="I20" s="9" t="inlineStr">
        <is>
          <t>Middle Relief</t>
        </is>
      </c>
      <c r="J20" s="17" t="inlineStr">
        <is>
          <t>Opening Day</t>
        </is>
      </c>
      <c r="K20" s="11">
        <f>IFERROR(INDEX(Roles!$B$17:$B$20,MATCH(J20,Roles!$A$17:$A$20,0)),1)</f>
        <v/>
      </c>
      <c r="L20" s="18" t="n">
        <v>1</v>
      </c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3">
        <f>SUMPRODUCT(M20:X20,$M$2:$X$2)*$K20*$L20</f>
        <v/>
      </c>
      <c r="Z20" s="14">
        <f>SUM(M20:X20)</f>
        <v/>
      </c>
      <c r="AA20" s="13">
        <f>SUMPRODUCT(M20:X20,$M$3:$X$3)*$K20*$L20</f>
        <v/>
      </c>
      <c r="AB20" s="13">
        <f>SUMPRODUCT(M20:X20,$M$4:$X$4)*$K20*$L20</f>
        <v/>
      </c>
      <c r="AC20" s="15">
        <f>SUMPRODUCT(M20:X20,$M$5:$X$5)*$K20*$L20</f>
        <v/>
      </c>
      <c r="AD20" s="15">
        <f>SUMPRODUCT(M20:X20,$M$6:$X$6)*$K20*$L20</f>
        <v/>
      </c>
      <c r="AE20" s="19" t="n"/>
    </row>
    <row r="21">
      <c r="A21" s="9" t="n">
        <v>681870</v>
      </c>
      <c r="B21" s="9" t="inlineStr">
        <is>
          <t>Erik Sabrowski</t>
        </is>
      </c>
      <c r="C21" s="9" t="inlineStr">
        <is>
          <t>CLE</t>
        </is>
      </c>
      <c r="D21" s="9" t="n">
        <v>29</v>
      </c>
      <c r="E21" s="17" t="inlineStr">
        <is>
          <t>L</t>
        </is>
      </c>
      <c r="F21" s="17" t="n"/>
      <c r="G21" s="9" t="n">
        <v>191</v>
      </c>
      <c r="H21" s="9" t="n">
        <v>359</v>
      </c>
      <c r="I21" s="9" t="inlineStr">
        <is>
          <t>Middle Relief</t>
        </is>
      </c>
      <c r="J21" s="17" t="inlineStr">
        <is>
          <t>Opening Day</t>
        </is>
      </c>
      <c r="K21" s="11">
        <f>IFERROR(INDEX(Roles!$B$17:$B$20,MATCH(J21,Roles!$A$17:$A$20,0)),1)</f>
        <v/>
      </c>
      <c r="L21" s="18" t="n">
        <v>1</v>
      </c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3">
        <f>SUMPRODUCT(M21:X21,$M$2:$X$2)*$K21*$L21</f>
        <v/>
      </c>
      <c r="Z21" s="14">
        <f>SUM(M21:X21)</f>
        <v/>
      </c>
      <c r="AA21" s="13">
        <f>SUMPRODUCT(M21:X21,$M$3:$X$3)*$K21*$L21</f>
        <v/>
      </c>
      <c r="AB21" s="13">
        <f>SUMPRODUCT(M21:X21,$M$4:$X$4)*$K21*$L21</f>
        <v/>
      </c>
      <c r="AC21" s="15">
        <f>SUMPRODUCT(M21:X21,$M$5:$X$5)*$K21*$L21</f>
        <v/>
      </c>
      <c r="AD21" s="15">
        <f>SUMPRODUCT(M21:X21,$M$6:$X$6)*$K21*$L21</f>
        <v/>
      </c>
      <c r="AE21" s="19" t="n"/>
    </row>
    <row r="22">
      <c r="A22" s="9" t="n">
        <v>605483</v>
      </c>
      <c r="B22" s="9" t="inlineStr">
        <is>
          <t>Blake Snell</t>
        </is>
      </c>
      <c r="C22" s="9" t="inlineStr">
        <is>
          <t>LAD</t>
        </is>
      </c>
      <c r="D22" s="9" t="n">
        <v>34</v>
      </c>
      <c r="E22" s="17" t="inlineStr">
        <is>
          <t>L</t>
        </is>
      </c>
      <c r="F22" s="17" t="n"/>
      <c r="G22" s="9" t="n">
        <v>157</v>
      </c>
      <c r="H22" s="9" t="n">
        <v>2106</v>
      </c>
      <c r="I22" s="9" t="inlineStr">
        <is>
          <t>Mid-Rotation Starter (SP2-3)</t>
        </is>
      </c>
      <c r="J22" s="17" t="inlineStr">
        <is>
          <t>Opening Day</t>
        </is>
      </c>
      <c r="K22" s="11">
        <f>IFERROR(INDEX(Roles!$B$17:$B$20,MATCH(J22,Roles!$A$17:$A$20,0)),1)</f>
        <v/>
      </c>
      <c r="L22" s="18" t="n">
        <v>1</v>
      </c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3">
        <f>SUMPRODUCT(M22:X22,$M$2:$X$2)*$K22*$L22</f>
        <v/>
      </c>
      <c r="Z22" s="14">
        <f>SUM(M22:X22)</f>
        <v/>
      </c>
      <c r="AA22" s="13">
        <f>SUMPRODUCT(M22:X22,$M$3:$X$3)*$K22*$L22</f>
        <v/>
      </c>
      <c r="AB22" s="13">
        <f>SUMPRODUCT(M22:X22,$M$4:$X$4)*$K22*$L22</f>
        <v/>
      </c>
      <c r="AC22" s="15">
        <f>SUMPRODUCT(M22:X22,$M$5:$X$5)*$K22*$L22</f>
        <v/>
      </c>
      <c r="AD22" s="15">
        <f>SUMPRODUCT(M22:X22,$M$6:$X$6)*$K22*$L22</f>
        <v/>
      </c>
      <c r="AE22" s="19" t="n"/>
    </row>
    <row r="23">
      <c r="A23" s="9" t="n">
        <v>675911</v>
      </c>
      <c r="B23" s="9" t="inlineStr">
        <is>
          <t>Spencer Strider</t>
        </is>
      </c>
      <c r="C23" s="9" t="inlineStr">
        <is>
          <t>ATL</t>
        </is>
      </c>
      <c r="D23" s="9" t="n">
        <v>28</v>
      </c>
      <c r="E23" s="17" t="inlineStr">
        <is>
          <t>R</t>
        </is>
      </c>
      <c r="F23" s="17" t="n"/>
      <c r="G23" s="9" t="n">
        <v>165</v>
      </c>
      <c r="H23" s="9" t="n">
        <v>2037</v>
      </c>
      <c r="I23" s="9" t="inlineStr">
        <is>
          <t>Mid-Rotation Starter (SP2-3)</t>
        </is>
      </c>
      <c r="J23" s="17" t="inlineStr">
        <is>
          <t>Opening Day</t>
        </is>
      </c>
      <c r="K23" s="11">
        <f>IFERROR(INDEX(Roles!$B$17:$B$20,MATCH(J23,Roles!$A$17:$A$20,0)),1)</f>
        <v/>
      </c>
      <c r="L23" s="18" t="n">
        <v>1</v>
      </c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3">
        <f>SUMPRODUCT(M23:X23,$M$2:$X$2)*$K23*$L23</f>
        <v/>
      </c>
      <c r="Z23" s="14">
        <f>SUM(M23:X23)</f>
        <v/>
      </c>
      <c r="AA23" s="13">
        <f>SUMPRODUCT(M23:X23,$M$3:$X$3)*$K23*$L23</f>
        <v/>
      </c>
      <c r="AB23" s="13">
        <f>SUMPRODUCT(M23:X23,$M$4:$X$4)*$K23*$L23</f>
        <v/>
      </c>
      <c r="AC23" s="15">
        <f>SUMPRODUCT(M23:X23,$M$5:$X$5)*$K23*$L23</f>
        <v/>
      </c>
      <c r="AD23" s="15">
        <f>SUMPRODUCT(M23:X23,$M$6:$X$6)*$K23*$L23</f>
        <v/>
      </c>
      <c r="AE23" s="19" t="n"/>
    </row>
    <row r="24">
      <c r="A24" s="9" t="n">
        <v>676979</v>
      </c>
      <c r="B24" s="9" t="inlineStr">
        <is>
          <t>Garrett Crochet</t>
        </is>
      </c>
      <c r="C24" s="9" t="inlineStr">
        <is>
          <t>BOS</t>
        </is>
      </c>
      <c r="D24" s="9" t="n">
        <v>28</v>
      </c>
      <c r="E24" s="17" t="inlineStr">
        <is>
          <t>L</t>
        </is>
      </c>
      <c r="F24" s="17" t="n"/>
      <c r="G24" s="9" t="n">
        <v>138</v>
      </c>
      <c r="H24" s="9" t="n">
        <v>1611</v>
      </c>
      <c r="I24" s="9" t="inlineStr">
        <is>
          <t>Mid-Rotation Starter (SP2-3)</t>
        </is>
      </c>
      <c r="J24" s="17" t="inlineStr">
        <is>
          <t>Opening Day</t>
        </is>
      </c>
      <c r="K24" s="11">
        <f>IFERROR(INDEX(Roles!$B$17:$B$20,MATCH(J24,Roles!$A$17:$A$20,0)),1)</f>
        <v/>
      </c>
      <c r="L24" s="18" t="n">
        <v>1</v>
      </c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3">
        <f>SUMPRODUCT(M24:X24,$M$2:$X$2)*$K24*$L24</f>
        <v/>
      </c>
      <c r="Z24" s="14">
        <f>SUM(M24:X24)</f>
        <v/>
      </c>
      <c r="AA24" s="13">
        <f>SUMPRODUCT(M24:X24,$M$3:$X$3)*$K24*$L24</f>
        <v/>
      </c>
      <c r="AB24" s="13">
        <f>SUMPRODUCT(M24:X24,$M$4:$X$4)*$K24*$L24</f>
        <v/>
      </c>
      <c r="AC24" s="15">
        <f>SUMPRODUCT(M24:X24,$M$5:$X$5)*$K24*$L24</f>
        <v/>
      </c>
      <c r="AD24" s="15">
        <f>SUMPRODUCT(M24:X24,$M$6:$X$6)*$K24*$L24</f>
        <v/>
      </c>
      <c r="AE24" s="19" t="n"/>
    </row>
    <row r="25">
      <c r="A25" s="9" t="n">
        <v>607192</v>
      </c>
      <c r="B25" s="9" t="inlineStr">
        <is>
          <t>Tyler Glasnow</t>
        </is>
      </c>
      <c r="C25" s="9" t="inlineStr">
        <is>
          <t>LAD</t>
        </is>
      </c>
      <c r="D25" s="9" t="n">
        <v>33</v>
      </c>
      <c r="E25" s="17" t="inlineStr">
        <is>
          <t>R</t>
        </is>
      </c>
      <c r="F25" s="17" t="n"/>
      <c r="G25" s="9" t="n">
        <v>241</v>
      </c>
      <c r="H25" s="9" t="n">
        <v>1640</v>
      </c>
      <c r="I25" s="9" t="inlineStr">
        <is>
          <t>Mid-Rotation Starter (SP2-3)</t>
        </is>
      </c>
      <c r="J25" s="17" t="inlineStr">
        <is>
          <t>Opening Day</t>
        </is>
      </c>
      <c r="K25" s="11">
        <f>IFERROR(INDEX(Roles!$B$17:$B$20,MATCH(J25,Roles!$A$17:$A$20,0)),1)</f>
        <v/>
      </c>
      <c r="L25" s="18" t="n">
        <v>1</v>
      </c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3">
        <f>SUMPRODUCT(M25:X25,$M$2:$X$2)*$K25*$L25</f>
        <v/>
      </c>
      <c r="Z25" s="14">
        <f>SUM(M25:X25)</f>
        <v/>
      </c>
      <c r="AA25" s="13">
        <f>SUMPRODUCT(M25:X25,$M$3:$X$3)*$K25*$L25</f>
        <v/>
      </c>
      <c r="AB25" s="13">
        <f>SUMPRODUCT(M25:X25,$M$4:$X$4)*$K25*$L25</f>
        <v/>
      </c>
      <c r="AC25" s="15">
        <f>SUMPRODUCT(M25:X25,$M$5:$X$5)*$K25*$L25</f>
        <v/>
      </c>
      <c r="AD25" s="15">
        <f>SUMPRODUCT(M25:X25,$M$6:$X$6)*$K25*$L25</f>
        <v/>
      </c>
      <c r="AE25" s="19" t="n"/>
    </row>
    <row r="26">
      <c r="A26" s="9" t="n">
        <v>681911</v>
      </c>
      <c r="B26" s="9" t="inlineStr">
        <is>
          <t>Alex Vesia</t>
        </is>
      </c>
      <c r="C26" s="9" t="inlineStr">
        <is>
          <t>LAD</t>
        </is>
      </c>
      <c r="D26" s="9" t="n">
        <v>31</v>
      </c>
      <c r="E26" s="17" t="inlineStr">
        <is>
          <t>L</t>
        </is>
      </c>
      <c r="F26" s="17" t="n"/>
      <c r="G26" s="9" t="n">
        <v>224</v>
      </c>
      <c r="H26" s="9" t="n">
        <v>1168</v>
      </c>
      <c r="I26" s="9" t="inlineStr">
        <is>
          <t>Closer</t>
        </is>
      </c>
      <c r="J26" s="17" t="inlineStr">
        <is>
          <t>Opening Day</t>
        </is>
      </c>
      <c r="K26" s="11">
        <f>IFERROR(INDEX(Roles!$B$17:$B$20,MATCH(J26,Roles!$A$17:$A$20,0)),1)</f>
        <v/>
      </c>
      <c r="L26" s="18" t="n">
        <v>1</v>
      </c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3">
        <f>SUMPRODUCT(M26:X26,$M$2:$X$2)*$K26*$L26</f>
        <v/>
      </c>
      <c r="Z26" s="14">
        <f>SUM(M26:X26)</f>
        <v/>
      </c>
      <c r="AA26" s="13">
        <f>SUMPRODUCT(M26:X26,$M$3:$X$3)*$K26*$L26</f>
        <v/>
      </c>
      <c r="AB26" s="13">
        <f>SUMPRODUCT(M26:X26,$M$4:$X$4)*$K26*$L26</f>
        <v/>
      </c>
      <c r="AC26" s="15">
        <f>SUMPRODUCT(M26:X26,$M$5:$X$5)*$K26*$L26</f>
        <v/>
      </c>
      <c r="AD26" s="15">
        <f>SUMPRODUCT(M26:X26,$M$6:$X$6)*$K26*$L26</f>
        <v/>
      </c>
      <c r="AE26" s="19" t="n"/>
    </row>
    <row r="27">
      <c r="A27" s="9" t="n">
        <v>656546</v>
      </c>
      <c r="B27" s="9" t="inlineStr">
        <is>
          <t>Jeff Hoffman</t>
        </is>
      </c>
      <c r="C27" s="9" t="inlineStr">
        <is>
          <t>MIN</t>
        </is>
      </c>
      <c r="D27" s="9" t="n">
        <v>34</v>
      </c>
      <c r="E27" s="17" t="inlineStr">
        <is>
          <t>R</t>
        </is>
      </c>
      <c r="F27" s="17" t="n"/>
      <c r="G27" s="9" t="n">
        <v>280</v>
      </c>
      <c r="H27" s="9" t="n">
        <v>1237</v>
      </c>
      <c r="I27" s="9" t="inlineStr">
        <is>
          <t>Closer</t>
        </is>
      </c>
      <c r="J27" s="17" t="inlineStr">
        <is>
          <t>Opening Day</t>
        </is>
      </c>
      <c r="K27" s="11">
        <f>IFERROR(INDEX(Roles!$B$17:$B$20,MATCH(J27,Roles!$A$17:$A$20,0)),1)</f>
        <v/>
      </c>
      <c r="L27" s="18" t="n">
        <v>1</v>
      </c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3">
        <f>SUMPRODUCT(M27:X27,$M$2:$X$2)*$K27*$L27</f>
        <v/>
      </c>
      <c r="Z27" s="14">
        <f>SUM(M27:X27)</f>
        <v/>
      </c>
      <c r="AA27" s="13">
        <f>SUMPRODUCT(M27:X27,$M$3:$X$3)*$K27*$L27</f>
        <v/>
      </c>
      <c r="AB27" s="13">
        <f>SUMPRODUCT(M27:X27,$M$4:$X$4)*$K27*$L27</f>
        <v/>
      </c>
      <c r="AC27" s="15">
        <f>SUMPRODUCT(M27:X27,$M$5:$X$5)*$K27*$L27</f>
        <v/>
      </c>
      <c r="AD27" s="15">
        <f>SUMPRODUCT(M27:X27,$M$6:$X$6)*$K27*$L27</f>
        <v/>
      </c>
      <c r="AE27" s="19" t="n"/>
    </row>
    <row r="28">
      <c r="A28" s="9" t="n">
        <v>519242</v>
      </c>
      <c r="B28" s="9" t="inlineStr">
        <is>
          <t>Chris Sale</t>
        </is>
      </c>
      <c r="C28" s="9" t="inlineStr">
        <is>
          <t>ATL</t>
        </is>
      </c>
      <c r="D28" s="9" t="n">
        <v>38</v>
      </c>
      <c r="E28" s="17" t="inlineStr">
        <is>
          <t>L</t>
        </is>
      </c>
      <c r="F28" s="17" t="n"/>
      <c r="G28" s="9" t="n">
        <v>627</v>
      </c>
      <c r="H28" s="9" t="n">
        <v>2289</v>
      </c>
      <c r="I28" s="9" t="inlineStr">
        <is>
          <t>Ace (SP1)</t>
        </is>
      </c>
      <c r="J28" s="17" t="inlineStr">
        <is>
          <t>Opening Day</t>
        </is>
      </c>
      <c r="K28" s="11">
        <f>IFERROR(INDEX(Roles!$B$17:$B$20,MATCH(J28,Roles!$A$17:$A$20,0)),1)</f>
        <v/>
      </c>
      <c r="L28" s="18" t="n">
        <v>1</v>
      </c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3">
        <f>SUMPRODUCT(M28:X28,$M$2:$X$2)*$K28*$L28</f>
        <v/>
      </c>
      <c r="Z28" s="14">
        <f>SUM(M28:X28)</f>
        <v/>
      </c>
      <c r="AA28" s="13">
        <f>SUMPRODUCT(M28:X28,$M$3:$X$3)*$K28*$L28</f>
        <v/>
      </c>
      <c r="AB28" s="13">
        <f>SUMPRODUCT(M28:X28,$M$4:$X$4)*$K28*$L28</f>
        <v/>
      </c>
      <c r="AC28" s="15">
        <f>SUMPRODUCT(M28:X28,$M$5:$X$5)*$K28*$L28</f>
        <v/>
      </c>
      <c r="AD28" s="15">
        <f>SUMPRODUCT(M28:X28,$M$6:$X$6)*$K28*$L28</f>
        <v/>
      </c>
      <c r="AE28" s="19" t="n"/>
    </row>
    <row r="29">
      <c r="A29" s="9" t="n">
        <v>594798</v>
      </c>
      <c r="B29" s="9" t="inlineStr">
        <is>
          <t>Jacob deGrom</t>
        </is>
      </c>
      <c r="C29" s="9" t="inlineStr">
        <is>
          <t>TEX</t>
        </is>
      </c>
      <c r="D29" s="9" t="n">
        <v>39</v>
      </c>
      <c r="E29" s="17" t="inlineStr">
        <is>
          <t>R</t>
        </is>
      </c>
      <c r="F29" s="17" t="n"/>
      <c r="G29" s="9" t="n">
        <v>622</v>
      </c>
      <c r="H29" s="9" t="n">
        <v>1689</v>
      </c>
      <c r="I29" s="9" t="inlineStr">
        <is>
          <t>Mid-Rotation Starter (SP2-3)</t>
        </is>
      </c>
      <c r="J29" s="17" t="inlineStr">
        <is>
          <t>Opening Day</t>
        </is>
      </c>
      <c r="K29" s="11">
        <f>IFERROR(INDEX(Roles!$B$17:$B$20,MATCH(J29,Roles!$A$17:$A$20,0)),1)</f>
        <v/>
      </c>
      <c r="L29" s="18" t="n">
        <v>1</v>
      </c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3">
        <f>SUMPRODUCT(M29:X29,$M$2:$X$2)*$K29*$L29</f>
        <v/>
      </c>
      <c r="Z29" s="14">
        <f>SUM(M29:X29)</f>
        <v/>
      </c>
      <c r="AA29" s="13">
        <f>SUMPRODUCT(M29:X29,$M$3:$X$3)*$K29*$L29</f>
        <v/>
      </c>
      <c r="AB29" s="13">
        <f>SUMPRODUCT(M29:X29,$M$4:$X$4)*$K29*$L29</f>
        <v/>
      </c>
      <c r="AC29" s="15">
        <f>SUMPRODUCT(M29:X29,$M$5:$X$5)*$K29*$L29</f>
        <v/>
      </c>
      <c r="AD29" s="15">
        <f>SUMPRODUCT(M29:X29,$M$6:$X$6)*$K29*$L29</f>
        <v/>
      </c>
      <c r="AE29" s="19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7" t="inlineStr">
        <is>
          <t>R</t>
        </is>
      </c>
      <c r="F30" s="17" t="n"/>
      <c r="G30" s="9" t="n">
        <v>668</v>
      </c>
      <c r="H30" s="9" t="n">
        <v>3683</v>
      </c>
      <c r="I30" s="9" t="inlineStr">
        <is>
          <t>Mid-Rotation Starter (SP2-3)</t>
        </is>
      </c>
      <c r="J30" s="17" t="inlineStr">
        <is>
          <t>Opening Day</t>
        </is>
      </c>
      <c r="K30" s="11">
        <f>IFERROR(INDEX(Roles!$B$17:$B$20,MATCH(J30,Roles!$A$17:$A$20,0)),1)</f>
        <v/>
      </c>
      <c r="L30" s="18" t="n">
        <v>1</v>
      </c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3">
        <f>SUMPRODUCT(M30:X30,$M$2:$X$2)*$K30*$L30</f>
        <v/>
      </c>
      <c r="Z30" s="14">
        <f>SUM(M30:X30)</f>
        <v/>
      </c>
      <c r="AA30" s="13">
        <f>SUMPRODUCT(M30:X30,$M$3:$X$3)*$K30*$L30</f>
        <v/>
      </c>
      <c r="AB30" s="13">
        <f>SUMPRODUCT(M30:X30,$M$4:$X$4)*$K30*$L30</f>
        <v/>
      </c>
      <c r="AC30" s="15">
        <f>SUMPRODUCT(M30:X30,$M$5:$X$5)*$K30*$L30</f>
        <v/>
      </c>
      <c r="AD30" s="15">
        <f>SUMPRODUCT(M30:X30,$M$6:$X$6)*$K30*$L30</f>
        <v/>
      </c>
      <c r="AE30" s="19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7" t="inlineStr">
        <is>
          <t>R</t>
        </is>
      </c>
      <c r="F31" s="17" t="n"/>
      <c r="G31" s="9" t="n">
        <v>340</v>
      </c>
      <c r="H31" s="9" t="n">
        <v>1719</v>
      </c>
      <c r="I31" s="9" t="inlineStr">
        <is>
          <t>Mid-Rotation Starter (SP2-3)</t>
        </is>
      </c>
      <c r="J31" s="17" t="inlineStr">
        <is>
          <t>Opening Day</t>
        </is>
      </c>
      <c r="K31" s="11">
        <f>IFERROR(INDEX(Roles!$B$17:$B$20,MATCH(J31,Roles!$A$17:$A$20,0)),1)</f>
        <v/>
      </c>
      <c r="L31" s="18" t="n">
        <v>1</v>
      </c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3">
        <f>SUMPRODUCT(M31:X31,$M$2:$X$2)*$K31*$L31</f>
        <v/>
      </c>
      <c r="Z31" s="14">
        <f>SUM(M31:X31)</f>
        <v/>
      </c>
      <c r="AA31" s="13">
        <f>SUMPRODUCT(M31:X31,$M$3:$X$3)*$K31*$L31</f>
        <v/>
      </c>
      <c r="AB31" s="13">
        <f>SUMPRODUCT(M31:X31,$M$4:$X$4)*$K31*$L31</f>
        <v/>
      </c>
      <c r="AC31" s="15">
        <f>SUMPRODUCT(M31:X31,$M$5:$X$5)*$K31*$L31</f>
        <v/>
      </c>
      <c r="AD31" s="15">
        <f>SUMPRODUCT(M31:X31,$M$6:$X$6)*$K31*$L31</f>
        <v/>
      </c>
      <c r="AE31" s="19" t="n"/>
    </row>
    <row r="32">
      <c r="A32" s="9" t="n">
        <v>661395</v>
      </c>
      <c r="B32" s="9" t="inlineStr">
        <is>
          <t>Jhoan Duran</t>
        </is>
      </c>
      <c r="C32" s="9" t="inlineStr">
        <is>
          <t>PHI</t>
        </is>
      </c>
      <c r="D32" s="9" t="n">
        <v>29</v>
      </c>
      <c r="E32" s="17" t="inlineStr">
        <is>
          <t>R</t>
        </is>
      </c>
      <c r="F32" s="17" t="n"/>
      <c r="G32" s="9" t="n">
        <v>221</v>
      </c>
      <c r="H32" s="9" t="n">
        <v>1257</v>
      </c>
      <c r="I32" s="9" t="inlineStr">
        <is>
          <t>Closer</t>
        </is>
      </c>
      <c r="J32" s="17" t="inlineStr">
        <is>
          <t>Opening Day</t>
        </is>
      </c>
      <c r="K32" s="11">
        <f>IFERROR(INDEX(Roles!$B$17:$B$20,MATCH(J32,Roles!$A$17:$A$20,0)),1)</f>
        <v/>
      </c>
      <c r="L32" s="18" t="n">
        <v>1</v>
      </c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3">
        <f>SUMPRODUCT(M32:X32,$M$2:$X$2)*$K32*$L32</f>
        <v/>
      </c>
      <c r="Z32" s="14">
        <f>SUM(M32:X32)</f>
        <v/>
      </c>
      <c r="AA32" s="13">
        <f>SUMPRODUCT(M32:X32,$M$3:$X$3)*$K32*$L32</f>
        <v/>
      </c>
      <c r="AB32" s="13">
        <f>SUMPRODUCT(M32:X32,$M$4:$X$4)*$K32*$L32</f>
        <v/>
      </c>
      <c r="AC32" s="15">
        <f>SUMPRODUCT(M32:X32,$M$5:$X$5)*$K32*$L32</f>
        <v/>
      </c>
      <c r="AD32" s="15">
        <f>SUMPRODUCT(M32:X32,$M$6:$X$6)*$K32*$L32</f>
        <v/>
      </c>
      <c r="AE32" s="19" t="n"/>
    </row>
    <row r="33">
      <c r="A33" s="9" t="n">
        <v>691799</v>
      </c>
      <c r="B33" s="9" t="inlineStr">
        <is>
          <t>Grant Taylor</t>
        </is>
      </c>
      <c r="C33" s="9" t="inlineStr">
        <is>
          <t>CWS</t>
        </is>
      </c>
      <c r="D33" s="9" t="n">
        <v>25</v>
      </c>
      <c r="E33" s="17" t="inlineStr">
        <is>
          <t>R</t>
        </is>
      </c>
      <c r="F33" s="17" t="n"/>
      <c r="G33" s="9" t="n">
        <v>316</v>
      </c>
      <c r="H33" s="9" t="n">
        <v>473</v>
      </c>
      <c r="I33" s="9" t="inlineStr">
        <is>
          <t>Closer</t>
        </is>
      </c>
      <c r="J33" s="17" t="inlineStr">
        <is>
          <t>Opening Day</t>
        </is>
      </c>
      <c r="K33" s="11">
        <f>IFERROR(INDEX(Roles!$B$17:$B$20,MATCH(J33,Roles!$A$17:$A$20,0)),1)</f>
        <v/>
      </c>
      <c r="L33" s="18" t="n">
        <v>1</v>
      </c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3">
        <f>SUMPRODUCT(M33:X33,$M$2:$X$2)*$K33*$L33</f>
        <v/>
      </c>
      <c r="Z33" s="14">
        <f>SUM(M33:X33)</f>
        <v/>
      </c>
      <c r="AA33" s="13">
        <f>SUMPRODUCT(M33:X33,$M$3:$X$3)*$K33*$L33</f>
        <v/>
      </c>
      <c r="AB33" s="13">
        <f>SUMPRODUCT(M33:X33,$M$4:$X$4)*$K33*$L33</f>
        <v/>
      </c>
      <c r="AC33" s="15">
        <f>SUMPRODUCT(M33:X33,$M$5:$X$5)*$K33*$L33</f>
        <v/>
      </c>
      <c r="AD33" s="15">
        <f>SUMPRODUCT(M33:X33,$M$6:$X$6)*$K33*$L33</f>
        <v/>
      </c>
      <c r="AE33" s="19" t="n"/>
    </row>
    <row r="34">
      <c r="A34" s="9" t="n">
        <v>669373</v>
      </c>
      <c r="B34" s="9" t="inlineStr">
        <is>
          <t>Tarik Skubal</t>
        </is>
      </c>
      <c r="C34" s="9" t="inlineStr">
        <is>
          <t>LAD</t>
        </is>
      </c>
      <c r="D34" s="9" t="n">
        <v>30</v>
      </c>
      <c r="E34" s="17" t="inlineStr">
        <is>
          <t>L</t>
        </is>
      </c>
      <c r="F34" s="17" t="n"/>
      <c r="G34" s="9" t="n">
        <v>572</v>
      </c>
      <c r="H34" s="9" t="n">
        <v>2860</v>
      </c>
      <c r="I34" s="9" t="inlineStr">
        <is>
          <t>Ace (SP1)</t>
        </is>
      </c>
      <c r="J34" s="17" t="inlineStr">
        <is>
          <t>Opening Day</t>
        </is>
      </c>
      <c r="K34" s="11">
        <f>IFERROR(INDEX(Roles!$B$17:$B$20,MATCH(J34,Roles!$A$17:$A$20,0)),1)</f>
        <v/>
      </c>
      <c r="L34" s="18" t="n">
        <v>1</v>
      </c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3">
        <f>SUMPRODUCT(M34:X34,$M$2:$X$2)*$K34*$L34</f>
        <v/>
      </c>
      <c r="Z34" s="14">
        <f>SUM(M34:X34)</f>
        <v/>
      </c>
      <c r="AA34" s="13">
        <f>SUMPRODUCT(M34:X34,$M$3:$X$3)*$K34*$L34</f>
        <v/>
      </c>
      <c r="AB34" s="13">
        <f>SUMPRODUCT(M34:X34,$M$4:$X$4)*$K34*$L34</f>
        <v/>
      </c>
      <c r="AC34" s="15">
        <f>SUMPRODUCT(M34:X34,$M$5:$X$5)*$K34*$L34</f>
        <v/>
      </c>
      <c r="AD34" s="15">
        <f>SUMPRODUCT(M34:X34,$M$6:$X$6)*$K34*$L34</f>
        <v/>
      </c>
      <c r="AE34" s="19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7" t="inlineStr">
        <is>
          <t>R</t>
        </is>
      </c>
      <c r="F35" s="17" t="n"/>
      <c r="G35" s="9" t="n">
        <v>722</v>
      </c>
      <c r="H35" s="9" t="n">
        <v>1026</v>
      </c>
      <c r="I35" s="9" t="inlineStr">
        <is>
          <t>Mid-Rotation Starter (SP2-3)</t>
        </is>
      </c>
      <c r="J35" s="17" t="inlineStr">
        <is>
          <t>Opening Day</t>
        </is>
      </c>
      <c r="K35" s="11">
        <f>IFERROR(INDEX(Roles!$B$17:$B$20,MATCH(J35,Roles!$A$17:$A$20,0)),1)</f>
        <v/>
      </c>
      <c r="L35" s="18" t="n">
        <v>1</v>
      </c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3">
        <f>SUMPRODUCT(M35:X35,$M$2:$X$2)*$K35*$L35</f>
        <v/>
      </c>
      <c r="Z35" s="14">
        <f>SUM(M35:X35)</f>
        <v/>
      </c>
      <c r="AA35" s="13">
        <f>SUMPRODUCT(M35:X35,$M$3:$X$3)*$K35*$L35</f>
        <v/>
      </c>
      <c r="AB35" s="13">
        <f>SUMPRODUCT(M35:X35,$M$4:$X$4)*$K35*$L35</f>
        <v/>
      </c>
      <c r="AC35" s="15">
        <f>SUMPRODUCT(M35:X35,$M$5:$X$5)*$K35*$L35</f>
        <v/>
      </c>
      <c r="AD35" s="15">
        <f>SUMPRODUCT(M35:X35,$M$6:$X$6)*$K35*$L35</f>
        <v/>
      </c>
      <c r="AE35" s="19" t="n"/>
    </row>
    <row r="36">
      <c r="A36" s="9" t="n">
        <v>695505</v>
      </c>
      <c r="B36" s="9" t="inlineStr">
        <is>
          <t>Chase Burns</t>
        </is>
      </c>
      <c r="C36" s="9" t="inlineStr">
        <is>
          <t>CIN</t>
        </is>
      </c>
      <c r="D36" s="9" t="n">
        <v>24</v>
      </c>
      <c r="E36" s="17" t="inlineStr">
        <is>
          <t>R</t>
        </is>
      </c>
      <c r="F36" s="17" t="n"/>
      <c r="G36" s="9" t="n">
        <v>615</v>
      </c>
      <c r="H36" s="9" t="n">
        <v>803</v>
      </c>
      <c r="I36" s="9" t="inlineStr">
        <is>
          <t>End-of-Rotation Starter (SP4-5)</t>
        </is>
      </c>
      <c r="J36" s="17" t="inlineStr">
        <is>
          <t>Opening Day</t>
        </is>
      </c>
      <c r="K36" s="11">
        <f>IFERROR(INDEX(Roles!$B$17:$B$20,MATCH(J36,Roles!$A$17:$A$20,0)),1)</f>
        <v/>
      </c>
      <c r="L36" s="18" t="n">
        <v>1</v>
      </c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3">
        <f>SUMPRODUCT(M36:X36,$M$2:$X$2)*$K36*$L36</f>
        <v/>
      </c>
      <c r="Z36" s="14">
        <f>SUM(M36:X36)</f>
        <v/>
      </c>
      <c r="AA36" s="13">
        <f>SUMPRODUCT(M36:X36,$M$3:$X$3)*$K36*$L36</f>
        <v/>
      </c>
      <c r="AB36" s="13">
        <f>SUMPRODUCT(M36:X36,$M$4:$X$4)*$K36*$L36</f>
        <v/>
      </c>
      <c r="AC36" s="15">
        <f>SUMPRODUCT(M36:X36,$M$5:$X$5)*$K36*$L36</f>
        <v/>
      </c>
      <c r="AD36" s="15">
        <f>SUMPRODUCT(M36:X36,$M$6:$X$6)*$K36*$L36</f>
        <v/>
      </c>
      <c r="AE36" s="19" t="n"/>
    </row>
    <row r="37">
      <c r="A37" s="9" t="n">
        <v>664854</v>
      </c>
      <c r="B37" s="9" t="inlineStr">
        <is>
          <t>Ryan Helsley</t>
        </is>
      </c>
      <c r="C37" s="9" t="inlineStr">
        <is>
          <t>BAL</t>
        </is>
      </c>
      <c r="D37" s="9" t="n">
        <v>32</v>
      </c>
      <c r="E37" s="17" t="inlineStr">
        <is>
          <t>R</t>
        </is>
      </c>
      <c r="F37" s="17" t="n"/>
      <c r="G37" s="9" t="n">
        <v>68</v>
      </c>
      <c r="H37" s="9" t="n">
        <v>971</v>
      </c>
      <c r="I37" s="9" t="inlineStr">
        <is>
          <t>Late Inning RP (Setup)</t>
        </is>
      </c>
      <c r="J37" s="17" t="inlineStr">
        <is>
          <t>Opening Day</t>
        </is>
      </c>
      <c r="K37" s="11">
        <f>IFERROR(INDEX(Roles!$B$17:$B$20,MATCH(J37,Roles!$A$17:$A$20,0)),1)</f>
        <v/>
      </c>
      <c r="L37" s="18" t="n">
        <v>1</v>
      </c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3">
        <f>SUMPRODUCT(M37:X37,$M$2:$X$2)*$K37*$L37</f>
        <v/>
      </c>
      <c r="Z37" s="14">
        <f>SUM(M37:X37)</f>
        <v/>
      </c>
      <c r="AA37" s="13">
        <f>SUMPRODUCT(M37:X37,$M$3:$X$3)*$K37*$L37</f>
        <v/>
      </c>
      <c r="AB37" s="13">
        <f>SUMPRODUCT(M37:X37,$M$4:$X$4)*$K37*$L37</f>
        <v/>
      </c>
      <c r="AC37" s="15">
        <f>SUMPRODUCT(M37:X37,$M$5:$X$5)*$K37*$L37</f>
        <v/>
      </c>
      <c r="AD37" s="15">
        <f>SUMPRODUCT(M37:X37,$M$6:$X$6)*$K37*$L37</f>
        <v/>
      </c>
      <c r="AE37" s="19" t="n"/>
    </row>
    <row r="38">
      <c r="A38" s="9" t="n">
        <v>670955</v>
      </c>
      <c r="B38" s="9" t="inlineStr">
        <is>
          <t>Edwin Uceta</t>
        </is>
      </c>
      <c r="C38" s="9" t="inlineStr">
        <is>
          <t>TB</t>
        </is>
      </c>
      <c r="D38" s="9" t="n">
        <v>29</v>
      </c>
      <c r="E38" s="17" t="inlineStr">
        <is>
          <t>R</t>
        </is>
      </c>
      <c r="F38" s="17" t="n"/>
      <c r="G38" s="9" t="n">
        <v>321</v>
      </c>
      <c r="H38" s="9" t="n">
        <v>564</v>
      </c>
      <c r="I38" s="9" t="inlineStr">
        <is>
          <t>Late Inning RP (Setup)</t>
        </is>
      </c>
      <c r="J38" s="17" t="inlineStr">
        <is>
          <t>Opening Day</t>
        </is>
      </c>
      <c r="K38" s="11">
        <f>IFERROR(INDEX(Roles!$B$17:$B$20,MATCH(J38,Roles!$A$17:$A$20,0)),1)</f>
        <v/>
      </c>
      <c r="L38" s="18" t="n">
        <v>1</v>
      </c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3">
        <f>SUMPRODUCT(M38:X38,$M$2:$X$2)*$K38*$L38</f>
        <v/>
      </c>
      <c r="Z38" s="14">
        <f>SUM(M38:X38)</f>
        <v/>
      </c>
      <c r="AA38" s="13">
        <f>SUMPRODUCT(M38:X38,$M$3:$X$3)*$K38*$L38</f>
        <v/>
      </c>
      <c r="AB38" s="13">
        <f>SUMPRODUCT(M38:X38,$M$4:$X$4)*$K38*$L38</f>
        <v/>
      </c>
      <c r="AC38" s="15">
        <f>SUMPRODUCT(M38:X38,$M$5:$X$5)*$K38*$L38</f>
        <v/>
      </c>
      <c r="AD38" s="15">
        <f>SUMPRODUCT(M38:X38,$M$6:$X$6)*$K38*$L38</f>
        <v/>
      </c>
      <c r="AE38" s="19" t="n"/>
    </row>
    <row r="39">
      <c r="A39" s="9" t="n">
        <v>489446</v>
      </c>
      <c r="B39" s="9" t="inlineStr">
        <is>
          <t>Kirby Yates</t>
        </is>
      </c>
      <c r="C39" s="9" t="inlineStr">
        <is>
          <t>PIT</t>
        </is>
      </c>
      <c r="D39" s="9" t="n">
        <v>40</v>
      </c>
      <c r="E39" s="17" t="inlineStr">
        <is>
          <t>R</t>
        </is>
      </c>
      <c r="F39" s="17" t="n"/>
      <c r="G39" s="9" t="n">
        <v>169</v>
      </c>
      <c r="H39" s="9" t="n">
        <v>871</v>
      </c>
      <c r="I39" s="9" t="inlineStr">
        <is>
          <t>Late Inning RP (Setup)</t>
        </is>
      </c>
      <c r="J39" s="17" t="inlineStr">
        <is>
          <t>Opening Day</t>
        </is>
      </c>
      <c r="K39" s="11">
        <f>IFERROR(INDEX(Roles!$B$17:$B$20,MATCH(J39,Roles!$A$17:$A$20,0)),1)</f>
        <v/>
      </c>
      <c r="L39" s="18" t="n">
        <v>1</v>
      </c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3">
        <f>SUMPRODUCT(M39:X39,$M$2:$X$2)*$K39*$L39</f>
        <v/>
      </c>
      <c r="Z39" s="14">
        <f>SUM(M39:X39)</f>
        <v/>
      </c>
      <c r="AA39" s="13">
        <f>SUMPRODUCT(M39:X39,$M$3:$X$3)*$K39*$L39</f>
        <v/>
      </c>
      <c r="AB39" s="13">
        <f>SUMPRODUCT(M39:X39,$M$4:$X$4)*$K39*$L39</f>
        <v/>
      </c>
      <c r="AC39" s="15">
        <f>SUMPRODUCT(M39:X39,$M$5:$X$5)*$K39*$L39</f>
        <v/>
      </c>
      <c r="AD39" s="15">
        <f>SUMPRODUCT(M39:X39,$M$6:$X$6)*$K39*$L39</f>
        <v/>
      </c>
      <c r="AE39" s="19" t="n"/>
    </row>
    <row r="40">
      <c r="A40" s="9" t="n">
        <v>502085</v>
      </c>
      <c r="B40" s="9" t="inlineStr">
        <is>
          <t>David Robertson</t>
        </is>
      </c>
      <c r="C40" s="9" t="inlineStr">
        <is>
          <t>PHI</t>
        </is>
      </c>
      <c r="D40" s="9" t="n">
        <v>42</v>
      </c>
      <c r="E40" s="17" t="inlineStr">
        <is>
          <t>R</t>
        </is>
      </c>
      <c r="F40" s="17" t="n"/>
      <c r="G40" s="9" t="n">
        <v>78</v>
      </c>
      <c r="H40" s="9" t="n">
        <v>907</v>
      </c>
      <c r="I40" s="9" t="inlineStr">
        <is>
          <t>Middle Relief</t>
        </is>
      </c>
      <c r="J40" s="17" t="inlineStr">
        <is>
          <t>Opening Day</t>
        </is>
      </c>
      <c r="K40" s="11">
        <f>IFERROR(INDEX(Roles!$B$17:$B$20,MATCH(J40,Roles!$A$17:$A$20,0)),1)</f>
        <v/>
      </c>
      <c r="L40" s="18" t="n">
        <v>1</v>
      </c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3">
        <f>SUMPRODUCT(M40:X40,$M$2:$X$2)*$K40*$L40</f>
        <v/>
      </c>
      <c r="Z40" s="14">
        <f>SUM(M40:X40)</f>
        <v/>
      </c>
      <c r="AA40" s="13">
        <f>SUMPRODUCT(M40:X40,$M$3:$X$3)*$K40*$L40</f>
        <v/>
      </c>
      <c r="AB40" s="13">
        <f>SUMPRODUCT(M40:X40,$M$4:$X$4)*$K40*$L40</f>
        <v/>
      </c>
      <c r="AC40" s="15">
        <f>SUMPRODUCT(M40:X40,$M$5:$X$5)*$K40*$L40</f>
        <v/>
      </c>
      <c r="AD40" s="15">
        <f>SUMPRODUCT(M40:X40,$M$6:$X$6)*$K40*$L40</f>
        <v/>
      </c>
      <c r="AE40" s="19" t="n"/>
    </row>
    <row r="41">
      <c r="A41" s="9" t="n">
        <v>656945</v>
      </c>
      <c r="B41" s="9" t="inlineStr">
        <is>
          <t>Tanner Scott</t>
        </is>
      </c>
      <c r="C41" s="9" t="inlineStr">
        <is>
          <t>LAD</t>
        </is>
      </c>
      <c r="D41" s="9" t="n">
        <v>32</v>
      </c>
      <c r="E41" s="17" t="inlineStr">
        <is>
          <t>L</t>
        </is>
      </c>
      <c r="F41" s="17" t="n"/>
      <c r="G41" s="9" t="n">
        <v>237</v>
      </c>
      <c r="H41" s="9" t="n">
        <v>1365</v>
      </c>
      <c r="I41" s="9" t="inlineStr">
        <is>
          <t>Middle Relief</t>
        </is>
      </c>
      <c r="J41" s="17" t="inlineStr">
        <is>
          <t>Opening Day</t>
        </is>
      </c>
      <c r="K41" s="11">
        <f>IFERROR(INDEX(Roles!$B$17:$B$20,MATCH(J41,Roles!$A$17:$A$20,0)),1)</f>
        <v/>
      </c>
      <c r="L41" s="18" t="n">
        <v>1</v>
      </c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3">
        <f>SUMPRODUCT(M41:X41,$M$2:$X$2)*$K41*$L41</f>
        <v/>
      </c>
      <c r="Z41" s="14">
        <f>SUM(M41:X41)</f>
        <v/>
      </c>
      <c r="AA41" s="13">
        <f>SUMPRODUCT(M41:X41,$M$3:$X$3)*$K41*$L41</f>
        <v/>
      </c>
      <c r="AB41" s="13">
        <f>SUMPRODUCT(M41:X41,$M$4:$X$4)*$K41*$L41</f>
        <v/>
      </c>
      <c r="AC41" s="15">
        <f>SUMPRODUCT(M41:X41,$M$5:$X$5)*$K41*$L41</f>
        <v/>
      </c>
      <c r="AD41" s="15">
        <f>SUMPRODUCT(M41:X41,$M$6:$X$6)*$K41*$L41</f>
        <v/>
      </c>
      <c r="AE41" s="19" t="n"/>
    </row>
    <row r="42">
      <c r="A42" s="9" t="n">
        <v>668881</v>
      </c>
      <c r="B42" s="9" t="inlineStr">
        <is>
          <t>Hunter Greene</t>
        </is>
      </c>
      <c r="C42" s="9" t="inlineStr">
        <is>
          <t>CIN</t>
        </is>
      </c>
      <c r="D42" s="9" t="n">
        <v>27</v>
      </c>
      <c r="E42" s="17" t="inlineStr">
        <is>
          <t>R</t>
        </is>
      </c>
      <c r="F42" s="17" t="n"/>
      <c r="G42" s="9" t="n">
        <v>121</v>
      </c>
      <c r="H42" s="9" t="n">
        <v>2181</v>
      </c>
      <c r="I42" s="9" t="inlineStr">
        <is>
          <t>Mid-Rotation Starter (SP2-3)</t>
        </is>
      </c>
      <c r="J42" s="17" t="inlineStr">
        <is>
          <t>Opening Day</t>
        </is>
      </c>
      <c r="K42" s="11">
        <f>IFERROR(INDEX(Roles!$B$17:$B$20,MATCH(J42,Roles!$A$17:$A$20,0)),1)</f>
        <v/>
      </c>
      <c r="L42" s="18" t="n">
        <v>1</v>
      </c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3">
        <f>SUMPRODUCT(M42:X42,$M$2:$X$2)*$K42*$L42</f>
        <v/>
      </c>
      <c r="Z42" s="14">
        <f>SUM(M42:X42)</f>
        <v/>
      </c>
      <c r="AA42" s="13">
        <f>SUMPRODUCT(M42:X42,$M$3:$X$3)*$K42*$L42</f>
        <v/>
      </c>
      <c r="AB42" s="13">
        <f>SUMPRODUCT(M42:X42,$M$4:$X$4)*$K42*$L42</f>
        <v/>
      </c>
      <c r="AC42" s="15">
        <f>SUMPRODUCT(M42:X42,$M$5:$X$5)*$K42*$L42</f>
        <v/>
      </c>
      <c r="AD42" s="15">
        <f>SUMPRODUCT(M42:X42,$M$6:$X$6)*$K42*$L42</f>
        <v/>
      </c>
      <c r="AE42" s="19" t="n"/>
    </row>
    <row r="43">
      <c r="A43" s="9" t="n">
        <v>694973</v>
      </c>
      <c r="B43" s="9" t="inlineStr">
        <is>
          <t>Paul Skenes</t>
        </is>
      </c>
      <c r="C43" s="9" t="inlineStr">
        <is>
          <t>PIT</t>
        </is>
      </c>
      <c r="D43" s="9" t="n">
        <v>25</v>
      </c>
      <c r="E43" s="17" t="inlineStr">
        <is>
          <t>R</t>
        </is>
      </c>
      <c r="F43" s="17" t="n"/>
      <c r="G43" s="9" t="n">
        <v>665</v>
      </c>
      <c r="H43" s="9" t="n">
        <v>1912</v>
      </c>
      <c r="I43" s="9" t="inlineStr">
        <is>
          <t>Mid-Rotation Starter (SP2-3)</t>
        </is>
      </c>
      <c r="J43" s="17" t="inlineStr">
        <is>
          <t>Opening Day</t>
        </is>
      </c>
      <c r="K43" s="11">
        <f>IFERROR(INDEX(Roles!$B$17:$B$20,MATCH(J43,Roles!$A$17:$A$20,0)),1)</f>
        <v/>
      </c>
      <c r="L43" s="18" t="n">
        <v>1</v>
      </c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3">
        <f>SUMPRODUCT(M43:X43,$M$2:$X$2)*$K43*$L43</f>
        <v/>
      </c>
      <c r="Z43" s="14">
        <f>SUM(M43:X43)</f>
        <v/>
      </c>
      <c r="AA43" s="13">
        <f>SUMPRODUCT(M43:X43,$M$3:$X$3)*$K43*$L43</f>
        <v/>
      </c>
      <c r="AB43" s="13">
        <f>SUMPRODUCT(M43:X43,$M$4:$X$4)*$K43*$L43</f>
        <v/>
      </c>
      <c r="AC43" s="15">
        <f>SUMPRODUCT(M43:X43,$M$5:$X$5)*$K43*$L43</f>
        <v/>
      </c>
      <c r="AD43" s="15">
        <f>SUMPRODUCT(M43:X43,$M$6:$X$6)*$K43*$L43</f>
        <v/>
      </c>
      <c r="AE43" s="19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7" t="inlineStr">
        <is>
          <t>L</t>
        </is>
      </c>
      <c r="F44" s="17" t="n"/>
      <c r="G44" s="9" t="n">
        <v>151</v>
      </c>
      <c r="H44" s="9" t="n">
        <v>1736</v>
      </c>
      <c r="I44" s="9" t="inlineStr">
        <is>
          <t>Mid-Rotation Starter (SP2-3)</t>
        </is>
      </c>
      <c r="J44" s="17" t="inlineStr">
        <is>
          <t>Opening Day</t>
        </is>
      </c>
      <c r="K44" s="11">
        <f>IFERROR(INDEX(Roles!$B$17:$B$20,MATCH(J44,Roles!$A$17:$A$20,0)),1)</f>
        <v/>
      </c>
      <c r="L44" s="18" t="n">
        <v>1</v>
      </c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3">
        <f>SUMPRODUCT(M44:X44,$M$2:$X$2)*$K44*$L44</f>
        <v/>
      </c>
      <c r="Z44" s="14">
        <f>SUM(M44:X44)</f>
        <v/>
      </c>
      <c r="AA44" s="13">
        <f>SUMPRODUCT(M44:X44,$M$3:$X$3)*$K44*$L44</f>
        <v/>
      </c>
      <c r="AB44" s="13">
        <f>SUMPRODUCT(M44:X44,$M$4:$X$4)*$K44*$L44</f>
        <v/>
      </c>
      <c r="AC44" s="15">
        <f>SUMPRODUCT(M44:X44,$M$5:$X$5)*$K44*$L44</f>
        <v/>
      </c>
      <c r="AD44" s="15">
        <f>SUMPRODUCT(M44:X44,$M$6:$X$6)*$K44*$L44</f>
        <v/>
      </c>
      <c r="AE44" s="19" t="n"/>
    </row>
    <row r="45">
      <c r="A45" s="9" t="n">
        <v>605540</v>
      </c>
      <c r="B45" s="9" t="inlineStr">
        <is>
          <t>Brandon Woodruff</t>
        </is>
      </c>
      <c r="C45" s="9" t="inlineStr">
        <is>
          <t>MIL</t>
        </is>
      </c>
      <c r="D45" s="9" t="n">
        <v>34</v>
      </c>
      <c r="E45" s="17" t="inlineStr">
        <is>
          <t>R</t>
        </is>
      </c>
      <c r="F45" s="17" t="n"/>
      <c r="G45" s="9" t="n">
        <v>174</v>
      </c>
      <c r="H45" s="9" t="n">
        <v>1304</v>
      </c>
      <c r="I45" s="9" t="inlineStr">
        <is>
          <t>Mid-Rotation Starter (SP2-3)</t>
        </is>
      </c>
      <c r="J45" s="17" t="inlineStr">
        <is>
          <t>Opening Day</t>
        </is>
      </c>
      <c r="K45" s="11">
        <f>IFERROR(INDEX(Roles!$B$17:$B$20,MATCH(J45,Roles!$A$17:$A$20,0)),1)</f>
        <v/>
      </c>
      <c r="L45" s="18" t="n">
        <v>1</v>
      </c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3">
        <f>SUMPRODUCT(M45:X45,$M$2:$X$2)*$K45*$L45</f>
        <v/>
      </c>
      <c r="Z45" s="14">
        <f>SUM(M45:X45)</f>
        <v/>
      </c>
      <c r="AA45" s="13">
        <f>SUMPRODUCT(M45:X45,$M$3:$X$3)*$K45*$L45</f>
        <v/>
      </c>
      <c r="AB45" s="13">
        <f>SUMPRODUCT(M45:X45,$M$4:$X$4)*$K45*$L45</f>
        <v/>
      </c>
      <c r="AC45" s="15">
        <f>SUMPRODUCT(M45:X45,$M$5:$X$5)*$K45*$L45</f>
        <v/>
      </c>
      <c r="AD45" s="15">
        <f>SUMPRODUCT(M45:X45,$M$6:$X$6)*$K45*$L45</f>
        <v/>
      </c>
      <c r="AE45" s="19" t="n"/>
    </row>
    <row r="46">
      <c r="A46" s="9" t="n">
        <v>664076</v>
      </c>
      <c r="B46" s="9" t="inlineStr">
        <is>
          <t>Garrett Cleavinger</t>
        </is>
      </c>
      <c r="C46" s="9" t="inlineStr">
        <is>
          <t>TB</t>
        </is>
      </c>
      <c r="D46" s="9" t="n">
        <v>33</v>
      </c>
      <c r="E46" s="17" t="inlineStr">
        <is>
          <t>L</t>
        </is>
      </c>
      <c r="F46" s="17" t="n"/>
      <c r="G46" s="9" t="n">
        <v>181</v>
      </c>
      <c r="H46" s="9" t="n">
        <v>830</v>
      </c>
      <c r="I46" s="9" t="inlineStr">
        <is>
          <t>Closer</t>
        </is>
      </c>
      <c r="J46" s="17" t="inlineStr">
        <is>
          <t>Opening Day</t>
        </is>
      </c>
      <c r="K46" s="11">
        <f>IFERROR(INDEX(Roles!$B$17:$B$20,MATCH(J46,Roles!$A$17:$A$20,0)),1)</f>
        <v/>
      </c>
      <c r="L46" s="18" t="n">
        <v>1</v>
      </c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3">
        <f>SUMPRODUCT(M46:X46,$M$2:$X$2)*$K46*$L46</f>
        <v/>
      </c>
      <c r="Z46" s="14">
        <f>SUM(M46:X46)</f>
        <v/>
      </c>
      <c r="AA46" s="13">
        <f>SUMPRODUCT(M46:X46,$M$3:$X$3)*$K46*$L46</f>
        <v/>
      </c>
      <c r="AB46" s="13">
        <f>SUMPRODUCT(M46:X46,$M$4:$X$4)*$K46*$L46</f>
        <v/>
      </c>
      <c r="AC46" s="15">
        <f>SUMPRODUCT(M46:X46,$M$5:$X$5)*$K46*$L46</f>
        <v/>
      </c>
      <c r="AD46" s="15">
        <f>SUMPRODUCT(M46:X46,$M$6:$X$6)*$K46*$L46</f>
        <v/>
      </c>
      <c r="AE46" s="19" t="n"/>
    </row>
    <row r="47">
      <c r="A47" s="9" t="n">
        <v>554430</v>
      </c>
      <c r="B47" s="9" t="inlineStr">
        <is>
          <t>Zack Wheeler</t>
        </is>
      </c>
      <c r="C47" s="9" t="inlineStr">
        <is>
          <t>PHI</t>
        </is>
      </c>
      <c r="D47" s="9" t="n">
        <v>37</v>
      </c>
      <c r="E47" s="17" t="inlineStr">
        <is>
          <t>R</t>
        </is>
      </c>
      <c r="F47" s="17" t="n"/>
      <c r="G47" s="9" t="n">
        <v>599</v>
      </c>
      <c r="H47" s="9" t="n">
        <v>3365</v>
      </c>
      <c r="I47" s="9" t="inlineStr">
        <is>
          <t>Ace (SP1)</t>
        </is>
      </c>
      <c r="J47" s="17" t="inlineStr">
        <is>
          <t>Opening Day</t>
        </is>
      </c>
      <c r="K47" s="11">
        <f>IFERROR(INDEX(Roles!$B$17:$B$20,MATCH(J47,Roles!$A$17:$A$20,0)),1)</f>
        <v/>
      </c>
      <c r="L47" s="18" t="n">
        <v>1</v>
      </c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3">
        <f>SUMPRODUCT(M47:X47,$M$2:$X$2)*$K47*$L47</f>
        <v/>
      </c>
      <c r="Z47" s="14">
        <f>SUM(M47:X47)</f>
        <v/>
      </c>
      <c r="AA47" s="13">
        <f>SUMPRODUCT(M47:X47,$M$3:$X$3)*$K47*$L47</f>
        <v/>
      </c>
      <c r="AB47" s="13">
        <f>SUMPRODUCT(M47:X47,$M$4:$X$4)*$K47*$L47</f>
        <v/>
      </c>
      <c r="AC47" s="15">
        <f>SUMPRODUCT(M47:X47,$M$5:$X$5)*$K47*$L47</f>
        <v/>
      </c>
      <c r="AD47" s="15">
        <f>SUMPRODUCT(M47:X47,$M$6:$X$6)*$K47*$L47</f>
        <v/>
      </c>
      <c r="AE47" s="19" t="n"/>
    </row>
    <row r="48">
      <c r="A48" s="9" t="n">
        <v>701656</v>
      </c>
      <c r="B48" s="9" t="inlineStr">
        <is>
          <t>Logan Henderson</t>
        </is>
      </c>
      <c r="C48" s="9" t="inlineStr">
        <is>
          <t>MIL</t>
        </is>
      </c>
      <c r="D48" s="9" t="n">
        <v>25</v>
      </c>
      <c r="E48" s="17" t="inlineStr">
        <is>
          <t>R</t>
        </is>
      </c>
      <c r="F48" s="17" t="n"/>
      <c r="G48" s="9" t="n">
        <v>349</v>
      </c>
      <c r="H48" s="9" t="n">
        <v>448</v>
      </c>
      <c r="I48" s="9" t="inlineStr">
        <is>
          <t>Mid-Rotation Starter (SP2-3)</t>
        </is>
      </c>
      <c r="J48" s="17" t="inlineStr">
        <is>
          <t>Opening Day</t>
        </is>
      </c>
      <c r="K48" s="11">
        <f>IFERROR(INDEX(Roles!$B$17:$B$20,MATCH(J48,Roles!$A$17:$A$20,0)),1)</f>
        <v/>
      </c>
      <c r="L48" s="18" t="n">
        <v>1</v>
      </c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3">
        <f>SUMPRODUCT(M48:X48,$M$2:$X$2)*$K48*$L48</f>
        <v/>
      </c>
      <c r="Z48" s="14">
        <f>SUM(M48:X48)</f>
        <v/>
      </c>
      <c r="AA48" s="13">
        <f>SUMPRODUCT(M48:X48,$M$3:$X$3)*$K48*$L48</f>
        <v/>
      </c>
      <c r="AB48" s="13">
        <f>SUMPRODUCT(M48:X48,$M$4:$X$4)*$K48*$L48</f>
        <v/>
      </c>
      <c r="AC48" s="15">
        <f>SUMPRODUCT(M48:X48,$M$5:$X$5)*$K48*$L48</f>
        <v/>
      </c>
      <c r="AD48" s="15">
        <f>SUMPRODUCT(M48:X48,$M$6:$X$6)*$K48*$L48</f>
        <v/>
      </c>
      <c r="AE48" s="19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7" t="inlineStr">
        <is>
          <t>R</t>
        </is>
      </c>
      <c r="F49" s="17" t="n"/>
      <c r="G49" s="9" t="n">
        <v>277</v>
      </c>
      <c r="H49" s="9" t="n">
        <v>746</v>
      </c>
      <c r="I49" s="9" t="inlineStr">
        <is>
          <t>Depth (no MLB IP)</t>
        </is>
      </c>
      <c r="J49" s="17" t="inlineStr">
        <is>
          <t>Opening Day</t>
        </is>
      </c>
      <c r="K49" s="11">
        <f>IFERROR(INDEX(Roles!$B$17:$B$20,MATCH(J49,Roles!$A$17:$A$20,0)),1)</f>
        <v/>
      </c>
      <c r="L49" s="18" t="n">
        <v>1</v>
      </c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3">
        <f>SUMPRODUCT(M49:X49,$M$2:$X$2)*$K49*$L49</f>
        <v/>
      </c>
      <c r="Z49" s="14">
        <f>SUM(M49:X49)</f>
        <v/>
      </c>
      <c r="AA49" s="13">
        <f>SUMPRODUCT(M49:X49,$M$3:$X$3)*$K49*$L49</f>
        <v/>
      </c>
      <c r="AB49" s="13">
        <f>SUMPRODUCT(M49:X49,$M$4:$X$4)*$K49*$L49</f>
        <v/>
      </c>
      <c r="AC49" s="15">
        <f>SUMPRODUCT(M49:X49,$M$5:$X$5)*$K49*$L49</f>
        <v/>
      </c>
      <c r="AD49" s="15">
        <f>SUMPRODUCT(M49:X49,$M$6:$X$6)*$K49*$L49</f>
        <v/>
      </c>
      <c r="AE49" s="19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7" t="inlineStr">
        <is>
          <t>L</t>
        </is>
      </c>
      <c r="F50" s="17" t="n"/>
      <c r="G50" s="9" t="n">
        <v>131</v>
      </c>
      <c r="H50" s="9" t="n">
        <v>131</v>
      </c>
      <c r="I50" s="9" t="inlineStr">
        <is>
          <t>Late Inning RP (Setup)</t>
        </is>
      </c>
      <c r="J50" s="17" t="inlineStr">
        <is>
          <t>Opening Day</t>
        </is>
      </c>
      <c r="K50" s="11">
        <f>IFERROR(INDEX(Roles!$B$17:$B$20,MATCH(J50,Roles!$A$17:$A$20,0)),1)</f>
        <v/>
      </c>
      <c r="L50" s="18" t="n">
        <v>1</v>
      </c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3">
        <f>SUMPRODUCT(M50:X50,$M$2:$X$2)*$K50*$L50</f>
        <v/>
      </c>
      <c r="Z50" s="14">
        <f>SUM(M50:X50)</f>
        <v/>
      </c>
      <c r="AA50" s="13">
        <f>SUMPRODUCT(M50:X50,$M$3:$X$3)*$K50*$L50</f>
        <v/>
      </c>
      <c r="AB50" s="13">
        <f>SUMPRODUCT(M50:X50,$M$4:$X$4)*$K50*$L50</f>
        <v/>
      </c>
      <c r="AC50" s="15">
        <f>SUMPRODUCT(M50:X50,$M$5:$X$5)*$K50*$L50</f>
        <v/>
      </c>
      <c r="AD50" s="15">
        <f>SUMPRODUCT(M50:X50,$M$6:$X$6)*$K50*$L50</f>
        <v/>
      </c>
      <c r="AE50" s="19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7" t="inlineStr">
        <is>
          <t>L</t>
        </is>
      </c>
      <c r="F51" s="17" t="n"/>
      <c r="G51" s="9" t="n">
        <v>99</v>
      </c>
      <c r="H51" s="9" t="n">
        <v>629</v>
      </c>
      <c r="I51" s="9" t="inlineStr">
        <is>
          <t>Bullpen Depth Arm</t>
        </is>
      </c>
      <c r="J51" s="17" t="inlineStr">
        <is>
          <t>Opening Day</t>
        </is>
      </c>
      <c r="K51" s="11">
        <f>IFERROR(INDEX(Roles!$B$17:$B$20,MATCH(J51,Roles!$A$17:$A$20,0)),1)</f>
        <v/>
      </c>
      <c r="L51" s="18" t="n">
        <v>1</v>
      </c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3">
        <f>SUMPRODUCT(M51:X51,$M$2:$X$2)*$K51*$L51</f>
        <v/>
      </c>
      <c r="Z51" s="14">
        <f>SUM(M51:X51)</f>
        <v/>
      </c>
      <c r="AA51" s="13">
        <f>SUMPRODUCT(M51:X51,$M$3:$X$3)*$K51*$L51</f>
        <v/>
      </c>
      <c r="AB51" s="13">
        <f>SUMPRODUCT(M51:X51,$M$4:$X$4)*$K51*$L51</f>
        <v/>
      </c>
      <c r="AC51" s="15">
        <f>SUMPRODUCT(M51:X51,$M$5:$X$5)*$K51*$L51</f>
        <v/>
      </c>
      <c r="AD51" s="15">
        <f>SUMPRODUCT(M51:X51,$M$6:$X$6)*$K51*$L51</f>
        <v/>
      </c>
      <c r="AE51" s="19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7" t="inlineStr">
        <is>
          <t>R</t>
        </is>
      </c>
      <c r="F52" s="17" t="n"/>
      <c r="G52" s="9" t="n">
        <v>64</v>
      </c>
      <c r="H52" s="9" t="n">
        <v>793</v>
      </c>
      <c r="I52" s="9" t="inlineStr">
        <is>
          <t>Late Inning RP (Setup)</t>
        </is>
      </c>
      <c r="J52" s="17" t="inlineStr">
        <is>
          <t>Opening Day</t>
        </is>
      </c>
      <c r="K52" s="11">
        <f>IFERROR(INDEX(Roles!$B$17:$B$20,MATCH(J52,Roles!$A$17:$A$20,0)),1)</f>
        <v/>
      </c>
      <c r="L52" s="18" t="n">
        <v>1</v>
      </c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3">
        <f>SUMPRODUCT(M52:X52,$M$2:$X$2)*$K52*$L52</f>
        <v/>
      </c>
      <c r="Z52" s="14">
        <f>SUM(M52:X52)</f>
        <v/>
      </c>
      <c r="AA52" s="13">
        <f>SUMPRODUCT(M52:X52,$M$3:$X$3)*$K52*$L52</f>
        <v/>
      </c>
      <c r="AB52" s="13">
        <f>SUMPRODUCT(M52:X52,$M$4:$X$4)*$K52*$L52</f>
        <v/>
      </c>
      <c r="AC52" s="15">
        <f>SUMPRODUCT(M52:X52,$M$5:$X$5)*$K52*$L52</f>
        <v/>
      </c>
      <c r="AD52" s="15">
        <f>SUMPRODUCT(M52:X52,$M$6:$X$6)*$K52*$L52</f>
        <v/>
      </c>
      <c r="AE52" s="19" t="n"/>
    </row>
    <row r="53">
      <c r="A53" s="9" t="n">
        <v>643377</v>
      </c>
      <c r="B53" s="9" t="inlineStr">
        <is>
          <t>Griffin Jax</t>
        </is>
      </c>
      <c r="C53" s="9" t="inlineStr">
        <is>
          <t>TB</t>
        </is>
      </c>
      <c r="D53" s="9" t="n">
        <v>32</v>
      </c>
      <c r="E53" s="17" t="inlineStr">
        <is>
          <t>R</t>
        </is>
      </c>
      <c r="F53" s="17" t="n"/>
      <c r="G53" s="9" t="n">
        <v>430</v>
      </c>
      <c r="H53" s="9" t="n">
        <v>1553</v>
      </c>
      <c r="I53" s="9" t="inlineStr">
        <is>
          <t>Late Inning RP (Setup)</t>
        </is>
      </c>
      <c r="J53" s="17" t="inlineStr">
        <is>
          <t>Opening Day</t>
        </is>
      </c>
      <c r="K53" s="11">
        <f>IFERROR(INDEX(Roles!$B$17:$B$20,MATCH(J53,Roles!$A$17:$A$20,0)),1)</f>
        <v/>
      </c>
      <c r="L53" s="18" t="n">
        <v>1</v>
      </c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3">
        <f>SUMPRODUCT(M53:X53,$M$2:$X$2)*$K53*$L53</f>
        <v/>
      </c>
      <c r="Z53" s="14">
        <f>SUM(M53:X53)</f>
        <v/>
      </c>
      <c r="AA53" s="13">
        <f>SUMPRODUCT(M53:X53,$M$3:$X$3)*$K53*$L53</f>
        <v/>
      </c>
      <c r="AB53" s="13">
        <f>SUMPRODUCT(M53:X53,$M$4:$X$4)*$K53*$L53</f>
        <v/>
      </c>
      <c r="AC53" s="15">
        <f>SUMPRODUCT(M53:X53,$M$5:$X$5)*$K53*$L53</f>
        <v/>
      </c>
      <c r="AD53" s="15">
        <f>SUMPRODUCT(M53:X53,$M$6:$X$6)*$K53*$L53</f>
        <v/>
      </c>
      <c r="AE53" s="19" t="n"/>
    </row>
    <row r="54">
      <c r="A54" s="9" t="n">
        <v>669276</v>
      </c>
      <c r="B54" s="9" t="inlineStr">
        <is>
          <t>Dylan Lee</t>
        </is>
      </c>
      <c r="C54" s="9" t="inlineStr">
        <is>
          <t>ATL</t>
        </is>
      </c>
      <c r="D54" s="9" t="n">
        <v>32</v>
      </c>
      <c r="E54" s="17" t="inlineStr">
        <is>
          <t>L</t>
        </is>
      </c>
      <c r="F54" s="17" t="n"/>
      <c r="G54" s="9" t="n">
        <v>250</v>
      </c>
      <c r="H54" s="9" t="n">
        <v>1058</v>
      </c>
      <c r="I54" s="9" t="inlineStr">
        <is>
          <t>Late Inning RP (Setup)</t>
        </is>
      </c>
      <c r="J54" s="17" t="inlineStr">
        <is>
          <t>Opening Day</t>
        </is>
      </c>
      <c r="K54" s="11">
        <f>IFERROR(INDEX(Roles!$B$17:$B$20,MATCH(J54,Roles!$A$17:$A$20,0)),1)</f>
        <v/>
      </c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3">
        <f>SUMPRODUCT(M54:X54,$M$2:$X$2)*$K54*$L54</f>
        <v/>
      </c>
      <c r="Z54" s="14">
        <f>SUM(M54:X54)</f>
        <v/>
      </c>
      <c r="AA54" s="13">
        <f>SUMPRODUCT(M54:X54,$M$3:$X$3)*$K54*$L54</f>
        <v/>
      </c>
      <c r="AB54" s="13">
        <f>SUMPRODUCT(M54:X54,$M$4:$X$4)*$K54*$L54</f>
        <v/>
      </c>
      <c r="AC54" s="15">
        <f>SUMPRODUCT(M54:X54,$M$5:$X$5)*$K54*$L54</f>
        <v/>
      </c>
      <c r="AD54" s="15">
        <f>SUMPRODUCT(M54:X54,$M$6:$X$6)*$K54*$L54</f>
        <v/>
      </c>
      <c r="AE54" s="19" t="n"/>
    </row>
    <row r="55">
      <c r="A55" s="9" t="n">
        <v>640462</v>
      </c>
      <c r="B55" s="9" t="inlineStr">
        <is>
          <t>A.J. Puk</t>
        </is>
      </c>
      <c r="C55" s="9" t="inlineStr">
        <is>
          <t>ARI</t>
        </is>
      </c>
      <c r="D55" s="9" t="n">
        <v>32</v>
      </c>
      <c r="E55" s="17" t="inlineStr">
        <is>
          <t>L</t>
        </is>
      </c>
      <c r="F55" s="17" t="n"/>
      <c r="G55" s="9" t="n">
        <v>35</v>
      </c>
      <c r="H55" s="9" t="n">
        <v>852</v>
      </c>
      <c r="I55" s="9" t="inlineStr">
        <is>
          <t>Late Inning RP (Setup)</t>
        </is>
      </c>
      <c r="J55" s="17" t="inlineStr">
        <is>
          <t>Opening Day</t>
        </is>
      </c>
      <c r="K55" s="11">
        <f>IFERROR(INDEX(Roles!$B$17:$B$20,MATCH(J55,Roles!$A$17:$A$20,0)),1)</f>
        <v/>
      </c>
      <c r="L55" s="18" t="n">
        <v>1</v>
      </c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3">
        <f>SUMPRODUCT(M55:X55,$M$2:$X$2)*$K55*$L55</f>
        <v/>
      </c>
      <c r="Z55" s="14">
        <f>SUM(M55:X55)</f>
        <v/>
      </c>
      <c r="AA55" s="13">
        <f>SUMPRODUCT(M55:X55,$M$3:$X$3)*$K55*$L55</f>
        <v/>
      </c>
      <c r="AB55" s="13">
        <f>SUMPRODUCT(M55:X55,$M$4:$X$4)*$K55*$L55</f>
        <v/>
      </c>
      <c r="AC55" s="15">
        <f>SUMPRODUCT(M55:X55,$M$5:$X$5)*$K55*$L55</f>
        <v/>
      </c>
      <c r="AD55" s="15">
        <f>SUMPRODUCT(M55:X55,$M$6:$X$6)*$K55*$L55</f>
        <v/>
      </c>
      <c r="AE55" s="19" t="n"/>
    </row>
    <row r="56">
      <c r="A56" s="9" t="n">
        <v>621237</v>
      </c>
      <c r="B56" s="9" t="inlineStr">
        <is>
          <t>José Alvarado</t>
        </is>
      </c>
      <c r="C56" s="9" t="inlineStr">
        <is>
          <t>PHI</t>
        </is>
      </c>
      <c r="D56" s="9" t="n">
        <v>32</v>
      </c>
      <c r="E56" s="17" t="inlineStr">
        <is>
          <t>L</t>
        </is>
      </c>
      <c r="F56" s="17" t="n"/>
      <c r="G56" s="9" t="n">
        <v>255</v>
      </c>
      <c r="H56" s="9" t="n">
        <v>1013</v>
      </c>
      <c r="I56" s="9" t="inlineStr">
        <is>
          <t>Late Inning RP (Setup)</t>
        </is>
      </c>
      <c r="J56" s="17" t="inlineStr">
        <is>
          <t>Opening Day</t>
        </is>
      </c>
      <c r="K56" s="11">
        <f>IFERROR(INDEX(Roles!$B$17:$B$20,MATCH(J56,Roles!$A$17:$A$20,0)),1)</f>
        <v/>
      </c>
      <c r="L56" s="18" t="n">
        <v>1</v>
      </c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3">
        <f>SUMPRODUCT(M56:X56,$M$2:$X$2)*$K56*$L56</f>
        <v/>
      </c>
      <c r="Z56" s="14">
        <f>SUM(M56:X56)</f>
        <v/>
      </c>
      <c r="AA56" s="13">
        <f>SUMPRODUCT(M56:X56,$M$3:$X$3)*$K56*$L56</f>
        <v/>
      </c>
      <c r="AB56" s="13">
        <f>SUMPRODUCT(M56:X56,$M$4:$X$4)*$K56*$L56</f>
        <v/>
      </c>
      <c r="AC56" s="15">
        <f>SUMPRODUCT(M56:X56,$M$5:$X$5)*$K56*$L56</f>
        <v/>
      </c>
      <c r="AD56" s="15">
        <f>SUMPRODUCT(M56:X56,$M$6:$X$6)*$K56*$L56</f>
        <v/>
      </c>
      <c r="AE56" s="19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7" t="inlineStr">
        <is>
          <t>L</t>
        </is>
      </c>
      <c r="F57" s="17" t="n"/>
      <c r="G57" s="9" t="n">
        <v>727</v>
      </c>
      <c r="H57" s="9" t="n">
        <v>2900</v>
      </c>
      <c r="I57" s="9" t="inlineStr">
        <is>
          <t>Ace (SP1)</t>
        </is>
      </c>
      <c r="J57" s="17" t="inlineStr">
        <is>
          <t>Opening Day</t>
        </is>
      </c>
      <c r="K57" s="11">
        <f>IFERROR(INDEX(Roles!$B$17:$B$20,MATCH(J57,Roles!$A$17:$A$20,0)),1)</f>
        <v/>
      </c>
      <c r="L57" s="18" t="n">
        <v>1</v>
      </c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3">
        <f>SUMPRODUCT(M57:X57,$M$2:$X$2)*$K57*$L57</f>
        <v/>
      </c>
      <c r="Z57" s="14">
        <f>SUM(M57:X57)</f>
        <v/>
      </c>
      <c r="AA57" s="13">
        <f>SUMPRODUCT(M57:X57,$M$3:$X$3)*$K57*$L57</f>
        <v/>
      </c>
      <c r="AB57" s="13">
        <f>SUMPRODUCT(M57:X57,$M$4:$X$4)*$K57*$L57</f>
        <v/>
      </c>
      <c r="AC57" s="15">
        <f>SUMPRODUCT(M57:X57,$M$5:$X$5)*$K57*$L57</f>
        <v/>
      </c>
      <c r="AD57" s="15">
        <f>SUMPRODUCT(M57:X57,$M$6:$X$6)*$K57*$L57</f>
        <v/>
      </c>
      <c r="AE57" s="19" t="n"/>
    </row>
    <row r="58">
      <c r="A58" s="9" t="n">
        <v>666171</v>
      </c>
      <c r="B58" s="9" t="inlineStr">
        <is>
          <t>Ryan Zeferjahn</t>
        </is>
      </c>
      <c r="C58" s="9" t="inlineStr">
        <is>
          <t>CHC</t>
        </is>
      </c>
      <c r="D58" s="9" t="n">
        <v>29</v>
      </c>
      <c r="E58" s="17" t="inlineStr">
        <is>
          <t>R</t>
        </is>
      </c>
      <c r="F58" s="17" t="n"/>
      <c r="G58" s="9" t="n">
        <v>293</v>
      </c>
      <c r="H58" s="9" t="n">
        <v>614</v>
      </c>
      <c r="I58" s="9" t="inlineStr">
        <is>
          <t>Late Inning RP (Setup)</t>
        </is>
      </c>
      <c r="J58" s="17" t="inlineStr">
        <is>
          <t>Opening Day</t>
        </is>
      </c>
      <c r="K58" s="11">
        <f>IFERROR(INDEX(Roles!$B$17:$B$20,MATCH(J58,Roles!$A$17:$A$20,0)),1)</f>
        <v/>
      </c>
      <c r="L58" s="18" t="n">
        <v>1</v>
      </c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3">
        <f>SUMPRODUCT(M58:X58,$M$2:$X$2)*$K58*$L58</f>
        <v/>
      </c>
      <c r="Z58" s="14">
        <f>SUM(M58:X58)</f>
        <v/>
      </c>
      <c r="AA58" s="13">
        <f>SUMPRODUCT(M58:X58,$M$3:$X$3)*$K58*$L58</f>
        <v/>
      </c>
      <c r="AB58" s="13">
        <f>SUMPRODUCT(M58:X58,$M$4:$X$4)*$K58*$L58</f>
        <v/>
      </c>
      <c r="AC58" s="15">
        <f>SUMPRODUCT(M58:X58,$M$5:$X$5)*$K58*$L58</f>
        <v/>
      </c>
      <c r="AD58" s="15">
        <f>SUMPRODUCT(M58:X58,$M$6:$X$6)*$K58*$L58</f>
        <v/>
      </c>
      <c r="AE58" s="19" t="n"/>
    </row>
    <row r="59">
      <c r="A59" s="9" t="n">
        <v>687396</v>
      </c>
      <c r="B59" s="9" t="inlineStr">
        <is>
          <t>Brent Headrick</t>
        </is>
      </c>
      <c r="C59" s="9" t="inlineStr">
        <is>
          <t>NYY</t>
        </is>
      </c>
      <c r="D59" s="9" t="n">
        <v>29</v>
      </c>
      <c r="E59" s="17" t="inlineStr">
        <is>
          <t>L</t>
        </is>
      </c>
      <c r="F59" s="17" t="n"/>
      <c r="G59" s="9" t="n">
        <v>311</v>
      </c>
      <c r="H59" s="9" t="n">
        <v>533</v>
      </c>
      <c r="I59" s="9" t="inlineStr">
        <is>
          <t>Late Inning RP (Setup)</t>
        </is>
      </c>
      <c r="J59" s="17" t="inlineStr">
        <is>
          <t>Opening Day</t>
        </is>
      </c>
      <c r="K59" s="11">
        <f>IFERROR(INDEX(Roles!$B$17:$B$20,MATCH(J59,Roles!$A$17:$A$20,0)),1)</f>
        <v/>
      </c>
      <c r="L59" s="18" t="n">
        <v>1</v>
      </c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3">
        <f>SUMPRODUCT(M59:X59,$M$2:$X$2)*$K59*$L59</f>
        <v/>
      </c>
      <c r="Z59" s="14">
        <f>SUM(M59:X59)</f>
        <v/>
      </c>
      <c r="AA59" s="13">
        <f>SUMPRODUCT(M59:X59,$M$3:$X$3)*$K59*$L59</f>
        <v/>
      </c>
      <c r="AB59" s="13">
        <f>SUMPRODUCT(M59:X59,$M$4:$X$4)*$K59*$L59</f>
        <v/>
      </c>
      <c r="AC59" s="15">
        <f>SUMPRODUCT(M59:X59,$M$5:$X$5)*$K59*$L59</f>
        <v/>
      </c>
      <c r="AD59" s="15">
        <f>SUMPRODUCT(M59:X59,$M$6:$X$6)*$K59*$L59</f>
        <v/>
      </c>
      <c r="AE59" s="19" t="n"/>
    </row>
    <row r="60">
      <c r="A60" s="9" t="n">
        <v>664126</v>
      </c>
      <c r="B60" s="9" t="inlineStr">
        <is>
          <t>Pete Fairbanks</t>
        </is>
      </c>
      <c r="C60" s="9" t="inlineStr">
        <is>
          <t>MIA</t>
        </is>
      </c>
      <c r="D60" s="9" t="n">
        <v>33</v>
      </c>
      <c r="E60" s="17" t="inlineStr">
        <is>
          <t>R</t>
        </is>
      </c>
      <c r="F60" s="17" t="n"/>
      <c r="G60" s="9" t="n">
        <v>183</v>
      </c>
      <c r="H60" s="9" t="n">
        <v>883</v>
      </c>
      <c r="I60" s="9" t="inlineStr">
        <is>
          <t>Late Inning RP (Setup)</t>
        </is>
      </c>
      <c r="J60" s="17" t="inlineStr">
        <is>
          <t>Opening Day</t>
        </is>
      </c>
      <c r="K60" s="11">
        <f>IFERROR(INDEX(Roles!$B$17:$B$20,MATCH(J60,Roles!$A$17:$A$20,0)),1)</f>
        <v/>
      </c>
      <c r="L60" s="18" t="n">
        <v>1</v>
      </c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3">
        <f>SUMPRODUCT(M60:X60,$M$2:$X$2)*$K60*$L60</f>
        <v/>
      </c>
      <c r="Z60" s="14">
        <f>SUM(M60:X60)</f>
        <v/>
      </c>
      <c r="AA60" s="13">
        <f>SUMPRODUCT(M60:X60,$M$3:$X$3)*$K60*$L60</f>
        <v/>
      </c>
      <c r="AB60" s="13">
        <f>SUMPRODUCT(M60:X60,$M$4:$X$4)*$K60*$L60</f>
        <v/>
      </c>
      <c r="AC60" s="15">
        <f>SUMPRODUCT(M60:X60,$M$5:$X$5)*$K60*$L60</f>
        <v/>
      </c>
      <c r="AD60" s="15">
        <f>SUMPRODUCT(M60:X60,$M$6:$X$6)*$K60*$L60</f>
        <v/>
      </c>
      <c r="AE60" s="19" t="n"/>
    </row>
    <row r="61">
      <c r="A61" s="9" t="n">
        <v>656730</v>
      </c>
      <c r="B61" s="9" t="inlineStr">
        <is>
          <t>Trevor Megill</t>
        </is>
      </c>
      <c r="C61" s="9" t="inlineStr">
        <is>
          <t>MIL</t>
        </is>
      </c>
      <c r="D61" s="9" t="n">
        <v>33</v>
      </c>
      <c r="E61" s="17" t="inlineStr">
        <is>
          <t>R</t>
        </is>
      </c>
      <c r="F61" s="17" t="n"/>
      <c r="G61" s="9" t="n">
        <v>227</v>
      </c>
      <c r="H61" s="9" t="n">
        <v>946</v>
      </c>
      <c r="I61" s="9" t="inlineStr">
        <is>
          <t>Late Inning RP (Setup)</t>
        </is>
      </c>
      <c r="J61" s="17" t="inlineStr">
        <is>
          <t>Opening Day</t>
        </is>
      </c>
      <c r="K61" s="11">
        <f>IFERROR(INDEX(Roles!$B$17:$B$20,MATCH(J61,Roles!$A$17:$A$20,0)),1)</f>
        <v/>
      </c>
      <c r="L61" s="18" t="n">
        <v>1</v>
      </c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3">
        <f>SUMPRODUCT(M61:X61,$M$2:$X$2)*$K61*$L61</f>
        <v/>
      </c>
      <c r="Z61" s="14">
        <f>SUM(M61:X61)</f>
        <v/>
      </c>
      <c r="AA61" s="13">
        <f>SUMPRODUCT(M61:X61,$M$3:$X$3)*$K61*$L61</f>
        <v/>
      </c>
      <c r="AB61" s="13">
        <f>SUMPRODUCT(M61:X61,$M$4:$X$4)*$K61*$L61</f>
        <v/>
      </c>
      <c r="AC61" s="15">
        <f>SUMPRODUCT(M61:X61,$M$5:$X$5)*$K61*$L61</f>
        <v/>
      </c>
      <c r="AD61" s="15">
        <f>SUMPRODUCT(M61:X61,$M$6:$X$6)*$K61*$L61</f>
        <v/>
      </c>
      <c r="AE61" s="19" t="n"/>
    </row>
    <row r="62">
      <c r="A62" s="9" t="n">
        <v>675916</v>
      </c>
      <c r="B62" s="9" t="inlineStr">
        <is>
          <t>James Karinchak</t>
        </is>
      </c>
      <c r="C62" s="9" t="inlineStr">
        <is>
          <t>ATL</t>
        </is>
      </c>
      <c r="D62" s="9" t="n">
        <v>31</v>
      </c>
      <c r="E62" s="17" t="inlineStr">
        <is>
          <t>R</t>
        </is>
      </c>
      <c r="F62" s="17" t="n"/>
      <c r="G62" s="9" t="n">
        <v>37</v>
      </c>
      <c r="H62" s="9" t="n">
        <v>368</v>
      </c>
      <c r="I62" s="9" t="inlineStr">
        <is>
          <t>Bullpen Depth Arm</t>
        </is>
      </c>
      <c r="J62" s="17" t="inlineStr">
        <is>
          <t>Opening Day</t>
        </is>
      </c>
      <c r="K62" s="11">
        <f>IFERROR(INDEX(Roles!$B$17:$B$20,MATCH(J62,Roles!$A$17:$A$20,0)),1)</f>
        <v/>
      </c>
      <c r="L62" s="18" t="n">
        <v>1</v>
      </c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3">
        <f>SUMPRODUCT(M62:X62,$M$2:$X$2)*$K62*$L62</f>
        <v/>
      </c>
      <c r="Z62" s="14">
        <f>SUM(M62:X62)</f>
        <v/>
      </c>
      <c r="AA62" s="13">
        <f>SUMPRODUCT(M62:X62,$M$3:$X$3)*$K62*$L62</f>
        <v/>
      </c>
      <c r="AB62" s="13">
        <f>SUMPRODUCT(M62:X62,$M$4:$X$4)*$K62*$L62</f>
        <v/>
      </c>
      <c r="AC62" s="15">
        <f>SUMPRODUCT(M62:X62,$M$5:$X$5)*$K62*$L62</f>
        <v/>
      </c>
      <c r="AD62" s="15">
        <f>SUMPRODUCT(M62:X62,$M$6:$X$6)*$K62*$L62</f>
        <v/>
      </c>
      <c r="AE62" s="19" t="n"/>
    </row>
    <row r="63">
      <c r="A63" s="9" t="n">
        <v>670280</v>
      </c>
      <c r="B63" s="9" t="inlineStr">
        <is>
          <t>David Bednar</t>
        </is>
      </c>
      <c r="C63" s="9" t="inlineStr">
        <is>
          <t>NYY</t>
        </is>
      </c>
      <c r="D63" s="9" t="n">
        <v>32</v>
      </c>
      <c r="E63" s="17" t="inlineStr">
        <is>
          <t>R</t>
        </is>
      </c>
      <c r="F63" s="17" t="n"/>
      <c r="G63" s="9" t="n">
        <v>268</v>
      </c>
      <c r="H63" s="9" t="n">
        <v>1268</v>
      </c>
      <c r="I63" s="9" t="inlineStr">
        <is>
          <t>Closer</t>
        </is>
      </c>
      <c r="J63" s="17" t="inlineStr">
        <is>
          <t>Opening Day</t>
        </is>
      </c>
      <c r="K63" s="11">
        <f>IFERROR(INDEX(Roles!$B$17:$B$20,MATCH(J63,Roles!$A$17:$A$20,0)),1)</f>
        <v/>
      </c>
      <c r="L63" s="18" t="n">
        <v>1</v>
      </c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3">
        <f>SUMPRODUCT(M63:X63,$M$2:$X$2)*$K63*$L63</f>
        <v/>
      </c>
      <c r="Z63" s="14">
        <f>SUM(M63:X63)</f>
        <v/>
      </c>
      <c r="AA63" s="13">
        <f>SUMPRODUCT(M63:X63,$M$3:$X$3)*$K63*$L63</f>
        <v/>
      </c>
      <c r="AB63" s="13">
        <f>SUMPRODUCT(M63:X63,$M$4:$X$4)*$K63*$L63</f>
        <v/>
      </c>
      <c r="AC63" s="15">
        <f>SUMPRODUCT(M63:X63,$M$5:$X$5)*$K63*$L63</f>
        <v/>
      </c>
      <c r="AD63" s="15">
        <f>SUMPRODUCT(M63:X63,$M$6:$X$6)*$K63*$L63</f>
        <v/>
      </c>
      <c r="AE63" s="19" t="n"/>
    </row>
    <row r="64">
      <c r="A64" s="9" t="n">
        <v>676879</v>
      </c>
      <c r="B64" s="9" t="inlineStr">
        <is>
          <t>Aaron Ashby</t>
        </is>
      </c>
      <c r="C64" s="9" t="inlineStr">
        <is>
          <t>MIL</t>
        </is>
      </c>
      <c r="D64" s="9" t="n">
        <v>29</v>
      </c>
      <c r="E64" s="17" t="inlineStr">
        <is>
          <t>L</t>
        </is>
      </c>
      <c r="F64" s="17" t="n"/>
      <c r="G64" s="9" t="n">
        <v>361</v>
      </c>
      <c r="H64" s="9" t="n">
        <v>1225</v>
      </c>
      <c r="I64" s="9" t="inlineStr">
        <is>
          <t>Closer</t>
        </is>
      </c>
      <c r="J64" s="17" t="inlineStr">
        <is>
          <t>Opening Day</t>
        </is>
      </c>
      <c r="K64" s="11">
        <f>IFERROR(INDEX(Roles!$B$17:$B$20,MATCH(J64,Roles!$A$17:$A$20,0)),1)</f>
        <v/>
      </c>
      <c r="L64" s="18" t="n">
        <v>1</v>
      </c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3">
        <f>SUMPRODUCT(M64:X64,$M$2:$X$2)*$K64*$L64</f>
        <v/>
      </c>
      <c r="Z64" s="14">
        <f>SUM(M64:X64)</f>
        <v/>
      </c>
      <c r="AA64" s="13">
        <f>SUMPRODUCT(M64:X64,$M$3:$X$3)*$K64*$L64</f>
        <v/>
      </c>
      <c r="AB64" s="13">
        <f>SUMPRODUCT(M64:X64,$M$4:$X$4)*$K64*$L64</f>
        <v/>
      </c>
      <c r="AC64" s="15">
        <f>SUMPRODUCT(M64:X64,$M$5:$X$5)*$K64*$L64</f>
        <v/>
      </c>
      <c r="AD64" s="15">
        <f>SUMPRODUCT(M64:X64,$M$6:$X$6)*$K64*$L64</f>
        <v/>
      </c>
      <c r="AE64" s="19" t="n"/>
    </row>
    <row r="65">
      <c r="A65" s="9" t="n">
        <v>696146</v>
      </c>
      <c r="B65" s="9" t="inlineStr">
        <is>
          <t>Hagen Smith</t>
        </is>
      </c>
      <c r="C65" s="9" t="inlineStr">
        <is>
          <t>CWS</t>
        </is>
      </c>
      <c r="D65" s="9" t="n">
        <v>23</v>
      </c>
      <c r="E65" s="17" t="inlineStr">
        <is>
          <t>L</t>
        </is>
      </c>
      <c r="F65" s="17" t="n"/>
      <c r="G65" s="9" t="n">
        <v>91</v>
      </c>
      <c r="H65" s="9" t="n">
        <v>91</v>
      </c>
      <c r="I65" s="9" t="inlineStr">
        <is>
          <t>Late Inning RP (Setup)</t>
        </is>
      </c>
      <c r="J65" s="17" t="inlineStr">
        <is>
          <t>Opening Day</t>
        </is>
      </c>
      <c r="K65" s="11">
        <f>IFERROR(INDEX(Roles!$B$17:$B$20,MATCH(J65,Roles!$A$17:$A$20,0)),1)</f>
        <v/>
      </c>
      <c r="L65" s="18" t="n">
        <v>1</v>
      </c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3">
        <f>SUMPRODUCT(M65:X65,$M$2:$X$2)*$K65*$L65</f>
        <v/>
      </c>
      <c r="Z65" s="14">
        <f>SUM(M65:X65)</f>
        <v/>
      </c>
      <c r="AA65" s="13">
        <f>SUMPRODUCT(M65:X65,$M$3:$X$3)*$K65*$L65</f>
        <v/>
      </c>
      <c r="AB65" s="13">
        <f>SUMPRODUCT(M65:X65,$M$4:$X$4)*$K65*$L65</f>
        <v/>
      </c>
      <c r="AC65" s="15">
        <f>SUMPRODUCT(M65:X65,$M$5:$X$5)*$K65*$L65</f>
        <v/>
      </c>
      <c r="AD65" s="15">
        <f>SUMPRODUCT(M65:X65,$M$6:$X$6)*$K65*$L65</f>
        <v/>
      </c>
      <c r="AE65" s="19" t="n"/>
    </row>
    <row r="66">
      <c r="A66" s="9" t="n">
        <v>523260</v>
      </c>
      <c r="B66" s="9" t="inlineStr">
        <is>
          <t>Joe Kelly</t>
        </is>
      </c>
      <c r="C66" s="9" t="inlineStr">
        <is>
          <t>LAD</t>
        </is>
      </c>
      <c r="D66" s="9" t="n">
        <v>39</v>
      </c>
      <c r="E66" s="17" t="inlineStr">
        <is>
          <t>R</t>
        </is>
      </c>
      <c r="F66" s="17" t="n"/>
      <c r="G66" s="9" t="n">
        <v>143</v>
      </c>
      <c r="H66" s="9" t="n">
        <v>481</v>
      </c>
      <c r="I66" s="9" t="inlineStr">
        <is>
          <t>Depth (no MLB IP)</t>
        </is>
      </c>
      <c r="J66" s="17" t="inlineStr">
        <is>
          <t>Opening Day</t>
        </is>
      </c>
      <c r="K66" s="11">
        <f>IFERROR(INDEX(Roles!$B$17:$B$20,MATCH(J66,Roles!$A$17:$A$20,0)),1)</f>
        <v/>
      </c>
      <c r="L66" s="18" t="n">
        <v>1</v>
      </c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3">
        <f>SUMPRODUCT(M66:X66,$M$2:$X$2)*$K66*$L66</f>
        <v/>
      </c>
      <c r="Z66" s="14">
        <f>SUM(M66:X66)</f>
        <v/>
      </c>
      <c r="AA66" s="13">
        <f>SUMPRODUCT(M66:X66,$M$3:$X$3)*$K66*$L66</f>
        <v/>
      </c>
      <c r="AB66" s="13">
        <f>SUMPRODUCT(M66:X66,$M$4:$X$4)*$K66*$L66</f>
        <v/>
      </c>
      <c r="AC66" s="15">
        <f>SUMPRODUCT(M66:X66,$M$5:$X$5)*$K66*$L66</f>
        <v/>
      </c>
      <c r="AD66" s="15">
        <f>SUMPRODUCT(M66:X66,$M$6:$X$6)*$K66*$L66</f>
        <v/>
      </c>
      <c r="AE66" s="19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7" t="inlineStr">
        <is>
          <t>R</t>
        </is>
      </c>
      <c r="F67" s="17" t="n"/>
      <c r="G67" s="9" t="n">
        <v>40</v>
      </c>
      <c r="H67" s="9" t="n">
        <v>472</v>
      </c>
      <c r="I67" s="9" t="inlineStr">
        <is>
          <t>Late Inning RP (Setup)</t>
        </is>
      </c>
      <c r="J67" s="17" t="inlineStr">
        <is>
          <t>Opening Day</t>
        </is>
      </c>
      <c r="K67" s="11">
        <f>IFERROR(INDEX(Roles!$B$17:$B$20,MATCH(J67,Roles!$A$17:$A$20,0)),1)</f>
        <v/>
      </c>
      <c r="L67" s="18" t="n">
        <v>1</v>
      </c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3">
        <f>SUMPRODUCT(M67:X67,$M$2:$X$2)*$K67*$L67</f>
        <v/>
      </c>
      <c r="Z67" s="14">
        <f>SUM(M67:X67)</f>
        <v/>
      </c>
      <c r="AA67" s="13">
        <f>SUMPRODUCT(M67:X67,$M$3:$X$3)*$K67*$L67</f>
        <v/>
      </c>
      <c r="AB67" s="13">
        <f>SUMPRODUCT(M67:X67,$M$4:$X$4)*$K67*$L67</f>
        <v/>
      </c>
      <c r="AC67" s="15">
        <f>SUMPRODUCT(M67:X67,$M$5:$X$5)*$K67*$L67</f>
        <v/>
      </c>
      <c r="AD67" s="15">
        <f>SUMPRODUCT(M67:X67,$M$6:$X$6)*$K67*$L67</f>
        <v/>
      </c>
      <c r="AE67" s="19" t="n"/>
    </row>
    <row r="68">
      <c r="A68" s="9" t="n">
        <v>669062</v>
      </c>
      <c r="B68" s="9" t="inlineStr">
        <is>
          <t>Erik Miller</t>
        </is>
      </c>
      <c r="C68" s="9" t="inlineStr">
        <is>
          <t>BOS</t>
        </is>
      </c>
      <c r="D68" s="9" t="n">
        <v>29</v>
      </c>
      <c r="E68" s="17" t="inlineStr">
        <is>
          <t>L</t>
        </is>
      </c>
      <c r="F68" s="17" t="n"/>
      <c r="G68" s="9" t="n">
        <v>210</v>
      </c>
      <c r="H68" s="9" t="n">
        <v>622</v>
      </c>
      <c r="I68" s="9" t="inlineStr">
        <is>
          <t>Middle Relief</t>
        </is>
      </c>
      <c r="J68" s="17" t="inlineStr">
        <is>
          <t>Opening Day</t>
        </is>
      </c>
      <c r="K68" s="11">
        <f>IFERROR(INDEX(Roles!$B$17:$B$20,MATCH(J68,Roles!$A$17:$A$20,0)),1)</f>
        <v/>
      </c>
      <c r="L68" s="18" t="n">
        <v>1</v>
      </c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3">
        <f>SUMPRODUCT(M68:X68,$M$2:$X$2)*$K68*$L68</f>
        <v/>
      </c>
      <c r="Z68" s="14">
        <f>SUM(M68:X68)</f>
        <v/>
      </c>
      <c r="AA68" s="13">
        <f>SUMPRODUCT(M68:X68,$M$3:$X$3)*$K68*$L68</f>
        <v/>
      </c>
      <c r="AB68" s="13">
        <f>SUMPRODUCT(M68:X68,$M$4:$X$4)*$K68*$L68</f>
        <v/>
      </c>
      <c r="AC68" s="15">
        <f>SUMPRODUCT(M68:X68,$M$5:$X$5)*$K68*$L68</f>
        <v/>
      </c>
      <c r="AD68" s="15">
        <f>SUMPRODUCT(M68:X68,$M$6:$X$6)*$K68*$L68</f>
        <v/>
      </c>
      <c r="AE68" s="19" t="n"/>
    </row>
    <row r="69">
      <c r="A69" s="9" t="n">
        <v>621345</v>
      </c>
      <c r="B69" s="9" t="inlineStr">
        <is>
          <t>A.J. Minter</t>
        </is>
      </c>
      <c r="C69" s="9" t="inlineStr">
        <is>
          <t>MIN</t>
        </is>
      </c>
      <c r="D69" s="9" t="n">
        <v>33</v>
      </c>
      <c r="E69" s="17" t="inlineStr">
        <is>
          <t>L</t>
        </is>
      </c>
      <c r="F69" s="17" t="n"/>
      <c r="G69" s="9" t="n">
        <v>169</v>
      </c>
      <c r="H69" s="9" t="n">
        <v>878</v>
      </c>
      <c r="I69" s="9" t="inlineStr">
        <is>
          <t>Late Inning RP (Setup)</t>
        </is>
      </c>
      <c r="J69" s="17" t="inlineStr">
        <is>
          <t>Opening Day</t>
        </is>
      </c>
      <c r="K69" s="11">
        <f>IFERROR(INDEX(Roles!$B$17:$B$20,MATCH(J69,Roles!$A$17:$A$20,0)),1)</f>
        <v/>
      </c>
      <c r="L69" s="18" t="n">
        <v>1</v>
      </c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3">
        <f>SUMPRODUCT(M69:X69,$M$2:$X$2)*$K69*$L69</f>
        <v/>
      </c>
      <c r="Z69" s="14">
        <f>SUM(M69:X69)</f>
        <v/>
      </c>
      <c r="AA69" s="13">
        <f>SUMPRODUCT(M69:X69,$M$3:$X$3)*$K69*$L69</f>
        <v/>
      </c>
      <c r="AB69" s="13">
        <f>SUMPRODUCT(M69:X69,$M$4:$X$4)*$K69*$L69</f>
        <v/>
      </c>
      <c r="AC69" s="15">
        <f>SUMPRODUCT(M69:X69,$M$5:$X$5)*$K69*$L69</f>
        <v/>
      </c>
      <c r="AD69" s="15">
        <f>SUMPRODUCT(M69:X69,$M$6:$X$6)*$K69*$L69</f>
        <v/>
      </c>
      <c r="AE69" s="19" t="n"/>
    </row>
    <row r="70">
      <c r="A70" s="9" t="n">
        <v>623465</v>
      </c>
      <c r="B70" s="9" t="inlineStr">
        <is>
          <t>Evan Phillips</t>
        </is>
      </c>
      <c r="C70" s="9" t="inlineStr">
        <is>
          <t>LAD</t>
        </is>
      </c>
      <c r="D70" s="9" t="n">
        <v>32</v>
      </c>
      <c r="E70" s="17" t="inlineStr">
        <is>
          <t>R</t>
        </is>
      </c>
      <c r="F70" s="17" t="n"/>
      <c r="G70" s="9" t="n">
        <v>93</v>
      </c>
      <c r="H70" s="9" t="n">
        <v>810</v>
      </c>
      <c r="I70" s="9" t="inlineStr">
        <is>
          <t>Bullpen Depth Arm</t>
        </is>
      </c>
      <c r="J70" s="17" t="inlineStr">
        <is>
          <t>Opening Day</t>
        </is>
      </c>
      <c r="K70" s="11">
        <f>IFERROR(INDEX(Roles!$B$17:$B$20,MATCH(J70,Roles!$A$17:$A$20,0)),1)</f>
        <v/>
      </c>
      <c r="L70" s="18" t="n">
        <v>1</v>
      </c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3">
        <f>SUMPRODUCT(M70:X70,$M$2:$X$2)*$K70*$L70</f>
        <v/>
      </c>
      <c r="Z70" s="14">
        <f>SUM(M70:X70)</f>
        <v/>
      </c>
      <c r="AA70" s="13">
        <f>SUMPRODUCT(M70:X70,$M$3:$X$3)*$K70*$L70</f>
        <v/>
      </c>
      <c r="AB70" s="13">
        <f>SUMPRODUCT(M70:X70,$M$4:$X$4)*$K70*$L70</f>
        <v/>
      </c>
      <c r="AC70" s="15">
        <f>SUMPRODUCT(M70:X70,$M$5:$X$5)*$K70*$L70</f>
        <v/>
      </c>
      <c r="AD70" s="15">
        <f>SUMPRODUCT(M70:X70,$M$6:$X$6)*$K70*$L70</f>
        <v/>
      </c>
      <c r="AE70" s="19" t="n"/>
    </row>
    <row r="71">
      <c r="A71" s="9" t="n">
        <v>805427</v>
      </c>
      <c r="B71" s="9" t="inlineStr">
        <is>
          <t>Drew Sommers</t>
        </is>
      </c>
      <c r="C71" s="9" t="inlineStr">
        <is>
          <t>DET</t>
        </is>
      </c>
      <c r="D71" s="9" t="n">
        <v>26</v>
      </c>
      <c r="E71" s="17" t="inlineStr">
        <is>
          <t>L</t>
        </is>
      </c>
      <c r="F71" s="17" t="n"/>
      <c r="G71" s="9" t="n">
        <v>155</v>
      </c>
      <c r="H71" s="9" t="n">
        <v>174</v>
      </c>
      <c r="I71" s="9" t="inlineStr">
        <is>
          <t>Late Inning RP (Setup)</t>
        </is>
      </c>
      <c r="J71" s="17" t="inlineStr">
        <is>
          <t>Opening Day</t>
        </is>
      </c>
      <c r="K71" s="11">
        <f>IFERROR(INDEX(Roles!$B$17:$B$20,MATCH(J71,Roles!$A$17:$A$20,0)),1)</f>
        <v/>
      </c>
      <c r="L71" s="18" t="n">
        <v>1</v>
      </c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3">
        <f>SUMPRODUCT(M71:X71,$M$2:$X$2)*$K71*$L71</f>
        <v/>
      </c>
      <c r="Z71" s="14">
        <f>SUM(M71:X71)</f>
        <v/>
      </c>
      <c r="AA71" s="13">
        <f>SUMPRODUCT(M71:X71,$M$3:$X$3)*$K71*$L71</f>
        <v/>
      </c>
      <c r="AB71" s="13">
        <f>SUMPRODUCT(M71:X71,$M$4:$X$4)*$K71*$L71</f>
        <v/>
      </c>
      <c r="AC71" s="15">
        <f>SUMPRODUCT(M71:X71,$M$5:$X$5)*$K71*$L71</f>
        <v/>
      </c>
      <c r="AD71" s="15">
        <f>SUMPRODUCT(M71:X71,$M$6:$X$6)*$K71*$L71</f>
        <v/>
      </c>
      <c r="AE71" s="19" t="n"/>
    </row>
    <row r="72">
      <c r="A72" s="9" t="n">
        <v>693855</v>
      </c>
      <c r="B72" s="9" t="inlineStr">
        <is>
          <t>Ian Seymour</t>
        </is>
      </c>
      <c r="C72" s="9" t="inlineStr">
        <is>
          <t>TB</t>
        </is>
      </c>
      <c r="D72" s="9" t="n">
        <v>28</v>
      </c>
      <c r="E72" s="17" t="inlineStr">
        <is>
          <t>L</t>
        </is>
      </c>
      <c r="F72" s="17" t="n"/>
      <c r="G72" s="9" t="n">
        <v>509</v>
      </c>
      <c r="H72" s="9" t="n">
        <v>751</v>
      </c>
      <c r="I72" s="9" t="inlineStr">
        <is>
          <t>Middle Relief</t>
        </is>
      </c>
      <c r="J72" s="17" t="inlineStr">
        <is>
          <t>Opening Day</t>
        </is>
      </c>
      <c r="K72" s="11">
        <f>IFERROR(INDEX(Roles!$B$17:$B$20,MATCH(J72,Roles!$A$17:$A$20,0)),1)</f>
        <v/>
      </c>
      <c r="L72" s="18" t="n">
        <v>1</v>
      </c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3">
        <f>SUMPRODUCT(M72:X72,$M$2:$X$2)*$K72*$L72</f>
        <v/>
      </c>
      <c r="Z72" s="14">
        <f>SUM(M72:X72)</f>
        <v/>
      </c>
      <c r="AA72" s="13">
        <f>SUMPRODUCT(M72:X72,$M$3:$X$3)*$K72*$L72</f>
        <v/>
      </c>
      <c r="AB72" s="13">
        <f>SUMPRODUCT(M72:X72,$M$4:$X$4)*$K72*$L72</f>
        <v/>
      </c>
      <c r="AC72" s="15">
        <f>SUMPRODUCT(M72:X72,$M$5:$X$5)*$K72*$L72</f>
        <v/>
      </c>
      <c r="AD72" s="15">
        <f>SUMPRODUCT(M72:X72,$M$6:$X$6)*$K72*$L72</f>
        <v/>
      </c>
      <c r="AE72" s="19" t="n"/>
    </row>
    <row r="73">
      <c r="A73" s="9" t="n">
        <v>668909</v>
      </c>
      <c r="B73" s="9" t="inlineStr">
        <is>
          <t>Gavin Williams</t>
        </is>
      </c>
      <c r="C73" s="9" t="inlineStr">
        <is>
          <t>CLE</t>
        </is>
      </c>
      <c r="D73" s="9" t="n">
        <v>27</v>
      </c>
      <c r="E73" s="17" t="inlineStr">
        <is>
          <t>R</t>
        </is>
      </c>
      <c r="F73" s="17" t="n"/>
      <c r="G73" s="9" t="n">
        <v>705</v>
      </c>
      <c r="H73" s="9" t="n">
        <v>2086</v>
      </c>
      <c r="I73" s="9" t="inlineStr">
        <is>
          <t>Mid-Rotation Starter (SP2-3)</t>
        </is>
      </c>
      <c r="J73" s="17" t="inlineStr">
        <is>
          <t>Opening Day</t>
        </is>
      </c>
      <c r="K73" s="11">
        <f>IFERROR(INDEX(Roles!$B$17:$B$20,MATCH(J73,Roles!$A$17:$A$20,0)),1)</f>
        <v/>
      </c>
      <c r="L73" s="18" t="n">
        <v>1</v>
      </c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3">
        <f>SUMPRODUCT(M73:X73,$M$2:$X$2)*$K73*$L73</f>
        <v/>
      </c>
      <c r="Z73" s="14">
        <f>SUM(M73:X73)</f>
        <v/>
      </c>
      <c r="AA73" s="13">
        <f>SUMPRODUCT(M73:X73,$M$3:$X$3)*$K73*$L73</f>
        <v/>
      </c>
      <c r="AB73" s="13">
        <f>SUMPRODUCT(M73:X73,$M$4:$X$4)*$K73*$L73</f>
        <v/>
      </c>
      <c r="AC73" s="15">
        <f>SUMPRODUCT(M73:X73,$M$5:$X$5)*$K73*$L73</f>
        <v/>
      </c>
      <c r="AD73" s="15">
        <f>SUMPRODUCT(M73:X73,$M$6:$X$6)*$K73*$L73</f>
        <v/>
      </c>
      <c r="AE73" s="19" t="n"/>
    </row>
    <row r="74">
      <c r="A74" s="9" t="n">
        <v>671305</v>
      </c>
      <c r="B74" s="9" t="inlineStr">
        <is>
          <t>Michel Otañez</t>
        </is>
      </c>
      <c r="C74" s="9" t="inlineStr">
        <is>
          <t>OAK</t>
        </is>
      </c>
      <c r="D74" s="9" t="n">
        <v>29</v>
      </c>
      <c r="E74" s="17" t="inlineStr">
        <is>
          <t>R</t>
        </is>
      </c>
      <c r="F74" s="17" t="n"/>
      <c r="G74" s="9" t="n">
        <v>28</v>
      </c>
      <c r="H74" s="9" t="n">
        <v>179</v>
      </c>
      <c r="I74" s="9" t="inlineStr">
        <is>
          <t>Closer</t>
        </is>
      </c>
      <c r="J74" s="17" t="inlineStr">
        <is>
          <t>Opening Day</t>
        </is>
      </c>
      <c r="K74" s="11">
        <f>IFERROR(INDEX(Roles!$B$17:$B$20,MATCH(J74,Roles!$A$17:$A$20,0)),1)</f>
        <v/>
      </c>
      <c r="L74" s="18" t="n">
        <v>1</v>
      </c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3">
        <f>SUMPRODUCT(M74:X74,$M$2:$X$2)*$K74*$L74</f>
        <v/>
      </c>
      <c r="Z74" s="14">
        <f>SUM(M74:X74)</f>
        <v/>
      </c>
      <c r="AA74" s="13">
        <f>SUMPRODUCT(M74:X74,$M$3:$X$3)*$K74*$L74</f>
        <v/>
      </c>
      <c r="AB74" s="13">
        <f>SUMPRODUCT(M74:X74,$M$4:$X$4)*$K74*$L74</f>
        <v/>
      </c>
      <c r="AC74" s="15">
        <f>SUMPRODUCT(M74:X74,$M$5:$X$5)*$K74*$L74</f>
        <v/>
      </c>
      <c r="AD74" s="15">
        <f>SUMPRODUCT(M74:X74,$M$6:$X$6)*$K74*$L74</f>
        <v/>
      </c>
      <c r="AE74" s="19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7" t="inlineStr">
        <is>
          <t>R</t>
        </is>
      </c>
      <c r="F75" s="17" t="n"/>
      <c r="G75" s="9" t="n">
        <v>196</v>
      </c>
      <c r="H75" s="9" t="n">
        <v>1015</v>
      </c>
      <c r="I75" s="9" t="inlineStr">
        <is>
          <t>Late Inning RP (Setup)</t>
        </is>
      </c>
      <c r="J75" s="17" t="inlineStr">
        <is>
          <t>Opening Day</t>
        </is>
      </c>
      <c r="K75" s="11">
        <f>IFERROR(INDEX(Roles!$B$17:$B$20,MATCH(J75,Roles!$A$17:$A$20,0)),1)</f>
        <v/>
      </c>
      <c r="L75" s="18" t="n">
        <v>1</v>
      </c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3">
        <f>SUMPRODUCT(M75:X75,$M$2:$X$2)*$K75*$L75</f>
        <v/>
      </c>
      <c r="Z75" s="14">
        <f>SUM(M75:X75)</f>
        <v/>
      </c>
      <c r="AA75" s="13">
        <f>SUMPRODUCT(M75:X75,$M$3:$X$3)*$K75*$L75</f>
        <v/>
      </c>
      <c r="AB75" s="13">
        <f>SUMPRODUCT(M75:X75,$M$4:$X$4)*$K75*$L75</f>
        <v/>
      </c>
      <c r="AC75" s="15">
        <f>SUMPRODUCT(M75:X75,$M$5:$X$5)*$K75*$L75</f>
        <v/>
      </c>
      <c r="AD75" s="15">
        <f>SUMPRODUCT(M75:X75,$M$6:$X$6)*$K75*$L75</f>
        <v/>
      </c>
      <c r="AE75" s="19" t="n"/>
    </row>
    <row r="76">
      <c r="A76" s="9" t="n">
        <v>801139</v>
      </c>
      <c r="B76" s="9" t="inlineStr">
        <is>
          <t>Payton Tolle</t>
        </is>
      </c>
      <c r="C76" s="9" t="inlineStr">
        <is>
          <t>BOS</t>
        </is>
      </c>
      <c r="D76" s="9" t="n">
        <v>24</v>
      </c>
      <c r="E76" s="17" t="inlineStr">
        <is>
          <t>L</t>
        </is>
      </c>
      <c r="F76" s="17" t="n"/>
      <c r="G76" s="9" t="n">
        <v>575</v>
      </c>
      <c r="H76" s="9" t="n">
        <v>649</v>
      </c>
      <c r="I76" s="9" t="inlineStr">
        <is>
          <t>Mid-Rotation Starter (SP2-3)</t>
        </is>
      </c>
      <c r="J76" s="17" t="inlineStr">
        <is>
          <t>Opening Day</t>
        </is>
      </c>
      <c r="K76" s="11">
        <f>IFERROR(INDEX(Roles!$B$17:$B$20,MATCH(J76,Roles!$A$17:$A$20,0)),1)</f>
        <v/>
      </c>
      <c r="L76" s="18" t="n">
        <v>1</v>
      </c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3">
        <f>SUMPRODUCT(M76:X76,$M$2:$X$2)*$K76*$L76</f>
        <v/>
      </c>
      <c r="Z76" s="14">
        <f>SUM(M76:X76)</f>
        <v/>
      </c>
      <c r="AA76" s="13">
        <f>SUMPRODUCT(M76:X76,$M$3:$X$3)*$K76*$L76</f>
        <v/>
      </c>
      <c r="AB76" s="13">
        <f>SUMPRODUCT(M76:X76,$M$4:$X$4)*$K76*$L76</f>
        <v/>
      </c>
      <c r="AC76" s="15">
        <f>SUMPRODUCT(M76:X76,$M$5:$X$5)*$K76*$L76</f>
        <v/>
      </c>
      <c r="AD76" s="15">
        <f>SUMPRODUCT(M76:X76,$M$6:$X$6)*$K76*$L76</f>
        <v/>
      </c>
      <c r="AE76" s="19" t="n"/>
    </row>
    <row r="77">
      <c r="A77" s="9" t="n">
        <v>808967</v>
      </c>
      <c r="B77" s="9" t="inlineStr">
        <is>
          <t>Yoshinobu Yamamoto</t>
        </is>
      </c>
      <c r="C77" s="9" t="inlineStr">
        <is>
          <t>LAD</t>
        </is>
      </c>
      <c r="D77" s="9" t="n">
        <v>28</v>
      </c>
      <c r="E77" s="17" t="inlineStr">
        <is>
          <t>R</t>
        </is>
      </c>
      <c r="F77" s="17" t="n"/>
      <c r="G77" s="9" t="n">
        <v>682</v>
      </c>
      <c r="H77" s="9" t="n">
        <v>1734</v>
      </c>
      <c r="I77" s="9" t="inlineStr">
        <is>
          <t>Ace (SP1)</t>
        </is>
      </c>
      <c r="J77" s="17" t="inlineStr">
        <is>
          <t>Opening Day</t>
        </is>
      </c>
      <c r="K77" s="11">
        <f>IFERROR(INDEX(Roles!$B$17:$B$20,MATCH(J77,Roles!$A$17:$A$20,0)),1)</f>
        <v/>
      </c>
      <c r="L77" s="18" t="n">
        <v>1</v>
      </c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3">
        <f>SUMPRODUCT(M77:X77,$M$2:$X$2)*$K77*$L77</f>
        <v/>
      </c>
      <c r="Z77" s="14">
        <f>SUM(M77:X77)</f>
        <v/>
      </c>
      <c r="AA77" s="13">
        <f>SUMPRODUCT(M77:X77,$M$3:$X$3)*$K77*$L77</f>
        <v/>
      </c>
      <c r="AB77" s="13">
        <f>SUMPRODUCT(M77:X77,$M$4:$X$4)*$K77*$L77</f>
        <v/>
      </c>
      <c r="AC77" s="15">
        <f>SUMPRODUCT(M77:X77,$M$5:$X$5)*$K77*$L77</f>
        <v/>
      </c>
      <c r="AD77" s="15">
        <f>SUMPRODUCT(M77:X77,$M$6:$X$6)*$K77*$L77</f>
        <v/>
      </c>
      <c r="AE77" s="19" t="n"/>
    </row>
    <row r="78">
      <c r="A78" s="9" t="n">
        <v>642100</v>
      </c>
      <c r="B78" s="9" t="inlineStr">
        <is>
          <t>Gabe Speier</t>
        </is>
      </c>
      <c r="C78" s="9" t="inlineStr">
        <is>
          <t>SEA</t>
        </is>
      </c>
      <c r="D78" s="9" t="n">
        <v>32</v>
      </c>
      <c r="E78" s="17" t="inlineStr">
        <is>
          <t>L</t>
        </is>
      </c>
      <c r="F78" s="17" t="n"/>
      <c r="G78" s="9" t="n">
        <v>177</v>
      </c>
      <c r="H78" s="9" t="n">
        <v>817</v>
      </c>
      <c r="I78" s="9" t="inlineStr">
        <is>
          <t>Late Inning RP (Setup)</t>
        </is>
      </c>
      <c r="J78" s="17" t="inlineStr">
        <is>
          <t>Opening Day</t>
        </is>
      </c>
      <c r="K78" s="11">
        <f>IFERROR(INDEX(Roles!$B$17:$B$20,MATCH(J78,Roles!$A$17:$A$20,0)),1)</f>
        <v/>
      </c>
      <c r="L78" s="18" t="n">
        <v>1</v>
      </c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3">
        <f>SUMPRODUCT(M78:X78,$M$2:$X$2)*$K78*$L78</f>
        <v/>
      </c>
      <c r="Z78" s="14">
        <f>SUM(M78:X78)</f>
        <v/>
      </c>
      <c r="AA78" s="13">
        <f>SUMPRODUCT(M78:X78,$M$3:$X$3)*$K78*$L78</f>
        <v/>
      </c>
      <c r="AB78" s="13">
        <f>SUMPRODUCT(M78:X78,$M$4:$X$4)*$K78*$L78</f>
        <v/>
      </c>
      <c r="AC78" s="15">
        <f>SUMPRODUCT(M78:X78,$M$5:$X$5)*$K78*$L78</f>
        <v/>
      </c>
      <c r="AD78" s="15">
        <f>SUMPRODUCT(M78:X78,$M$6:$X$6)*$K78*$L78</f>
        <v/>
      </c>
      <c r="AE78" s="19" t="n"/>
    </row>
    <row r="79">
      <c r="A79" s="9" t="n">
        <v>676477</v>
      </c>
      <c r="B79" s="9" t="inlineStr">
        <is>
          <t>Garrett Whitlock</t>
        </is>
      </c>
      <c r="C79" s="9" t="inlineStr">
        <is>
          <t>BOS</t>
        </is>
      </c>
      <c r="D79" s="9" t="n">
        <v>31</v>
      </c>
      <c r="E79" s="17" t="inlineStr">
        <is>
          <t>R</t>
        </is>
      </c>
      <c r="F79" s="17" t="n"/>
      <c r="G79" s="9" t="n">
        <v>186</v>
      </c>
      <c r="H79" s="9" t="n">
        <v>1169</v>
      </c>
      <c r="I79" s="9" t="inlineStr">
        <is>
          <t>Late Inning RP (Setup)</t>
        </is>
      </c>
      <c r="J79" s="17" t="inlineStr">
        <is>
          <t>Opening Day</t>
        </is>
      </c>
      <c r="K79" s="11">
        <f>IFERROR(INDEX(Roles!$B$17:$B$20,MATCH(J79,Roles!$A$17:$A$20,0)),1)</f>
        <v/>
      </c>
      <c r="L79" s="18" t="n">
        <v>1</v>
      </c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3">
        <f>SUMPRODUCT(M79:X79,$M$2:$X$2)*$K79*$L79</f>
        <v/>
      </c>
      <c r="Z79" s="14">
        <f>SUM(M79:X79)</f>
        <v/>
      </c>
      <c r="AA79" s="13">
        <f>SUMPRODUCT(M79:X79,$M$3:$X$3)*$K79*$L79</f>
        <v/>
      </c>
      <c r="AB79" s="13">
        <f>SUMPRODUCT(M79:X79,$M$4:$X$4)*$K79*$L79</f>
        <v/>
      </c>
      <c r="AC79" s="15">
        <f>SUMPRODUCT(M79:X79,$M$5:$X$5)*$K79*$L79</f>
        <v/>
      </c>
      <c r="AD79" s="15">
        <f>SUMPRODUCT(M79:X79,$M$6:$X$6)*$K79*$L79</f>
        <v/>
      </c>
      <c r="AE79" s="19" t="n"/>
    </row>
    <row r="80">
      <c r="A80" s="9" t="n">
        <v>643410</v>
      </c>
      <c r="B80" s="9" t="inlineStr">
        <is>
          <t>Mark Leiter Jr.</t>
        </is>
      </c>
      <c r="C80" s="9" t="inlineStr">
        <is>
          <t>OAK</t>
        </is>
      </c>
      <c r="D80" s="9" t="n">
        <v>36</v>
      </c>
      <c r="E80" s="17" t="inlineStr">
        <is>
          <t>R</t>
        </is>
      </c>
      <c r="F80" s="17" t="n"/>
      <c r="G80" s="9" t="n">
        <v>144</v>
      </c>
      <c r="H80" s="9" t="n">
        <v>1170</v>
      </c>
      <c r="I80" s="9" t="inlineStr">
        <is>
          <t>Late Inning RP (Setup)</t>
        </is>
      </c>
      <c r="J80" s="17" t="inlineStr">
        <is>
          <t>Opening Day</t>
        </is>
      </c>
      <c r="K80" s="11">
        <f>IFERROR(INDEX(Roles!$B$17:$B$20,MATCH(J80,Roles!$A$17:$A$20,0)),1)</f>
        <v/>
      </c>
      <c r="L80" s="18" t="n">
        <v>1</v>
      </c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3">
        <f>SUMPRODUCT(M80:X80,$M$2:$X$2)*$K80*$L80</f>
        <v/>
      </c>
      <c r="Z80" s="14">
        <f>SUM(M80:X80)</f>
        <v/>
      </c>
      <c r="AA80" s="13">
        <f>SUMPRODUCT(M80:X80,$M$3:$X$3)*$K80*$L80</f>
        <v/>
      </c>
      <c r="AB80" s="13">
        <f>SUMPRODUCT(M80:X80,$M$4:$X$4)*$K80*$L80</f>
        <v/>
      </c>
      <c r="AC80" s="15">
        <f>SUMPRODUCT(M80:X80,$M$5:$X$5)*$K80*$L80</f>
        <v/>
      </c>
      <c r="AD80" s="15">
        <f>SUMPRODUCT(M80:X80,$M$6:$X$6)*$K80*$L80</f>
        <v/>
      </c>
      <c r="AE80" s="19" t="n"/>
    </row>
    <row r="81">
      <c r="A81" s="9" t="n">
        <v>686218</v>
      </c>
      <c r="B81" s="9" t="inlineStr">
        <is>
          <t>Emmet Sheehan</t>
        </is>
      </c>
      <c r="C81" s="9" t="inlineStr">
        <is>
          <t>LAD</t>
        </is>
      </c>
      <c r="D81" s="9" t="n">
        <v>27</v>
      </c>
      <c r="E81" s="17" t="inlineStr">
        <is>
          <t>R</t>
        </is>
      </c>
      <c r="F81" s="17" t="n"/>
      <c r="G81" s="9" t="n">
        <v>454</v>
      </c>
      <c r="H81" s="9" t="n">
        <v>993</v>
      </c>
      <c r="I81" s="9" t="inlineStr">
        <is>
          <t>End-of-Rotation Starter (SP4-5)</t>
        </is>
      </c>
      <c r="J81" s="17" t="inlineStr">
        <is>
          <t>Opening Day</t>
        </is>
      </c>
      <c r="K81" s="11">
        <f>IFERROR(INDEX(Roles!$B$17:$B$20,MATCH(J81,Roles!$A$17:$A$20,0)),1)</f>
        <v/>
      </c>
      <c r="L81" s="18" t="n">
        <v>1</v>
      </c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3">
        <f>SUMPRODUCT(M81:X81,$M$2:$X$2)*$K81*$L81</f>
        <v/>
      </c>
      <c r="Z81" s="14">
        <f>SUM(M81:X81)</f>
        <v/>
      </c>
      <c r="AA81" s="13">
        <f>SUMPRODUCT(M81:X81,$M$3:$X$3)*$K81*$L81</f>
        <v/>
      </c>
      <c r="AB81" s="13">
        <f>SUMPRODUCT(M81:X81,$M$4:$X$4)*$K81*$L81</f>
        <v/>
      </c>
      <c r="AC81" s="15">
        <f>SUMPRODUCT(M81:X81,$M$5:$X$5)*$K81*$L81</f>
        <v/>
      </c>
      <c r="AD81" s="15">
        <f>SUMPRODUCT(M81:X81,$M$6:$X$6)*$K81*$L81</f>
        <v/>
      </c>
      <c r="AE81" s="19" t="n"/>
    </row>
    <row r="82">
      <c r="A82" s="9" t="n">
        <v>445276</v>
      </c>
      <c r="B82" s="9" t="inlineStr">
        <is>
          <t>Kenley Jansen</t>
        </is>
      </c>
      <c r="C82" s="9" t="inlineStr">
        <is>
          <t>DET</t>
        </is>
      </c>
      <c r="D82" s="9" t="n">
        <v>39</v>
      </c>
      <c r="E82" s="17" t="inlineStr">
        <is>
          <t>R</t>
        </is>
      </c>
      <c r="F82" s="17" t="n"/>
      <c r="G82" s="9" t="n">
        <v>171</v>
      </c>
      <c r="H82" s="9" t="n">
        <v>1071</v>
      </c>
      <c r="I82" s="9" t="inlineStr">
        <is>
          <t>Middle Relief</t>
        </is>
      </c>
      <c r="J82" s="17" t="inlineStr">
        <is>
          <t>Opening Day</t>
        </is>
      </c>
      <c r="K82" s="11">
        <f>IFERROR(INDEX(Roles!$B$17:$B$20,MATCH(J82,Roles!$A$17:$A$20,0)),1)</f>
        <v/>
      </c>
      <c r="L82" s="18" t="n">
        <v>1</v>
      </c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3">
        <f>SUMPRODUCT(M82:X82,$M$2:$X$2)*$K82*$L82</f>
        <v/>
      </c>
      <c r="Z82" s="14">
        <f>SUM(M82:X82)</f>
        <v/>
      </c>
      <c r="AA82" s="13">
        <f>SUMPRODUCT(M82:X82,$M$3:$X$3)*$K82*$L82</f>
        <v/>
      </c>
      <c r="AB82" s="13">
        <f>SUMPRODUCT(M82:X82,$M$4:$X$4)*$K82*$L82</f>
        <v/>
      </c>
      <c r="AC82" s="15">
        <f>SUMPRODUCT(M82:X82,$M$5:$X$5)*$K82*$L82</f>
        <v/>
      </c>
      <c r="AD82" s="15">
        <f>SUMPRODUCT(M82:X82,$M$6:$X$6)*$K82*$L82</f>
        <v/>
      </c>
      <c r="AE82" s="19" t="n"/>
    </row>
    <row r="83">
      <c r="A83" s="9" t="n">
        <v>543037</v>
      </c>
      <c r="B83" s="9" t="inlineStr">
        <is>
          <t>Gerrit Cole</t>
        </is>
      </c>
      <c r="C83" s="9" t="inlineStr">
        <is>
          <t>NYY</t>
        </is>
      </c>
      <c r="D83" s="9" t="n">
        <v>36</v>
      </c>
      <c r="E83" s="17" t="inlineStr">
        <is>
          <t>R</t>
        </is>
      </c>
      <c r="F83" s="17" t="n"/>
      <c r="G83" s="9" t="n">
        <v>475</v>
      </c>
      <c r="H83" s="9" t="n">
        <v>2479</v>
      </c>
      <c r="I83" s="9" t="inlineStr">
        <is>
          <t>Mid-Rotation Starter (SP2-3)</t>
        </is>
      </c>
      <c r="J83" s="17" t="inlineStr">
        <is>
          <t>Opening Day</t>
        </is>
      </c>
      <c r="K83" s="11">
        <f>IFERROR(INDEX(Roles!$B$17:$B$20,MATCH(J83,Roles!$A$17:$A$20,0)),1)</f>
        <v/>
      </c>
      <c r="L83" s="18" t="n">
        <v>1</v>
      </c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3">
        <f>SUMPRODUCT(M83:X83,$M$2:$X$2)*$K83*$L83</f>
        <v/>
      </c>
      <c r="Z83" s="14">
        <f>SUM(M83:X83)</f>
        <v/>
      </c>
      <c r="AA83" s="13">
        <f>SUMPRODUCT(M83:X83,$M$3:$X$3)*$K83*$L83</f>
        <v/>
      </c>
      <c r="AB83" s="13">
        <f>SUMPRODUCT(M83:X83,$M$4:$X$4)*$K83*$L83</f>
        <v/>
      </c>
      <c r="AC83" s="15">
        <f>SUMPRODUCT(M83:X83,$M$5:$X$5)*$K83*$L83</f>
        <v/>
      </c>
      <c r="AD83" s="15">
        <f>SUMPRODUCT(M83:X83,$M$6:$X$6)*$K83*$L83</f>
        <v/>
      </c>
      <c r="AE83" s="19" t="n"/>
    </row>
    <row r="84">
      <c r="A84" s="9" t="n">
        <v>664776</v>
      </c>
      <c r="B84" s="9" t="inlineStr">
        <is>
          <t>Jake Cousins</t>
        </is>
      </c>
      <c r="C84" s="9" t="inlineStr">
        <is>
          <t>NYY</t>
        </is>
      </c>
      <c r="D84" s="9" t="n">
        <v>32</v>
      </c>
      <c r="E84" s="17" t="inlineStr">
        <is>
          <t>R</t>
        </is>
      </c>
      <c r="F84" s="17" t="n"/>
      <c r="G84" s="9" t="n">
        <v>155</v>
      </c>
      <c r="H84" s="9" t="n">
        <v>259</v>
      </c>
      <c r="I84" s="9" t="inlineStr">
        <is>
          <t>Depth (no MLB IP)</t>
        </is>
      </c>
      <c r="J84" s="17" t="inlineStr">
        <is>
          <t>Opening Day</t>
        </is>
      </c>
      <c r="K84" s="11">
        <f>IFERROR(INDEX(Roles!$B$17:$B$20,MATCH(J84,Roles!$A$17:$A$20,0)),1)</f>
        <v/>
      </c>
      <c r="L84" s="18" t="n">
        <v>1</v>
      </c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3">
        <f>SUMPRODUCT(M84:X84,$M$2:$X$2)*$K84*$L84</f>
        <v/>
      </c>
      <c r="Z84" s="14">
        <f>SUM(M84:X84)</f>
        <v/>
      </c>
      <c r="AA84" s="13">
        <f>SUMPRODUCT(M84:X84,$M$3:$X$3)*$K84*$L84</f>
        <v/>
      </c>
      <c r="AB84" s="13">
        <f>SUMPRODUCT(M84:X84,$M$4:$X$4)*$K84*$L84</f>
        <v/>
      </c>
      <c r="AC84" s="15">
        <f>SUMPRODUCT(M84:X84,$M$5:$X$5)*$K84*$L84</f>
        <v/>
      </c>
      <c r="AD84" s="15">
        <f>SUMPRODUCT(M84:X84,$M$6:$X$6)*$K84*$L84</f>
        <v/>
      </c>
      <c r="AE84" s="19" t="n"/>
    </row>
    <row r="85">
      <c r="A85" s="9" t="n">
        <v>573204</v>
      </c>
      <c r="B85" s="9" t="inlineStr">
        <is>
          <t>Caleb Thielbar</t>
        </is>
      </c>
      <c r="C85" s="9" t="inlineStr">
        <is>
          <t>CHC</t>
        </is>
      </c>
      <c r="D85" s="9" t="n">
        <v>40</v>
      </c>
      <c r="E85" s="17" t="inlineStr">
        <is>
          <t>L</t>
        </is>
      </c>
      <c r="F85" s="17" t="n"/>
      <c r="G85" s="9" t="n">
        <v>199</v>
      </c>
      <c r="H85" s="9" t="n">
        <v>1000</v>
      </c>
      <c r="I85" s="9" t="inlineStr">
        <is>
          <t>Closer</t>
        </is>
      </c>
      <c r="J85" s="17" t="inlineStr">
        <is>
          <t>Opening Day</t>
        </is>
      </c>
      <c r="K85" s="11">
        <f>IFERROR(INDEX(Roles!$B$17:$B$20,MATCH(J85,Roles!$A$17:$A$20,0)),1)</f>
        <v/>
      </c>
      <c r="L85" s="18" t="n">
        <v>1</v>
      </c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3">
        <f>SUMPRODUCT(M85:X85,$M$2:$X$2)*$K85*$L85</f>
        <v/>
      </c>
      <c r="Z85" s="14">
        <f>SUM(M85:X85)</f>
        <v/>
      </c>
      <c r="AA85" s="13">
        <f>SUMPRODUCT(M85:X85,$M$3:$X$3)*$K85*$L85</f>
        <v/>
      </c>
      <c r="AB85" s="13">
        <f>SUMPRODUCT(M85:X85,$M$4:$X$4)*$K85*$L85</f>
        <v/>
      </c>
      <c r="AC85" s="15">
        <f>SUMPRODUCT(M85:X85,$M$5:$X$5)*$K85*$L85</f>
        <v/>
      </c>
      <c r="AD85" s="15">
        <f>SUMPRODUCT(M85:X85,$M$6:$X$6)*$K85*$L85</f>
        <v/>
      </c>
      <c r="AE85" s="19" t="n"/>
    </row>
    <row r="86">
      <c r="A86" s="9" t="n">
        <v>600917</v>
      </c>
      <c r="B86" s="9" t="inlineStr">
        <is>
          <t>José Leclerc</t>
        </is>
      </c>
      <c r="C86" s="9" t="inlineStr">
        <is>
          <t>OAK</t>
        </is>
      </c>
      <c r="D86" s="9" t="n">
        <v>33</v>
      </c>
      <c r="E86" s="17" t="inlineStr">
        <is>
          <t>R</t>
        </is>
      </c>
      <c r="F86" s="17" t="n"/>
      <c r="G86" s="9" t="n">
        <v>46</v>
      </c>
      <c r="H86" s="9" t="n">
        <v>765</v>
      </c>
      <c r="I86" s="9" t="inlineStr">
        <is>
          <t>Bullpen Depth Arm</t>
        </is>
      </c>
      <c r="J86" s="17" t="inlineStr">
        <is>
          <t>Opening Day</t>
        </is>
      </c>
      <c r="K86" s="11">
        <f>IFERROR(INDEX(Roles!$B$17:$B$20,MATCH(J86,Roles!$A$17:$A$20,0)),1)</f>
        <v/>
      </c>
      <c r="L86" s="18" t="n">
        <v>1</v>
      </c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3">
        <f>SUMPRODUCT(M86:X86,$M$2:$X$2)*$K86*$L86</f>
        <v/>
      </c>
      <c r="Z86" s="14">
        <f>SUM(M86:X86)</f>
        <v/>
      </c>
      <c r="AA86" s="13">
        <f>SUMPRODUCT(M86:X86,$M$3:$X$3)*$K86*$L86</f>
        <v/>
      </c>
      <c r="AB86" s="13">
        <f>SUMPRODUCT(M86:X86,$M$4:$X$4)*$K86*$L86</f>
        <v/>
      </c>
      <c r="AC86" s="15">
        <f>SUMPRODUCT(M86:X86,$M$5:$X$5)*$K86*$L86</f>
        <v/>
      </c>
      <c r="AD86" s="15">
        <f>SUMPRODUCT(M86:X86,$M$6:$X$6)*$K86*$L86</f>
        <v/>
      </c>
      <c r="AE86" s="19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7" t="inlineStr">
        <is>
          <t>R</t>
        </is>
      </c>
      <c r="F87" s="17" t="n"/>
      <c r="G87" s="9" t="n">
        <v>100</v>
      </c>
      <c r="H87" s="9" t="n">
        <v>2776</v>
      </c>
      <c r="I87" s="9" t="inlineStr">
        <is>
          <t>Mid-Rotation Starter (SP2-3)</t>
        </is>
      </c>
      <c r="J87" s="17" t="inlineStr">
        <is>
          <t>Opening Day</t>
        </is>
      </c>
      <c r="K87" s="11">
        <f>IFERROR(INDEX(Roles!$B$17:$B$20,MATCH(J87,Roles!$A$17:$A$20,0)),1)</f>
        <v/>
      </c>
      <c r="L87" s="18" t="n">
        <v>1</v>
      </c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3">
        <f>SUMPRODUCT(M87:X87,$M$2:$X$2)*$K87*$L87</f>
        <v/>
      </c>
      <c r="Z87" s="14">
        <f>SUM(M87:X87)</f>
        <v/>
      </c>
      <c r="AA87" s="13">
        <f>SUMPRODUCT(M87:X87,$M$3:$X$3)*$K87*$L87</f>
        <v/>
      </c>
      <c r="AB87" s="13">
        <f>SUMPRODUCT(M87:X87,$M$4:$X$4)*$K87*$L87</f>
        <v/>
      </c>
      <c r="AC87" s="15">
        <f>SUMPRODUCT(M87:X87,$M$5:$X$5)*$K87*$L87</f>
        <v/>
      </c>
      <c r="AD87" s="15">
        <f>SUMPRODUCT(M87:X87,$M$6:$X$6)*$K87*$L87</f>
        <v/>
      </c>
      <c r="AE87" s="19" t="n"/>
    </row>
    <row r="88">
      <c r="A88" s="9" t="n">
        <v>657746</v>
      </c>
      <c r="B88" s="9" t="inlineStr">
        <is>
          <t>Joe Ryan</t>
        </is>
      </c>
      <c r="C88" s="9" t="inlineStr">
        <is>
          <t>MIN</t>
        </is>
      </c>
      <c r="D88" s="9" t="n">
        <v>31</v>
      </c>
      <c r="E88" s="17" t="inlineStr">
        <is>
          <t>R</t>
        </is>
      </c>
      <c r="F88" s="17" t="n"/>
      <c r="G88" s="9" t="n">
        <v>564</v>
      </c>
      <c r="H88" s="9" t="n">
        <v>3067</v>
      </c>
      <c r="I88" s="9" t="inlineStr">
        <is>
          <t>Mid-Rotation Starter (SP2-3)</t>
        </is>
      </c>
      <c r="J88" s="17" t="inlineStr">
        <is>
          <t>Opening Day</t>
        </is>
      </c>
      <c r="K88" s="11">
        <f>IFERROR(INDEX(Roles!$B$17:$B$20,MATCH(J88,Roles!$A$17:$A$20,0)),1)</f>
        <v/>
      </c>
      <c r="L88" s="18" t="n">
        <v>1</v>
      </c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3">
        <f>SUMPRODUCT(M88:X88,$M$2:$X$2)*$K88*$L88</f>
        <v/>
      </c>
      <c r="Z88" s="14">
        <f>SUM(M88:X88)</f>
        <v/>
      </c>
      <c r="AA88" s="13">
        <f>SUMPRODUCT(M88:X88,$M$3:$X$3)*$K88*$L88</f>
        <v/>
      </c>
      <c r="AB88" s="13">
        <f>SUMPRODUCT(M88:X88,$M$4:$X$4)*$K88*$L88</f>
        <v/>
      </c>
      <c r="AC88" s="15">
        <f>SUMPRODUCT(M88:X88,$M$5:$X$5)*$K88*$L88</f>
        <v/>
      </c>
      <c r="AD88" s="15">
        <f>SUMPRODUCT(M88:X88,$M$6:$X$6)*$K88*$L88</f>
        <v/>
      </c>
      <c r="AE88" s="19" t="n"/>
    </row>
    <row r="89">
      <c r="A89" s="9" t="n">
        <v>667427</v>
      </c>
      <c r="B89" s="9" t="inlineStr">
        <is>
          <t>Zach Jackson</t>
        </is>
      </c>
      <c r="C89" s="9" t="inlineStr">
        <is>
          <t>OAK</t>
        </is>
      </c>
      <c r="D89" s="9" t="n">
        <v>32</v>
      </c>
      <c r="E89" s="17" t="inlineStr">
        <is>
          <t>R</t>
        </is>
      </c>
      <c r="F89" s="17" t="n"/>
      <c r="G89" s="9" t="n">
        <v>80</v>
      </c>
      <c r="H89" s="9" t="n">
        <v>282</v>
      </c>
      <c r="I89" s="9" t="inlineStr">
        <is>
          <t>Depth (no MLB IP)</t>
        </is>
      </c>
      <c r="J89" s="17" t="inlineStr">
        <is>
          <t>Opening Day</t>
        </is>
      </c>
      <c r="K89" s="11">
        <f>IFERROR(INDEX(Roles!$B$17:$B$20,MATCH(J89,Roles!$A$17:$A$20,0)),1)</f>
        <v/>
      </c>
      <c r="L89" s="18" t="n">
        <v>1</v>
      </c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3">
        <f>SUMPRODUCT(M89:X89,$M$2:$X$2)*$K89*$L89</f>
        <v/>
      </c>
      <c r="Z89" s="14">
        <f>SUM(M89:X89)</f>
        <v/>
      </c>
      <c r="AA89" s="13">
        <f>SUMPRODUCT(M89:X89,$M$3:$X$3)*$K89*$L89</f>
        <v/>
      </c>
      <c r="AB89" s="13">
        <f>SUMPRODUCT(M89:X89,$M$4:$X$4)*$K89*$L89</f>
        <v/>
      </c>
      <c r="AC89" s="15">
        <f>SUMPRODUCT(M89:X89,$M$5:$X$5)*$K89*$L89</f>
        <v/>
      </c>
      <c r="AD89" s="15">
        <f>SUMPRODUCT(M89:X89,$M$6:$X$6)*$K89*$L89</f>
        <v/>
      </c>
      <c r="AE89" s="19" t="n"/>
    </row>
    <row r="90">
      <c r="A90" s="9" t="n">
        <v>800311</v>
      </c>
      <c r="B90" s="9" t="inlineStr">
        <is>
          <t>Didier Fuentes</t>
        </is>
      </c>
      <c r="C90" s="9" t="inlineStr">
        <is>
          <t>ATL</t>
        </is>
      </c>
      <c r="D90" s="9" t="n">
        <v>22</v>
      </c>
      <c r="E90" s="17" t="inlineStr">
        <is>
          <t>R</t>
        </is>
      </c>
      <c r="F90" s="17" t="n"/>
      <c r="G90" s="9" t="n">
        <v>279</v>
      </c>
      <c r="H90" s="9" t="n">
        <v>348</v>
      </c>
      <c r="I90" s="9" t="inlineStr">
        <is>
          <t>Middle Relief</t>
        </is>
      </c>
      <c r="J90" s="17" t="inlineStr">
        <is>
          <t>Opening Day</t>
        </is>
      </c>
      <c r="K90" s="11">
        <f>IFERROR(INDEX(Roles!$B$17:$B$20,MATCH(J90,Roles!$A$17:$A$20,0)),1)</f>
        <v/>
      </c>
      <c r="L90" s="18" t="n">
        <v>1</v>
      </c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3">
        <f>SUMPRODUCT(M90:X90,$M$2:$X$2)*$K90*$L90</f>
        <v/>
      </c>
      <c r="Z90" s="14">
        <f>SUM(M90:X90)</f>
        <v/>
      </c>
      <c r="AA90" s="13">
        <f>SUMPRODUCT(M90:X90,$M$3:$X$3)*$K90*$L90</f>
        <v/>
      </c>
      <c r="AB90" s="13">
        <f>SUMPRODUCT(M90:X90,$M$4:$X$4)*$K90*$L90</f>
        <v/>
      </c>
      <c r="AC90" s="15">
        <f>SUMPRODUCT(M90:X90,$M$5:$X$5)*$K90*$L90</f>
        <v/>
      </c>
      <c r="AD90" s="15">
        <f>SUMPRODUCT(M90:X90,$M$6:$X$6)*$K90*$L90</f>
        <v/>
      </c>
      <c r="AE90" s="19" t="n"/>
    </row>
    <row r="91">
      <c r="A91" s="9" t="n">
        <v>621381</v>
      </c>
      <c r="B91" s="9" t="inlineStr">
        <is>
          <t>Matt Strahm</t>
        </is>
      </c>
      <c r="C91" s="9" t="inlineStr">
        <is>
          <t>KC</t>
        </is>
      </c>
      <c r="D91" s="9" t="n">
        <v>35</v>
      </c>
      <c r="E91" s="17" t="inlineStr">
        <is>
          <t>L</t>
        </is>
      </c>
      <c r="F91" s="17" t="n"/>
      <c r="G91" s="9" t="n">
        <v>161</v>
      </c>
      <c r="H91" s="9" t="n">
        <v>1198</v>
      </c>
      <c r="I91" s="9" t="inlineStr">
        <is>
          <t>Closer</t>
        </is>
      </c>
      <c r="J91" s="17" t="inlineStr">
        <is>
          <t>Opening Day</t>
        </is>
      </c>
      <c r="K91" s="11">
        <f>IFERROR(INDEX(Roles!$B$17:$B$20,MATCH(J91,Roles!$A$17:$A$20,0)),1)</f>
        <v/>
      </c>
      <c r="L91" s="18" t="n">
        <v>1</v>
      </c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3">
        <f>SUMPRODUCT(M91:X91,$M$2:$X$2)*$K91*$L91</f>
        <v/>
      </c>
      <c r="Z91" s="14">
        <f>SUM(M91:X91)</f>
        <v/>
      </c>
      <c r="AA91" s="13">
        <f>SUMPRODUCT(M91:X91,$M$3:$X$3)*$K91*$L91</f>
        <v/>
      </c>
      <c r="AB91" s="13">
        <f>SUMPRODUCT(M91:X91,$M$4:$X$4)*$K91*$L91</f>
        <v/>
      </c>
      <c r="AC91" s="15">
        <f>SUMPRODUCT(M91:X91,$M$5:$X$5)*$K91*$L91</f>
        <v/>
      </c>
      <c r="AD91" s="15">
        <f>SUMPRODUCT(M91:X91,$M$6:$X$6)*$K91*$L91</f>
        <v/>
      </c>
      <c r="AE91" s="19" t="n"/>
    </row>
    <row r="92">
      <c r="A92" s="9" t="n">
        <v>672282</v>
      </c>
      <c r="B92" s="9" t="inlineStr">
        <is>
          <t>Reid Detmers</t>
        </is>
      </c>
      <c r="C92" s="9" t="inlineStr">
        <is>
          <t>LAA</t>
        </is>
      </c>
      <c r="D92" s="9" t="n">
        <v>27</v>
      </c>
      <c r="E92" s="17" t="inlineStr">
        <is>
          <t>L</t>
        </is>
      </c>
      <c r="F92" s="17" t="n"/>
      <c r="G92" s="9" t="n">
        <v>697</v>
      </c>
      <c r="H92" s="9" t="n">
        <v>2537</v>
      </c>
      <c r="I92" s="9" t="inlineStr">
        <is>
          <t>End-of-Rotation Starter (SP4-5)</t>
        </is>
      </c>
      <c r="J92" s="17" t="inlineStr">
        <is>
          <t>Opening Day</t>
        </is>
      </c>
      <c r="K92" s="11">
        <f>IFERROR(INDEX(Roles!$B$17:$B$20,MATCH(J92,Roles!$A$17:$A$20,0)),1)</f>
        <v/>
      </c>
      <c r="L92" s="18" t="n">
        <v>1</v>
      </c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3">
        <f>SUMPRODUCT(M92:X92,$M$2:$X$2)*$K92*$L92</f>
        <v/>
      </c>
      <c r="Z92" s="14">
        <f>SUM(M92:X92)</f>
        <v/>
      </c>
      <c r="AA92" s="13">
        <f>SUMPRODUCT(M92:X92,$M$3:$X$3)*$K92*$L92</f>
        <v/>
      </c>
      <c r="AB92" s="13">
        <f>SUMPRODUCT(M92:X92,$M$4:$X$4)*$K92*$L92</f>
        <v/>
      </c>
      <c r="AC92" s="15">
        <f>SUMPRODUCT(M92:X92,$M$5:$X$5)*$K92*$L92</f>
        <v/>
      </c>
      <c r="AD92" s="15">
        <f>SUMPRODUCT(M92:X92,$M$6:$X$6)*$K92*$L92</f>
        <v/>
      </c>
      <c r="AE92" s="19" t="n"/>
    </row>
    <row r="93">
      <c r="A93" s="9" t="n">
        <v>641941</v>
      </c>
      <c r="B93" s="9" t="inlineStr">
        <is>
          <t>Emilio Pagán</t>
        </is>
      </c>
      <c r="C93" s="9" t="inlineStr">
        <is>
          <t>CIN</t>
        </is>
      </c>
      <c r="D93" s="9" t="n">
        <v>36</v>
      </c>
      <c r="E93" s="17" t="inlineStr">
        <is>
          <t>R</t>
        </is>
      </c>
      <c r="F93" s="17" t="n"/>
      <c r="G93" s="9" t="n">
        <v>163</v>
      </c>
      <c r="H93" s="9" t="n">
        <v>1138</v>
      </c>
      <c r="I93" s="9" t="inlineStr">
        <is>
          <t>Closer</t>
        </is>
      </c>
      <c r="J93" s="17" t="inlineStr">
        <is>
          <t>Opening Day</t>
        </is>
      </c>
      <c r="K93" s="11">
        <f>IFERROR(INDEX(Roles!$B$17:$B$20,MATCH(J93,Roles!$A$17:$A$20,0)),1)</f>
        <v/>
      </c>
      <c r="L93" s="18" t="n">
        <v>1</v>
      </c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3">
        <f>SUMPRODUCT(M93:X93,$M$2:$X$2)*$K93*$L93</f>
        <v/>
      </c>
      <c r="Z93" s="14">
        <f>SUM(M93:X93)</f>
        <v/>
      </c>
      <c r="AA93" s="13">
        <f>SUMPRODUCT(M93:X93,$M$3:$X$3)*$K93*$L93</f>
        <v/>
      </c>
      <c r="AB93" s="13">
        <f>SUMPRODUCT(M93:X93,$M$4:$X$4)*$K93*$L93</f>
        <v/>
      </c>
      <c r="AC93" s="15">
        <f>SUMPRODUCT(M93:X93,$M$5:$X$5)*$K93*$L93</f>
        <v/>
      </c>
      <c r="AD93" s="15">
        <f>SUMPRODUCT(M93:X93,$M$6:$X$6)*$K93*$L93</f>
        <v/>
      </c>
      <c r="AE93" s="19" t="n"/>
    </row>
    <row r="94">
      <c r="A94" s="9" t="n">
        <v>678495</v>
      </c>
      <c r="B94" s="9" t="inlineStr">
        <is>
          <t>Randy Rodríguez</t>
        </is>
      </c>
      <c r="C94" s="9" t="inlineStr">
        <is>
          <t>SF</t>
        </is>
      </c>
      <c r="D94" s="9" t="n">
        <v>27</v>
      </c>
      <c r="E94" s="17" t="inlineStr">
        <is>
          <t>R</t>
        </is>
      </c>
      <c r="F94" s="17" t="n"/>
      <c r="G94" s="9" t="n">
        <v>198</v>
      </c>
      <c r="H94" s="9" t="n">
        <v>419</v>
      </c>
      <c r="I94" s="9" t="inlineStr">
        <is>
          <t>Late Inning RP (Setup)</t>
        </is>
      </c>
      <c r="J94" s="17" t="inlineStr">
        <is>
          <t>Opening Day</t>
        </is>
      </c>
      <c r="K94" s="11">
        <f>IFERROR(INDEX(Roles!$B$17:$B$20,MATCH(J94,Roles!$A$17:$A$20,0)),1)</f>
        <v/>
      </c>
      <c r="L94" s="18" t="n">
        <v>1</v>
      </c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3">
        <f>SUMPRODUCT(M94:X94,$M$2:$X$2)*$K94*$L94</f>
        <v/>
      </c>
      <c r="Z94" s="14">
        <f>SUM(M94:X94)</f>
        <v/>
      </c>
      <c r="AA94" s="13">
        <f>SUMPRODUCT(M94:X94,$M$3:$X$3)*$K94*$L94</f>
        <v/>
      </c>
      <c r="AB94" s="13">
        <f>SUMPRODUCT(M94:X94,$M$4:$X$4)*$K94*$L94</f>
        <v/>
      </c>
      <c r="AC94" s="15">
        <f>SUMPRODUCT(M94:X94,$M$5:$X$5)*$K94*$L94</f>
        <v/>
      </c>
      <c r="AD94" s="15">
        <f>SUMPRODUCT(M94:X94,$M$6:$X$6)*$K94*$L94</f>
        <v/>
      </c>
      <c r="AE94" s="19" t="n"/>
    </row>
    <row r="95">
      <c r="A95" s="9" t="n">
        <v>596112</v>
      </c>
      <c r="B95" s="9" t="inlineStr">
        <is>
          <t>Robert Stephenson</t>
        </is>
      </c>
      <c r="C95" s="9" t="inlineStr">
        <is>
          <t>LAA</t>
        </is>
      </c>
      <c r="D95" s="9" t="n">
        <v>34</v>
      </c>
      <c r="E95" s="17" t="inlineStr">
        <is>
          <t>R</t>
        </is>
      </c>
      <c r="F95" s="17" t="n"/>
      <c r="G95" s="9" t="n">
        <v>42</v>
      </c>
      <c r="H95" s="9" t="n">
        <v>490</v>
      </c>
      <c r="I95" s="9" t="inlineStr">
        <is>
          <t>Closer</t>
        </is>
      </c>
      <c r="J95" s="17" t="inlineStr">
        <is>
          <t>Opening Day</t>
        </is>
      </c>
      <c r="K95" s="11">
        <f>IFERROR(INDEX(Roles!$B$17:$B$20,MATCH(J95,Roles!$A$17:$A$20,0)),1)</f>
        <v/>
      </c>
      <c r="L95" s="18" t="n">
        <v>1</v>
      </c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3">
        <f>SUMPRODUCT(M95:X95,$M$2:$X$2)*$K95*$L95</f>
        <v/>
      </c>
      <c r="Z95" s="14">
        <f>SUM(M95:X95)</f>
        <v/>
      </c>
      <c r="AA95" s="13">
        <f>SUMPRODUCT(M95:X95,$M$3:$X$3)*$K95*$L95</f>
        <v/>
      </c>
      <c r="AB95" s="13">
        <f>SUMPRODUCT(M95:X95,$M$4:$X$4)*$K95*$L95</f>
        <v/>
      </c>
      <c r="AC95" s="15">
        <f>SUMPRODUCT(M95:X95,$M$5:$X$5)*$K95*$L95</f>
        <v/>
      </c>
      <c r="AD95" s="15">
        <f>SUMPRODUCT(M95:X95,$M$6:$X$6)*$K95*$L95</f>
        <v/>
      </c>
      <c r="AE95" s="19" t="n"/>
    </row>
    <row r="96">
      <c r="A96" s="9" t="n">
        <v>607074</v>
      </c>
      <c r="B96" s="9" t="inlineStr">
        <is>
          <t>Carlos Rodón</t>
        </is>
      </c>
      <c r="C96" s="9" t="inlineStr">
        <is>
          <t>NYY</t>
        </is>
      </c>
      <c r="D96" s="9" t="n">
        <v>34</v>
      </c>
      <c r="E96" s="17" t="inlineStr">
        <is>
          <t>L</t>
        </is>
      </c>
      <c r="F96" s="17" t="n"/>
      <c r="G96" s="9" t="n">
        <v>315</v>
      </c>
      <c r="H96" s="9" t="n">
        <v>2836</v>
      </c>
      <c r="I96" s="9" t="inlineStr">
        <is>
          <t>Mid-Rotation Starter (SP2-3)</t>
        </is>
      </c>
      <c r="J96" s="17" t="inlineStr">
        <is>
          <t>Opening Day</t>
        </is>
      </c>
      <c r="K96" s="11">
        <f>IFERROR(INDEX(Roles!$B$17:$B$20,MATCH(J96,Roles!$A$17:$A$20,0)),1)</f>
        <v/>
      </c>
      <c r="L96" s="18" t="n">
        <v>1</v>
      </c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3">
        <f>SUMPRODUCT(M96:X96,$M$2:$X$2)*$K96*$L96</f>
        <v/>
      </c>
      <c r="Z96" s="14">
        <f>SUM(M96:X96)</f>
        <v/>
      </c>
      <c r="AA96" s="13">
        <f>SUMPRODUCT(M96:X96,$M$3:$X$3)*$K96*$L96</f>
        <v/>
      </c>
      <c r="AB96" s="13">
        <f>SUMPRODUCT(M96:X96,$M$4:$X$4)*$K96*$L96</f>
        <v/>
      </c>
      <c r="AC96" s="15">
        <f>SUMPRODUCT(M96:X96,$M$5:$X$5)*$K96*$L96</f>
        <v/>
      </c>
      <c r="AD96" s="15">
        <f>SUMPRODUCT(M96:X96,$M$6:$X$6)*$K96*$L96</f>
        <v/>
      </c>
      <c r="AE96" s="19" t="n"/>
    </row>
    <row r="97">
      <c r="A97" s="9" t="n">
        <v>628452</v>
      </c>
      <c r="B97" s="9" t="inlineStr">
        <is>
          <t>Raisel Iglesias</t>
        </is>
      </c>
      <c r="C97" s="9" t="inlineStr">
        <is>
          <t>ATL</t>
        </is>
      </c>
      <c r="D97" s="9" t="n">
        <v>37</v>
      </c>
      <c r="E97" s="17" t="inlineStr">
        <is>
          <t>R</t>
        </is>
      </c>
      <c r="F97" s="17" t="n"/>
      <c r="G97" s="9" t="n">
        <v>226</v>
      </c>
      <c r="H97" s="9" t="n">
        <v>1228</v>
      </c>
      <c r="I97" s="9" t="inlineStr">
        <is>
          <t>Late Inning RP (Setup)</t>
        </is>
      </c>
      <c r="J97" s="17" t="inlineStr">
        <is>
          <t>Opening Day</t>
        </is>
      </c>
      <c r="K97" s="11">
        <f>IFERROR(INDEX(Roles!$B$17:$B$20,MATCH(J97,Roles!$A$17:$A$20,0)),1)</f>
        <v/>
      </c>
      <c r="L97" s="18" t="n">
        <v>1</v>
      </c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3">
        <f>SUMPRODUCT(M97:X97,$M$2:$X$2)*$K97*$L97</f>
        <v/>
      </c>
      <c r="Z97" s="14">
        <f>SUM(M97:X97)</f>
        <v/>
      </c>
      <c r="AA97" s="13">
        <f>SUMPRODUCT(M97:X97,$M$3:$X$3)*$K97*$L97</f>
        <v/>
      </c>
      <c r="AB97" s="13">
        <f>SUMPRODUCT(M97:X97,$M$4:$X$4)*$K97*$L97</f>
        <v/>
      </c>
      <c r="AC97" s="15">
        <f>SUMPRODUCT(M97:X97,$M$5:$X$5)*$K97*$L97</f>
        <v/>
      </c>
      <c r="AD97" s="15">
        <f>SUMPRODUCT(M97:X97,$M$6:$X$6)*$K97*$L97</f>
        <v/>
      </c>
      <c r="AE97" s="19" t="n"/>
    </row>
    <row r="98">
      <c r="A98" s="9" t="n">
        <v>680742</v>
      </c>
      <c r="B98" s="9" t="inlineStr">
        <is>
          <t>Jonathan Bowlan</t>
        </is>
      </c>
      <c r="C98" s="9" t="inlineStr">
        <is>
          <t>PHI</t>
        </is>
      </c>
      <c r="D98" s="9" t="n">
        <v>30</v>
      </c>
      <c r="E98" s="17" t="inlineStr">
        <is>
          <t>R</t>
        </is>
      </c>
      <c r="F98" s="17" t="n"/>
      <c r="G98" s="9" t="n">
        <v>226</v>
      </c>
      <c r="H98" s="9" t="n">
        <v>437</v>
      </c>
      <c r="I98" s="9" t="inlineStr">
        <is>
          <t>Middle Relief</t>
        </is>
      </c>
      <c r="J98" s="17" t="inlineStr">
        <is>
          <t>Opening Day</t>
        </is>
      </c>
      <c r="K98" s="11">
        <f>IFERROR(INDEX(Roles!$B$17:$B$20,MATCH(J98,Roles!$A$17:$A$20,0)),1)</f>
        <v/>
      </c>
      <c r="L98" s="18" t="n">
        <v>1</v>
      </c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3">
        <f>SUMPRODUCT(M98:X98,$M$2:$X$2)*$K98*$L98</f>
        <v/>
      </c>
      <c r="Z98" s="14">
        <f>SUM(M98:X98)</f>
        <v/>
      </c>
      <c r="AA98" s="13">
        <f>SUMPRODUCT(M98:X98,$M$3:$X$3)*$K98*$L98</f>
        <v/>
      </c>
      <c r="AB98" s="13">
        <f>SUMPRODUCT(M98:X98,$M$4:$X$4)*$K98*$L98</f>
        <v/>
      </c>
      <c r="AC98" s="15">
        <f>SUMPRODUCT(M98:X98,$M$5:$X$5)*$K98*$L98</f>
        <v/>
      </c>
      <c r="AD98" s="15">
        <f>SUMPRODUCT(M98:X98,$M$6:$X$6)*$K98*$L98</f>
        <v/>
      </c>
      <c r="AE98" s="19" t="n"/>
    </row>
    <row r="99">
      <c r="A99" s="9" t="n">
        <v>678692</v>
      </c>
      <c r="B99" s="9" t="inlineStr">
        <is>
          <t>Ronny Henriquez</t>
        </is>
      </c>
      <c r="C99" s="9" t="inlineStr">
        <is>
          <t>MIA</t>
        </is>
      </c>
      <c r="D99" s="9" t="n">
        <v>27</v>
      </c>
      <c r="E99" s="17" t="inlineStr">
        <is>
          <t>R</t>
        </is>
      </c>
      <c r="F99" s="17" t="n"/>
      <c r="G99" s="9" t="n">
        <v>303</v>
      </c>
      <c r="H99" s="9" t="n">
        <v>435</v>
      </c>
      <c r="I99" s="9" t="inlineStr">
        <is>
          <t>Bullpen Depth Arm</t>
        </is>
      </c>
      <c r="J99" s="17" t="inlineStr">
        <is>
          <t>Opening Day</t>
        </is>
      </c>
      <c r="K99" s="11">
        <f>IFERROR(INDEX(Roles!$B$17:$B$20,MATCH(J99,Roles!$A$17:$A$20,0)),1)</f>
        <v/>
      </c>
      <c r="L99" s="18" t="n">
        <v>1</v>
      </c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3">
        <f>SUMPRODUCT(M99:X99,$M$2:$X$2)*$K99*$L99</f>
        <v/>
      </c>
      <c r="Z99" s="14">
        <f>SUM(M99:X99)</f>
        <v/>
      </c>
      <c r="AA99" s="13">
        <f>SUMPRODUCT(M99:X99,$M$3:$X$3)*$K99*$L99</f>
        <v/>
      </c>
      <c r="AB99" s="13">
        <f>SUMPRODUCT(M99:X99,$M$4:$X$4)*$K99*$L99</f>
        <v/>
      </c>
      <c r="AC99" s="15">
        <f>SUMPRODUCT(M99:X99,$M$5:$X$5)*$K99*$L99</f>
        <v/>
      </c>
      <c r="AD99" s="15">
        <f>SUMPRODUCT(M99:X99,$M$6:$X$6)*$K99*$L99</f>
        <v/>
      </c>
      <c r="AE99" s="19" t="n"/>
    </row>
    <row r="100">
      <c r="A100" s="9" t="n">
        <v>669302</v>
      </c>
      <c r="B100" s="9" t="inlineStr">
        <is>
          <t>Logan Gilbert</t>
        </is>
      </c>
      <c r="C100" s="9" t="inlineStr">
        <is>
          <t>SEA</t>
        </is>
      </c>
      <c r="D100" s="9" t="n">
        <v>30</v>
      </c>
      <c r="E100" s="17" t="inlineStr">
        <is>
          <t>R</t>
        </is>
      </c>
      <c r="F100" s="17" t="n"/>
      <c r="G100" s="9" t="n">
        <v>713</v>
      </c>
      <c r="H100" s="9" t="n">
        <v>3587</v>
      </c>
      <c r="I100" s="9" t="inlineStr">
        <is>
          <t>Ace (SP1)</t>
        </is>
      </c>
      <c r="J100" s="17" t="inlineStr">
        <is>
          <t>Opening Day</t>
        </is>
      </c>
      <c r="K100" s="11">
        <f>IFERROR(INDEX(Roles!$B$17:$B$20,MATCH(J100,Roles!$A$17:$A$20,0)),1)</f>
        <v/>
      </c>
      <c r="L100" s="18" t="n">
        <v>1</v>
      </c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3">
        <f>SUMPRODUCT(M100:X100,$M$2:$X$2)*$K100*$L100</f>
        <v/>
      </c>
      <c r="Z100" s="14">
        <f>SUM(M100:X100)</f>
        <v/>
      </c>
      <c r="AA100" s="13">
        <f>SUMPRODUCT(M100:X100,$M$3:$X$3)*$K100*$L100</f>
        <v/>
      </c>
      <c r="AB100" s="13">
        <f>SUMPRODUCT(M100:X100,$M$4:$X$4)*$K100*$L100</f>
        <v/>
      </c>
      <c r="AC100" s="15">
        <f>SUMPRODUCT(M100:X100,$M$5:$X$5)*$K100*$L100</f>
        <v/>
      </c>
      <c r="AD100" s="15">
        <f>SUMPRODUCT(M100:X100,$M$6:$X$6)*$K100*$L100</f>
        <v/>
      </c>
      <c r="AE100" s="19" t="n"/>
    </row>
    <row r="101">
      <c r="A101" s="9" t="n">
        <v>682842</v>
      </c>
      <c r="B101" s="9" t="inlineStr">
        <is>
          <t>Abner Uribe</t>
        </is>
      </c>
      <c r="C101" s="9" t="inlineStr">
        <is>
          <t>MIL</t>
        </is>
      </c>
      <c r="D101" s="9" t="n">
        <v>27</v>
      </c>
      <c r="E101" s="17" t="inlineStr">
        <is>
          <t>R</t>
        </is>
      </c>
      <c r="F101" s="17" t="n"/>
      <c r="G101" s="9" t="n">
        <v>218</v>
      </c>
      <c r="H101" s="9" t="n">
        <v>709</v>
      </c>
      <c r="I101" s="9" t="inlineStr">
        <is>
          <t>Late Inning RP (Setup)</t>
        </is>
      </c>
      <c r="J101" s="17" t="inlineStr">
        <is>
          <t>Opening Day</t>
        </is>
      </c>
      <c r="K101" s="11">
        <f>IFERROR(INDEX(Roles!$B$17:$B$20,MATCH(J101,Roles!$A$17:$A$20,0)),1)</f>
        <v/>
      </c>
      <c r="L101" s="18" t="n">
        <v>1</v>
      </c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3">
        <f>SUMPRODUCT(M101:X101,$M$2:$X$2)*$K101*$L101</f>
        <v/>
      </c>
      <c r="Z101" s="14">
        <f>SUM(M101:X101)</f>
        <v/>
      </c>
      <c r="AA101" s="13">
        <f>SUMPRODUCT(M101:X101,$M$3:$X$3)*$K101*$L101</f>
        <v/>
      </c>
      <c r="AB101" s="13">
        <f>SUMPRODUCT(M101:X101,$M$4:$X$4)*$K101*$L101</f>
        <v/>
      </c>
      <c r="AC101" s="15">
        <f>SUMPRODUCT(M101:X101,$M$5:$X$5)*$K101*$L101</f>
        <v/>
      </c>
      <c r="AD101" s="15">
        <f>SUMPRODUCT(M101:X101,$M$6:$X$6)*$K101*$L101</f>
        <v/>
      </c>
      <c r="AE101" s="19" t="n"/>
    </row>
    <row r="102">
      <c r="A102" s="9" t="n">
        <v>641329</v>
      </c>
      <c r="B102" s="9" t="inlineStr">
        <is>
          <t>Bryan Baker</t>
        </is>
      </c>
      <c r="C102" s="9" t="inlineStr">
        <is>
          <t>TB</t>
        </is>
      </c>
      <c r="D102" s="9" t="n">
        <v>32</v>
      </c>
      <c r="E102" s="17" t="inlineStr">
        <is>
          <t>R</t>
        </is>
      </c>
      <c r="F102" s="17" t="n"/>
      <c r="G102" s="9" t="n">
        <v>232</v>
      </c>
      <c r="H102" s="9" t="n">
        <v>1076</v>
      </c>
      <c r="I102" s="9" t="inlineStr">
        <is>
          <t>Middle Relief</t>
        </is>
      </c>
      <c r="J102" s="17" t="inlineStr">
        <is>
          <t>Opening Day</t>
        </is>
      </c>
      <c r="K102" s="11">
        <f>IFERROR(INDEX(Roles!$B$17:$B$20,MATCH(J102,Roles!$A$17:$A$20,0)),1)</f>
        <v/>
      </c>
      <c r="L102" s="18" t="n">
        <v>1</v>
      </c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3">
        <f>SUMPRODUCT(M102:X102,$M$2:$X$2)*$K102*$L102</f>
        <v/>
      </c>
      <c r="Z102" s="14">
        <f>SUM(M102:X102)</f>
        <v/>
      </c>
      <c r="AA102" s="13">
        <f>SUMPRODUCT(M102:X102,$M$3:$X$3)*$K102*$L102</f>
        <v/>
      </c>
      <c r="AB102" s="13">
        <f>SUMPRODUCT(M102:X102,$M$4:$X$4)*$K102*$L102</f>
        <v/>
      </c>
      <c r="AC102" s="15">
        <f>SUMPRODUCT(M102:X102,$M$5:$X$5)*$K102*$L102</f>
        <v/>
      </c>
      <c r="AD102" s="15">
        <f>SUMPRODUCT(M102:X102,$M$6:$X$6)*$K102*$L102</f>
        <v/>
      </c>
      <c r="AE102" s="19" t="n"/>
    </row>
    <row r="103">
      <c r="A103" s="9" t="n">
        <v>663893</v>
      </c>
      <c r="B103" s="9" t="inlineStr">
        <is>
          <t>Brendon Little</t>
        </is>
      </c>
      <c r="C103" s="9" t="inlineStr">
        <is>
          <t>TOR</t>
        </is>
      </c>
      <c r="D103" s="9" t="n">
        <v>30</v>
      </c>
      <c r="E103" s="17" t="inlineStr">
        <is>
          <t>L</t>
        </is>
      </c>
      <c r="F103" s="17" t="n"/>
      <c r="G103" s="9" t="n">
        <v>118</v>
      </c>
      <c r="H103" s="9" t="n">
        <v>612</v>
      </c>
      <c r="I103" s="9" t="inlineStr">
        <is>
          <t>Middle Relief</t>
        </is>
      </c>
      <c r="J103" s="17" t="inlineStr">
        <is>
          <t>Opening Day</t>
        </is>
      </c>
      <c r="K103" s="11">
        <f>IFERROR(INDEX(Roles!$B$17:$B$20,MATCH(J103,Roles!$A$17:$A$20,0)),1)</f>
        <v/>
      </c>
      <c r="L103" s="18" t="n">
        <v>1</v>
      </c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3">
        <f>SUMPRODUCT(M103:X103,$M$2:$X$2)*$K103*$L103</f>
        <v/>
      </c>
      <c r="Z103" s="14">
        <f>SUM(M103:X103)</f>
        <v/>
      </c>
      <c r="AA103" s="13">
        <f>SUMPRODUCT(M103:X103,$M$3:$X$3)*$K103*$L103</f>
        <v/>
      </c>
      <c r="AB103" s="13">
        <f>SUMPRODUCT(M103:X103,$M$4:$X$4)*$K103*$L103</f>
        <v/>
      </c>
      <c r="AC103" s="15">
        <f>SUMPRODUCT(M103:X103,$M$5:$X$5)*$K103*$L103</f>
        <v/>
      </c>
      <c r="AD103" s="15">
        <f>SUMPRODUCT(M103:X103,$M$6:$X$6)*$K103*$L103</f>
        <v/>
      </c>
      <c r="AE103" s="19" t="n"/>
    </row>
    <row r="104">
      <c r="A104" s="9" t="n">
        <v>622250</v>
      </c>
      <c r="B104" s="9" t="inlineStr">
        <is>
          <t>Josh Sborz</t>
        </is>
      </c>
      <c r="C104" s="9" t="inlineStr">
        <is>
          <t>TEX</t>
        </is>
      </c>
      <c r="D104" s="9" t="n">
        <v>33</v>
      </c>
      <c r="E104" s="17" t="inlineStr">
        <is>
          <t>R</t>
        </is>
      </c>
      <c r="F104" s="17" t="n"/>
      <c r="G104" s="9" t="n">
        <v>69</v>
      </c>
      <c r="H104" s="9" t="n">
        <v>384</v>
      </c>
      <c r="I104" s="9" t="inlineStr">
        <is>
          <t>Depth (no MLB IP)</t>
        </is>
      </c>
      <c r="J104" s="17" t="inlineStr">
        <is>
          <t>Opening Day</t>
        </is>
      </c>
      <c r="K104" s="11">
        <f>IFERROR(INDEX(Roles!$B$17:$B$20,MATCH(J104,Roles!$A$17:$A$20,0)),1)</f>
        <v/>
      </c>
      <c r="L104" s="18" t="n">
        <v>1</v>
      </c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3">
        <f>SUMPRODUCT(M104:X104,$M$2:$X$2)*$K104*$L104</f>
        <v/>
      </c>
      <c r="Z104" s="14">
        <f>SUM(M104:X104)</f>
        <v/>
      </c>
      <c r="AA104" s="13">
        <f>SUMPRODUCT(M104:X104,$M$3:$X$3)*$K104*$L104</f>
        <v/>
      </c>
      <c r="AB104" s="13">
        <f>SUMPRODUCT(M104:X104,$M$4:$X$4)*$K104*$L104</f>
        <v/>
      </c>
      <c r="AC104" s="15">
        <f>SUMPRODUCT(M104:X104,$M$5:$X$5)*$K104*$L104</f>
        <v/>
      </c>
      <c r="AD104" s="15">
        <f>SUMPRODUCT(M104:X104,$M$6:$X$6)*$K104*$L104</f>
        <v/>
      </c>
      <c r="AE104" s="19" t="n"/>
    </row>
    <row r="105">
      <c r="A105" s="9" t="n">
        <v>682982</v>
      </c>
      <c r="B105" s="9" t="inlineStr">
        <is>
          <t>Daniel Espino</t>
        </is>
      </c>
      <c r="C105" s="9" t="inlineStr">
        <is>
          <t>CLE</t>
        </is>
      </c>
      <c r="D105" s="9" t="n">
        <v>26</v>
      </c>
      <c r="E105" s="17" t="inlineStr">
        <is>
          <t>R</t>
        </is>
      </c>
      <c r="F105" s="17" t="n"/>
      <c r="G105" s="9" t="n">
        <v>52</v>
      </c>
      <c r="H105" s="9" t="n">
        <v>52</v>
      </c>
      <c r="I105" s="9" t="inlineStr">
        <is>
          <t>Late Inning RP (Setup)</t>
        </is>
      </c>
      <c r="J105" s="17" t="inlineStr">
        <is>
          <t>Opening Day</t>
        </is>
      </c>
      <c r="K105" s="11">
        <f>IFERROR(INDEX(Roles!$B$17:$B$20,MATCH(J105,Roles!$A$17:$A$20,0)),1)</f>
        <v/>
      </c>
      <c r="L105" s="18" t="n">
        <v>1</v>
      </c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3">
        <f>SUMPRODUCT(M105:X105,$M$2:$X$2)*$K105*$L105</f>
        <v/>
      </c>
      <c r="Z105" s="14">
        <f>SUM(M105:X105)</f>
        <v/>
      </c>
      <c r="AA105" s="13">
        <f>SUMPRODUCT(M105:X105,$M$3:$X$3)*$K105*$L105</f>
        <v/>
      </c>
      <c r="AB105" s="13">
        <f>SUMPRODUCT(M105:X105,$M$4:$X$4)*$K105*$L105</f>
        <v/>
      </c>
      <c r="AC105" s="15">
        <f>SUMPRODUCT(M105:X105,$M$5:$X$5)*$K105*$L105</f>
        <v/>
      </c>
      <c r="AD105" s="15">
        <f>SUMPRODUCT(M105:X105,$M$6:$X$6)*$K105*$L105</f>
        <v/>
      </c>
      <c r="AE105" s="19" t="n"/>
    </row>
    <row r="106">
      <c r="A106" s="9" t="n">
        <v>595345</v>
      </c>
      <c r="B106" s="9" t="inlineStr">
        <is>
          <t>Steven Okert</t>
        </is>
      </c>
      <c r="C106" s="9" t="inlineStr">
        <is>
          <t>HOU</t>
        </is>
      </c>
      <c r="D106" s="9" t="n">
        <v>35</v>
      </c>
      <c r="E106" s="17" t="inlineStr">
        <is>
          <t>L</t>
        </is>
      </c>
      <c r="F106" s="17" t="n"/>
      <c r="G106" s="9" t="n">
        <v>261</v>
      </c>
      <c r="H106" s="9" t="n">
        <v>1165</v>
      </c>
      <c r="I106" s="9" t="inlineStr">
        <is>
          <t>Late Inning RP (Setup)</t>
        </is>
      </c>
      <c r="J106" s="17" t="inlineStr">
        <is>
          <t>Opening Day</t>
        </is>
      </c>
      <c r="K106" s="11">
        <f>IFERROR(INDEX(Roles!$B$17:$B$20,MATCH(J106,Roles!$A$17:$A$20,0)),1)</f>
        <v/>
      </c>
      <c r="L106" s="18" t="n">
        <v>1</v>
      </c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3">
        <f>SUMPRODUCT(M106:X106,$M$2:$X$2)*$K106*$L106</f>
        <v/>
      </c>
      <c r="Z106" s="14">
        <f>SUM(M106:X106)</f>
        <v/>
      </c>
      <c r="AA106" s="13">
        <f>SUMPRODUCT(M106:X106,$M$3:$X$3)*$K106*$L106</f>
        <v/>
      </c>
      <c r="AB106" s="13">
        <f>SUMPRODUCT(M106:X106,$M$4:$X$4)*$K106*$L106</f>
        <v/>
      </c>
      <c r="AC106" s="15">
        <f>SUMPRODUCT(M106:X106,$M$5:$X$5)*$K106*$L106</f>
        <v/>
      </c>
      <c r="AD106" s="15">
        <f>SUMPRODUCT(M106:X106,$M$6:$X$6)*$K106*$L106</f>
        <v/>
      </c>
      <c r="AE106" s="19" t="n"/>
    </row>
    <row r="107">
      <c r="A107" s="9" t="n">
        <v>521230</v>
      </c>
      <c r="B107" s="9" t="inlineStr">
        <is>
          <t>Liam Hendriks</t>
        </is>
      </c>
      <c r="C107" s="9" t="inlineStr">
        <is>
          <t>BOS</t>
        </is>
      </c>
      <c r="D107" s="9" t="n">
        <v>38</v>
      </c>
      <c r="E107" s="17" t="inlineStr">
        <is>
          <t>R</t>
        </is>
      </c>
      <c r="F107" s="17" t="n"/>
      <c r="G107" s="9" t="n">
        <v>59</v>
      </c>
      <c r="H107" s="9" t="n">
        <v>314</v>
      </c>
      <c r="I107" s="9" t="inlineStr">
        <is>
          <t>Bullpen Depth Arm</t>
        </is>
      </c>
      <c r="J107" s="17" t="inlineStr">
        <is>
          <t>Opening Day</t>
        </is>
      </c>
      <c r="K107" s="11">
        <f>IFERROR(INDEX(Roles!$B$17:$B$20,MATCH(J107,Roles!$A$17:$A$20,0)),1)</f>
        <v/>
      </c>
      <c r="L107" s="18" t="n">
        <v>1</v>
      </c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3">
        <f>SUMPRODUCT(M107:X107,$M$2:$X$2)*$K107*$L107</f>
        <v/>
      </c>
      <c r="Z107" s="14">
        <f>SUM(M107:X107)</f>
        <v/>
      </c>
      <c r="AA107" s="13">
        <f>SUMPRODUCT(M107:X107,$M$3:$X$3)*$K107*$L107</f>
        <v/>
      </c>
      <c r="AB107" s="13">
        <f>SUMPRODUCT(M107:X107,$M$4:$X$4)*$K107*$L107</f>
        <v/>
      </c>
      <c r="AC107" s="15">
        <f>SUMPRODUCT(M107:X107,$M$5:$X$5)*$K107*$L107</f>
        <v/>
      </c>
      <c r="AD107" s="15">
        <f>SUMPRODUCT(M107:X107,$M$6:$X$6)*$K107*$L107</f>
        <v/>
      </c>
      <c r="AE107" s="19" t="n"/>
    </row>
    <row r="108">
      <c r="A108" s="9" t="n">
        <v>673380</v>
      </c>
      <c r="B108" s="9" t="inlineStr">
        <is>
          <t>Dedniel Núñez</t>
        </is>
      </c>
      <c r="C108" s="9" t="inlineStr">
        <is>
          <t>NYM</t>
        </is>
      </c>
      <c r="D108" s="9" t="n">
        <v>31</v>
      </c>
      <c r="E108" s="17" t="inlineStr">
        <is>
          <t>R</t>
        </is>
      </c>
      <c r="F108" s="17" t="n"/>
      <c r="G108" s="9" t="n">
        <v>59</v>
      </c>
      <c r="H108" s="9" t="n">
        <v>235</v>
      </c>
      <c r="I108" s="9" t="inlineStr">
        <is>
          <t>Middle Relief</t>
        </is>
      </c>
      <c r="J108" s="17" t="inlineStr">
        <is>
          <t>Opening Day</t>
        </is>
      </c>
      <c r="K108" s="11">
        <f>IFERROR(INDEX(Roles!$B$17:$B$20,MATCH(J108,Roles!$A$17:$A$20,0)),1)</f>
        <v/>
      </c>
      <c r="L108" s="18" t="n">
        <v>1</v>
      </c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3">
        <f>SUMPRODUCT(M108:X108,$M$2:$X$2)*$K108*$L108</f>
        <v/>
      </c>
      <c r="Z108" s="14">
        <f>SUM(M108:X108)</f>
        <v/>
      </c>
      <c r="AA108" s="13">
        <f>SUMPRODUCT(M108:X108,$M$3:$X$3)*$K108*$L108</f>
        <v/>
      </c>
      <c r="AB108" s="13">
        <f>SUMPRODUCT(M108:X108,$M$4:$X$4)*$K108*$L108</f>
        <v/>
      </c>
      <c r="AC108" s="15">
        <f>SUMPRODUCT(M108:X108,$M$5:$X$5)*$K108*$L108</f>
        <v/>
      </c>
      <c r="AD108" s="15">
        <f>SUMPRODUCT(M108:X108,$M$6:$X$6)*$K108*$L108</f>
        <v/>
      </c>
      <c r="AE108" s="19" t="n"/>
    </row>
    <row r="109">
      <c r="A109" s="9" t="n">
        <v>623149</v>
      </c>
      <c r="B109" s="9" t="inlineStr">
        <is>
          <t>Paul Sewald</t>
        </is>
      </c>
      <c r="C109" s="9" t="inlineStr">
        <is>
          <t>TOR</t>
        </is>
      </c>
      <c r="D109" s="9" t="n">
        <v>37</v>
      </c>
      <c r="E109" s="17" t="inlineStr">
        <is>
          <t>R</t>
        </is>
      </c>
      <c r="F109" s="17" t="n"/>
      <c r="G109" s="9" t="n">
        <v>206</v>
      </c>
      <c r="H109" s="9" t="n">
        <v>943</v>
      </c>
      <c r="I109" s="9" t="inlineStr">
        <is>
          <t>Middle Relief</t>
        </is>
      </c>
      <c r="J109" s="17" t="inlineStr">
        <is>
          <t>Opening Day</t>
        </is>
      </c>
      <c r="K109" s="11">
        <f>IFERROR(INDEX(Roles!$B$17:$B$20,MATCH(J109,Roles!$A$17:$A$20,0)),1)</f>
        <v/>
      </c>
      <c r="L109" s="18" t="n">
        <v>1</v>
      </c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3">
        <f>SUMPRODUCT(M109:X109,$M$2:$X$2)*$K109*$L109</f>
        <v/>
      </c>
      <c r="Z109" s="14">
        <f>SUM(M109:X109)</f>
        <v/>
      </c>
      <c r="AA109" s="13">
        <f>SUMPRODUCT(M109:X109,$M$3:$X$3)*$K109*$L109</f>
        <v/>
      </c>
      <c r="AB109" s="13">
        <f>SUMPRODUCT(M109:X109,$M$4:$X$4)*$K109*$L109</f>
        <v/>
      </c>
      <c r="AC109" s="15">
        <f>SUMPRODUCT(M109:X109,$M$5:$X$5)*$K109*$L109</f>
        <v/>
      </c>
      <c r="AD109" s="15">
        <f>SUMPRODUCT(M109:X109,$M$6:$X$6)*$K109*$L109</f>
        <v/>
      </c>
      <c r="AE109" s="19" t="n"/>
    </row>
    <row r="110">
      <c r="A110" s="9" t="n">
        <v>686613</v>
      </c>
      <c r="B110" s="9" t="inlineStr">
        <is>
          <t>Hunter Brown</t>
        </is>
      </c>
      <c r="C110" s="9" t="inlineStr">
        <is>
          <t>HOU</t>
        </is>
      </c>
      <c r="D110" s="9" t="n">
        <v>28</v>
      </c>
      <c r="E110" s="17" t="inlineStr">
        <is>
          <t>R</t>
        </is>
      </c>
      <c r="F110" s="17" t="n"/>
      <c r="G110" s="9" t="n">
        <v>406</v>
      </c>
      <c r="H110" s="9" t="n">
        <v>2592</v>
      </c>
      <c r="I110" s="9" t="inlineStr">
        <is>
          <t>Mid-Rotation Starter (SP2-3)</t>
        </is>
      </c>
      <c r="J110" s="17" t="inlineStr">
        <is>
          <t>Opening Day</t>
        </is>
      </c>
      <c r="K110" s="11">
        <f>IFERROR(INDEX(Roles!$B$17:$B$20,MATCH(J110,Roles!$A$17:$A$20,0)),1)</f>
        <v/>
      </c>
      <c r="L110" s="18" t="n">
        <v>1</v>
      </c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3">
        <f>SUMPRODUCT(M110:X110,$M$2:$X$2)*$K110*$L110</f>
        <v/>
      </c>
      <c r="Z110" s="14">
        <f>SUM(M110:X110)</f>
        <v/>
      </c>
      <c r="AA110" s="13">
        <f>SUMPRODUCT(M110:X110,$M$3:$X$3)*$K110*$L110</f>
        <v/>
      </c>
      <c r="AB110" s="13">
        <f>SUMPRODUCT(M110:X110,$M$4:$X$4)*$K110*$L110</f>
        <v/>
      </c>
      <c r="AC110" s="15">
        <f>SUMPRODUCT(M110:X110,$M$5:$X$5)*$K110*$L110</f>
        <v/>
      </c>
      <c r="AD110" s="15">
        <f>SUMPRODUCT(M110:X110,$M$6:$X$6)*$K110*$L110</f>
        <v/>
      </c>
      <c r="AE110" s="19" t="n"/>
    </row>
    <row r="111">
      <c r="A111" s="9" t="n">
        <v>687863</v>
      </c>
      <c r="B111" s="9" t="inlineStr">
        <is>
          <t>Porter Hodge</t>
        </is>
      </c>
      <c r="C111" s="9" t="inlineStr">
        <is>
          <t>CHC</t>
        </is>
      </c>
      <c r="D111" s="9" t="n">
        <v>26</v>
      </c>
      <c r="E111" s="17" t="inlineStr">
        <is>
          <t>R</t>
        </is>
      </c>
      <c r="F111" s="17" t="n"/>
      <c r="G111" s="9" t="n">
        <v>147</v>
      </c>
      <c r="H111" s="9" t="n">
        <v>311</v>
      </c>
      <c r="I111" s="9" t="inlineStr">
        <is>
          <t>Middle Relief</t>
        </is>
      </c>
      <c r="J111" s="17" t="inlineStr">
        <is>
          <t>Opening Day</t>
        </is>
      </c>
      <c r="K111" s="11">
        <f>IFERROR(INDEX(Roles!$B$17:$B$20,MATCH(J111,Roles!$A$17:$A$20,0)),1)</f>
        <v/>
      </c>
      <c r="L111" s="18" t="n">
        <v>1</v>
      </c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3">
        <f>SUMPRODUCT(M111:X111,$M$2:$X$2)*$K111*$L111</f>
        <v/>
      </c>
      <c r="Z111" s="14">
        <f>SUM(M111:X111)</f>
        <v/>
      </c>
      <c r="AA111" s="13">
        <f>SUMPRODUCT(M111:X111,$M$3:$X$3)*$K111*$L111</f>
        <v/>
      </c>
      <c r="AB111" s="13">
        <f>SUMPRODUCT(M111:X111,$M$4:$X$4)*$K111*$L111</f>
        <v/>
      </c>
      <c r="AC111" s="15">
        <f>SUMPRODUCT(M111:X111,$M$5:$X$5)*$K111*$L111</f>
        <v/>
      </c>
      <c r="AD111" s="15">
        <f>SUMPRODUCT(M111:X111,$M$6:$X$6)*$K111*$L111</f>
        <v/>
      </c>
      <c r="AE111" s="19" t="n"/>
    </row>
    <row r="112">
      <c r="A112" s="9" t="n">
        <v>683003</v>
      </c>
      <c r="B112" s="9" t="inlineStr">
        <is>
          <t>Jared Jones</t>
        </is>
      </c>
      <c r="C112" s="9" t="inlineStr">
        <is>
          <t>PIT</t>
        </is>
      </c>
      <c r="D112" s="9" t="n">
        <v>25</v>
      </c>
      <c r="E112" s="17" t="inlineStr">
        <is>
          <t>R</t>
        </is>
      </c>
      <c r="F112" s="17" t="n"/>
      <c r="G112" s="9" t="n">
        <v>380</v>
      </c>
      <c r="H112" s="9" t="n">
        <v>884</v>
      </c>
      <c r="I112" s="9" t="inlineStr">
        <is>
          <t>Mid-Rotation Starter (SP2-3)</t>
        </is>
      </c>
      <c r="J112" s="17" t="inlineStr">
        <is>
          <t>Opening Day</t>
        </is>
      </c>
      <c r="K112" s="11">
        <f>IFERROR(INDEX(Roles!$B$17:$B$20,MATCH(J112,Roles!$A$17:$A$20,0)),1)</f>
        <v/>
      </c>
      <c r="L112" s="18" t="n">
        <v>1</v>
      </c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3">
        <f>SUMPRODUCT(M112:X112,$M$2:$X$2)*$K112*$L112</f>
        <v/>
      </c>
      <c r="Z112" s="14">
        <f>SUM(M112:X112)</f>
        <v/>
      </c>
      <c r="AA112" s="13">
        <f>SUMPRODUCT(M112:X112,$M$3:$X$3)*$K112*$L112</f>
        <v/>
      </c>
      <c r="AB112" s="13">
        <f>SUMPRODUCT(M112:X112,$M$4:$X$4)*$K112*$L112</f>
        <v/>
      </c>
      <c r="AC112" s="15">
        <f>SUMPRODUCT(M112:X112,$M$5:$X$5)*$K112*$L112</f>
        <v/>
      </c>
      <c r="AD112" s="15">
        <f>SUMPRODUCT(M112:X112,$M$6:$X$6)*$K112*$L112</f>
        <v/>
      </c>
      <c r="AE112" s="19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7" t="inlineStr">
        <is>
          <t>R</t>
        </is>
      </c>
      <c r="F113" s="17" t="n"/>
      <c r="G113" s="9" t="n">
        <v>68</v>
      </c>
      <c r="H113" s="9" t="n">
        <v>467</v>
      </c>
      <c r="I113" s="9" t="inlineStr">
        <is>
          <t>Late Inning RP (Setup)</t>
        </is>
      </c>
      <c r="J113" s="17" t="inlineStr">
        <is>
          <t>Opening Day</t>
        </is>
      </c>
      <c r="K113" s="11">
        <f>IFERROR(INDEX(Roles!$B$17:$B$20,MATCH(J113,Roles!$A$17:$A$20,0)),1)</f>
        <v/>
      </c>
      <c r="L113" s="18" t="n">
        <v>1</v>
      </c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3">
        <f>SUMPRODUCT(M113:X113,$M$2:$X$2)*$K113*$L113</f>
        <v/>
      </c>
      <c r="Z113" s="14">
        <f>SUM(M113:X113)</f>
        <v/>
      </c>
      <c r="AA113" s="13">
        <f>SUMPRODUCT(M113:X113,$M$3:$X$3)*$K113*$L113</f>
        <v/>
      </c>
      <c r="AB113" s="13">
        <f>SUMPRODUCT(M113:X113,$M$4:$X$4)*$K113*$L113</f>
        <v/>
      </c>
      <c r="AC113" s="15">
        <f>SUMPRODUCT(M113:X113,$M$5:$X$5)*$K113*$L113</f>
        <v/>
      </c>
      <c r="AD113" s="15">
        <f>SUMPRODUCT(M113:X113,$M$6:$X$6)*$K113*$L113</f>
        <v/>
      </c>
      <c r="AE113" s="19" t="n"/>
    </row>
    <row r="114">
      <c r="A114" s="9" t="n">
        <v>595014</v>
      </c>
      <c r="B114" s="9" t="inlineStr">
        <is>
          <t>Blake Treinen</t>
        </is>
      </c>
      <c r="C114" s="9" t="inlineStr">
        <is>
          <t>LAD</t>
        </is>
      </c>
      <c r="D114" s="9" t="n">
        <v>39</v>
      </c>
      <c r="E114" s="17" t="inlineStr">
        <is>
          <t>R</t>
        </is>
      </c>
      <c r="F114" s="17" t="n"/>
      <c r="G114" s="9" t="n">
        <v>121</v>
      </c>
      <c r="H114" s="9" t="n">
        <v>451</v>
      </c>
      <c r="I114" s="9" t="inlineStr">
        <is>
          <t>Bullpen Depth Arm</t>
        </is>
      </c>
      <c r="J114" s="17" t="inlineStr">
        <is>
          <t>Opening Day</t>
        </is>
      </c>
      <c r="K114" s="11">
        <f>IFERROR(INDEX(Roles!$B$17:$B$20,MATCH(J114,Roles!$A$17:$A$20,0)),1)</f>
        <v/>
      </c>
      <c r="L114" s="18" t="n">
        <v>1</v>
      </c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3">
        <f>SUMPRODUCT(M114:X114,$M$2:$X$2)*$K114*$L114</f>
        <v/>
      </c>
      <c r="Z114" s="14">
        <f>SUM(M114:X114)</f>
        <v/>
      </c>
      <c r="AA114" s="13">
        <f>SUMPRODUCT(M114:X114,$M$3:$X$3)*$K114*$L114</f>
        <v/>
      </c>
      <c r="AB114" s="13">
        <f>SUMPRODUCT(M114:X114,$M$4:$X$4)*$K114*$L114</f>
        <v/>
      </c>
      <c r="AC114" s="15">
        <f>SUMPRODUCT(M114:X114,$M$5:$X$5)*$K114*$L114</f>
        <v/>
      </c>
      <c r="AD114" s="15">
        <f>SUMPRODUCT(M114:X114,$M$6:$X$6)*$K114*$L114</f>
        <v/>
      </c>
      <c r="AE114" s="19" t="n"/>
    </row>
    <row r="115">
      <c r="A115" s="9" t="n">
        <v>690997</v>
      </c>
      <c r="B115" s="9" t="inlineStr">
        <is>
          <t>Nolan McLean</t>
        </is>
      </c>
      <c r="C115" s="9" t="inlineStr">
        <is>
          <t>NYM</t>
        </is>
      </c>
      <c r="D115" s="9" t="n">
        <v>25</v>
      </c>
      <c r="E115" s="17" t="inlineStr">
        <is>
          <t>R</t>
        </is>
      </c>
      <c r="F115" s="17" t="n"/>
      <c r="G115" s="9" t="n">
        <v>695</v>
      </c>
      <c r="H115" s="9" t="n">
        <v>883</v>
      </c>
      <c r="I115" s="9" t="inlineStr">
        <is>
          <t>Mid-Rotation Starter (SP2-3)</t>
        </is>
      </c>
      <c r="J115" s="17" t="inlineStr">
        <is>
          <t>Opening Day</t>
        </is>
      </c>
      <c r="K115" s="11">
        <f>IFERROR(INDEX(Roles!$B$17:$B$20,MATCH(J115,Roles!$A$17:$A$20,0)),1)</f>
        <v/>
      </c>
      <c r="L115" s="18" t="n">
        <v>1</v>
      </c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3">
        <f>SUMPRODUCT(M115:X115,$M$2:$X$2)*$K115*$L115</f>
        <v/>
      </c>
      <c r="Z115" s="14">
        <f>SUM(M115:X115)</f>
        <v/>
      </c>
      <c r="AA115" s="13">
        <f>SUMPRODUCT(M115:X115,$M$3:$X$3)*$K115*$L115</f>
        <v/>
      </c>
      <c r="AB115" s="13">
        <f>SUMPRODUCT(M115:X115,$M$4:$X$4)*$K115*$L115</f>
        <v/>
      </c>
      <c r="AC115" s="15">
        <f>SUMPRODUCT(M115:X115,$M$5:$X$5)*$K115*$L115</f>
        <v/>
      </c>
      <c r="AD115" s="15">
        <f>SUMPRODUCT(M115:X115,$M$6:$X$6)*$K115*$L115</f>
        <v/>
      </c>
      <c r="AE115" s="19" t="n"/>
    </row>
    <row r="116">
      <c r="A116" s="9" t="n">
        <v>593576</v>
      </c>
      <c r="B116" s="9" t="inlineStr">
        <is>
          <t>Héctor Neris</t>
        </is>
      </c>
      <c r="C116" s="9" t="inlineStr">
        <is>
          <t>HOU</t>
        </is>
      </c>
      <c r="D116" s="9" t="n">
        <v>38</v>
      </c>
      <c r="E116" s="17" t="inlineStr">
        <is>
          <t>R</t>
        </is>
      </c>
      <c r="F116" s="17" t="n"/>
      <c r="G116" s="9" t="n">
        <v>124</v>
      </c>
      <c r="H116" s="9" t="n">
        <v>920</v>
      </c>
      <c r="I116" s="9" t="inlineStr">
        <is>
          <t>Bullpen Depth Arm</t>
        </is>
      </c>
      <c r="J116" s="17" t="inlineStr">
        <is>
          <t>Opening Day</t>
        </is>
      </c>
      <c r="K116" s="11">
        <f>IFERROR(INDEX(Roles!$B$17:$B$20,MATCH(J116,Roles!$A$17:$A$20,0)),1)</f>
        <v/>
      </c>
      <c r="L116" s="18" t="n">
        <v>1</v>
      </c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3">
        <f>SUMPRODUCT(M116:X116,$M$2:$X$2)*$K116*$L116</f>
        <v/>
      </c>
      <c r="Z116" s="14">
        <f>SUM(M116:X116)</f>
        <v/>
      </c>
      <c r="AA116" s="13">
        <f>SUMPRODUCT(M116:X116,$M$3:$X$3)*$K116*$L116</f>
        <v/>
      </c>
      <c r="AB116" s="13">
        <f>SUMPRODUCT(M116:X116,$M$4:$X$4)*$K116*$L116</f>
        <v/>
      </c>
      <c r="AC116" s="15">
        <f>SUMPRODUCT(M116:X116,$M$5:$X$5)*$K116*$L116</f>
        <v/>
      </c>
      <c r="AD116" s="15">
        <f>SUMPRODUCT(M116:X116,$M$6:$X$6)*$K116*$L116</f>
        <v/>
      </c>
      <c r="AE116" s="19" t="n"/>
    </row>
    <row r="117">
      <c r="A117" s="9" t="n">
        <v>592779</v>
      </c>
      <c r="B117" s="9" t="inlineStr">
        <is>
          <t>Brock Stewart</t>
        </is>
      </c>
      <c r="C117" s="9" t="inlineStr">
        <is>
          <t>LAD</t>
        </is>
      </c>
      <c r="D117" s="9" t="n">
        <v>35</v>
      </c>
      <c r="E117" s="17" t="inlineStr">
        <is>
          <t>R</t>
        </is>
      </c>
      <c r="F117" s="17" t="n"/>
      <c r="G117" s="9" t="n">
        <v>91</v>
      </c>
      <c r="H117" s="9" t="n">
        <v>426</v>
      </c>
      <c r="I117" s="9" t="inlineStr">
        <is>
          <t>Middle Relief</t>
        </is>
      </c>
      <c r="J117" s="17" t="inlineStr">
        <is>
          <t>Opening Day</t>
        </is>
      </c>
      <c r="K117" s="11">
        <f>IFERROR(INDEX(Roles!$B$17:$B$20,MATCH(J117,Roles!$A$17:$A$20,0)),1)</f>
        <v/>
      </c>
      <c r="L117" s="18" t="n">
        <v>1</v>
      </c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3">
        <f>SUMPRODUCT(M117:X117,$M$2:$X$2)*$K117*$L117</f>
        <v/>
      </c>
      <c r="Z117" s="14">
        <f>SUM(M117:X117)</f>
        <v/>
      </c>
      <c r="AA117" s="13">
        <f>SUMPRODUCT(M117:X117,$M$3:$X$3)*$K117*$L117</f>
        <v/>
      </c>
      <c r="AB117" s="13">
        <f>SUMPRODUCT(M117:X117,$M$4:$X$4)*$K117*$L117</f>
        <v/>
      </c>
      <c r="AC117" s="15">
        <f>SUMPRODUCT(M117:X117,$M$5:$X$5)*$K117*$L117</f>
        <v/>
      </c>
      <c r="AD117" s="15">
        <f>SUMPRODUCT(M117:X117,$M$6:$X$6)*$K117*$L117</f>
        <v/>
      </c>
      <c r="AE117" s="19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7" t="inlineStr">
        <is>
          <t>R</t>
        </is>
      </c>
      <c r="F118" s="17" t="n"/>
      <c r="G118" s="9" t="n">
        <v>90</v>
      </c>
      <c r="H118" s="9" t="n">
        <v>772</v>
      </c>
      <c r="I118" s="9" t="inlineStr">
        <is>
          <t>Bullpen Depth Arm</t>
        </is>
      </c>
      <c r="J118" s="17" t="inlineStr">
        <is>
          <t>Opening Day</t>
        </is>
      </c>
      <c r="K118" s="11">
        <f>IFERROR(INDEX(Roles!$B$17:$B$20,MATCH(J118,Roles!$A$17:$A$20,0)),1)</f>
        <v/>
      </c>
      <c r="L118" s="18" t="n">
        <v>1</v>
      </c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3">
        <f>SUMPRODUCT(M118:X118,$M$2:$X$2)*$K118*$L118</f>
        <v/>
      </c>
      <c r="Z118" s="14">
        <f>SUM(M118:X118)</f>
        <v/>
      </c>
      <c r="AA118" s="13">
        <f>SUMPRODUCT(M118:X118,$M$3:$X$3)*$K118*$L118</f>
        <v/>
      </c>
      <c r="AB118" s="13">
        <f>SUMPRODUCT(M118:X118,$M$4:$X$4)*$K118*$L118</f>
        <v/>
      </c>
      <c r="AC118" s="15">
        <f>SUMPRODUCT(M118:X118,$M$5:$X$5)*$K118*$L118</f>
        <v/>
      </c>
      <c r="AD118" s="15">
        <f>SUMPRODUCT(M118:X118,$M$6:$X$6)*$K118*$L118</f>
        <v/>
      </c>
      <c r="AE118" s="19" t="n"/>
    </row>
    <row r="119">
      <c r="A119" s="9" t="n">
        <v>605177</v>
      </c>
      <c r="B119" s="9" t="inlineStr">
        <is>
          <t>Andrew Chafin</t>
        </is>
      </c>
      <c r="C119" s="9" t="inlineStr">
        <is>
          <t>LAA</t>
        </is>
      </c>
      <c r="D119" s="9" t="n">
        <v>37</v>
      </c>
      <c r="E119" s="17" t="inlineStr">
        <is>
          <t>L</t>
        </is>
      </c>
      <c r="F119" s="17" t="n"/>
      <c r="G119" s="9" t="n">
        <v>143</v>
      </c>
      <c r="H119" s="9" t="n">
        <v>856</v>
      </c>
      <c r="I119" s="9" t="inlineStr">
        <is>
          <t>Late Inning RP (Setup)</t>
        </is>
      </c>
      <c r="J119" s="17" t="inlineStr">
        <is>
          <t>Opening Day</t>
        </is>
      </c>
      <c r="K119" s="11">
        <f>IFERROR(INDEX(Roles!$B$17:$B$20,MATCH(J119,Roles!$A$17:$A$20,0)),1)</f>
        <v/>
      </c>
      <c r="L119" s="18" t="n">
        <v>1</v>
      </c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3">
        <f>SUMPRODUCT(M119:X119,$M$2:$X$2)*$K119*$L119</f>
        <v/>
      </c>
      <c r="Z119" s="14">
        <f>SUM(M119:X119)</f>
        <v/>
      </c>
      <c r="AA119" s="13">
        <f>SUMPRODUCT(M119:X119,$M$3:$X$3)*$K119*$L119</f>
        <v/>
      </c>
      <c r="AB119" s="13">
        <f>SUMPRODUCT(M119:X119,$M$4:$X$4)*$K119*$L119</f>
        <v/>
      </c>
      <c r="AC119" s="15">
        <f>SUMPRODUCT(M119:X119,$M$5:$X$5)*$K119*$L119</f>
        <v/>
      </c>
      <c r="AD119" s="15">
        <f>SUMPRODUCT(M119:X119,$M$6:$X$6)*$K119*$L119</f>
        <v/>
      </c>
      <c r="AE119" s="19" t="n"/>
    </row>
    <row r="120">
      <c r="A120" s="9" t="n">
        <v>657585</v>
      </c>
      <c r="B120" s="9" t="inlineStr">
        <is>
          <t>Reed Garrett</t>
        </is>
      </c>
      <c r="C120" s="9" t="inlineStr">
        <is>
          <t>NYM</t>
        </is>
      </c>
      <c r="D120" s="9" t="n">
        <v>34</v>
      </c>
      <c r="E120" s="17" t="inlineStr">
        <is>
          <t>R</t>
        </is>
      </c>
      <c r="F120" s="17" t="n"/>
      <c r="G120" s="9" t="n">
        <v>238</v>
      </c>
      <c r="H120" s="9" t="n">
        <v>621</v>
      </c>
      <c r="I120" s="9" t="inlineStr">
        <is>
          <t>Middle Relief</t>
        </is>
      </c>
      <c r="J120" s="17" t="inlineStr">
        <is>
          <t>Opening Day</t>
        </is>
      </c>
      <c r="K120" s="11">
        <f>IFERROR(INDEX(Roles!$B$17:$B$20,MATCH(J120,Roles!$A$17:$A$20,0)),1)</f>
        <v/>
      </c>
      <c r="L120" s="18" t="n">
        <v>1</v>
      </c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3">
        <f>SUMPRODUCT(M120:X120,$M$2:$X$2)*$K120*$L120</f>
        <v/>
      </c>
      <c r="Z120" s="14">
        <f>SUM(M120:X120)</f>
        <v/>
      </c>
      <c r="AA120" s="13">
        <f>SUMPRODUCT(M120:X120,$M$3:$X$3)*$K120*$L120</f>
        <v/>
      </c>
      <c r="AB120" s="13">
        <f>SUMPRODUCT(M120:X120,$M$4:$X$4)*$K120*$L120</f>
        <v/>
      </c>
      <c r="AC120" s="15">
        <f>SUMPRODUCT(M120:X120,$M$5:$X$5)*$K120*$L120</f>
        <v/>
      </c>
      <c r="AD120" s="15">
        <f>SUMPRODUCT(M120:X120,$M$6:$X$6)*$K120*$L120</f>
        <v/>
      </c>
      <c r="AE120" s="19" t="n"/>
    </row>
    <row r="121">
      <c r="A121" s="9" t="n">
        <v>493603</v>
      </c>
      <c r="B121" s="9" t="inlineStr">
        <is>
          <t>Adam Ottavino</t>
        </is>
      </c>
      <c r="C121" s="9" t="inlineStr">
        <is>
          <t>NYM</t>
        </is>
      </c>
      <c r="D121" s="9" t="n">
        <v>41</v>
      </c>
      <c r="E121" s="17" t="inlineStr">
        <is>
          <t>R</t>
        </is>
      </c>
      <c r="F121" s="17" t="n"/>
      <c r="G121" s="9" t="n">
        <v>9</v>
      </c>
      <c r="H121" s="9" t="n">
        <v>773</v>
      </c>
      <c r="I121" s="9" t="inlineStr">
        <is>
          <t>Depth (no MLB IP)</t>
        </is>
      </c>
      <c r="J121" s="17" t="inlineStr">
        <is>
          <t>Opening Day</t>
        </is>
      </c>
      <c r="K121" s="11">
        <f>IFERROR(INDEX(Roles!$B$17:$B$20,MATCH(J121,Roles!$A$17:$A$20,0)),1)</f>
        <v/>
      </c>
      <c r="L121" s="18" t="n">
        <v>1</v>
      </c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3">
        <f>SUMPRODUCT(M121:X121,$M$2:$X$2)*$K121*$L121</f>
        <v/>
      </c>
      <c r="Z121" s="14">
        <f>SUM(M121:X121)</f>
        <v/>
      </c>
      <c r="AA121" s="13">
        <f>SUMPRODUCT(M121:X121,$M$3:$X$3)*$K121*$L121</f>
        <v/>
      </c>
      <c r="AB121" s="13">
        <f>SUMPRODUCT(M121:X121,$M$4:$X$4)*$K121*$L121</f>
        <v/>
      </c>
      <c r="AC121" s="15">
        <f>SUMPRODUCT(M121:X121,$M$5:$X$5)*$K121*$L121</f>
        <v/>
      </c>
      <c r="AD121" s="15">
        <f>SUMPRODUCT(M121:X121,$M$6:$X$6)*$K121*$L121</f>
        <v/>
      </c>
      <c r="AE121" s="19" t="n"/>
    </row>
    <row r="122">
      <c r="A122" s="9" t="n">
        <v>805299</v>
      </c>
      <c r="B122" s="9" t="inlineStr">
        <is>
          <t>Brandyn Garcia</t>
        </is>
      </c>
      <c r="C122" s="9" t="inlineStr">
        <is>
          <t>ARI</t>
        </is>
      </c>
      <c r="D122" s="9" t="n">
        <v>27</v>
      </c>
      <c r="E122" s="17" t="inlineStr">
        <is>
          <t>L</t>
        </is>
      </c>
      <c r="F122" s="17" t="n"/>
      <c r="G122" s="9" t="n">
        <v>174</v>
      </c>
      <c r="H122" s="9" t="n">
        <v>240</v>
      </c>
      <c r="I122" s="9" t="inlineStr">
        <is>
          <t>Middle Relief</t>
        </is>
      </c>
      <c r="J122" s="17" t="inlineStr">
        <is>
          <t>Opening Day</t>
        </is>
      </c>
      <c r="K122" s="11">
        <f>IFERROR(INDEX(Roles!$B$17:$B$20,MATCH(J122,Roles!$A$17:$A$20,0)),1)</f>
        <v/>
      </c>
      <c r="L122" s="18" t="n">
        <v>1</v>
      </c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3">
        <f>SUMPRODUCT(M122:X122,$M$2:$X$2)*$K122*$L122</f>
        <v/>
      </c>
      <c r="Z122" s="14">
        <f>SUM(M122:X122)</f>
        <v/>
      </c>
      <c r="AA122" s="13">
        <f>SUMPRODUCT(M122:X122,$M$3:$X$3)*$K122*$L122</f>
        <v/>
      </c>
      <c r="AB122" s="13">
        <f>SUMPRODUCT(M122:X122,$M$4:$X$4)*$K122*$L122</f>
        <v/>
      </c>
      <c r="AC122" s="15">
        <f>SUMPRODUCT(M122:X122,$M$5:$X$5)*$K122*$L122</f>
        <v/>
      </c>
      <c r="AD122" s="15">
        <f>SUMPRODUCT(M122:X122,$M$6:$X$6)*$K122*$L122</f>
        <v/>
      </c>
      <c r="AE122" s="19" t="n"/>
    </row>
    <row r="123">
      <c r="A123" s="9" t="n">
        <v>621114</v>
      </c>
      <c r="B123" s="9" t="inlineStr">
        <is>
          <t>Ryan Burr</t>
        </is>
      </c>
      <c r="C123" s="9" t="inlineStr">
        <is>
          <t>TOR</t>
        </is>
      </c>
      <c r="D123" s="9" t="n">
        <v>33</v>
      </c>
      <c r="E123" s="17" t="inlineStr">
        <is>
          <t>R</t>
        </is>
      </c>
      <c r="F123" s="17" t="n"/>
      <c r="G123" s="9" t="n">
        <v>8</v>
      </c>
      <c r="H123" s="9" t="n">
        <v>187</v>
      </c>
      <c r="I123" s="9" t="inlineStr">
        <is>
          <t>Depth (no MLB IP)</t>
        </is>
      </c>
      <c r="J123" s="17" t="inlineStr">
        <is>
          <t>Opening Day</t>
        </is>
      </c>
      <c r="K123" s="11">
        <f>IFERROR(INDEX(Roles!$B$17:$B$20,MATCH(J123,Roles!$A$17:$A$20,0)),1)</f>
        <v/>
      </c>
      <c r="L123" s="18" t="n">
        <v>1</v>
      </c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3">
        <f>SUMPRODUCT(M123:X123,$M$2:$X$2)*$K123*$L123</f>
        <v/>
      </c>
      <c r="Z123" s="14">
        <f>SUM(M123:X123)</f>
        <v/>
      </c>
      <c r="AA123" s="13">
        <f>SUMPRODUCT(M123:X123,$M$3:$X$3)*$K123*$L123</f>
        <v/>
      </c>
      <c r="AB123" s="13">
        <f>SUMPRODUCT(M123:X123,$M$4:$X$4)*$K123*$L123</f>
        <v/>
      </c>
      <c r="AC123" s="15">
        <f>SUMPRODUCT(M123:X123,$M$5:$X$5)*$K123*$L123</f>
        <v/>
      </c>
      <c r="AD123" s="15">
        <f>SUMPRODUCT(M123:X123,$M$6:$X$6)*$K123*$L123</f>
        <v/>
      </c>
      <c r="AE123" s="19" t="n"/>
    </row>
    <row r="124">
      <c r="A124" s="9" t="n">
        <v>691587</v>
      </c>
      <c r="B124" s="9" t="inlineStr">
        <is>
          <t>Eury Pérez</t>
        </is>
      </c>
      <c r="C124" s="9" t="inlineStr">
        <is>
          <t>MIA</t>
        </is>
      </c>
      <c r="D124" s="9" t="n">
        <v>24</v>
      </c>
      <c r="E124" s="17" t="inlineStr">
        <is>
          <t>R</t>
        </is>
      </c>
      <c r="F124" s="17" t="n"/>
      <c r="G124" s="9" t="n">
        <v>602</v>
      </c>
      <c r="H124" s="9" t="n">
        <v>1361</v>
      </c>
      <c r="I124" s="9" t="inlineStr">
        <is>
          <t>Mid-Rotation Starter (SP2-3)</t>
        </is>
      </c>
      <c r="J124" s="17" t="inlineStr">
        <is>
          <t>Opening Day</t>
        </is>
      </c>
      <c r="K124" s="11">
        <f>IFERROR(INDEX(Roles!$B$17:$B$20,MATCH(J124,Roles!$A$17:$A$20,0)),1)</f>
        <v/>
      </c>
      <c r="L124" s="18" t="n">
        <v>1</v>
      </c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3">
        <f>SUMPRODUCT(M124:X124,$M$2:$X$2)*$K124*$L124</f>
        <v/>
      </c>
      <c r="Z124" s="14">
        <f>SUM(M124:X124)</f>
        <v/>
      </c>
      <c r="AA124" s="13">
        <f>SUMPRODUCT(M124:X124,$M$3:$X$3)*$K124*$L124</f>
        <v/>
      </c>
      <c r="AB124" s="13">
        <f>SUMPRODUCT(M124:X124,$M$4:$X$4)*$K124*$L124</f>
        <v/>
      </c>
      <c r="AC124" s="15">
        <f>SUMPRODUCT(M124:X124,$M$5:$X$5)*$K124*$L124</f>
        <v/>
      </c>
      <c r="AD124" s="15">
        <f>SUMPRODUCT(M124:X124,$M$6:$X$6)*$K124*$L124</f>
        <v/>
      </c>
      <c r="AE124" s="19" t="n"/>
    </row>
    <row r="125">
      <c r="A125" s="9" t="n">
        <v>642547</v>
      </c>
      <c r="B125" s="9" t="inlineStr">
        <is>
          <t>Freddy Peralta</t>
        </is>
      </c>
      <c r="C125" s="9" t="inlineStr">
        <is>
          <t>TB</t>
        </is>
      </c>
      <c r="D125" s="9" t="n">
        <v>31</v>
      </c>
      <c r="E125" s="17" t="inlineStr">
        <is>
          <t>R</t>
        </is>
      </c>
      <c r="F125" s="17" t="n"/>
      <c r="G125" s="9" t="n">
        <v>685</v>
      </c>
      <c r="H125" s="9" t="n">
        <v>3130</v>
      </c>
      <c r="I125" s="9" t="inlineStr">
        <is>
          <t>Mid-Rotation Starter (SP2-3)</t>
        </is>
      </c>
      <c r="J125" s="17" t="inlineStr">
        <is>
          <t>Opening Day</t>
        </is>
      </c>
      <c r="K125" s="11">
        <f>IFERROR(INDEX(Roles!$B$17:$B$20,MATCH(J125,Roles!$A$17:$A$20,0)),1)</f>
        <v/>
      </c>
      <c r="L125" s="18" t="n">
        <v>1</v>
      </c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3">
        <f>SUMPRODUCT(M125:X125,$M$2:$X$2)*$K125*$L125</f>
        <v/>
      </c>
      <c r="Z125" s="14">
        <f>SUM(M125:X125)</f>
        <v/>
      </c>
      <c r="AA125" s="13">
        <f>SUMPRODUCT(M125:X125,$M$3:$X$3)*$K125*$L125</f>
        <v/>
      </c>
      <c r="AB125" s="13">
        <f>SUMPRODUCT(M125:X125,$M$4:$X$4)*$K125*$L125</f>
        <v/>
      </c>
      <c r="AC125" s="15">
        <f>SUMPRODUCT(M125:X125,$M$5:$X$5)*$K125*$L125</f>
        <v/>
      </c>
      <c r="AD125" s="15">
        <f>SUMPRODUCT(M125:X125,$M$6:$X$6)*$K125*$L125</f>
        <v/>
      </c>
      <c r="AE125" s="19" t="n"/>
    </row>
    <row r="126">
      <c r="A126" s="9" t="n">
        <v>683618</v>
      </c>
      <c r="B126" s="9" t="inlineStr">
        <is>
          <t>Edgardo Henriquez</t>
        </is>
      </c>
      <c r="C126" s="9" t="inlineStr">
        <is>
          <t>LAD</t>
        </is>
      </c>
      <c r="D126" s="9" t="n">
        <v>25</v>
      </c>
      <c r="E126" s="17" t="inlineStr">
        <is>
          <t>R</t>
        </is>
      </c>
      <c r="F126" s="17" t="n"/>
      <c r="G126" s="9" t="n">
        <v>242</v>
      </c>
      <c r="H126" s="9" t="n">
        <v>334</v>
      </c>
      <c r="I126" s="9" t="inlineStr">
        <is>
          <t>Middle Relief</t>
        </is>
      </c>
      <c r="J126" s="17" t="inlineStr">
        <is>
          <t>Opening Day</t>
        </is>
      </c>
      <c r="K126" s="11">
        <f>IFERROR(INDEX(Roles!$B$17:$B$20,MATCH(J126,Roles!$A$17:$A$20,0)),1)</f>
        <v/>
      </c>
      <c r="L126" s="18" t="n">
        <v>1</v>
      </c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3">
        <f>SUMPRODUCT(M126:X126,$M$2:$X$2)*$K126*$L126</f>
        <v/>
      </c>
      <c r="Z126" s="14">
        <f>SUM(M126:X126)</f>
        <v/>
      </c>
      <c r="AA126" s="13">
        <f>SUMPRODUCT(M126:X126,$M$3:$X$3)*$K126*$L126</f>
        <v/>
      </c>
      <c r="AB126" s="13">
        <f>SUMPRODUCT(M126:X126,$M$4:$X$4)*$K126*$L126</f>
        <v/>
      </c>
      <c r="AC126" s="15">
        <f>SUMPRODUCT(M126:X126,$M$5:$X$5)*$K126*$L126</f>
        <v/>
      </c>
      <c r="AD126" s="15">
        <f>SUMPRODUCT(M126:X126,$M$6:$X$6)*$K126*$L126</f>
        <v/>
      </c>
      <c r="AE126" s="19" t="n"/>
    </row>
    <row r="127">
      <c r="A127" s="9" t="n">
        <v>571479</v>
      </c>
      <c r="B127" s="9" t="inlineStr">
        <is>
          <t>Andrew Bellatti</t>
        </is>
      </c>
      <c r="C127" s="9" t="inlineStr">
        <is>
          <t>PHI</t>
        </is>
      </c>
      <c r="D127" s="9" t="n">
        <v>35</v>
      </c>
      <c r="E127" s="17" t="inlineStr">
        <is>
          <t>R</t>
        </is>
      </c>
      <c r="F127" s="17" t="n"/>
      <c r="G127" s="9" t="n">
        <v>113</v>
      </c>
      <c r="H127" s="9" t="n">
        <v>343</v>
      </c>
      <c r="I127" s="9" t="inlineStr">
        <is>
          <t>Depth (no MLB IP)</t>
        </is>
      </c>
      <c r="J127" s="17" t="inlineStr">
        <is>
          <t>Opening Day</t>
        </is>
      </c>
      <c r="K127" s="11">
        <f>IFERROR(INDEX(Roles!$B$17:$B$20,MATCH(J127,Roles!$A$17:$A$20,0)),1)</f>
        <v/>
      </c>
      <c r="L127" s="18" t="n">
        <v>1</v>
      </c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3">
        <f>SUMPRODUCT(M127:X127,$M$2:$X$2)*$K127*$L127</f>
        <v/>
      </c>
      <c r="Z127" s="14">
        <f>SUM(M127:X127)</f>
        <v/>
      </c>
      <c r="AA127" s="13">
        <f>SUMPRODUCT(M127:X127,$M$3:$X$3)*$K127*$L127</f>
        <v/>
      </c>
      <c r="AB127" s="13">
        <f>SUMPRODUCT(M127:X127,$M$4:$X$4)*$K127*$L127</f>
        <v/>
      </c>
      <c r="AC127" s="15">
        <f>SUMPRODUCT(M127:X127,$M$5:$X$5)*$K127*$L127</f>
        <v/>
      </c>
      <c r="AD127" s="15">
        <f>SUMPRODUCT(M127:X127,$M$6:$X$6)*$K127*$L127</f>
        <v/>
      </c>
      <c r="AE127" s="19" t="n"/>
    </row>
    <row r="128">
      <c r="A128" s="9" t="n">
        <v>666808</v>
      </c>
      <c r="B128" s="9" t="inlineStr">
        <is>
          <t>Camilo Doval</t>
        </is>
      </c>
      <c r="C128" s="9" t="inlineStr">
        <is>
          <t>PIT</t>
        </is>
      </c>
      <c r="D128" s="9" t="n">
        <v>29</v>
      </c>
      <c r="E128" s="17" t="inlineStr">
        <is>
          <t>R</t>
        </is>
      </c>
      <c r="F128" s="17" t="n"/>
      <c r="G128" s="9" t="n">
        <v>255</v>
      </c>
      <c r="H128" s="9" t="n">
        <v>1371</v>
      </c>
      <c r="I128" s="9" t="inlineStr">
        <is>
          <t>Middle Relief</t>
        </is>
      </c>
      <c r="J128" s="17" t="inlineStr">
        <is>
          <t>Opening Day</t>
        </is>
      </c>
      <c r="K128" s="11">
        <f>IFERROR(INDEX(Roles!$B$17:$B$20,MATCH(J128,Roles!$A$17:$A$20,0)),1)</f>
        <v/>
      </c>
      <c r="L128" s="18" t="n">
        <v>1</v>
      </c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3">
        <f>SUMPRODUCT(M128:X128,$M$2:$X$2)*$K128*$L128</f>
        <v/>
      </c>
      <c r="Z128" s="14">
        <f>SUM(M128:X128)</f>
        <v/>
      </c>
      <c r="AA128" s="13">
        <f>SUMPRODUCT(M128:X128,$M$3:$X$3)*$K128*$L128</f>
        <v/>
      </c>
      <c r="AB128" s="13">
        <f>SUMPRODUCT(M128:X128,$M$4:$X$4)*$K128*$L128</f>
        <v/>
      </c>
      <c r="AC128" s="15">
        <f>SUMPRODUCT(M128:X128,$M$5:$X$5)*$K128*$L128</f>
        <v/>
      </c>
      <c r="AD128" s="15">
        <f>SUMPRODUCT(M128:X128,$M$6:$X$6)*$K128*$L128</f>
        <v/>
      </c>
      <c r="AE128" s="19" t="n"/>
    </row>
    <row r="129">
      <c r="A129" s="9" t="n">
        <v>656427</v>
      </c>
      <c r="B129" s="9" t="inlineStr">
        <is>
          <t>Jack Flaherty</t>
        </is>
      </c>
      <c r="C129" s="9" t="inlineStr">
        <is>
          <t>DET</t>
        </is>
      </c>
      <c r="D129" s="9" t="n">
        <v>31</v>
      </c>
      <c r="E129" s="17" t="inlineStr">
        <is>
          <t>R</t>
        </is>
      </c>
      <c r="F129" s="17" t="n"/>
      <c r="G129" s="9" t="n">
        <v>389</v>
      </c>
      <c r="H129" s="9" t="n">
        <v>2536</v>
      </c>
      <c r="I129" s="9" t="inlineStr">
        <is>
          <t>Mid-Rotation Starter (SP2-3)</t>
        </is>
      </c>
      <c r="J129" s="17" t="inlineStr">
        <is>
          <t>Opening Day</t>
        </is>
      </c>
      <c r="K129" s="11">
        <f>IFERROR(INDEX(Roles!$B$17:$B$20,MATCH(J129,Roles!$A$17:$A$20,0)),1)</f>
        <v/>
      </c>
      <c r="L129" s="18" t="n">
        <v>1</v>
      </c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3">
        <f>SUMPRODUCT(M129:X129,$M$2:$X$2)*$K129*$L129</f>
        <v/>
      </c>
      <c r="Z129" s="14">
        <f>SUM(M129:X129)</f>
        <v/>
      </c>
      <c r="AA129" s="13">
        <f>SUMPRODUCT(M129:X129,$M$3:$X$3)*$K129*$L129</f>
        <v/>
      </c>
      <c r="AB129" s="13">
        <f>SUMPRODUCT(M129:X129,$M$4:$X$4)*$K129*$L129</f>
        <v/>
      </c>
      <c r="AC129" s="15">
        <f>SUMPRODUCT(M129:X129,$M$5:$X$5)*$K129*$L129</f>
        <v/>
      </c>
      <c r="AD129" s="15">
        <f>SUMPRODUCT(M129:X129,$M$6:$X$6)*$K129*$L129</f>
        <v/>
      </c>
      <c r="AE129" s="19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7" t="inlineStr">
        <is>
          <t>L</t>
        </is>
      </c>
      <c r="F130" s="17" t="n"/>
      <c r="G130" s="9" t="n">
        <v>16</v>
      </c>
      <c r="H130" s="9" t="n">
        <v>133</v>
      </c>
      <c r="I130" s="9" t="inlineStr">
        <is>
          <t>Depth (no MLB IP)</t>
        </is>
      </c>
      <c r="J130" s="17" t="inlineStr">
        <is>
          <t>Opening Day</t>
        </is>
      </c>
      <c r="K130" s="11">
        <f>IFERROR(INDEX(Roles!$B$17:$B$20,MATCH(J130,Roles!$A$17:$A$20,0)),1)</f>
        <v/>
      </c>
      <c r="L130" s="18" t="n">
        <v>1</v>
      </c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3">
        <f>SUMPRODUCT(M130:X130,$M$2:$X$2)*$K130*$L130</f>
        <v/>
      </c>
      <c r="Z130" s="14">
        <f>SUM(M130:X130)</f>
        <v/>
      </c>
      <c r="AA130" s="13">
        <f>SUMPRODUCT(M130:X130,$M$3:$X$3)*$K130*$L130</f>
        <v/>
      </c>
      <c r="AB130" s="13">
        <f>SUMPRODUCT(M130:X130,$M$4:$X$4)*$K130*$L130</f>
        <v/>
      </c>
      <c r="AC130" s="15">
        <f>SUMPRODUCT(M130:X130,$M$5:$X$5)*$K130*$L130</f>
        <v/>
      </c>
      <c r="AD130" s="15">
        <f>SUMPRODUCT(M130:X130,$M$6:$X$6)*$K130*$L130</f>
        <v/>
      </c>
      <c r="AE130" s="19" t="n"/>
    </row>
    <row r="131">
      <c r="A131" s="9" t="n">
        <v>518617</v>
      </c>
      <c r="B131" s="9" t="inlineStr">
        <is>
          <t>Jake Diekman</t>
        </is>
      </c>
      <c r="C131" s="9" t="inlineStr">
        <is>
          <t>NYM</t>
        </is>
      </c>
      <c r="D131" s="9" t="n">
        <v>40</v>
      </c>
      <c r="E131" s="17" t="inlineStr">
        <is>
          <t>L</t>
        </is>
      </c>
      <c r="F131" s="17" t="n"/>
      <c r="G131" s="9" t="n">
        <v>145</v>
      </c>
      <c r="H131" s="9" t="n">
        <v>657</v>
      </c>
      <c r="I131" s="9" t="inlineStr">
        <is>
          <t>Depth (no MLB IP)</t>
        </is>
      </c>
      <c r="J131" s="17" t="inlineStr">
        <is>
          <t>Opening Day</t>
        </is>
      </c>
      <c r="K131" s="11">
        <f>IFERROR(INDEX(Roles!$B$17:$B$20,MATCH(J131,Roles!$A$17:$A$20,0)),1)</f>
        <v/>
      </c>
      <c r="L131" s="18" t="n">
        <v>1</v>
      </c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3">
        <f>SUMPRODUCT(M131:X131,$M$2:$X$2)*$K131*$L131</f>
        <v/>
      </c>
      <c r="Z131" s="14">
        <f>SUM(M131:X131)</f>
        <v/>
      </c>
      <c r="AA131" s="13">
        <f>SUMPRODUCT(M131:X131,$M$3:$X$3)*$K131*$L131</f>
        <v/>
      </c>
      <c r="AB131" s="13">
        <f>SUMPRODUCT(M131:X131,$M$4:$X$4)*$K131*$L131</f>
        <v/>
      </c>
      <c r="AC131" s="15">
        <f>SUMPRODUCT(M131:X131,$M$5:$X$5)*$K131*$L131</f>
        <v/>
      </c>
      <c r="AD131" s="15">
        <f>SUMPRODUCT(M131:X131,$M$6:$X$6)*$K131*$L131</f>
        <v/>
      </c>
      <c r="AE131" s="19" t="n"/>
    </row>
    <row r="132">
      <c r="A132" s="9" t="n">
        <v>837227</v>
      </c>
      <c r="B132" s="9" t="inlineStr">
        <is>
          <t>Tatsuya Imai</t>
        </is>
      </c>
      <c r="C132" s="9" t="inlineStr">
        <is>
          <t>HOU</t>
        </is>
      </c>
      <c r="D132" s="9" t="n">
        <v>29</v>
      </c>
      <c r="E132" s="17" t="inlineStr">
        <is>
          <t>R</t>
        </is>
      </c>
      <c r="F132" s="17" t="n"/>
      <c r="G132" s="9" t="n">
        <v>329</v>
      </c>
      <c r="H132" s="9" t="n">
        <v>329</v>
      </c>
      <c r="I132" s="9" t="inlineStr">
        <is>
          <t>End-of-Rotation Starter (SP4-5)</t>
        </is>
      </c>
      <c r="J132" s="17" t="inlineStr">
        <is>
          <t>Opening Day</t>
        </is>
      </c>
      <c r="K132" s="11">
        <f>IFERROR(INDEX(Roles!$B$17:$B$20,MATCH(J132,Roles!$A$17:$A$20,0)),1)</f>
        <v/>
      </c>
      <c r="L132" s="18" t="n">
        <v>1</v>
      </c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3">
        <f>SUMPRODUCT(M132:X132,$M$2:$X$2)*$K132*$L132</f>
        <v/>
      </c>
      <c r="Z132" s="14">
        <f>SUM(M132:X132)</f>
        <v/>
      </c>
      <c r="AA132" s="13">
        <f>SUMPRODUCT(M132:X132,$M$3:$X$3)*$K132*$L132</f>
        <v/>
      </c>
      <c r="AB132" s="13">
        <f>SUMPRODUCT(M132:X132,$M$4:$X$4)*$K132*$L132</f>
        <v/>
      </c>
      <c r="AC132" s="15">
        <f>SUMPRODUCT(M132:X132,$M$5:$X$5)*$K132*$L132</f>
        <v/>
      </c>
      <c r="AD132" s="15">
        <f>SUMPRODUCT(M132:X132,$M$6:$X$6)*$K132*$L132</f>
        <v/>
      </c>
      <c r="AE132" s="19" t="n"/>
    </row>
    <row r="133">
      <c r="A133" s="9" t="n">
        <v>592094</v>
      </c>
      <c r="B133" s="9" t="inlineStr">
        <is>
          <t>Jason Adam</t>
        </is>
      </c>
      <c r="C133" s="9" t="inlineStr">
        <is>
          <t>SD</t>
        </is>
      </c>
      <c r="D133" s="9" t="n">
        <v>35</v>
      </c>
      <c r="E133" s="17" t="inlineStr">
        <is>
          <t>R</t>
        </is>
      </c>
      <c r="F133" s="17" t="n"/>
      <c r="G133" s="9" t="n">
        <v>134</v>
      </c>
      <c r="H133" s="9" t="n">
        <v>1145</v>
      </c>
      <c r="I133" s="9" t="inlineStr">
        <is>
          <t>Middle Relief</t>
        </is>
      </c>
      <c r="J133" s="17" t="inlineStr">
        <is>
          <t>Opening Day</t>
        </is>
      </c>
      <c r="K133" s="11">
        <f>IFERROR(INDEX(Roles!$B$17:$B$20,MATCH(J133,Roles!$A$17:$A$20,0)),1)</f>
        <v/>
      </c>
      <c r="L133" s="18" t="n">
        <v>1</v>
      </c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3">
        <f>SUMPRODUCT(M133:X133,$M$2:$X$2)*$K133*$L133</f>
        <v/>
      </c>
      <c r="Z133" s="14">
        <f>SUM(M133:X133)</f>
        <v/>
      </c>
      <c r="AA133" s="13">
        <f>SUMPRODUCT(M133:X133,$M$3:$X$3)*$K133*$L133</f>
        <v/>
      </c>
      <c r="AB133" s="13">
        <f>SUMPRODUCT(M133:X133,$M$4:$X$4)*$K133*$L133</f>
        <v/>
      </c>
      <c r="AC133" s="15">
        <f>SUMPRODUCT(M133:X133,$M$5:$X$5)*$K133*$L133</f>
        <v/>
      </c>
      <c r="AD133" s="15">
        <f>SUMPRODUCT(M133:X133,$M$6:$X$6)*$K133*$L133</f>
        <v/>
      </c>
      <c r="AE133" s="19" t="n"/>
    </row>
    <row r="134">
      <c r="A134" s="9" t="n">
        <v>663558</v>
      </c>
      <c r="B134" s="9" t="inlineStr">
        <is>
          <t>Jovani Morán</t>
        </is>
      </c>
      <c r="C134" s="9" t="inlineStr">
        <is>
          <t>BOS</t>
        </is>
      </c>
      <c r="D134" s="9" t="n">
        <v>30</v>
      </c>
      <c r="E134" s="17" t="inlineStr">
        <is>
          <t>L</t>
        </is>
      </c>
      <c r="F134" s="17" t="n"/>
      <c r="G134" s="9" t="n">
        <v>264</v>
      </c>
      <c r="H134" s="9" t="n">
        <v>632</v>
      </c>
      <c r="I134" s="9" t="inlineStr">
        <is>
          <t>Bullpen Depth Arm</t>
        </is>
      </c>
      <c r="J134" s="17" t="inlineStr">
        <is>
          <t>Opening Day</t>
        </is>
      </c>
      <c r="K134" s="11">
        <f>IFERROR(INDEX(Roles!$B$17:$B$20,MATCH(J134,Roles!$A$17:$A$20,0)),1)</f>
        <v/>
      </c>
      <c r="L134" s="18" t="n">
        <v>1</v>
      </c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3">
        <f>SUMPRODUCT(M134:X134,$M$2:$X$2)*$K134*$L134</f>
        <v/>
      </c>
      <c r="Z134" s="14">
        <f>SUM(M134:X134)</f>
        <v/>
      </c>
      <c r="AA134" s="13">
        <f>SUMPRODUCT(M134:X134,$M$3:$X$3)*$K134*$L134</f>
        <v/>
      </c>
      <c r="AB134" s="13">
        <f>SUMPRODUCT(M134:X134,$M$4:$X$4)*$K134*$L134</f>
        <v/>
      </c>
      <c r="AC134" s="15">
        <f>SUMPRODUCT(M134:X134,$M$5:$X$5)*$K134*$L134</f>
        <v/>
      </c>
      <c r="AD134" s="15">
        <f>SUMPRODUCT(M134:X134,$M$6:$X$6)*$K134*$L134</f>
        <v/>
      </c>
      <c r="AE134" s="19" t="n"/>
    </row>
    <row r="135">
      <c r="A135" s="9" t="n">
        <v>665660</v>
      </c>
      <c r="B135" s="9" t="inlineStr">
        <is>
          <t>Elvis Alvarado</t>
        </is>
      </c>
      <c r="C135" s="9" t="inlineStr">
        <is>
          <t>OAK</t>
        </is>
      </c>
      <c r="D135" s="9" t="n">
        <v>28</v>
      </c>
      <c r="E135" s="17" t="inlineStr">
        <is>
          <t>R</t>
        </is>
      </c>
      <c r="F135" s="17" t="n"/>
      <c r="G135" s="9" t="n">
        <v>208</v>
      </c>
      <c r="H135" s="9" t="n">
        <v>391</v>
      </c>
      <c r="I135" s="9" t="inlineStr">
        <is>
          <t>Bullpen Depth Arm</t>
        </is>
      </c>
      <c r="J135" s="17" t="inlineStr">
        <is>
          <t>Opening Day</t>
        </is>
      </c>
      <c r="K135" s="11">
        <f>IFERROR(INDEX(Roles!$B$17:$B$20,MATCH(J135,Roles!$A$17:$A$20,0)),1)</f>
        <v/>
      </c>
      <c r="L135" s="18" t="n">
        <v>1</v>
      </c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3">
        <f>SUMPRODUCT(M135:X135,$M$2:$X$2)*$K135*$L135</f>
        <v/>
      </c>
      <c r="Z135" s="14">
        <f>SUM(M135:X135)</f>
        <v/>
      </c>
      <c r="AA135" s="13">
        <f>SUMPRODUCT(M135:X135,$M$3:$X$3)*$K135*$L135</f>
        <v/>
      </c>
      <c r="AB135" s="13">
        <f>SUMPRODUCT(M135:X135,$M$4:$X$4)*$K135*$L135</f>
        <v/>
      </c>
      <c r="AC135" s="15">
        <f>SUMPRODUCT(M135:X135,$M$5:$X$5)*$K135*$L135</f>
        <v/>
      </c>
      <c r="AD135" s="15">
        <f>SUMPRODUCT(M135:X135,$M$6:$X$6)*$K135*$L135</f>
        <v/>
      </c>
      <c r="AE135" s="19" t="n"/>
    </row>
    <row r="136">
      <c r="A136" s="9" t="n">
        <v>664747</v>
      </c>
      <c r="B136" s="9" t="inlineStr">
        <is>
          <t>Alexis Díaz</t>
        </is>
      </c>
      <c r="C136" s="9" t="inlineStr">
        <is>
          <t>ATL</t>
        </is>
      </c>
      <c r="D136" s="9" t="n">
        <v>30</v>
      </c>
      <c r="E136" s="17" t="inlineStr">
        <is>
          <t>R</t>
        </is>
      </c>
      <c r="F136" s="17" t="n"/>
      <c r="G136" s="9" t="n">
        <v>85</v>
      </c>
      <c r="H136" s="9" t="n">
        <v>868</v>
      </c>
      <c r="I136" s="9" t="inlineStr">
        <is>
          <t>Bullpen Depth Arm</t>
        </is>
      </c>
      <c r="J136" s="17" t="inlineStr">
        <is>
          <t>Opening Day</t>
        </is>
      </c>
      <c r="K136" s="11">
        <f>IFERROR(INDEX(Roles!$B$17:$B$20,MATCH(J136,Roles!$A$17:$A$20,0)),1)</f>
        <v/>
      </c>
      <c r="L136" s="18" t="n">
        <v>1</v>
      </c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3">
        <f>SUMPRODUCT(M136:X136,$M$2:$X$2)*$K136*$L136</f>
        <v/>
      </c>
      <c r="Z136" s="14">
        <f>SUM(M136:X136)</f>
        <v/>
      </c>
      <c r="AA136" s="13">
        <f>SUMPRODUCT(M136:X136,$M$3:$X$3)*$K136*$L136</f>
        <v/>
      </c>
      <c r="AB136" s="13">
        <f>SUMPRODUCT(M136:X136,$M$4:$X$4)*$K136*$L136</f>
        <v/>
      </c>
      <c r="AC136" s="15">
        <f>SUMPRODUCT(M136:X136,$M$5:$X$5)*$K136*$L136</f>
        <v/>
      </c>
      <c r="AD136" s="15">
        <f>SUMPRODUCT(M136:X136,$M$6:$X$6)*$K136*$L136</f>
        <v/>
      </c>
      <c r="AE136" s="19" t="n"/>
    </row>
    <row r="137">
      <c r="A137" s="9" t="n">
        <v>663986</v>
      </c>
      <c r="B137" s="9" t="inlineStr">
        <is>
          <t>Trevor Stephan</t>
        </is>
      </c>
      <c r="C137" s="9" t="inlineStr">
        <is>
          <t>CLE</t>
        </is>
      </c>
      <c r="D137" s="9" t="n">
        <v>31</v>
      </c>
      <c r="E137" s="17" t="inlineStr">
        <is>
          <t>R</t>
        </is>
      </c>
      <c r="F137" s="17" t="n"/>
      <c r="G137" s="9" t="n">
        <v>294</v>
      </c>
      <c r="H137" s="9" t="n">
        <v>561</v>
      </c>
      <c r="I137" s="9" t="inlineStr">
        <is>
          <t>Depth (no MLB IP)</t>
        </is>
      </c>
      <c r="J137" s="17" t="inlineStr">
        <is>
          <t>Opening Day</t>
        </is>
      </c>
      <c r="K137" s="11">
        <f>IFERROR(INDEX(Roles!$B$17:$B$20,MATCH(J137,Roles!$A$17:$A$20,0)),1)</f>
        <v/>
      </c>
      <c r="L137" s="18" t="n">
        <v>1</v>
      </c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3">
        <f>SUMPRODUCT(M137:X137,$M$2:$X$2)*$K137*$L137</f>
        <v/>
      </c>
      <c r="Z137" s="14">
        <f>SUM(M137:X137)</f>
        <v/>
      </c>
      <c r="AA137" s="13">
        <f>SUMPRODUCT(M137:X137,$M$3:$X$3)*$K137*$L137</f>
        <v/>
      </c>
      <c r="AB137" s="13">
        <f>SUMPRODUCT(M137:X137,$M$4:$X$4)*$K137*$L137</f>
        <v/>
      </c>
      <c r="AC137" s="15">
        <f>SUMPRODUCT(M137:X137,$M$5:$X$5)*$K137*$L137</f>
        <v/>
      </c>
      <c r="AD137" s="15">
        <f>SUMPRODUCT(M137:X137,$M$6:$X$6)*$K137*$L137</f>
        <v/>
      </c>
      <c r="AE137" s="19" t="n"/>
    </row>
    <row r="138">
      <c r="A138" s="9" t="n">
        <v>664208</v>
      </c>
      <c r="B138" s="9" t="inlineStr">
        <is>
          <t>Phil Maton</t>
        </is>
      </c>
      <c r="C138" s="9" t="inlineStr">
        <is>
          <t>CHC</t>
        </is>
      </c>
      <c r="D138" s="9" t="n">
        <v>34</v>
      </c>
      <c r="E138" s="17" t="inlineStr">
        <is>
          <t>R</t>
        </is>
      </c>
      <c r="F138" s="17" t="n"/>
      <c r="G138" s="9" t="n">
        <v>136</v>
      </c>
      <c r="H138" s="9" t="n">
        <v>1204</v>
      </c>
      <c r="I138" s="9" t="inlineStr">
        <is>
          <t>Bullpen Depth Arm</t>
        </is>
      </c>
      <c r="J138" s="17" t="inlineStr">
        <is>
          <t>Opening Day</t>
        </is>
      </c>
      <c r="K138" s="11">
        <f>IFERROR(INDEX(Roles!$B$17:$B$20,MATCH(J138,Roles!$A$17:$A$20,0)),1)</f>
        <v/>
      </c>
      <c r="L138" s="18" t="n">
        <v>1</v>
      </c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3">
        <f>SUMPRODUCT(M138:X138,$M$2:$X$2)*$K138*$L138</f>
        <v/>
      </c>
      <c r="Z138" s="14">
        <f>SUM(M138:X138)</f>
        <v/>
      </c>
      <c r="AA138" s="13">
        <f>SUMPRODUCT(M138:X138,$M$3:$X$3)*$K138*$L138</f>
        <v/>
      </c>
      <c r="AB138" s="13">
        <f>SUMPRODUCT(M138:X138,$M$4:$X$4)*$K138*$L138</f>
        <v/>
      </c>
      <c r="AC138" s="15">
        <f>SUMPRODUCT(M138:X138,$M$5:$X$5)*$K138*$L138</f>
        <v/>
      </c>
      <c r="AD138" s="15">
        <f>SUMPRODUCT(M138:X138,$M$6:$X$6)*$K138*$L138</f>
        <v/>
      </c>
      <c r="AE138" s="19" t="n"/>
    </row>
    <row r="139">
      <c r="A139" s="9" t="n">
        <v>622554</v>
      </c>
      <c r="B139" s="9" t="inlineStr">
        <is>
          <t>Seranthony Domínguez</t>
        </is>
      </c>
      <c r="C139" s="9" t="inlineStr">
        <is>
          <t>SEA</t>
        </is>
      </c>
      <c r="D139" s="9" t="n">
        <v>32</v>
      </c>
      <c r="E139" s="17" t="inlineStr">
        <is>
          <t>R</t>
        </is>
      </c>
      <c r="F139" s="17" t="n"/>
      <c r="G139" s="9" t="n">
        <v>244</v>
      </c>
      <c r="H139" s="9" t="n">
        <v>1191</v>
      </c>
      <c r="I139" s="9" t="inlineStr">
        <is>
          <t>Bullpen Depth Arm</t>
        </is>
      </c>
      <c r="J139" s="17" t="inlineStr">
        <is>
          <t>Opening Day</t>
        </is>
      </c>
      <c r="K139" s="11">
        <f>IFERROR(INDEX(Roles!$B$17:$B$20,MATCH(J139,Roles!$A$17:$A$20,0)),1)</f>
        <v/>
      </c>
      <c r="L139" s="18" t="n">
        <v>1</v>
      </c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3">
        <f>SUMPRODUCT(M139:X139,$M$2:$X$2)*$K139*$L139</f>
        <v/>
      </c>
      <c r="Z139" s="14">
        <f>SUM(M139:X139)</f>
        <v/>
      </c>
      <c r="AA139" s="13">
        <f>SUMPRODUCT(M139:X139,$M$3:$X$3)*$K139*$L139</f>
        <v/>
      </c>
      <c r="AB139" s="13">
        <f>SUMPRODUCT(M139:X139,$M$4:$X$4)*$K139*$L139</f>
        <v/>
      </c>
      <c r="AC139" s="15">
        <f>SUMPRODUCT(M139:X139,$M$5:$X$5)*$K139*$L139</f>
        <v/>
      </c>
      <c r="AD139" s="15">
        <f>SUMPRODUCT(M139:X139,$M$6:$X$6)*$K139*$L139</f>
        <v/>
      </c>
      <c r="AE139" s="19" t="n"/>
    </row>
    <row r="140">
      <c r="A140" s="9" t="n">
        <v>673540</v>
      </c>
      <c r="B140" s="9" t="inlineStr">
        <is>
          <t>Kodai Senga</t>
        </is>
      </c>
      <c r="C140" s="9" t="inlineStr">
        <is>
          <t>NYM</t>
        </is>
      </c>
      <c r="D140" s="9" t="n">
        <v>34</v>
      </c>
      <c r="E140" s="17" t="inlineStr">
        <is>
          <t>R</t>
        </is>
      </c>
      <c r="F140" s="17" t="n"/>
      <c r="G140" s="9" t="n">
        <v>273</v>
      </c>
      <c r="H140" s="9" t="n">
        <v>1469</v>
      </c>
      <c r="I140" s="9" t="inlineStr">
        <is>
          <t>End-of-Rotation Starter (SP4-5)</t>
        </is>
      </c>
      <c r="J140" s="17" t="inlineStr">
        <is>
          <t>Opening Day</t>
        </is>
      </c>
      <c r="K140" s="11">
        <f>IFERROR(INDEX(Roles!$B$17:$B$20,MATCH(J140,Roles!$A$17:$A$20,0)),1)</f>
        <v/>
      </c>
      <c r="L140" s="18" t="n">
        <v>1</v>
      </c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3">
        <f>SUMPRODUCT(M140:X140,$M$2:$X$2)*$K140*$L140</f>
        <v/>
      </c>
      <c r="Z140" s="14">
        <f>SUM(M140:X140)</f>
        <v/>
      </c>
      <c r="AA140" s="13">
        <f>SUMPRODUCT(M140:X140,$M$3:$X$3)*$K140*$L140</f>
        <v/>
      </c>
      <c r="AB140" s="13">
        <f>SUMPRODUCT(M140:X140,$M$4:$X$4)*$K140*$L140</f>
        <v/>
      </c>
      <c r="AC140" s="15">
        <f>SUMPRODUCT(M140:X140,$M$5:$X$5)*$K140*$L140</f>
        <v/>
      </c>
      <c r="AD140" s="15">
        <f>SUMPRODUCT(M140:X140,$M$6:$X$6)*$K140*$L140</f>
        <v/>
      </c>
      <c r="AE140" s="19" t="n"/>
    </row>
    <row r="141">
      <c r="A141" s="9" t="n">
        <v>640451</v>
      </c>
      <c r="B141" s="9" t="inlineStr">
        <is>
          <t>Hunter Harvey</t>
        </is>
      </c>
      <c r="C141" s="9" t="inlineStr">
        <is>
          <t>KC</t>
        </is>
      </c>
      <c r="D141" s="9" t="n">
        <v>32</v>
      </c>
      <c r="E141" s="17" t="inlineStr">
        <is>
          <t>R</t>
        </is>
      </c>
      <c r="F141" s="17" t="n"/>
      <c r="G141" s="9" t="n">
        <v>18</v>
      </c>
      <c r="H141" s="9" t="n">
        <v>668</v>
      </c>
      <c r="I141" s="9" t="inlineStr">
        <is>
          <t>Bullpen Depth Arm</t>
        </is>
      </c>
      <c r="J141" s="17" t="inlineStr">
        <is>
          <t>Opening Day</t>
        </is>
      </c>
      <c r="K141" s="11">
        <f>IFERROR(INDEX(Roles!$B$17:$B$20,MATCH(J141,Roles!$A$17:$A$20,0)),1)</f>
        <v/>
      </c>
      <c r="L141" s="18" t="n">
        <v>1</v>
      </c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3">
        <f>SUMPRODUCT(M141:X141,$M$2:$X$2)*$K141*$L141</f>
        <v/>
      </c>
      <c r="Z141" s="14">
        <f>SUM(M141:X141)</f>
        <v/>
      </c>
      <c r="AA141" s="13">
        <f>SUMPRODUCT(M141:X141,$M$3:$X$3)*$K141*$L141</f>
        <v/>
      </c>
      <c r="AB141" s="13">
        <f>SUMPRODUCT(M141:X141,$M$4:$X$4)*$K141*$L141</f>
        <v/>
      </c>
      <c r="AC141" s="15">
        <f>SUMPRODUCT(M141:X141,$M$5:$X$5)*$K141*$L141</f>
        <v/>
      </c>
      <c r="AD141" s="15">
        <f>SUMPRODUCT(M141:X141,$M$6:$X$6)*$K141*$L141</f>
        <v/>
      </c>
      <c r="AE141" s="19" t="n"/>
    </row>
    <row r="142">
      <c r="A142" s="9" t="n">
        <v>670970</v>
      </c>
      <c r="B142" s="9" t="inlineStr">
        <is>
          <t>Adrian Morejon</t>
        </is>
      </c>
      <c r="C142" s="9" t="inlineStr">
        <is>
          <t>SD</t>
        </is>
      </c>
      <c r="D142" s="9" t="n">
        <v>28</v>
      </c>
      <c r="E142" s="17" t="inlineStr">
        <is>
          <t>L</t>
        </is>
      </c>
      <c r="F142" s="17" t="n"/>
      <c r="G142" s="9" t="n">
        <v>333</v>
      </c>
      <c r="H142" s="9" t="n">
        <v>1076</v>
      </c>
      <c r="I142" s="9" t="inlineStr">
        <is>
          <t>Late Inning RP (Setup)</t>
        </is>
      </c>
      <c r="J142" s="17" t="inlineStr">
        <is>
          <t>Opening Day</t>
        </is>
      </c>
      <c r="K142" s="11">
        <f>IFERROR(INDEX(Roles!$B$17:$B$20,MATCH(J142,Roles!$A$17:$A$20,0)),1)</f>
        <v/>
      </c>
      <c r="L142" s="18" t="n">
        <v>1</v>
      </c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3">
        <f>SUMPRODUCT(M142:X142,$M$2:$X$2)*$K142*$L142</f>
        <v/>
      </c>
      <c r="Z142" s="14">
        <f>SUM(M142:X142)</f>
        <v/>
      </c>
      <c r="AA142" s="13">
        <f>SUMPRODUCT(M142:X142,$M$3:$X$3)*$K142*$L142</f>
        <v/>
      </c>
      <c r="AB142" s="13">
        <f>SUMPRODUCT(M142:X142,$M$4:$X$4)*$K142*$L142</f>
        <v/>
      </c>
      <c r="AC142" s="15">
        <f>SUMPRODUCT(M142:X142,$M$5:$X$5)*$K142*$L142</f>
        <v/>
      </c>
      <c r="AD142" s="15">
        <f>SUMPRODUCT(M142:X142,$M$6:$X$6)*$K142*$L142</f>
        <v/>
      </c>
      <c r="AE142" s="19" t="n"/>
    </row>
    <row r="143">
      <c r="A143" s="9" t="n">
        <v>687792</v>
      </c>
      <c r="B143" s="9" t="inlineStr">
        <is>
          <t>DJ Herz</t>
        </is>
      </c>
      <c r="C143" s="9" t="inlineStr">
        <is>
          <t>WSH</t>
        </is>
      </c>
      <c r="D143" s="9" t="n">
        <v>26</v>
      </c>
      <c r="E143" s="17" t="inlineStr">
        <is>
          <t>L</t>
        </is>
      </c>
      <c r="F143" s="17" t="n"/>
      <c r="G143" s="9" t="n">
        <v>382</v>
      </c>
      <c r="H143" s="9" t="n">
        <v>382</v>
      </c>
      <c r="I143" s="9" t="inlineStr">
        <is>
          <t>Depth (no MLB IP)</t>
        </is>
      </c>
      <c r="J143" s="17" t="inlineStr">
        <is>
          <t>Opening Day</t>
        </is>
      </c>
      <c r="K143" s="11">
        <f>IFERROR(INDEX(Roles!$B$17:$B$20,MATCH(J143,Roles!$A$17:$A$20,0)),1)</f>
        <v/>
      </c>
      <c r="L143" s="18" t="n">
        <v>1</v>
      </c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3">
        <f>SUMPRODUCT(M143:X143,$M$2:$X$2)*$K143*$L143</f>
        <v/>
      </c>
      <c r="Z143" s="14">
        <f>SUM(M143:X143)</f>
        <v/>
      </c>
      <c r="AA143" s="13">
        <f>SUMPRODUCT(M143:X143,$M$3:$X$3)*$K143*$L143</f>
        <v/>
      </c>
      <c r="AB143" s="13">
        <f>SUMPRODUCT(M143:X143,$M$4:$X$4)*$K143*$L143</f>
        <v/>
      </c>
      <c r="AC143" s="15">
        <f>SUMPRODUCT(M143:X143,$M$5:$X$5)*$K143*$L143</f>
        <v/>
      </c>
      <c r="AD143" s="15">
        <f>SUMPRODUCT(M143:X143,$M$6:$X$6)*$K143*$L143</f>
        <v/>
      </c>
      <c r="AE143" s="19" t="n"/>
    </row>
    <row r="144">
      <c r="A144" s="9" t="n">
        <v>681320</v>
      </c>
      <c r="B144" s="9" t="inlineStr">
        <is>
          <t>Nate Lavender</t>
        </is>
      </c>
      <c r="C144" s="9" t="inlineStr">
        <is>
          <t>NYM</t>
        </is>
      </c>
      <c r="D144" s="9" t="n">
        <v>27</v>
      </c>
      <c r="E144" s="17" t="inlineStr">
        <is>
          <t>L</t>
        </is>
      </c>
      <c r="F144" s="17" t="n"/>
      <c r="G144" s="9" t="n">
        <v>64</v>
      </c>
      <c r="H144" s="9" t="n">
        <v>64</v>
      </c>
      <c r="I144" s="9" t="inlineStr">
        <is>
          <t>Late Inning RP (Setup)</t>
        </is>
      </c>
      <c r="J144" s="17" t="inlineStr">
        <is>
          <t>Opening Day</t>
        </is>
      </c>
      <c r="K144" s="11">
        <f>IFERROR(INDEX(Roles!$B$17:$B$20,MATCH(J144,Roles!$A$17:$A$20,0)),1)</f>
        <v/>
      </c>
      <c r="L144" s="18" t="n">
        <v>1</v>
      </c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3">
        <f>SUMPRODUCT(M144:X144,$M$2:$X$2)*$K144*$L144</f>
        <v/>
      </c>
      <c r="Z144" s="14">
        <f>SUM(M144:X144)</f>
        <v/>
      </c>
      <c r="AA144" s="13">
        <f>SUMPRODUCT(M144:X144,$M$3:$X$3)*$K144*$L144</f>
        <v/>
      </c>
      <c r="AB144" s="13">
        <f>SUMPRODUCT(M144:X144,$M$4:$X$4)*$K144*$L144</f>
        <v/>
      </c>
      <c r="AC144" s="15">
        <f>SUMPRODUCT(M144:X144,$M$5:$X$5)*$K144*$L144</f>
        <v/>
      </c>
      <c r="AD144" s="15">
        <f>SUMPRODUCT(M144:X144,$M$6:$X$6)*$K144*$L144</f>
        <v/>
      </c>
      <c r="AE144" s="19" t="n"/>
    </row>
    <row r="145">
      <c r="A145" s="9" t="n">
        <v>650671</v>
      </c>
      <c r="B145" s="9" t="inlineStr">
        <is>
          <t>José Quijada</t>
        </is>
      </c>
      <c r="C145" s="9" t="inlineStr">
        <is>
          <t>LAA</t>
        </is>
      </c>
      <c r="D145" s="9" t="n">
        <v>31</v>
      </c>
      <c r="E145" s="17" t="inlineStr">
        <is>
          <t>L</t>
        </is>
      </c>
      <c r="F145" s="17" t="n"/>
      <c r="G145" s="9" t="n">
        <v>8</v>
      </c>
      <c r="H145" s="9" t="n">
        <v>302</v>
      </c>
      <c r="I145" s="9" t="inlineStr">
        <is>
          <t>Depth (no MLB IP)</t>
        </is>
      </c>
      <c r="J145" s="17" t="inlineStr">
        <is>
          <t>Opening Day</t>
        </is>
      </c>
      <c r="K145" s="11">
        <f>IFERROR(INDEX(Roles!$B$17:$B$20,MATCH(J145,Roles!$A$17:$A$20,0)),1)</f>
        <v/>
      </c>
      <c r="L145" s="18" t="n">
        <v>1</v>
      </c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3">
        <f>SUMPRODUCT(M145:X145,$M$2:$X$2)*$K145*$L145</f>
        <v/>
      </c>
      <c r="Z145" s="14">
        <f>SUM(M145:X145)</f>
        <v/>
      </c>
      <c r="AA145" s="13">
        <f>SUMPRODUCT(M145:X145,$M$3:$X$3)*$K145*$L145</f>
        <v/>
      </c>
      <c r="AB145" s="13">
        <f>SUMPRODUCT(M145:X145,$M$4:$X$4)*$K145*$L145</f>
        <v/>
      </c>
      <c r="AC145" s="15">
        <f>SUMPRODUCT(M145:X145,$M$5:$X$5)*$K145*$L145</f>
        <v/>
      </c>
      <c r="AD145" s="15">
        <f>SUMPRODUCT(M145:X145,$M$6:$X$6)*$K145*$L145</f>
        <v/>
      </c>
      <c r="AE145" s="19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7" t="inlineStr">
        <is>
          <t>L</t>
        </is>
      </c>
      <c r="F146" s="17" t="n"/>
      <c r="G146" s="9" t="n">
        <v>65</v>
      </c>
      <c r="H146" s="9" t="n">
        <v>334</v>
      </c>
      <c r="I146" s="9" t="inlineStr">
        <is>
          <t>Bullpen Depth Arm</t>
        </is>
      </c>
      <c r="J146" s="17" t="inlineStr">
        <is>
          <t>Opening Day</t>
        </is>
      </c>
      <c r="K146" s="11">
        <f>IFERROR(INDEX(Roles!$B$17:$B$20,MATCH(J146,Roles!$A$17:$A$20,0)),1)</f>
        <v/>
      </c>
      <c r="L146" s="18" t="n">
        <v>1</v>
      </c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3">
        <f>SUMPRODUCT(M146:X146,$M$2:$X$2)*$K146*$L146</f>
        <v/>
      </c>
      <c r="Z146" s="14">
        <f>SUM(M146:X146)</f>
        <v/>
      </c>
      <c r="AA146" s="13">
        <f>SUMPRODUCT(M146:X146,$M$3:$X$3)*$K146*$L146</f>
        <v/>
      </c>
      <c r="AB146" s="13">
        <f>SUMPRODUCT(M146:X146,$M$4:$X$4)*$K146*$L146</f>
        <v/>
      </c>
      <c r="AC146" s="15">
        <f>SUMPRODUCT(M146:X146,$M$5:$X$5)*$K146*$L146</f>
        <v/>
      </c>
      <c r="AD146" s="15">
        <f>SUMPRODUCT(M146:X146,$M$6:$X$6)*$K146*$L146</f>
        <v/>
      </c>
      <c r="AE146" s="19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7" t="inlineStr">
        <is>
          <t>R</t>
        </is>
      </c>
      <c r="F147" s="17" t="n"/>
      <c r="G147" s="9" t="n">
        <v>30</v>
      </c>
      <c r="H147" s="9" t="n">
        <v>666</v>
      </c>
      <c r="I147" s="9" t="inlineStr">
        <is>
          <t>Bullpen Depth Arm</t>
        </is>
      </c>
      <c r="J147" s="17" t="inlineStr">
        <is>
          <t>Opening Day</t>
        </is>
      </c>
      <c r="K147" s="11">
        <f>IFERROR(INDEX(Roles!$B$17:$B$20,MATCH(J147,Roles!$A$17:$A$20,0)),1)</f>
        <v/>
      </c>
      <c r="L147" s="18" t="n">
        <v>1</v>
      </c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3">
        <f>SUMPRODUCT(M147:X147,$M$2:$X$2)*$K147*$L147</f>
        <v/>
      </c>
      <c r="Z147" s="14">
        <f>SUM(M147:X147)</f>
        <v/>
      </c>
      <c r="AA147" s="13">
        <f>SUMPRODUCT(M147:X147,$M$3:$X$3)*$K147*$L147</f>
        <v/>
      </c>
      <c r="AB147" s="13">
        <f>SUMPRODUCT(M147:X147,$M$4:$X$4)*$K147*$L147</f>
        <v/>
      </c>
      <c r="AC147" s="15">
        <f>SUMPRODUCT(M147:X147,$M$5:$X$5)*$K147*$L147</f>
        <v/>
      </c>
      <c r="AD147" s="15">
        <f>SUMPRODUCT(M147:X147,$M$6:$X$6)*$K147*$L147</f>
        <v/>
      </c>
      <c r="AE147" s="19" t="n"/>
    </row>
    <row r="148">
      <c r="A148" s="9" t="n">
        <v>676395</v>
      </c>
      <c r="B148" s="9" t="inlineStr">
        <is>
          <t>Robert Garcia</t>
        </is>
      </c>
      <c r="C148" s="9" t="inlineStr">
        <is>
          <t>TEX</t>
        </is>
      </c>
      <c r="D148" s="9" t="n">
        <v>31</v>
      </c>
      <c r="E148" s="17" t="inlineStr">
        <is>
          <t>L</t>
        </is>
      </c>
      <c r="F148" s="17" t="n"/>
      <c r="G148" s="9" t="n">
        <v>50</v>
      </c>
      <c r="H148" s="9" t="n">
        <v>697</v>
      </c>
      <c r="I148" s="9" t="inlineStr">
        <is>
          <t>Late Inning RP (Setup)</t>
        </is>
      </c>
      <c r="J148" s="17" t="inlineStr">
        <is>
          <t>Opening Day</t>
        </is>
      </c>
      <c r="K148" s="11">
        <f>IFERROR(INDEX(Roles!$B$17:$B$20,MATCH(J148,Roles!$A$17:$A$20,0)),1)</f>
        <v/>
      </c>
      <c r="L148" s="18" t="n">
        <v>1</v>
      </c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3">
        <f>SUMPRODUCT(M148:X148,$M$2:$X$2)*$K148*$L148</f>
        <v/>
      </c>
      <c r="Z148" s="14">
        <f>SUM(M148:X148)</f>
        <v/>
      </c>
      <c r="AA148" s="13">
        <f>SUMPRODUCT(M148:X148,$M$3:$X$3)*$K148*$L148</f>
        <v/>
      </c>
      <c r="AB148" s="13">
        <f>SUMPRODUCT(M148:X148,$M$4:$X$4)*$K148*$L148</f>
        <v/>
      </c>
      <c r="AC148" s="15">
        <f>SUMPRODUCT(M148:X148,$M$5:$X$5)*$K148*$L148</f>
        <v/>
      </c>
      <c r="AD148" s="15">
        <f>SUMPRODUCT(M148:X148,$M$6:$X$6)*$K148*$L148</f>
        <v/>
      </c>
      <c r="AE148" s="19" t="n"/>
    </row>
    <row r="149">
      <c r="A149" s="9" t="n">
        <v>682825</v>
      </c>
      <c r="B149" s="9" t="inlineStr">
        <is>
          <t>Luis Mey</t>
        </is>
      </c>
      <c r="C149" s="9" t="inlineStr">
        <is>
          <t>CIN</t>
        </is>
      </c>
      <c r="D149" s="9" t="n">
        <v>26</v>
      </c>
      <c r="E149" s="17" t="inlineStr">
        <is>
          <t>R</t>
        </is>
      </c>
      <c r="F149" s="17" t="n"/>
      <c r="G149" s="9" t="n">
        <v>147</v>
      </c>
      <c r="H149" s="9" t="n">
        <v>243</v>
      </c>
      <c r="I149" s="9" t="inlineStr">
        <is>
          <t>Bullpen Depth Arm</t>
        </is>
      </c>
      <c r="J149" s="17" t="inlineStr">
        <is>
          <t>Opening Day</t>
        </is>
      </c>
      <c r="K149" s="11">
        <f>IFERROR(INDEX(Roles!$B$17:$B$20,MATCH(J149,Roles!$A$17:$A$20,0)),1)</f>
        <v/>
      </c>
      <c r="L149" s="18" t="n">
        <v>1</v>
      </c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3">
        <f>SUMPRODUCT(M149:X149,$M$2:$X$2)*$K149*$L149</f>
        <v/>
      </c>
      <c r="Z149" s="14">
        <f>SUM(M149:X149)</f>
        <v/>
      </c>
      <c r="AA149" s="13">
        <f>SUMPRODUCT(M149:X149,$M$3:$X$3)*$K149*$L149</f>
        <v/>
      </c>
      <c r="AB149" s="13">
        <f>SUMPRODUCT(M149:X149,$M$4:$X$4)*$K149*$L149</f>
        <v/>
      </c>
      <c r="AC149" s="15">
        <f>SUMPRODUCT(M149:X149,$M$5:$X$5)*$K149*$L149</f>
        <v/>
      </c>
      <c r="AD149" s="15">
        <f>SUMPRODUCT(M149:X149,$M$6:$X$6)*$K149*$L149</f>
        <v/>
      </c>
      <c r="AE149" s="19" t="n"/>
    </row>
    <row r="150">
      <c r="A150" s="9" t="n">
        <v>805345</v>
      </c>
      <c r="B150" s="9" t="inlineStr">
        <is>
          <t>Trent Harris</t>
        </is>
      </c>
      <c r="C150" s="9" t="inlineStr">
        <is>
          <t>SF</t>
        </is>
      </c>
      <c r="D150" s="9" t="n">
        <v>28</v>
      </c>
      <c r="E150" s="17" t="inlineStr">
        <is>
          <t>R</t>
        </is>
      </c>
      <c r="F150" s="17" t="n"/>
      <c r="G150" s="9" t="n">
        <v>77</v>
      </c>
      <c r="H150" s="9" t="n">
        <v>77</v>
      </c>
      <c r="I150" s="9" t="inlineStr">
        <is>
          <t>Closer</t>
        </is>
      </c>
      <c r="J150" s="17" t="inlineStr">
        <is>
          <t>Opening Day</t>
        </is>
      </c>
      <c r="K150" s="11">
        <f>IFERROR(INDEX(Roles!$B$17:$B$20,MATCH(J150,Roles!$A$17:$A$20,0)),1)</f>
        <v/>
      </c>
      <c r="L150" s="18" t="n">
        <v>1</v>
      </c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3">
        <f>SUMPRODUCT(M150:X150,$M$2:$X$2)*$K150*$L150</f>
        <v/>
      </c>
      <c r="Z150" s="14">
        <f>SUM(M150:X150)</f>
        <v/>
      </c>
      <c r="AA150" s="13">
        <f>SUMPRODUCT(M150:X150,$M$3:$X$3)*$K150*$L150</f>
        <v/>
      </c>
      <c r="AB150" s="13">
        <f>SUMPRODUCT(M150:X150,$M$4:$X$4)*$K150*$L150</f>
        <v/>
      </c>
      <c r="AC150" s="15">
        <f>SUMPRODUCT(M150:X150,$M$5:$X$5)*$K150*$L150</f>
        <v/>
      </c>
      <c r="AD150" s="15">
        <f>SUMPRODUCT(M150:X150,$M$6:$X$6)*$K150*$L150</f>
        <v/>
      </c>
      <c r="AE150" s="19" t="n"/>
    </row>
    <row r="151">
      <c r="A151" s="9" t="n">
        <v>641154</v>
      </c>
      <c r="B151" s="9" t="inlineStr">
        <is>
          <t>Pablo López</t>
        </is>
      </c>
      <c r="C151" s="9" t="inlineStr">
        <is>
          <t>MIN</t>
        </is>
      </c>
      <c r="D151" s="9" t="n">
        <v>31</v>
      </c>
      <c r="E151" s="17" t="inlineStr">
        <is>
          <t>R</t>
        </is>
      </c>
      <c r="F151" s="17" t="n"/>
      <c r="G151" s="9" t="n">
        <v>312</v>
      </c>
      <c r="H151" s="9" t="n">
        <v>2621</v>
      </c>
      <c r="I151" s="9" t="inlineStr">
        <is>
          <t>Mid-Rotation Starter (SP2-3)</t>
        </is>
      </c>
      <c r="J151" s="17" t="inlineStr">
        <is>
          <t>Opening Day</t>
        </is>
      </c>
      <c r="K151" s="11">
        <f>IFERROR(INDEX(Roles!$B$17:$B$20,MATCH(J151,Roles!$A$17:$A$20,0)),1)</f>
        <v/>
      </c>
      <c r="L151" s="18" t="n">
        <v>1</v>
      </c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3">
        <f>SUMPRODUCT(M151:X151,$M$2:$X$2)*$K151*$L151</f>
        <v/>
      </c>
      <c r="Z151" s="14">
        <f>SUM(M151:X151)</f>
        <v/>
      </c>
      <c r="AA151" s="13">
        <f>SUMPRODUCT(M151:X151,$M$3:$X$3)*$K151*$L151</f>
        <v/>
      </c>
      <c r="AB151" s="13">
        <f>SUMPRODUCT(M151:X151,$M$4:$X$4)*$K151*$L151</f>
        <v/>
      </c>
      <c r="AC151" s="15">
        <f>SUMPRODUCT(M151:X151,$M$5:$X$5)*$K151*$L151</f>
        <v/>
      </c>
      <c r="AD151" s="15">
        <f>SUMPRODUCT(M151:X151,$M$6:$X$6)*$K151*$L151</f>
        <v/>
      </c>
      <c r="AE151" s="19" t="n"/>
    </row>
    <row r="152">
      <c r="A152" s="9" t="n">
        <v>669165</v>
      </c>
      <c r="B152" s="9" t="inlineStr">
        <is>
          <t>Kyle Hurt</t>
        </is>
      </c>
      <c r="C152" s="9" t="inlineStr">
        <is>
          <t>LAD</t>
        </is>
      </c>
      <c r="D152" s="9" t="n">
        <v>29</v>
      </c>
      <c r="E152" s="17" t="inlineStr">
        <is>
          <t>R</t>
        </is>
      </c>
      <c r="F152" s="17" t="n"/>
      <c r="G152" s="9" t="n">
        <v>191</v>
      </c>
      <c r="H152" s="9" t="n">
        <v>224</v>
      </c>
      <c r="I152" s="9" t="inlineStr">
        <is>
          <t>Bullpen Depth Arm</t>
        </is>
      </c>
      <c r="J152" s="17" t="inlineStr">
        <is>
          <t>Opening Day</t>
        </is>
      </c>
      <c r="K152" s="11">
        <f>IFERROR(INDEX(Roles!$B$17:$B$20,MATCH(J152,Roles!$A$17:$A$20,0)),1)</f>
        <v/>
      </c>
      <c r="L152" s="18" t="n">
        <v>1</v>
      </c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3">
        <f>SUMPRODUCT(M152:X152,$M$2:$X$2)*$K152*$L152</f>
        <v/>
      </c>
      <c r="Z152" s="14">
        <f>SUM(M152:X152)</f>
        <v/>
      </c>
      <c r="AA152" s="13">
        <f>SUMPRODUCT(M152:X152,$M$3:$X$3)*$K152*$L152</f>
        <v/>
      </c>
      <c r="AB152" s="13">
        <f>SUMPRODUCT(M152:X152,$M$4:$X$4)*$K152*$L152</f>
        <v/>
      </c>
      <c r="AC152" s="15">
        <f>SUMPRODUCT(M152:X152,$M$5:$X$5)*$K152*$L152</f>
        <v/>
      </c>
      <c r="AD152" s="15">
        <f>SUMPRODUCT(M152:X152,$M$6:$X$6)*$K152*$L152</f>
        <v/>
      </c>
      <c r="AE152" s="19" t="n"/>
    </row>
    <row r="153">
      <c r="A153" s="9" t="n">
        <v>686973</v>
      </c>
      <c r="B153" s="9" t="inlineStr">
        <is>
          <t>Louis Varland</t>
        </is>
      </c>
      <c r="C153" s="9" t="inlineStr">
        <is>
          <t>TOR</t>
        </is>
      </c>
      <c r="D153" s="9" t="n">
        <v>29</v>
      </c>
      <c r="E153" s="17" t="inlineStr">
        <is>
          <t>R</t>
        </is>
      </c>
      <c r="F153" s="17" t="n"/>
      <c r="G153" s="9" t="n">
        <v>300</v>
      </c>
      <c r="H153" s="9" t="n">
        <v>1223</v>
      </c>
      <c r="I153" s="9" t="inlineStr">
        <is>
          <t>Late Inning RP (Setup)</t>
        </is>
      </c>
      <c r="J153" s="17" t="inlineStr">
        <is>
          <t>Opening Day</t>
        </is>
      </c>
      <c r="K153" s="11">
        <f>IFERROR(INDEX(Roles!$B$17:$B$20,MATCH(J153,Roles!$A$17:$A$20,0)),1)</f>
        <v/>
      </c>
      <c r="L153" s="18" t="n">
        <v>1</v>
      </c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3">
        <f>SUMPRODUCT(M153:X153,$M$2:$X$2)*$K153*$L153</f>
        <v/>
      </c>
      <c r="Z153" s="14">
        <f>SUM(M153:X153)</f>
        <v/>
      </c>
      <c r="AA153" s="13">
        <f>SUMPRODUCT(M153:X153,$M$3:$X$3)*$K153*$L153</f>
        <v/>
      </c>
      <c r="AB153" s="13">
        <f>SUMPRODUCT(M153:X153,$M$4:$X$4)*$K153*$L153</f>
        <v/>
      </c>
      <c r="AC153" s="15">
        <f>SUMPRODUCT(M153:X153,$M$5:$X$5)*$K153*$L153</f>
        <v/>
      </c>
      <c r="AD153" s="15">
        <f>SUMPRODUCT(M153:X153,$M$6:$X$6)*$K153*$L153</f>
        <v/>
      </c>
      <c r="AE153" s="19" t="n"/>
    </row>
    <row r="154">
      <c r="A154" s="9" t="n">
        <v>680755</v>
      </c>
      <c r="B154" s="9" t="inlineStr">
        <is>
          <t>Braydon Fisher</t>
        </is>
      </c>
      <c r="C154" s="9" t="inlineStr">
        <is>
          <t>TOR</t>
        </is>
      </c>
      <c r="D154" s="9" t="n">
        <v>26</v>
      </c>
      <c r="E154" s="17" t="inlineStr">
        <is>
          <t>R</t>
        </is>
      </c>
      <c r="F154" s="17" t="n"/>
      <c r="G154" s="9" t="n">
        <v>300</v>
      </c>
      <c r="H154" s="9" t="n">
        <v>502</v>
      </c>
      <c r="I154" s="9" t="inlineStr">
        <is>
          <t>Bullpen Depth Arm</t>
        </is>
      </c>
      <c r="J154" s="17" t="inlineStr">
        <is>
          <t>Opening Day</t>
        </is>
      </c>
      <c r="K154" s="11">
        <f>IFERROR(INDEX(Roles!$B$17:$B$20,MATCH(J154,Roles!$A$17:$A$20,0)),1)</f>
        <v/>
      </c>
      <c r="L154" s="18" t="n">
        <v>1</v>
      </c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3">
        <f>SUMPRODUCT(M154:X154,$M$2:$X$2)*$K154*$L154</f>
        <v/>
      </c>
      <c r="Z154" s="14">
        <f>SUM(M154:X154)</f>
        <v/>
      </c>
      <c r="AA154" s="13">
        <f>SUMPRODUCT(M154:X154,$M$3:$X$3)*$K154*$L154</f>
        <v/>
      </c>
      <c r="AB154" s="13">
        <f>SUMPRODUCT(M154:X154,$M$4:$X$4)*$K154*$L154</f>
        <v/>
      </c>
      <c r="AC154" s="15">
        <f>SUMPRODUCT(M154:X154,$M$5:$X$5)*$K154*$L154</f>
        <v/>
      </c>
      <c r="AD154" s="15">
        <f>SUMPRODUCT(M154:X154,$M$6:$X$6)*$K154*$L154</f>
        <v/>
      </c>
      <c r="AE154" s="19" t="n"/>
    </row>
    <row r="155">
      <c r="A155" s="9" t="n">
        <v>605447</v>
      </c>
      <c r="B155" s="9" t="inlineStr">
        <is>
          <t>Jordan Romano</t>
        </is>
      </c>
      <c r="C155" s="9" t="inlineStr">
        <is>
          <t>COL</t>
        </is>
      </c>
      <c r="D155" s="9" t="n">
        <v>34</v>
      </c>
      <c r="E155" s="17" t="inlineStr">
        <is>
          <t>R</t>
        </is>
      </c>
      <c r="F155" s="17" t="n"/>
      <c r="G155" s="9" t="n">
        <v>134</v>
      </c>
      <c r="H155" s="9" t="n">
        <v>889</v>
      </c>
      <c r="I155" s="9" t="inlineStr">
        <is>
          <t>Closer</t>
        </is>
      </c>
      <c r="J155" s="17" t="inlineStr">
        <is>
          <t>Opening Day</t>
        </is>
      </c>
      <c r="K155" s="11">
        <f>IFERROR(INDEX(Roles!$B$17:$B$20,MATCH(J155,Roles!$A$17:$A$20,0)),1)</f>
        <v/>
      </c>
      <c r="L155" s="18" t="n">
        <v>1</v>
      </c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3">
        <f>SUMPRODUCT(M155:X155,$M$2:$X$2)*$K155*$L155</f>
        <v/>
      </c>
      <c r="Z155" s="14">
        <f>SUM(M155:X155)</f>
        <v/>
      </c>
      <c r="AA155" s="13">
        <f>SUMPRODUCT(M155:X155,$M$3:$X$3)*$K155*$L155</f>
        <v/>
      </c>
      <c r="AB155" s="13">
        <f>SUMPRODUCT(M155:X155,$M$4:$X$4)*$K155*$L155</f>
        <v/>
      </c>
      <c r="AC155" s="15">
        <f>SUMPRODUCT(M155:X155,$M$5:$X$5)*$K155*$L155</f>
        <v/>
      </c>
      <c r="AD155" s="15">
        <f>SUMPRODUCT(M155:X155,$M$6:$X$6)*$K155*$L155</f>
        <v/>
      </c>
      <c r="AE155" s="19" t="n"/>
    </row>
    <row r="156">
      <c r="A156" s="9" t="n">
        <v>676917</v>
      </c>
      <c r="B156" s="9" t="inlineStr">
        <is>
          <t>Cade Cavalli</t>
        </is>
      </c>
      <c r="C156" s="9" t="inlineStr">
        <is>
          <t>WSH</t>
        </is>
      </c>
      <c r="D156" s="9" t="n">
        <v>28</v>
      </c>
      <c r="E156" s="17" t="inlineStr">
        <is>
          <t>R</t>
        </is>
      </c>
      <c r="F156" s="17" t="n"/>
      <c r="G156" s="9" t="n">
        <v>687</v>
      </c>
      <c r="H156" s="9" t="n">
        <v>929</v>
      </c>
      <c r="I156" s="9" t="inlineStr">
        <is>
          <t>Mid-Rotation Starter (SP2-3)</t>
        </is>
      </c>
      <c r="J156" s="17" t="inlineStr">
        <is>
          <t>Opening Day</t>
        </is>
      </c>
      <c r="K156" s="11">
        <f>IFERROR(INDEX(Roles!$B$17:$B$20,MATCH(J156,Roles!$A$17:$A$20,0)),1)</f>
        <v/>
      </c>
      <c r="L156" s="18" t="n">
        <v>1</v>
      </c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3">
        <f>SUMPRODUCT(M156:X156,$M$2:$X$2)*$K156*$L156</f>
        <v/>
      </c>
      <c r="Z156" s="14">
        <f>SUM(M156:X156)</f>
        <v/>
      </c>
      <c r="AA156" s="13">
        <f>SUMPRODUCT(M156:X156,$M$3:$X$3)*$K156*$L156</f>
        <v/>
      </c>
      <c r="AB156" s="13">
        <f>SUMPRODUCT(M156:X156,$M$4:$X$4)*$K156*$L156</f>
        <v/>
      </c>
      <c r="AC156" s="15">
        <f>SUMPRODUCT(M156:X156,$M$5:$X$5)*$K156*$L156</f>
        <v/>
      </c>
      <c r="AD156" s="15">
        <f>SUMPRODUCT(M156:X156,$M$6:$X$6)*$K156*$L156</f>
        <v/>
      </c>
      <c r="AE156" s="19" t="n"/>
    </row>
    <row r="157">
      <c r="A157" s="9" t="n">
        <v>572955</v>
      </c>
      <c r="B157" s="9" t="inlineStr">
        <is>
          <t>Pierce Johnson</t>
        </is>
      </c>
      <c r="C157" s="9" t="inlineStr">
        <is>
          <t>CIN</t>
        </is>
      </c>
      <c r="D157" s="9" t="n">
        <v>36</v>
      </c>
      <c r="E157" s="17" t="inlineStr">
        <is>
          <t>R</t>
        </is>
      </c>
      <c r="F157" s="17" t="n"/>
      <c r="G157" s="9" t="n">
        <v>195</v>
      </c>
      <c r="H157" s="9" t="n">
        <v>1010</v>
      </c>
      <c r="I157" s="9" t="inlineStr">
        <is>
          <t>Bullpen Depth Arm</t>
        </is>
      </c>
      <c r="J157" s="17" t="inlineStr">
        <is>
          <t>Opening Day</t>
        </is>
      </c>
      <c r="K157" s="11">
        <f>IFERROR(INDEX(Roles!$B$17:$B$20,MATCH(J157,Roles!$A$17:$A$20,0)),1)</f>
        <v/>
      </c>
      <c r="L157" s="18" t="n">
        <v>1</v>
      </c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3">
        <f>SUMPRODUCT(M157:X157,$M$2:$X$2)*$K157*$L157</f>
        <v/>
      </c>
      <c r="Z157" s="14">
        <f>SUM(M157:X157)</f>
        <v/>
      </c>
      <c r="AA157" s="13">
        <f>SUMPRODUCT(M157:X157,$M$3:$X$3)*$K157*$L157</f>
        <v/>
      </c>
      <c r="AB157" s="13">
        <f>SUMPRODUCT(M157:X157,$M$4:$X$4)*$K157*$L157</f>
        <v/>
      </c>
      <c r="AC157" s="15">
        <f>SUMPRODUCT(M157:X157,$M$5:$X$5)*$K157*$L157</f>
        <v/>
      </c>
      <c r="AD157" s="15">
        <f>SUMPRODUCT(M157:X157,$M$6:$X$6)*$K157*$L157</f>
        <v/>
      </c>
      <c r="AE157" s="19" t="n"/>
    </row>
    <row r="158">
      <c r="A158" s="9" t="n">
        <v>606149</v>
      </c>
      <c r="B158" s="9" t="inlineStr">
        <is>
          <t>Giovanny Gallegos</t>
        </is>
      </c>
      <c r="C158" s="9" t="inlineStr">
        <is>
          <t>STL</t>
        </is>
      </c>
      <c r="D158" s="9" t="n">
        <v>35</v>
      </c>
      <c r="E158" s="17" t="inlineStr">
        <is>
          <t>R</t>
        </is>
      </c>
      <c r="F158" s="17" t="n"/>
      <c r="G158" s="9" t="n">
        <v>94</v>
      </c>
      <c r="H158" s="9" t="n">
        <v>558</v>
      </c>
      <c r="I158" s="9" t="inlineStr">
        <is>
          <t>Depth (no MLB IP)</t>
        </is>
      </c>
      <c r="J158" s="17" t="inlineStr">
        <is>
          <t>Opening Day</t>
        </is>
      </c>
      <c r="K158" s="11">
        <f>IFERROR(INDEX(Roles!$B$17:$B$20,MATCH(J158,Roles!$A$17:$A$20,0)),1)</f>
        <v/>
      </c>
      <c r="L158" s="18" t="n">
        <v>1</v>
      </c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3">
        <f>SUMPRODUCT(M158:X158,$M$2:$X$2)*$K158*$L158</f>
        <v/>
      </c>
      <c r="Z158" s="14">
        <f>SUM(M158:X158)</f>
        <v/>
      </c>
      <c r="AA158" s="13">
        <f>SUMPRODUCT(M158:X158,$M$3:$X$3)*$K158*$L158</f>
        <v/>
      </c>
      <c r="AB158" s="13">
        <f>SUMPRODUCT(M158:X158,$M$4:$X$4)*$K158*$L158</f>
        <v/>
      </c>
      <c r="AC158" s="15">
        <f>SUMPRODUCT(M158:X158,$M$5:$X$5)*$K158*$L158</f>
        <v/>
      </c>
      <c r="AD158" s="15">
        <f>SUMPRODUCT(M158:X158,$M$6:$X$6)*$K158*$L158</f>
        <v/>
      </c>
      <c r="AE158" s="19" t="n"/>
    </row>
    <row r="159">
      <c r="A159" s="9" t="n">
        <v>703725</v>
      </c>
      <c r="B159" s="9" t="inlineStr">
        <is>
          <t>Luis Gastelum</t>
        </is>
      </c>
      <c r="C159" s="9" t="inlineStr">
        <is>
          <t>STL</t>
        </is>
      </c>
      <c r="D159" s="9" t="n">
        <v>25</v>
      </c>
      <c r="E159" s="17" t="inlineStr">
        <is>
          <t>R</t>
        </is>
      </c>
      <c r="F159" s="17" t="n"/>
      <c r="G159" s="9" t="n">
        <v>137</v>
      </c>
      <c r="H159" s="9" t="n">
        <v>137</v>
      </c>
      <c r="I159" s="9" t="inlineStr">
        <is>
          <t>Late Inning RP (Setup)</t>
        </is>
      </c>
      <c r="J159" s="17" t="inlineStr">
        <is>
          <t>Opening Day</t>
        </is>
      </c>
      <c r="K159" s="11">
        <f>IFERROR(INDEX(Roles!$B$17:$B$20,MATCH(J159,Roles!$A$17:$A$20,0)),1)</f>
        <v/>
      </c>
      <c r="L159" s="18" t="n">
        <v>1</v>
      </c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3">
        <f>SUMPRODUCT(M159:X159,$M$2:$X$2)*$K159*$L159</f>
        <v/>
      </c>
      <c r="Z159" s="14">
        <f>SUM(M159:X159)</f>
        <v/>
      </c>
      <c r="AA159" s="13">
        <f>SUMPRODUCT(M159:X159,$M$3:$X$3)*$K159*$L159</f>
        <v/>
      </c>
      <c r="AB159" s="13">
        <f>SUMPRODUCT(M159:X159,$M$4:$X$4)*$K159*$L159</f>
        <v/>
      </c>
      <c r="AC159" s="15">
        <f>SUMPRODUCT(M159:X159,$M$5:$X$5)*$K159*$L159</f>
        <v/>
      </c>
      <c r="AD159" s="15">
        <f>SUMPRODUCT(M159:X159,$M$6:$X$6)*$K159*$L159</f>
        <v/>
      </c>
      <c r="AE159" s="19" t="n"/>
    </row>
    <row r="160">
      <c r="A160" s="9" t="n">
        <v>666661</v>
      </c>
      <c r="B160" s="9" t="inlineStr">
        <is>
          <t>Juan Morillo</t>
        </is>
      </c>
      <c r="C160" s="9" t="inlineStr">
        <is>
          <t>ARI</t>
        </is>
      </c>
      <c r="D160" s="9" t="n">
        <v>28</v>
      </c>
      <c r="E160" s="17" t="inlineStr">
        <is>
          <t>R</t>
        </is>
      </c>
      <c r="F160" s="17" t="n"/>
      <c r="G160" s="9" t="n">
        <v>246</v>
      </c>
      <c r="H160" s="9" t="n">
        <v>398</v>
      </c>
      <c r="I160" s="9" t="inlineStr">
        <is>
          <t>Closer</t>
        </is>
      </c>
      <c r="J160" s="17" t="inlineStr">
        <is>
          <t>Opening Day</t>
        </is>
      </c>
      <c r="K160" s="11">
        <f>IFERROR(INDEX(Roles!$B$17:$B$20,MATCH(J160,Roles!$A$17:$A$20,0)),1)</f>
        <v/>
      </c>
      <c r="L160" s="18" t="n">
        <v>1</v>
      </c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3">
        <f>SUMPRODUCT(M160:X160,$M$2:$X$2)*$K160*$L160</f>
        <v/>
      </c>
      <c r="Z160" s="14">
        <f>SUM(M160:X160)</f>
        <v/>
      </c>
      <c r="AA160" s="13">
        <f>SUMPRODUCT(M160:X160,$M$3:$X$3)*$K160*$L160</f>
        <v/>
      </c>
      <c r="AB160" s="13">
        <f>SUMPRODUCT(M160:X160,$M$4:$X$4)*$K160*$L160</f>
        <v/>
      </c>
      <c r="AC160" s="15">
        <f>SUMPRODUCT(M160:X160,$M$5:$X$5)*$K160*$L160</f>
        <v/>
      </c>
      <c r="AD160" s="15">
        <f>SUMPRODUCT(M160:X160,$M$6:$X$6)*$K160*$L160</f>
        <v/>
      </c>
      <c r="AE160" s="19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7" t="inlineStr">
        <is>
          <t>R</t>
        </is>
      </c>
      <c r="F161" s="17" t="n"/>
      <c r="G161" s="9" t="n">
        <v>48</v>
      </c>
      <c r="H161" s="9" t="n">
        <v>292</v>
      </c>
      <c r="I161" s="9" t="inlineStr">
        <is>
          <t>Depth (no MLB IP)</t>
        </is>
      </c>
      <c r="J161" s="17" t="inlineStr">
        <is>
          <t>Opening Day</t>
        </is>
      </c>
      <c r="K161" s="11">
        <f>IFERROR(INDEX(Roles!$B$17:$B$20,MATCH(J161,Roles!$A$17:$A$20,0)),1)</f>
        <v/>
      </c>
      <c r="L161" s="18" t="n">
        <v>1</v>
      </c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3">
        <f>SUMPRODUCT(M161:X161,$M$2:$X$2)*$K161*$L161</f>
        <v/>
      </c>
      <c r="Z161" s="14">
        <f>SUM(M161:X161)</f>
        <v/>
      </c>
      <c r="AA161" s="13">
        <f>SUMPRODUCT(M161:X161,$M$3:$X$3)*$K161*$L161</f>
        <v/>
      </c>
      <c r="AB161" s="13">
        <f>SUMPRODUCT(M161:X161,$M$4:$X$4)*$K161*$L161</f>
        <v/>
      </c>
      <c r="AC161" s="15">
        <f>SUMPRODUCT(M161:X161,$M$5:$X$5)*$K161*$L161</f>
        <v/>
      </c>
      <c r="AD161" s="15">
        <f>SUMPRODUCT(M161:X161,$M$6:$X$6)*$K161*$L161</f>
        <v/>
      </c>
      <c r="AE161" s="19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7" t="inlineStr">
        <is>
          <t>R</t>
        </is>
      </c>
      <c r="F162" s="17" t="n"/>
      <c r="G162" s="9" t="n">
        <v>212</v>
      </c>
      <c r="H162" s="9" t="n">
        <v>281</v>
      </c>
      <c r="I162" s="9" t="inlineStr">
        <is>
          <t>Depth (no MLB IP)</t>
        </is>
      </c>
      <c r="J162" s="17" t="inlineStr">
        <is>
          <t>Opening Day</t>
        </is>
      </c>
      <c r="K162" s="11">
        <f>IFERROR(INDEX(Roles!$B$17:$B$20,MATCH(J162,Roles!$A$17:$A$20,0)),1)</f>
        <v/>
      </c>
      <c r="L162" s="18" t="n">
        <v>1</v>
      </c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3">
        <f>SUMPRODUCT(M162:X162,$M$2:$X$2)*$K162*$L162</f>
        <v/>
      </c>
      <c r="Z162" s="14">
        <f>SUM(M162:X162)</f>
        <v/>
      </c>
      <c r="AA162" s="13">
        <f>SUMPRODUCT(M162:X162,$M$3:$X$3)*$K162*$L162</f>
        <v/>
      </c>
      <c r="AB162" s="13">
        <f>SUMPRODUCT(M162:X162,$M$4:$X$4)*$K162*$L162</f>
        <v/>
      </c>
      <c r="AC162" s="15">
        <f>SUMPRODUCT(M162:X162,$M$5:$X$5)*$K162*$L162</f>
        <v/>
      </c>
      <c r="AD162" s="15">
        <f>SUMPRODUCT(M162:X162,$M$6:$X$6)*$K162*$L162</f>
        <v/>
      </c>
      <c r="AE162" s="19" t="n"/>
    </row>
    <row r="163">
      <c r="A163" s="9" t="n">
        <v>668968</v>
      </c>
      <c r="B163" s="9" t="inlineStr">
        <is>
          <t>Hans Crouse</t>
        </is>
      </c>
      <c r="C163" s="9" t="inlineStr">
        <is>
          <t>LAA</t>
        </is>
      </c>
      <c r="D163" s="9" t="n">
        <v>28</v>
      </c>
      <c r="E163" s="17" t="inlineStr">
        <is>
          <t>R</t>
        </is>
      </c>
      <c r="F163" s="17" t="n"/>
      <c r="G163" s="9" t="n">
        <v>107</v>
      </c>
      <c r="H163" s="9" t="n">
        <v>107</v>
      </c>
      <c r="I163" s="9" t="inlineStr">
        <is>
          <t>Depth (no MLB IP)</t>
        </is>
      </c>
      <c r="J163" s="17" t="inlineStr">
        <is>
          <t>Opening Day</t>
        </is>
      </c>
      <c r="K163" s="11">
        <f>IFERROR(INDEX(Roles!$B$17:$B$20,MATCH(J163,Roles!$A$17:$A$20,0)),1)</f>
        <v/>
      </c>
      <c r="L163" s="18" t="n">
        <v>1</v>
      </c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3">
        <f>SUMPRODUCT(M163:X163,$M$2:$X$2)*$K163*$L163</f>
        <v/>
      </c>
      <c r="Z163" s="14">
        <f>SUM(M163:X163)</f>
        <v/>
      </c>
      <c r="AA163" s="13">
        <f>SUMPRODUCT(M163:X163,$M$3:$X$3)*$K163*$L163</f>
        <v/>
      </c>
      <c r="AB163" s="13">
        <f>SUMPRODUCT(M163:X163,$M$4:$X$4)*$K163*$L163</f>
        <v/>
      </c>
      <c r="AC163" s="15">
        <f>SUMPRODUCT(M163:X163,$M$5:$X$5)*$K163*$L163</f>
        <v/>
      </c>
      <c r="AD163" s="15">
        <f>SUMPRODUCT(M163:X163,$M$6:$X$6)*$K163*$L163</f>
        <v/>
      </c>
      <c r="AE163" s="19" t="n"/>
    </row>
    <row r="164">
      <c r="A164" s="9" t="n">
        <v>642397</v>
      </c>
      <c r="B164" s="9" t="inlineStr">
        <is>
          <t>Gregory Soto</t>
        </is>
      </c>
      <c r="C164" s="9" t="inlineStr">
        <is>
          <t>PIT</t>
        </is>
      </c>
      <c r="D164" s="9" t="n">
        <v>32</v>
      </c>
      <c r="E164" s="17" t="inlineStr">
        <is>
          <t>L</t>
        </is>
      </c>
      <c r="F164" s="17" t="n"/>
      <c r="G164" s="9" t="n">
        <v>269</v>
      </c>
      <c r="H164" s="9" t="n">
        <v>1305</v>
      </c>
      <c r="I164" s="9" t="inlineStr">
        <is>
          <t>Bullpen Depth Arm</t>
        </is>
      </c>
      <c r="J164" s="17" t="inlineStr">
        <is>
          <t>Opening Day</t>
        </is>
      </c>
      <c r="K164" s="11">
        <f>IFERROR(INDEX(Roles!$B$17:$B$20,MATCH(J164,Roles!$A$17:$A$20,0)),1)</f>
        <v/>
      </c>
      <c r="L164" s="18" t="n">
        <v>1</v>
      </c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3">
        <f>SUMPRODUCT(M164:X164,$M$2:$X$2)*$K164*$L164</f>
        <v/>
      </c>
      <c r="Z164" s="14">
        <f>SUM(M164:X164)</f>
        <v/>
      </c>
      <c r="AA164" s="13">
        <f>SUMPRODUCT(M164:X164,$M$3:$X$3)*$K164*$L164</f>
        <v/>
      </c>
      <c r="AB164" s="13">
        <f>SUMPRODUCT(M164:X164,$M$4:$X$4)*$K164*$L164</f>
        <v/>
      </c>
      <c r="AC164" s="15">
        <f>SUMPRODUCT(M164:X164,$M$5:$X$5)*$K164*$L164</f>
        <v/>
      </c>
      <c r="AD164" s="15">
        <f>SUMPRODUCT(M164:X164,$M$6:$X$6)*$K164*$L164</f>
        <v/>
      </c>
      <c r="AE164" s="19" t="n"/>
    </row>
    <row r="165">
      <c r="A165" s="9" t="n">
        <v>676282</v>
      </c>
      <c r="B165" s="9" t="inlineStr">
        <is>
          <t>Joey Cantillo</t>
        </is>
      </c>
      <c r="C165" s="9" t="inlineStr">
        <is>
          <t>CLE</t>
        </is>
      </c>
      <c r="D165" s="9" t="n">
        <v>27</v>
      </c>
      <c r="E165" s="17" t="inlineStr">
        <is>
          <t>L</t>
        </is>
      </c>
      <c r="F165" s="17" t="n"/>
      <c r="G165" s="9" t="n">
        <v>649</v>
      </c>
      <c r="H165" s="9" t="n">
        <v>1213</v>
      </c>
      <c r="I165" s="9" t="inlineStr">
        <is>
          <t>End-of-Rotation Starter (SP4-5)</t>
        </is>
      </c>
      <c r="J165" s="17" t="inlineStr">
        <is>
          <t>Opening Day</t>
        </is>
      </c>
      <c r="K165" s="11">
        <f>IFERROR(INDEX(Roles!$B$17:$B$20,MATCH(J165,Roles!$A$17:$A$20,0)),1)</f>
        <v/>
      </c>
      <c r="L165" s="18" t="n">
        <v>1</v>
      </c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3">
        <f>SUMPRODUCT(M165:X165,$M$2:$X$2)*$K165*$L165</f>
        <v/>
      </c>
      <c r="Z165" s="14">
        <f>SUM(M165:X165)</f>
        <v/>
      </c>
      <c r="AA165" s="13">
        <f>SUMPRODUCT(M165:X165,$M$3:$X$3)*$K165*$L165</f>
        <v/>
      </c>
      <c r="AB165" s="13">
        <f>SUMPRODUCT(M165:X165,$M$4:$X$4)*$K165*$L165</f>
        <v/>
      </c>
      <c r="AC165" s="15">
        <f>SUMPRODUCT(M165:X165,$M$5:$X$5)*$K165*$L165</f>
        <v/>
      </c>
      <c r="AD165" s="15">
        <f>SUMPRODUCT(M165:X165,$M$6:$X$6)*$K165*$L165</f>
        <v/>
      </c>
      <c r="AE165" s="19" t="n"/>
    </row>
    <row r="166">
      <c r="A166" s="9" t="n">
        <v>681895</v>
      </c>
      <c r="B166" s="9" t="inlineStr">
        <is>
          <t>Evan Sisk</t>
        </is>
      </c>
      <c r="C166" s="9" t="inlineStr">
        <is>
          <t>PIT</t>
        </is>
      </c>
      <c r="D166" s="9" t="n">
        <v>30</v>
      </c>
      <c r="E166" s="17" t="inlineStr">
        <is>
          <t>L</t>
        </is>
      </c>
      <c r="F166" s="17" t="n"/>
      <c r="G166" s="9" t="n">
        <v>186</v>
      </c>
      <c r="H166" s="9" t="n">
        <v>266</v>
      </c>
      <c r="I166" s="9" t="inlineStr">
        <is>
          <t>Bullpen Depth Arm</t>
        </is>
      </c>
      <c r="J166" s="17" t="inlineStr">
        <is>
          <t>Opening Day</t>
        </is>
      </c>
      <c r="K166" s="11">
        <f>IFERROR(INDEX(Roles!$B$17:$B$20,MATCH(J166,Roles!$A$17:$A$20,0)),1)</f>
        <v/>
      </c>
      <c r="L166" s="18" t="n">
        <v>1</v>
      </c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3">
        <f>SUMPRODUCT(M166:X166,$M$2:$X$2)*$K166*$L166</f>
        <v/>
      </c>
      <c r="Z166" s="14">
        <f>SUM(M166:X166)</f>
        <v/>
      </c>
      <c r="AA166" s="13">
        <f>SUMPRODUCT(M166:X166,$M$3:$X$3)*$K166*$L166</f>
        <v/>
      </c>
      <c r="AB166" s="13">
        <f>SUMPRODUCT(M166:X166,$M$4:$X$4)*$K166*$L166</f>
        <v/>
      </c>
      <c r="AC166" s="15">
        <f>SUMPRODUCT(M166:X166,$M$5:$X$5)*$K166*$L166</f>
        <v/>
      </c>
      <c r="AD166" s="15">
        <f>SUMPRODUCT(M166:X166,$M$6:$X$6)*$K166*$L166</f>
        <v/>
      </c>
      <c r="AE166" s="19" t="n"/>
    </row>
    <row r="167">
      <c r="A167" s="9" t="n">
        <v>676962</v>
      </c>
      <c r="B167" s="9" t="inlineStr">
        <is>
          <t>Ben Brown</t>
        </is>
      </c>
      <c r="C167" s="9" t="inlineStr">
        <is>
          <t>CHC</t>
        </is>
      </c>
      <c r="D167" s="9" t="n">
        <v>27</v>
      </c>
      <c r="E167" s="17" t="inlineStr">
        <is>
          <t>R</t>
        </is>
      </c>
      <c r="F167" s="17" t="n"/>
      <c r="G167" s="9" t="n">
        <v>265</v>
      </c>
      <c r="H167" s="9" t="n">
        <v>959</v>
      </c>
      <c r="I167" s="9" t="inlineStr">
        <is>
          <t>End-of-Rotation Starter (SP4-5)</t>
        </is>
      </c>
      <c r="J167" s="17" t="inlineStr">
        <is>
          <t>Opening Day</t>
        </is>
      </c>
      <c r="K167" s="11">
        <f>IFERROR(INDEX(Roles!$B$17:$B$20,MATCH(J167,Roles!$A$17:$A$20,0)),1)</f>
        <v/>
      </c>
      <c r="L167" s="18" t="n">
        <v>1</v>
      </c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3">
        <f>SUMPRODUCT(M167:X167,$M$2:$X$2)*$K167*$L167</f>
        <v/>
      </c>
      <c r="Z167" s="14">
        <f>SUM(M167:X167)</f>
        <v/>
      </c>
      <c r="AA167" s="13">
        <f>SUMPRODUCT(M167:X167,$M$3:$X$3)*$K167*$L167</f>
        <v/>
      </c>
      <c r="AB167" s="13">
        <f>SUMPRODUCT(M167:X167,$M$4:$X$4)*$K167*$L167</f>
        <v/>
      </c>
      <c r="AC167" s="15">
        <f>SUMPRODUCT(M167:X167,$M$5:$X$5)*$K167*$L167</f>
        <v/>
      </c>
      <c r="AD167" s="15">
        <f>SUMPRODUCT(M167:X167,$M$6:$X$6)*$K167*$L167</f>
        <v/>
      </c>
      <c r="AE167" s="19" t="n"/>
    </row>
    <row r="168">
      <c r="A168" s="9" t="n">
        <v>656464</v>
      </c>
      <c r="B168" s="9" t="inlineStr">
        <is>
          <t>Kevin Ginkel</t>
        </is>
      </c>
      <c r="C168" s="9" t="inlineStr">
        <is>
          <t>ARI</t>
        </is>
      </c>
      <c r="D168" s="9" t="n">
        <v>33</v>
      </c>
      <c r="E168" s="17" t="inlineStr">
        <is>
          <t>R</t>
        </is>
      </c>
      <c r="F168" s="17" t="n"/>
      <c r="G168" s="9" t="n">
        <v>257</v>
      </c>
      <c r="H168" s="9" t="n">
        <v>1047</v>
      </c>
      <c r="I168" s="9" t="inlineStr">
        <is>
          <t>Middle Relief</t>
        </is>
      </c>
      <c r="J168" s="17" t="inlineStr">
        <is>
          <t>Opening Day</t>
        </is>
      </c>
      <c r="K168" s="11">
        <f>IFERROR(INDEX(Roles!$B$17:$B$20,MATCH(J168,Roles!$A$17:$A$20,0)),1)</f>
        <v/>
      </c>
      <c r="L168" s="18" t="n">
        <v>1</v>
      </c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3">
        <f>SUMPRODUCT(M168:X168,$M$2:$X$2)*$K168*$L168</f>
        <v/>
      </c>
      <c r="Z168" s="14">
        <f>SUM(M168:X168)</f>
        <v/>
      </c>
      <c r="AA168" s="13">
        <f>SUMPRODUCT(M168:X168,$M$3:$X$3)*$K168*$L168</f>
        <v/>
      </c>
      <c r="AB168" s="13">
        <f>SUMPRODUCT(M168:X168,$M$4:$X$4)*$K168*$L168</f>
        <v/>
      </c>
      <c r="AC168" s="15">
        <f>SUMPRODUCT(M168:X168,$M$5:$X$5)*$K168*$L168</f>
        <v/>
      </c>
      <c r="AD168" s="15">
        <f>SUMPRODUCT(M168:X168,$M$6:$X$6)*$K168*$L168</f>
        <v/>
      </c>
      <c r="AE168" s="19" t="n"/>
    </row>
    <row r="169">
      <c r="A169" s="9" t="n">
        <v>671737</v>
      </c>
      <c r="B169" s="9" t="inlineStr">
        <is>
          <t>Taj Bradley</t>
        </is>
      </c>
      <c r="C169" s="9" t="inlineStr">
        <is>
          <t>MIN</t>
        </is>
      </c>
      <c r="D169" s="9" t="n">
        <v>26</v>
      </c>
      <c r="E169" s="17" t="inlineStr">
        <is>
          <t>R</t>
        </is>
      </c>
      <c r="F169" s="17" t="n"/>
      <c r="G169" s="9" t="n">
        <v>697</v>
      </c>
      <c r="H169" s="9" t="n">
        <v>2340</v>
      </c>
      <c r="I169" s="9" t="inlineStr">
        <is>
          <t>Mid-Rotation Starter (SP2-3)</t>
        </is>
      </c>
      <c r="J169" s="17" t="inlineStr">
        <is>
          <t>Opening Day</t>
        </is>
      </c>
      <c r="K169" s="11">
        <f>IFERROR(INDEX(Roles!$B$17:$B$20,MATCH(J169,Roles!$A$17:$A$20,0)),1)</f>
        <v/>
      </c>
      <c r="L169" s="18" t="n">
        <v>1</v>
      </c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3">
        <f>SUMPRODUCT(M169:X169,$M$2:$X$2)*$K169*$L169</f>
        <v/>
      </c>
      <c r="Z169" s="14">
        <f>SUM(M169:X169)</f>
        <v/>
      </c>
      <c r="AA169" s="13">
        <f>SUMPRODUCT(M169:X169,$M$3:$X$3)*$K169*$L169</f>
        <v/>
      </c>
      <c r="AB169" s="13">
        <f>SUMPRODUCT(M169:X169,$M$4:$X$4)*$K169*$L169</f>
        <v/>
      </c>
      <c r="AC169" s="15">
        <f>SUMPRODUCT(M169:X169,$M$5:$X$5)*$K169*$L169</f>
        <v/>
      </c>
      <c r="AD169" s="15">
        <f>SUMPRODUCT(M169:X169,$M$6:$X$6)*$K169*$L169</f>
        <v/>
      </c>
      <c r="AE169" s="19" t="n"/>
    </row>
    <row r="170">
      <c r="A170" s="9" t="n">
        <v>694037</v>
      </c>
      <c r="B170" s="9" t="inlineStr">
        <is>
          <t>Daniel Palencia</t>
        </is>
      </c>
      <c r="C170" s="9" t="inlineStr">
        <is>
          <t>CHC</t>
        </is>
      </c>
      <c r="D170" s="9" t="n">
        <v>27</v>
      </c>
      <c r="E170" s="17" t="inlineStr">
        <is>
          <t>R</t>
        </is>
      </c>
      <c r="F170" s="17" t="n"/>
      <c r="G170" s="9" t="n">
        <v>109</v>
      </c>
      <c r="H170" s="9" t="n">
        <v>512</v>
      </c>
      <c r="I170" s="9" t="inlineStr">
        <is>
          <t>Bullpen Depth Arm</t>
        </is>
      </c>
      <c r="J170" s="17" t="inlineStr">
        <is>
          <t>Opening Day</t>
        </is>
      </c>
      <c r="K170" s="11">
        <f>IFERROR(INDEX(Roles!$B$17:$B$20,MATCH(J170,Roles!$A$17:$A$20,0)),1)</f>
        <v/>
      </c>
      <c r="L170" s="18" t="n">
        <v>1</v>
      </c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3">
        <f>SUMPRODUCT(M170:X170,$M$2:$X$2)*$K170*$L170</f>
        <v/>
      </c>
      <c r="Z170" s="14">
        <f>SUM(M170:X170)</f>
        <v/>
      </c>
      <c r="AA170" s="13">
        <f>SUMPRODUCT(M170:X170,$M$3:$X$3)*$K170*$L170</f>
        <v/>
      </c>
      <c r="AB170" s="13">
        <f>SUMPRODUCT(M170:X170,$M$4:$X$4)*$K170*$L170</f>
        <v/>
      </c>
      <c r="AC170" s="15">
        <f>SUMPRODUCT(M170:X170,$M$5:$X$5)*$K170*$L170</f>
        <v/>
      </c>
      <c r="AD170" s="15">
        <f>SUMPRODUCT(M170:X170,$M$6:$X$6)*$K170*$L170</f>
        <v/>
      </c>
      <c r="AE170" s="19" t="n"/>
    </row>
    <row r="171">
      <c r="A171" s="9" t="n">
        <v>669203</v>
      </c>
      <c r="B171" s="9" t="inlineStr">
        <is>
          <t>Corbin Burnes</t>
        </is>
      </c>
      <c r="C171" s="9" t="inlineStr">
        <is>
          <t>ARI</t>
        </is>
      </c>
      <c r="D171" s="9" t="n">
        <v>32</v>
      </c>
      <c r="E171" s="17" t="inlineStr">
        <is>
          <t>R</t>
        </is>
      </c>
      <c r="F171" s="17" t="n"/>
      <c r="G171" s="9" t="n">
        <v>32</v>
      </c>
      <c r="H171" s="9" t="n">
        <v>2662</v>
      </c>
      <c r="I171" s="9" t="inlineStr">
        <is>
          <t>Ace (SP1)</t>
        </is>
      </c>
      <c r="J171" s="17" t="inlineStr">
        <is>
          <t>Opening Day</t>
        </is>
      </c>
      <c r="K171" s="11">
        <f>IFERROR(INDEX(Roles!$B$17:$B$20,MATCH(J171,Roles!$A$17:$A$20,0)),1)</f>
        <v/>
      </c>
      <c r="L171" s="18" t="n">
        <v>1</v>
      </c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3">
        <f>SUMPRODUCT(M171:X171,$M$2:$X$2)*$K171*$L171</f>
        <v/>
      </c>
      <c r="Z171" s="14">
        <f>SUM(M171:X171)</f>
        <v/>
      </c>
      <c r="AA171" s="13">
        <f>SUMPRODUCT(M171:X171,$M$3:$X$3)*$K171*$L171</f>
        <v/>
      </c>
      <c r="AB171" s="13">
        <f>SUMPRODUCT(M171:X171,$M$4:$X$4)*$K171*$L171</f>
        <v/>
      </c>
      <c r="AC171" s="15">
        <f>SUMPRODUCT(M171:X171,$M$5:$X$5)*$K171*$L171</f>
        <v/>
      </c>
      <c r="AD171" s="15">
        <f>SUMPRODUCT(M171:X171,$M$6:$X$6)*$K171*$L171</f>
        <v/>
      </c>
      <c r="AE171" s="19" t="n"/>
    </row>
    <row r="172">
      <c r="A172" s="9" t="n">
        <v>702021</v>
      </c>
      <c r="B172" s="9" t="inlineStr">
        <is>
          <t>Will Dion</t>
        </is>
      </c>
      <c r="C172" s="9" t="inlineStr">
        <is>
          <t>WSH</t>
        </is>
      </c>
      <c r="D172" s="9" t="n">
        <v>27</v>
      </c>
      <c r="E172" s="17" t="inlineStr">
        <is>
          <t>L</t>
        </is>
      </c>
      <c r="F172" s="17" t="n"/>
      <c r="G172" s="9" t="n">
        <v>175</v>
      </c>
      <c r="H172" s="9" t="n">
        <v>175</v>
      </c>
      <c r="I172" s="9" t="inlineStr">
        <is>
          <t>Late Inning RP (Setup)</t>
        </is>
      </c>
      <c r="J172" s="17" t="inlineStr">
        <is>
          <t>Opening Day</t>
        </is>
      </c>
      <c r="K172" s="11">
        <f>IFERROR(INDEX(Roles!$B$17:$B$20,MATCH(J172,Roles!$A$17:$A$20,0)),1)</f>
        <v/>
      </c>
      <c r="L172" s="18" t="n">
        <v>1</v>
      </c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3">
        <f>SUMPRODUCT(M172:X172,$M$2:$X$2)*$K172*$L172</f>
        <v/>
      </c>
      <c r="Z172" s="14">
        <f>SUM(M172:X172)</f>
        <v/>
      </c>
      <c r="AA172" s="13">
        <f>SUMPRODUCT(M172:X172,$M$3:$X$3)*$K172*$L172</f>
        <v/>
      </c>
      <c r="AB172" s="13">
        <f>SUMPRODUCT(M172:X172,$M$4:$X$4)*$K172*$L172</f>
        <v/>
      </c>
      <c r="AC172" s="15">
        <f>SUMPRODUCT(M172:X172,$M$5:$X$5)*$K172*$L172</f>
        <v/>
      </c>
      <c r="AD172" s="15">
        <f>SUMPRODUCT(M172:X172,$M$6:$X$6)*$K172*$L172</f>
        <v/>
      </c>
      <c r="AE172" s="19" t="n"/>
    </row>
    <row r="173">
      <c r="A173" s="9" t="n">
        <v>592332</v>
      </c>
      <c r="B173" s="9" t="inlineStr">
        <is>
          <t>Kevin Gausman</t>
        </is>
      </c>
      <c r="C173" s="9" t="inlineStr">
        <is>
          <t>CHC</t>
        </is>
      </c>
      <c r="D173" s="9" t="n">
        <v>36</v>
      </c>
      <c r="E173" s="17" t="inlineStr">
        <is>
          <t>R</t>
        </is>
      </c>
      <c r="F173" s="17" t="n"/>
      <c r="G173" s="9" t="n">
        <v>728</v>
      </c>
      <c r="H173" s="9" t="n">
        <v>3747</v>
      </c>
      <c r="I173" s="9" t="inlineStr">
        <is>
          <t>Mid-Rotation Starter (SP2-3)</t>
        </is>
      </c>
      <c r="J173" s="17" t="inlineStr">
        <is>
          <t>Opening Day</t>
        </is>
      </c>
      <c r="K173" s="11">
        <f>IFERROR(INDEX(Roles!$B$17:$B$20,MATCH(J173,Roles!$A$17:$A$20,0)),1)</f>
        <v/>
      </c>
      <c r="L173" s="18" t="n">
        <v>1</v>
      </c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3">
        <f>SUMPRODUCT(M173:X173,$M$2:$X$2)*$K173*$L173</f>
        <v/>
      </c>
      <c r="Z173" s="14">
        <f>SUM(M173:X173)</f>
        <v/>
      </c>
      <c r="AA173" s="13">
        <f>SUMPRODUCT(M173:X173,$M$3:$X$3)*$K173*$L173</f>
        <v/>
      </c>
      <c r="AB173" s="13">
        <f>SUMPRODUCT(M173:X173,$M$4:$X$4)*$K173*$L173</f>
        <v/>
      </c>
      <c r="AC173" s="15">
        <f>SUMPRODUCT(M173:X173,$M$5:$X$5)*$K173*$L173</f>
        <v/>
      </c>
      <c r="AD173" s="15">
        <f>SUMPRODUCT(M173:X173,$M$6:$X$6)*$K173*$L173</f>
        <v/>
      </c>
      <c r="AE173" s="19" t="n"/>
    </row>
    <row r="174">
      <c r="A174" s="9" t="n">
        <v>681035</v>
      </c>
      <c r="B174" s="9" t="inlineStr">
        <is>
          <t>Christian Scott</t>
        </is>
      </c>
      <c r="C174" s="9" t="inlineStr">
        <is>
          <t>NYM</t>
        </is>
      </c>
      <c r="D174" s="9" t="n">
        <v>28</v>
      </c>
      <c r="E174" s="17" t="inlineStr">
        <is>
          <t>R</t>
        </is>
      </c>
      <c r="F174" s="17" t="n"/>
      <c r="G174" s="9" t="n">
        <v>453</v>
      </c>
      <c r="H174" s="9" t="n">
        <v>650</v>
      </c>
      <c r="I174" s="9" t="inlineStr">
        <is>
          <t>End-of-Rotation Starter (SP4-5)</t>
        </is>
      </c>
      <c r="J174" s="17" t="inlineStr">
        <is>
          <t>Opening Day</t>
        </is>
      </c>
      <c r="K174" s="11">
        <f>IFERROR(INDEX(Roles!$B$17:$B$20,MATCH(J174,Roles!$A$17:$A$20,0)),1)</f>
        <v/>
      </c>
      <c r="L174" s="18" t="n">
        <v>1</v>
      </c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3">
        <f>SUMPRODUCT(M174:X174,$M$2:$X$2)*$K174*$L174</f>
        <v/>
      </c>
      <c r="Z174" s="14">
        <f>SUM(M174:X174)</f>
        <v/>
      </c>
      <c r="AA174" s="13">
        <f>SUMPRODUCT(M174:X174,$M$3:$X$3)*$K174*$L174</f>
        <v/>
      </c>
      <c r="AB174" s="13">
        <f>SUMPRODUCT(M174:X174,$M$4:$X$4)*$K174*$L174</f>
        <v/>
      </c>
      <c r="AC174" s="15">
        <f>SUMPRODUCT(M174:X174,$M$5:$X$5)*$K174*$L174</f>
        <v/>
      </c>
      <c r="AD174" s="15">
        <f>SUMPRODUCT(M174:X174,$M$6:$X$6)*$K174*$L174</f>
        <v/>
      </c>
      <c r="AE174" s="19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7" t="inlineStr">
        <is>
          <t>R</t>
        </is>
      </c>
      <c r="F175" s="17" t="n"/>
      <c r="G175" s="9" t="n">
        <v>636</v>
      </c>
      <c r="H175" s="9" t="n">
        <v>3302</v>
      </c>
      <c r="I175" s="9" t="inlineStr">
        <is>
          <t>Mid-Rotation Starter (SP2-3)</t>
        </is>
      </c>
      <c r="J175" s="17" t="inlineStr">
        <is>
          <t>Opening Day</t>
        </is>
      </c>
      <c r="K175" s="11">
        <f>IFERROR(INDEX(Roles!$B$17:$B$20,MATCH(J175,Roles!$A$17:$A$20,0)),1)</f>
        <v/>
      </c>
      <c r="L175" s="18" t="n">
        <v>1</v>
      </c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3">
        <f>SUMPRODUCT(M175:X175,$M$2:$X$2)*$K175*$L175</f>
        <v/>
      </c>
      <c r="Z175" s="14">
        <f>SUM(M175:X175)</f>
        <v/>
      </c>
      <c r="AA175" s="13">
        <f>SUMPRODUCT(M175:X175,$M$3:$X$3)*$K175*$L175</f>
        <v/>
      </c>
      <c r="AB175" s="13">
        <f>SUMPRODUCT(M175:X175,$M$4:$X$4)*$K175*$L175</f>
        <v/>
      </c>
      <c r="AC175" s="15">
        <f>SUMPRODUCT(M175:X175,$M$5:$X$5)*$K175*$L175</f>
        <v/>
      </c>
      <c r="AD175" s="15">
        <f>SUMPRODUCT(M175:X175,$M$6:$X$6)*$K175*$L175</f>
        <v/>
      </c>
      <c r="AE175" s="19" t="n"/>
    </row>
    <row r="176">
      <c r="A176" s="9" t="n">
        <v>458677</v>
      </c>
      <c r="B176" s="9" t="inlineStr">
        <is>
          <t>Justin Wilson</t>
        </is>
      </c>
      <c r="C176" s="9" t="inlineStr">
        <is>
          <t>BOS</t>
        </is>
      </c>
      <c r="D176" s="9" t="n">
        <v>39</v>
      </c>
      <c r="E176" s="17" t="inlineStr">
        <is>
          <t>L</t>
        </is>
      </c>
      <c r="F176" s="17" t="n"/>
      <c r="G176" s="9" t="n">
        <v>207</v>
      </c>
      <c r="H176" s="9" t="n">
        <v>429</v>
      </c>
      <c r="I176" s="9" t="inlineStr">
        <is>
          <t>Middle Relief</t>
        </is>
      </c>
      <c r="J176" s="17" t="inlineStr">
        <is>
          <t>Opening Day</t>
        </is>
      </c>
      <c r="K176" s="11">
        <f>IFERROR(INDEX(Roles!$B$17:$B$20,MATCH(J176,Roles!$A$17:$A$20,0)),1)</f>
        <v/>
      </c>
      <c r="L176" s="18" t="n">
        <v>1</v>
      </c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3">
        <f>SUMPRODUCT(M176:X176,$M$2:$X$2)*$K176*$L176</f>
        <v/>
      </c>
      <c r="Z176" s="14">
        <f>SUM(M176:X176)</f>
        <v/>
      </c>
      <c r="AA176" s="13">
        <f>SUMPRODUCT(M176:X176,$M$3:$X$3)*$K176*$L176</f>
        <v/>
      </c>
      <c r="AB176" s="13">
        <f>SUMPRODUCT(M176:X176,$M$4:$X$4)*$K176*$L176</f>
        <v/>
      </c>
      <c r="AC176" s="15">
        <f>SUMPRODUCT(M176:X176,$M$5:$X$5)*$K176*$L176</f>
        <v/>
      </c>
      <c r="AD176" s="15">
        <f>SUMPRODUCT(M176:X176,$M$6:$X$6)*$K176*$L176</f>
        <v/>
      </c>
      <c r="AE176" s="19" t="n"/>
    </row>
    <row r="177">
      <c r="A177" s="9" t="n">
        <v>820862</v>
      </c>
      <c r="B177" s="9" t="inlineStr">
        <is>
          <t>José Fermin</t>
        </is>
      </c>
      <c r="C177" s="9" t="inlineStr">
        <is>
          <t>LAA</t>
        </is>
      </c>
      <c r="D177" s="9" t="n">
        <v>25</v>
      </c>
      <c r="E177" s="17" t="inlineStr">
        <is>
          <t>R</t>
        </is>
      </c>
      <c r="F177" s="17" t="n"/>
      <c r="G177" s="9" t="n">
        <v>226</v>
      </c>
      <c r="H177" s="9" t="n">
        <v>378</v>
      </c>
      <c r="I177" s="9" t="inlineStr">
        <is>
          <t>Bullpen Depth Arm</t>
        </is>
      </c>
      <c r="J177" s="17" t="inlineStr">
        <is>
          <t>Opening Day</t>
        </is>
      </c>
      <c r="K177" s="11">
        <f>IFERROR(INDEX(Roles!$B$17:$B$20,MATCH(J177,Roles!$A$17:$A$20,0)),1)</f>
        <v/>
      </c>
      <c r="L177" s="18" t="n">
        <v>1</v>
      </c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3">
        <f>SUMPRODUCT(M177:X177,$M$2:$X$2)*$K177*$L177</f>
        <v/>
      </c>
      <c r="Z177" s="14">
        <f>SUM(M177:X177)</f>
        <v/>
      </c>
      <c r="AA177" s="13">
        <f>SUMPRODUCT(M177:X177,$M$3:$X$3)*$K177*$L177</f>
        <v/>
      </c>
      <c r="AB177" s="13">
        <f>SUMPRODUCT(M177:X177,$M$4:$X$4)*$K177*$L177</f>
        <v/>
      </c>
      <c r="AC177" s="15">
        <f>SUMPRODUCT(M177:X177,$M$5:$X$5)*$K177*$L177</f>
        <v/>
      </c>
      <c r="AD177" s="15">
        <f>SUMPRODUCT(M177:X177,$M$6:$X$6)*$K177*$L177</f>
        <v/>
      </c>
      <c r="AE177" s="19" t="n"/>
    </row>
    <row r="178">
      <c r="A178" s="9" t="n">
        <v>656887</v>
      </c>
      <c r="B178" s="9" t="inlineStr">
        <is>
          <t>Sean Reid-Foley</t>
        </is>
      </c>
      <c r="C178" s="9" t="inlineStr">
        <is>
          <t>NYM</t>
        </is>
      </c>
      <c r="D178" s="9" t="n">
        <v>31</v>
      </c>
      <c r="E178" s="17" t="inlineStr">
        <is>
          <t>R</t>
        </is>
      </c>
      <c r="F178" s="17" t="n"/>
      <c r="G178" s="9" t="n">
        <v>90</v>
      </c>
      <c r="H178" s="9" t="n">
        <v>168</v>
      </c>
      <c r="I178" s="9" t="inlineStr">
        <is>
          <t>Depth (no MLB IP)</t>
        </is>
      </c>
      <c r="J178" s="17" t="inlineStr">
        <is>
          <t>Opening Day</t>
        </is>
      </c>
      <c r="K178" s="11">
        <f>IFERROR(INDEX(Roles!$B$17:$B$20,MATCH(J178,Roles!$A$17:$A$20,0)),1)</f>
        <v/>
      </c>
      <c r="L178" s="18" t="n">
        <v>1</v>
      </c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3">
        <f>SUMPRODUCT(M178:X178,$M$2:$X$2)*$K178*$L178</f>
        <v/>
      </c>
      <c r="Z178" s="14">
        <f>SUM(M178:X178)</f>
        <v/>
      </c>
      <c r="AA178" s="13">
        <f>SUMPRODUCT(M178:X178,$M$3:$X$3)*$K178*$L178</f>
        <v/>
      </c>
      <c r="AB178" s="13">
        <f>SUMPRODUCT(M178:X178,$M$4:$X$4)*$K178*$L178</f>
        <v/>
      </c>
      <c r="AC178" s="15">
        <f>SUMPRODUCT(M178:X178,$M$5:$X$5)*$K178*$L178</f>
        <v/>
      </c>
      <c r="AD178" s="15">
        <f>SUMPRODUCT(M178:X178,$M$6:$X$6)*$K178*$L178</f>
        <v/>
      </c>
      <c r="AE178" s="19" t="n"/>
    </row>
    <row r="179">
      <c r="A179" s="9" t="n">
        <v>571946</v>
      </c>
      <c r="B179" s="9" t="inlineStr">
        <is>
          <t>Shelby Miller</t>
        </is>
      </c>
      <c r="C179" s="9" t="inlineStr">
        <is>
          <t>MIL</t>
        </is>
      </c>
      <c r="D179" s="9" t="n">
        <v>36</v>
      </c>
      <c r="E179" s="17" t="inlineStr">
        <is>
          <t>R</t>
        </is>
      </c>
      <c r="F179" s="17" t="n"/>
      <c r="G179" s="9" t="n">
        <v>186</v>
      </c>
      <c r="H179" s="9" t="n">
        <v>604</v>
      </c>
      <c r="I179" s="9" t="inlineStr">
        <is>
          <t>Middle Relief</t>
        </is>
      </c>
      <c r="J179" s="17" t="inlineStr">
        <is>
          <t>Opening Day</t>
        </is>
      </c>
      <c r="K179" s="11">
        <f>IFERROR(INDEX(Roles!$B$17:$B$20,MATCH(J179,Roles!$A$17:$A$20,0)),1)</f>
        <v/>
      </c>
      <c r="L179" s="18" t="n">
        <v>1</v>
      </c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3">
        <f>SUMPRODUCT(M179:X179,$M$2:$X$2)*$K179*$L179</f>
        <v/>
      </c>
      <c r="Z179" s="14">
        <f>SUM(M179:X179)</f>
        <v/>
      </c>
      <c r="AA179" s="13">
        <f>SUMPRODUCT(M179:X179,$M$3:$X$3)*$K179*$L179</f>
        <v/>
      </c>
      <c r="AB179" s="13">
        <f>SUMPRODUCT(M179:X179,$M$4:$X$4)*$K179*$L179</f>
        <v/>
      </c>
      <c r="AC179" s="15">
        <f>SUMPRODUCT(M179:X179,$M$5:$X$5)*$K179*$L179</f>
        <v/>
      </c>
      <c r="AD179" s="15">
        <f>SUMPRODUCT(M179:X179,$M$6:$X$6)*$K179*$L179</f>
        <v/>
      </c>
      <c r="AE179" s="19" t="n"/>
    </row>
    <row r="180">
      <c r="A180" s="9" t="n">
        <v>699134</v>
      </c>
      <c r="B180" s="9" t="inlineStr">
        <is>
          <t>Bradgley Rodriguez</t>
        </is>
      </c>
      <c r="C180" s="9" t="inlineStr">
        <is>
          <t>SD</t>
        </is>
      </c>
      <c r="D180" s="9" t="n">
        <v>23</v>
      </c>
      <c r="E180" s="17" t="inlineStr">
        <is>
          <t>R</t>
        </is>
      </c>
      <c r="F180" s="17" t="n"/>
      <c r="G180" s="9" t="n">
        <v>280</v>
      </c>
      <c r="H180" s="9" t="n">
        <v>311</v>
      </c>
      <c r="I180" s="9" t="inlineStr">
        <is>
          <t>Late Inning RP (Setup)</t>
        </is>
      </c>
      <c r="J180" s="17" t="inlineStr">
        <is>
          <t>Opening Day</t>
        </is>
      </c>
      <c r="K180" s="11">
        <f>IFERROR(INDEX(Roles!$B$17:$B$20,MATCH(J180,Roles!$A$17:$A$20,0)),1)</f>
        <v/>
      </c>
      <c r="L180" s="18" t="n">
        <v>1</v>
      </c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3">
        <f>SUMPRODUCT(M180:X180,$M$2:$X$2)*$K180*$L180</f>
        <v/>
      </c>
      <c r="Z180" s="14">
        <f>SUM(M180:X180)</f>
        <v/>
      </c>
      <c r="AA180" s="13">
        <f>SUMPRODUCT(M180:X180,$M$3:$X$3)*$K180*$L180</f>
        <v/>
      </c>
      <c r="AB180" s="13">
        <f>SUMPRODUCT(M180:X180,$M$4:$X$4)*$K180*$L180</f>
        <v/>
      </c>
      <c r="AC180" s="15">
        <f>SUMPRODUCT(M180:X180,$M$5:$X$5)*$K180*$L180</f>
        <v/>
      </c>
      <c r="AD180" s="15">
        <f>SUMPRODUCT(M180:X180,$M$6:$X$6)*$K180*$L180</f>
        <v/>
      </c>
      <c r="AE180" s="19" t="n"/>
    </row>
    <row r="181">
      <c r="A181" s="9" t="n">
        <v>656529</v>
      </c>
      <c r="B181" s="9" t="inlineStr">
        <is>
          <t>Sam Hentges</t>
        </is>
      </c>
      <c r="C181" s="9" t="inlineStr">
        <is>
          <t>SF</t>
        </is>
      </c>
      <c r="D181" s="9" t="n">
        <v>30</v>
      </c>
      <c r="E181" s="17" t="inlineStr">
        <is>
          <t>L</t>
        </is>
      </c>
      <c r="F181" s="17" t="n"/>
      <c r="G181" s="9" t="n">
        <v>154</v>
      </c>
      <c r="H181" s="9" t="n">
        <v>713</v>
      </c>
      <c r="I181" s="9" t="inlineStr">
        <is>
          <t>Middle Relief</t>
        </is>
      </c>
      <c r="J181" s="17" t="inlineStr">
        <is>
          <t>Opening Day</t>
        </is>
      </c>
      <c r="K181" s="11">
        <f>IFERROR(INDEX(Roles!$B$17:$B$20,MATCH(J181,Roles!$A$17:$A$20,0)),1)</f>
        <v/>
      </c>
      <c r="L181" s="18" t="n">
        <v>1</v>
      </c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3">
        <f>SUMPRODUCT(M181:X181,$M$2:$X$2)*$K181*$L181</f>
        <v/>
      </c>
      <c r="Z181" s="14">
        <f>SUM(M181:X181)</f>
        <v/>
      </c>
      <c r="AA181" s="13">
        <f>SUMPRODUCT(M181:X181,$M$3:$X$3)*$K181*$L181</f>
        <v/>
      </c>
      <c r="AB181" s="13">
        <f>SUMPRODUCT(M181:X181,$M$4:$X$4)*$K181*$L181</f>
        <v/>
      </c>
      <c r="AC181" s="15">
        <f>SUMPRODUCT(M181:X181,$M$5:$X$5)*$K181*$L181</f>
        <v/>
      </c>
      <c r="AD181" s="15">
        <f>SUMPRODUCT(M181:X181,$M$6:$X$6)*$K181*$L181</f>
        <v/>
      </c>
      <c r="AE181" s="19" t="n"/>
    </row>
    <row r="182">
      <c r="A182" s="9" t="n">
        <v>622098</v>
      </c>
      <c r="B182" s="9" t="inlineStr">
        <is>
          <t>Drew Smith</t>
        </is>
      </c>
      <c r="C182" s="9" t="inlineStr">
        <is>
          <t>NYM</t>
        </is>
      </c>
      <c r="D182" s="9" t="n">
        <v>33</v>
      </c>
      <c r="E182" s="17" t="inlineStr">
        <is>
          <t>R</t>
        </is>
      </c>
      <c r="F182" s="17" t="n"/>
      <c r="G182" s="9" t="n">
        <v>79</v>
      </c>
      <c r="H182" s="9" t="n">
        <v>510</v>
      </c>
      <c r="I182" s="9" t="inlineStr">
        <is>
          <t>Depth (no MLB IP)</t>
        </is>
      </c>
      <c r="J182" s="17" t="inlineStr">
        <is>
          <t>Opening Day</t>
        </is>
      </c>
      <c r="K182" s="11">
        <f>IFERROR(INDEX(Roles!$B$17:$B$20,MATCH(J182,Roles!$A$17:$A$20,0)),1)</f>
        <v/>
      </c>
      <c r="L182" s="18" t="n">
        <v>1</v>
      </c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3">
        <f>SUMPRODUCT(M182:X182,$M$2:$X$2)*$K182*$L182</f>
        <v/>
      </c>
      <c r="Z182" s="14">
        <f>SUM(M182:X182)</f>
        <v/>
      </c>
      <c r="AA182" s="13">
        <f>SUMPRODUCT(M182:X182,$M$3:$X$3)*$K182*$L182</f>
        <v/>
      </c>
      <c r="AB182" s="13">
        <f>SUMPRODUCT(M182:X182,$M$4:$X$4)*$K182*$L182</f>
        <v/>
      </c>
      <c r="AC182" s="15">
        <f>SUMPRODUCT(M182:X182,$M$5:$X$5)*$K182*$L182</f>
        <v/>
      </c>
      <c r="AD182" s="15">
        <f>SUMPRODUCT(M182:X182,$M$6:$X$6)*$K182*$L182</f>
        <v/>
      </c>
      <c r="AE182" s="19" t="n"/>
    </row>
    <row r="183">
      <c r="A183" s="9" t="n">
        <v>667297</v>
      </c>
      <c r="B183" s="9" t="inlineStr">
        <is>
          <t>Tommy Nance</t>
        </is>
      </c>
      <c r="C183" s="9" t="inlineStr">
        <is>
          <t>MIN</t>
        </is>
      </c>
      <c r="D183" s="9" t="n">
        <v>36</v>
      </c>
      <c r="E183" s="17" t="inlineStr">
        <is>
          <t>R</t>
        </is>
      </c>
      <c r="F183" s="17" t="n"/>
      <c r="G183" s="9" t="n">
        <v>249</v>
      </c>
      <c r="H183" s="9" t="n">
        <v>664</v>
      </c>
      <c r="I183" s="9" t="inlineStr">
        <is>
          <t>Late Inning RP (Setup)</t>
        </is>
      </c>
      <c r="J183" s="17" t="inlineStr">
        <is>
          <t>Opening Day</t>
        </is>
      </c>
      <c r="K183" s="11">
        <f>IFERROR(INDEX(Roles!$B$17:$B$20,MATCH(J183,Roles!$A$17:$A$20,0)),1)</f>
        <v/>
      </c>
      <c r="L183" s="18" t="n">
        <v>1</v>
      </c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3">
        <f>SUMPRODUCT(M183:X183,$M$2:$X$2)*$K183*$L183</f>
        <v/>
      </c>
      <c r="Z183" s="14">
        <f>SUM(M183:X183)</f>
        <v/>
      </c>
      <c r="AA183" s="13">
        <f>SUMPRODUCT(M183:X183,$M$3:$X$3)*$K183*$L183</f>
        <v/>
      </c>
      <c r="AB183" s="13">
        <f>SUMPRODUCT(M183:X183,$M$4:$X$4)*$K183*$L183</f>
        <v/>
      </c>
      <c r="AC183" s="15">
        <f>SUMPRODUCT(M183:X183,$M$5:$X$5)*$K183*$L183</f>
        <v/>
      </c>
      <c r="AD183" s="15">
        <f>SUMPRODUCT(M183:X183,$M$6:$X$6)*$K183*$L183</f>
        <v/>
      </c>
      <c r="AE183" s="19" t="n"/>
    </row>
    <row r="184">
      <c r="A184" s="9" t="n">
        <v>676263</v>
      </c>
      <c r="B184" s="9" t="inlineStr">
        <is>
          <t>Jack Dreyer</t>
        </is>
      </c>
      <c r="C184" s="9" t="inlineStr">
        <is>
          <t>LAD</t>
        </is>
      </c>
      <c r="D184" s="9" t="n">
        <v>28</v>
      </c>
      <c r="E184" s="17" t="inlineStr">
        <is>
          <t>L</t>
        </is>
      </c>
      <c r="F184" s="17" t="n"/>
      <c r="G184" s="9" t="n">
        <v>242</v>
      </c>
      <c r="H184" s="9" t="n">
        <v>549</v>
      </c>
      <c r="I184" s="9" t="inlineStr">
        <is>
          <t>Late Inning RP (Setup)</t>
        </is>
      </c>
      <c r="J184" s="17" t="inlineStr">
        <is>
          <t>Opening Day</t>
        </is>
      </c>
      <c r="K184" s="11">
        <f>IFERROR(INDEX(Roles!$B$17:$B$20,MATCH(J184,Roles!$A$17:$A$20,0)),1)</f>
        <v/>
      </c>
      <c r="L184" s="18" t="n">
        <v>1</v>
      </c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3">
        <f>SUMPRODUCT(M184:X184,$M$2:$X$2)*$K184*$L184</f>
        <v/>
      </c>
      <c r="Z184" s="14">
        <f>SUM(M184:X184)</f>
        <v/>
      </c>
      <c r="AA184" s="13">
        <f>SUMPRODUCT(M184:X184,$M$3:$X$3)*$K184*$L184</f>
        <v/>
      </c>
      <c r="AB184" s="13">
        <f>SUMPRODUCT(M184:X184,$M$4:$X$4)*$K184*$L184</f>
        <v/>
      </c>
      <c r="AC184" s="15">
        <f>SUMPRODUCT(M184:X184,$M$5:$X$5)*$K184*$L184</f>
        <v/>
      </c>
      <c r="AD184" s="15">
        <f>SUMPRODUCT(M184:X184,$M$6:$X$6)*$K184*$L184</f>
        <v/>
      </c>
      <c r="AE184" s="19" t="n"/>
    </row>
    <row r="185">
      <c r="A185" s="9" t="n">
        <v>613534</v>
      </c>
      <c r="B185" s="9" t="inlineStr">
        <is>
          <t>Austin Adams</t>
        </is>
      </c>
      <c r="C185" s="9" t="inlineStr">
        <is>
          <t>OAK</t>
        </is>
      </c>
      <c r="D185" s="9" t="n">
        <v>36</v>
      </c>
      <c r="E185" s="17" t="inlineStr">
        <is>
          <t>R</t>
        </is>
      </c>
      <c r="F185" s="17" t="n"/>
      <c r="G185" s="9" t="n">
        <v>191</v>
      </c>
      <c r="H185" s="9" t="n">
        <v>281</v>
      </c>
      <c r="I185" s="9" t="inlineStr">
        <is>
          <t>Depth (no MLB IP)</t>
        </is>
      </c>
      <c r="J185" s="17" t="inlineStr">
        <is>
          <t>Opening Day</t>
        </is>
      </c>
      <c r="K185" s="11">
        <f>IFERROR(INDEX(Roles!$B$17:$B$20,MATCH(J185,Roles!$A$17:$A$20,0)),1)</f>
        <v/>
      </c>
      <c r="L185" s="18" t="n">
        <v>1</v>
      </c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3">
        <f>SUMPRODUCT(M185:X185,$M$2:$X$2)*$K185*$L185</f>
        <v/>
      </c>
      <c r="Z185" s="14">
        <f>SUM(M185:X185)</f>
        <v/>
      </c>
      <c r="AA185" s="13">
        <f>SUMPRODUCT(M185:X185,$M$3:$X$3)*$K185*$L185</f>
        <v/>
      </c>
      <c r="AB185" s="13">
        <f>SUMPRODUCT(M185:X185,$M$4:$X$4)*$K185*$L185</f>
        <v/>
      </c>
      <c r="AC185" s="15">
        <f>SUMPRODUCT(M185:X185,$M$5:$X$5)*$K185*$L185</f>
        <v/>
      </c>
      <c r="AD185" s="15">
        <f>SUMPRODUCT(M185:X185,$M$6:$X$6)*$K185*$L185</f>
        <v/>
      </c>
      <c r="AE185" s="19" t="n"/>
    </row>
    <row r="186">
      <c r="A186" s="9" t="n">
        <v>800048</v>
      </c>
      <c r="B186" s="9" t="inlineStr">
        <is>
          <t>Parker Messick</t>
        </is>
      </c>
      <c r="C186" s="9" t="inlineStr">
        <is>
          <t>CLE</t>
        </is>
      </c>
      <c r="D186" s="9" t="n">
        <v>26</v>
      </c>
      <c r="E186" s="17" t="inlineStr">
        <is>
          <t>L</t>
        </is>
      </c>
      <c r="F186" s="17" t="n"/>
      <c r="G186" s="9" t="n">
        <v>711</v>
      </c>
      <c r="H186" s="9" t="n">
        <v>876</v>
      </c>
      <c r="I186" s="9" t="inlineStr">
        <is>
          <t>Ace (SP1)</t>
        </is>
      </c>
      <c r="J186" s="17" t="inlineStr">
        <is>
          <t>Opening Day</t>
        </is>
      </c>
      <c r="K186" s="11">
        <f>IFERROR(INDEX(Roles!$B$17:$B$20,MATCH(J186,Roles!$A$17:$A$20,0)),1)</f>
        <v/>
      </c>
      <c r="L186" s="18" t="n">
        <v>1</v>
      </c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3">
        <f>SUMPRODUCT(M186:X186,$M$2:$X$2)*$K186*$L186</f>
        <v/>
      </c>
      <c r="Z186" s="14">
        <f>SUM(M186:X186)</f>
        <v/>
      </c>
      <c r="AA186" s="13">
        <f>SUMPRODUCT(M186:X186,$M$3:$X$3)*$K186*$L186</f>
        <v/>
      </c>
      <c r="AB186" s="13">
        <f>SUMPRODUCT(M186:X186,$M$4:$X$4)*$K186*$L186</f>
        <v/>
      </c>
      <c r="AC186" s="15">
        <f>SUMPRODUCT(M186:X186,$M$5:$X$5)*$K186*$L186</f>
        <v/>
      </c>
      <c r="AD186" s="15">
        <f>SUMPRODUCT(M186:X186,$M$6:$X$6)*$K186*$L186</f>
        <v/>
      </c>
      <c r="AE186" s="19" t="n"/>
    </row>
    <row r="187">
      <c r="A187" s="9" t="n">
        <v>670036</v>
      </c>
      <c r="B187" s="9" t="inlineStr">
        <is>
          <t>Matt Festa</t>
        </is>
      </c>
      <c r="C187" s="9" t="inlineStr">
        <is>
          <t>CLE</t>
        </is>
      </c>
      <c r="D187" s="9" t="n">
        <v>34</v>
      </c>
      <c r="E187" s="17" t="inlineStr">
        <is>
          <t>R</t>
        </is>
      </c>
      <c r="F187" s="17" t="n"/>
      <c r="G187" s="9" t="n">
        <v>276</v>
      </c>
      <c r="H187" s="9" t="n">
        <v>864</v>
      </c>
      <c r="I187" s="9" t="inlineStr">
        <is>
          <t>Bullpen Depth Arm</t>
        </is>
      </c>
      <c r="J187" s="17" t="inlineStr">
        <is>
          <t>Opening Day</t>
        </is>
      </c>
      <c r="K187" s="11">
        <f>IFERROR(INDEX(Roles!$B$17:$B$20,MATCH(J187,Roles!$A$17:$A$20,0)),1)</f>
        <v/>
      </c>
      <c r="L187" s="18" t="n">
        <v>1</v>
      </c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3">
        <f>SUMPRODUCT(M187:X187,$M$2:$X$2)*$K187*$L187</f>
        <v/>
      </c>
      <c r="Z187" s="14">
        <f>SUM(M187:X187)</f>
        <v/>
      </c>
      <c r="AA187" s="13">
        <f>SUMPRODUCT(M187:X187,$M$3:$X$3)*$K187*$L187</f>
        <v/>
      </c>
      <c r="AB187" s="13">
        <f>SUMPRODUCT(M187:X187,$M$4:$X$4)*$K187*$L187</f>
        <v/>
      </c>
      <c r="AC187" s="15">
        <f>SUMPRODUCT(M187:X187,$M$5:$X$5)*$K187*$L187</f>
        <v/>
      </c>
      <c r="AD187" s="15">
        <f>SUMPRODUCT(M187:X187,$M$6:$X$6)*$K187*$L187</f>
        <v/>
      </c>
      <c r="AE187" s="19" t="n"/>
    </row>
    <row r="188">
      <c r="A188" s="9" t="n">
        <v>670950</v>
      </c>
      <c r="B188" s="9" t="inlineStr">
        <is>
          <t>Trevor Richards</t>
        </is>
      </c>
      <c r="C188" s="9" t="inlineStr">
        <is>
          <t>CWS</t>
        </is>
      </c>
      <c r="D188" s="9" t="n">
        <v>34</v>
      </c>
      <c r="E188" s="17" t="inlineStr">
        <is>
          <t>R</t>
        </is>
      </c>
      <c r="F188" s="17" t="n"/>
      <c r="G188" s="9" t="n">
        <v>308</v>
      </c>
      <c r="H188" s="9" t="n">
        <v>1210</v>
      </c>
      <c r="I188" s="9" t="inlineStr">
        <is>
          <t>Middle Relief</t>
        </is>
      </c>
      <c r="J188" s="17" t="inlineStr">
        <is>
          <t>Opening Day</t>
        </is>
      </c>
      <c r="K188" s="11">
        <f>IFERROR(INDEX(Roles!$B$17:$B$20,MATCH(J188,Roles!$A$17:$A$20,0)),1)</f>
        <v/>
      </c>
      <c r="L188" s="18" t="n">
        <v>1</v>
      </c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3">
        <f>SUMPRODUCT(M188:X188,$M$2:$X$2)*$K188*$L188</f>
        <v/>
      </c>
      <c r="Z188" s="14">
        <f>SUM(M188:X188)</f>
        <v/>
      </c>
      <c r="AA188" s="13">
        <f>SUMPRODUCT(M188:X188,$M$3:$X$3)*$K188*$L188</f>
        <v/>
      </c>
      <c r="AB188" s="13">
        <f>SUMPRODUCT(M188:X188,$M$4:$X$4)*$K188*$L188</f>
        <v/>
      </c>
      <c r="AC188" s="15">
        <f>SUMPRODUCT(M188:X188,$M$5:$X$5)*$K188*$L188</f>
        <v/>
      </c>
      <c r="AD188" s="15">
        <f>SUMPRODUCT(M188:X188,$M$6:$X$6)*$K188*$L188</f>
        <v/>
      </c>
      <c r="AE188" s="19" t="n"/>
    </row>
    <row r="189">
      <c r="A189" s="9" t="n">
        <v>672860</v>
      </c>
      <c r="B189" s="9" t="inlineStr">
        <is>
          <t>Prelander Berroa</t>
        </is>
      </c>
      <c r="C189" s="9" t="inlineStr">
        <is>
          <t>CWS</t>
        </is>
      </c>
      <c r="D189" s="9" t="n">
        <v>27</v>
      </c>
      <c r="E189" s="17" t="inlineStr">
        <is>
          <t>R</t>
        </is>
      </c>
      <c r="F189" s="17" t="n"/>
      <c r="G189" s="9" t="n">
        <v>83</v>
      </c>
      <c r="H189" s="9" t="n">
        <v>91</v>
      </c>
      <c r="I189" s="9" t="inlineStr">
        <is>
          <t>Depth (no MLB IP)</t>
        </is>
      </c>
      <c r="J189" s="17" t="inlineStr">
        <is>
          <t>Opening Day</t>
        </is>
      </c>
      <c r="K189" s="11">
        <f>IFERROR(INDEX(Roles!$B$17:$B$20,MATCH(J189,Roles!$A$17:$A$20,0)),1)</f>
        <v/>
      </c>
      <c r="L189" s="18" t="n">
        <v>1</v>
      </c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3">
        <f>SUMPRODUCT(M189:X189,$M$2:$X$2)*$K189*$L189</f>
        <v/>
      </c>
      <c r="Z189" s="14">
        <f>SUM(M189:X189)</f>
        <v/>
      </c>
      <c r="AA189" s="13">
        <f>SUMPRODUCT(M189:X189,$M$3:$X$3)*$K189*$L189</f>
        <v/>
      </c>
      <c r="AB189" s="13">
        <f>SUMPRODUCT(M189:X189,$M$4:$X$4)*$K189*$L189</f>
        <v/>
      </c>
      <c r="AC189" s="15">
        <f>SUMPRODUCT(M189:X189,$M$5:$X$5)*$K189*$L189</f>
        <v/>
      </c>
      <c r="AD189" s="15">
        <f>SUMPRODUCT(M189:X189,$M$6:$X$6)*$K189*$L189</f>
        <v/>
      </c>
      <c r="AE189" s="19" t="n"/>
    </row>
    <row r="190">
      <c r="A190" s="9" t="n">
        <v>677952</v>
      </c>
      <c r="B190" s="9" t="inlineStr">
        <is>
          <t>Braxton Ashcraft</t>
        </is>
      </c>
      <c r="C190" s="9" t="inlineStr">
        <is>
          <t>PIT</t>
        </is>
      </c>
      <c r="D190" s="9" t="n">
        <v>27</v>
      </c>
      <c r="E190" s="17" t="inlineStr">
        <is>
          <t>R</t>
        </is>
      </c>
      <c r="F190" s="17" t="n"/>
      <c r="G190" s="9" t="n">
        <v>667</v>
      </c>
      <c r="H190" s="9" t="n">
        <v>959</v>
      </c>
      <c r="I190" s="9" t="inlineStr">
        <is>
          <t>Mid-Rotation Starter (SP2-3)</t>
        </is>
      </c>
      <c r="J190" s="17" t="inlineStr">
        <is>
          <t>Opening Day</t>
        </is>
      </c>
      <c r="K190" s="11">
        <f>IFERROR(INDEX(Roles!$B$17:$B$20,MATCH(J190,Roles!$A$17:$A$20,0)),1)</f>
        <v/>
      </c>
      <c r="L190" s="18" t="n">
        <v>1</v>
      </c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3">
        <f>SUMPRODUCT(M190:X190,$M$2:$X$2)*$K190*$L190</f>
        <v/>
      </c>
      <c r="Z190" s="14">
        <f>SUM(M190:X190)</f>
        <v/>
      </c>
      <c r="AA190" s="13">
        <f>SUMPRODUCT(M190:X190,$M$3:$X$3)*$K190*$L190</f>
        <v/>
      </c>
      <c r="AB190" s="13">
        <f>SUMPRODUCT(M190:X190,$M$4:$X$4)*$K190*$L190</f>
        <v/>
      </c>
      <c r="AC190" s="15">
        <f>SUMPRODUCT(M190:X190,$M$5:$X$5)*$K190*$L190</f>
        <v/>
      </c>
      <c r="AD190" s="15">
        <f>SUMPRODUCT(M190:X190,$M$6:$X$6)*$K190*$L190</f>
        <v/>
      </c>
      <c r="AE190" s="19" t="n"/>
    </row>
    <row r="191">
      <c r="A191" s="9" t="n">
        <v>669022</v>
      </c>
      <c r="B191" s="9" t="inlineStr">
        <is>
          <t>MacKenzie Gore</t>
        </is>
      </c>
      <c r="C191" s="9" t="inlineStr">
        <is>
          <t>TEX</t>
        </is>
      </c>
      <c r="D191" s="9" t="n">
        <v>28</v>
      </c>
      <c r="E191" s="17" t="inlineStr">
        <is>
          <t>L</t>
        </is>
      </c>
      <c r="F191" s="17" t="n"/>
      <c r="G191" s="9" t="n">
        <v>720</v>
      </c>
      <c r="H191" s="9" t="n">
        <v>3022</v>
      </c>
      <c r="I191" s="9" t="inlineStr">
        <is>
          <t>Mid-Rotation Starter (SP2-3)</t>
        </is>
      </c>
      <c r="J191" s="17" t="inlineStr">
        <is>
          <t>Opening Day</t>
        </is>
      </c>
      <c r="K191" s="11">
        <f>IFERROR(INDEX(Roles!$B$17:$B$20,MATCH(J191,Roles!$A$17:$A$20,0)),1)</f>
        <v/>
      </c>
      <c r="L191" s="18" t="n">
        <v>1</v>
      </c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3">
        <f>SUMPRODUCT(M191:X191,$M$2:$X$2)*$K191*$L191</f>
        <v/>
      </c>
      <c r="Z191" s="14">
        <f>SUM(M191:X191)</f>
        <v/>
      </c>
      <c r="AA191" s="13">
        <f>SUMPRODUCT(M191:X191,$M$3:$X$3)*$K191*$L191</f>
        <v/>
      </c>
      <c r="AB191" s="13">
        <f>SUMPRODUCT(M191:X191,$M$4:$X$4)*$K191*$L191</f>
        <v/>
      </c>
      <c r="AC191" s="15">
        <f>SUMPRODUCT(M191:X191,$M$5:$X$5)*$K191*$L191</f>
        <v/>
      </c>
      <c r="AD191" s="15">
        <f>SUMPRODUCT(M191:X191,$M$6:$X$6)*$K191*$L191</f>
        <v/>
      </c>
      <c r="AE191" s="19" t="n"/>
    </row>
    <row r="192">
      <c r="A192" s="9" t="n">
        <v>663556</v>
      </c>
      <c r="B192" s="9" t="inlineStr">
        <is>
          <t>Shane McClanahan</t>
        </is>
      </c>
      <c r="C192" s="9" t="inlineStr">
        <is>
          <t>TB</t>
        </is>
      </c>
      <c r="D192" s="9" t="n">
        <v>30</v>
      </c>
      <c r="E192" s="17" t="inlineStr">
        <is>
          <t>L</t>
        </is>
      </c>
      <c r="F192" s="17" t="n"/>
      <c r="G192" s="9" t="n">
        <v>487</v>
      </c>
      <c r="H192" s="9" t="n">
        <v>1597</v>
      </c>
      <c r="I192" s="9" t="inlineStr">
        <is>
          <t>End-of-Rotation Starter (SP4-5)</t>
        </is>
      </c>
      <c r="J192" s="17" t="inlineStr">
        <is>
          <t>Opening Day</t>
        </is>
      </c>
      <c r="K192" s="11">
        <f>IFERROR(INDEX(Roles!$B$17:$B$20,MATCH(J192,Roles!$A$17:$A$20,0)),1)</f>
        <v/>
      </c>
      <c r="L192" s="18" t="n">
        <v>1</v>
      </c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3">
        <f>SUMPRODUCT(M192:X192,$M$2:$X$2)*$K192*$L192</f>
        <v/>
      </c>
      <c r="Z192" s="14">
        <f>SUM(M192:X192)</f>
        <v/>
      </c>
      <c r="AA192" s="13">
        <f>SUMPRODUCT(M192:X192,$M$3:$X$3)*$K192*$L192</f>
        <v/>
      </c>
      <c r="AB192" s="13">
        <f>SUMPRODUCT(M192:X192,$M$4:$X$4)*$K192*$L192</f>
        <v/>
      </c>
      <c r="AC192" s="15">
        <f>SUMPRODUCT(M192:X192,$M$5:$X$5)*$K192*$L192</f>
        <v/>
      </c>
      <c r="AD192" s="15">
        <f>SUMPRODUCT(M192:X192,$M$6:$X$6)*$K192*$L192</f>
        <v/>
      </c>
      <c r="AE192" s="19" t="n"/>
    </row>
    <row r="193">
      <c r="A193" s="9" t="n">
        <v>650633</v>
      </c>
      <c r="B193" s="9" t="inlineStr">
        <is>
          <t>Michael King</t>
        </is>
      </c>
      <c r="C193" s="9" t="inlineStr">
        <is>
          <t>SD</t>
        </is>
      </c>
      <c r="D193" s="9" t="n">
        <v>32</v>
      </c>
      <c r="E193" s="17" t="inlineStr">
        <is>
          <t>R</t>
        </is>
      </c>
      <c r="F193" s="17" t="n"/>
      <c r="G193" s="9" t="n">
        <v>711</v>
      </c>
      <c r="H193" s="9" t="n">
        <v>2375</v>
      </c>
      <c r="I193" s="9" t="inlineStr">
        <is>
          <t>Mid-Rotation Starter (SP2-3)</t>
        </is>
      </c>
      <c r="J193" s="17" t="inlineStr">
        <is>
          <t>Opening Day</t>
        </is>
      </c>
      <c r="K193" s="11">
        <f>IFERROR(INDEX(Roles!$B$17:$B$20,MATCH(J193,Roles!$A$17:$A$20,0)),1)</f>
        <v/>
      </c>
      <c r="L193" s="18" t="n">
        <v>1</v>
      </c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3">
        <f>SUMPRODUCT(M193:X193,$M$2:$X$2)*$K193*$L193</f>
        <v/>
      </c>
      <c r="Z193" s="14">
        <f>SUM(M193:X193)</f>
        <v/>
      </c>
      <c r="AA193" s="13">
        <f>SUMPRODUCT(M193:X193,$M$3:$X$3)*$K193*$L193</f>
        <v/>
      </c>
      <c r="AB193" s="13">
        <f>SUMPRODUCT(M193:X193,$M$4:$X$4)*$K193*$L193</f>
        <v/>
      </c>
      <c r="AC193" s="15">
        <f>SUMPRODUCT(M193:X193,$M$5:$X$5)*$K193*$L193</f>
        <v/>
      </c>
      <c r="AD193" s="15">
        <f>SUMPRODUCT(M193:X193,$M$6:$X$6)*$K193*$L193</f>
        <v/>
      </c>
      <c r="AE193" s="19" t="n"/>
    </row>
    <row r="194">
      <c r="A194" s="9" t="n">
        <v>676714</v>
      </c>
      <c r="B194" s="9" t="inlineStr">
        <is>
          <t>Brandon Hughes</t>
        </is>
      </c>
      <c r="C194" s="9" t="inlineStr">
        <is>
          <t>ARI</t>
        </is>
      </c>
      <c r="D194" s="9" t="n">
        <v>31</v>
      </c>
      <c r="E194" s="17" t="inlineStr">
        <is>
          <t>L</t>
        </is>
      </c>
      <c r="F194" s="17" t="n"/>
      <c r="G194" s="9" t="n">
        <v>89</v>
      </c>
      <c r="H194" s="9" t="n">
        <v>391</v>
      </c>
      <c r="I194" s="9" t="inlineStr">
        <is>
          <t>Depth (no MLB IP)</t>
        </is>
      </c>
      <c r="J194" s="17" t="inlineStr">
        <is>
          <t>Opening Day</t>
        </is>
      </c>
      <c r="K194" s="11">
        <f>IFERROR(INDEX(Roles!$B$17:$B$20,MATCH(J194,Roles!$A$17:$A$20,0)),1)</f>
        <v/>
      </c>
      <c r="L194" s="18" t="n">
        <v>1</v>
      </c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3">
        <f>SUMPRODUCT(M194:X194,$M$2:$X$2)*$K194*$L194</f>
        <v/>
      </c>
      <c r="Z194" s="14">
        <f>SUM(M194:X194)</f>
        <v/>
      </c>
      <c r="AA194" s="13">
        <f>SUMPRODUCT(M194:X194,$M$3:$X$3)*$K194*$L194</f>
        <v/>
      </c>
      <c r="AB194" s="13">
        <f>SUMPRODUCT(M194:X194,$M$4:$X$4)*$K194*$L194</f>
        <v/>
      </c>
      <c r="AC194" s="15">
        <f>SUMPRODUCT(M194:X194,$M$5:$X$5)*$K194*$L194</f>
        <v/>
      </c>
      <c r="AD194" s="15">
        <f>SUMPRODUCT(M194:X194,$M$6:$X$6)*$K194*$L194</f>
        <v/>
      </c>
      <c r="AE194" s="19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7" t="inlineStr">
        <is>
          <t>R</t>
        </is>
      </c>
      <c r="F195" s="17" t="n"/>
      <c r="G195" s="9" t="n">
        <v>690</v>
      </c>
      <c r="H195" s="9" t="n">
        <v>3514</v>
      </c>
      <c r="I195" s="9" t="inlineStr">
        <is>
          <t>Mid-Rotation Starter (SP2-3)</t>
        </is>
      </c>
      <c r="J195" s="17" t="inlineStr">
        <is>
          <t>Opening Day</t>
        </is>
      </c>
      <c r="K195" s="11">
        <f>IFERROR(INDEX(Roles!$B$17:$B$20,MATCH(J195,Roles!$A$17:$A$20,0)),1)</f>
        <v/>
      </c>
      <c r="L195" s="18" t="n">
        <v>1</v>
      </c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3">
        <f>SUMPRODUCT(M195:X195,$M$2:$X$2)*$K195*$L195</f>
        <v/>
      </c>
      <c r="Z195" s="14">
        <f>SUM(M195:X195)</f>
        <v/>
      </c>
      <c r="AA195" s="13">
        <f>SUMPRODUCT(M195:X195,$M$3:$X$3)*$K195*$L195</f>
        <v/>
      </c>
      <c r="AB195" s="13">
        <f>SUMPRODUCT(M195:X195,$M$4:$X$4)*$K195*$L195</f>
        <v/>
      </c>
      <c r="AC195" s="15">
        <f>SUMPRODUCT(M195:X195,$M$5:$X$5)*$K195*$L195</f>
        <v/>
      </c>
      <c r="AD195" s="15">
        <f>SUMPRODUCT(M195:X195,$M$6:$X$6)*$K195*$L195</f>
        <v/>
      </c>
      <c r="AE195" s="19" t="n"/>
    </row>
    <row r="196">
      <c r="A196" s="9" t="n">
        <v>592155</v>
      </c>
      <c r="B196" s="9" t="inlineStr">
        <is>
          <t>Cam Booser</t>
        </is>
      </c>
      <c r="C196" s="9" t="inlineStr">
        <is>
          <t>TB</t>
        </is>
      </c>
      <c r="D196" s="9" t="n">
        <v>35</v>
      </c>
      <c r="E196" s="17" t="inlineStr">
        <is>
          <t>L</t>
        </is>
      </c>
      <c r="F196" s="17" t="n"/>
      <c r="G196" s="9" t="n">
        <v>142</v>
      </c>
      <c r="H196" s="9" t="n">
        <v>468</v>
      </c>
      <c r="I196" s="9" t="inlineStr">
        <is>
          <t>Middle Relief</t>
        </is>
      </c>
      <c r="J196" s="17" t="inlineStr">
        <is>
          <t>Opening Day</t>
        </is>
      </c>
      <c r="K196" s="11">
        <f>IFERROR(INDEX(Roles!$B$17:$B$20,MATCH(J196,Roles!$A$17:$A$20,0)),1)</f>
        <v/>
      </c>
      <c r="L196" s="18" t="n">
        <v>1</v>
      </c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3">
        <f>SUMPRODUCT(M196:X196,$M$2:$X$2)*$K196*$L196</f>
        <v/>
      </c>
      <c r="Z196" s="14">
        <f>SUM(M196:X196)</f>
        <v/>
      </c>
      <c r="AA196" s="13">
        <f>SUMPRODUCT(M196:X196,$M$3:$X$3)*$K196*$L196</f>
        <v/>
      </c>
      <c r="AB196" s="13">
        <f>SUMPRODUCT(M196:X196,$M$4:$X$4)*$K196*$L196</f>
        <v/>
      </c>
      <c r="AC196" s="15">
        <f>SUMPRODUCT(M196:X196,$M$5:$X$5)*$K196*$L196</f>
        <v/>
      </c>
      <c r="AD196" s="15">
        <f>SUMPRODUCT(M196:X196,$M$6:$X$6)*$K196*$L196</f>
        <v/>
      </c>
      <c r="AE196" s="19" t="n"/>
    </row>
    <row r="197">
      <c r="A197" s="9" t="n">
        <v>548384</v>
      </c>
      <c r="B197" s="9" t="inlineStr">
        <is>
          <t>Brooks Raley</t>
        </is>
      </c>
      <c r="C197" s="9" t="inlineStr">
        <is>
          <t>PHI</t>
        </is>
      </c>
      <c r="D197" s="9" t="n">
        <v>39</v>
      </c>
      <c r="E197" s="17" t="inlineStr">
        <is>
          <t>L</t>
        </is>
      </c>
      <c r="F197" s="17" t="n"/>
      <c r="G197" s="9" t="n">
        <v>216</v>
      </c>
      <c r="H197" s="9" t="n">
        <v>795</v>
      </c>
      <c r="I197" s="9" t="inlineStr">
        <is>
          <t>Bullpen Depth Arm</t>
        </is>
      </c>
      <c r="J197" s="17" t="inlineStr">
        <is>
          <t>Opening Day</t>
        </is>
      </c>
      <c r="K197" s="11">
        <f>IFERROR(INDEX(Roles!$B$17:$B$20,MATCH(J197,Roles!$A$17:$A$20,0)),1)</f>
        <v/>
      </c>
      <c r="L197" s="18" t="n">
        <v>1</v>
      </c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3">
        <f>SUMPRODUCT(M197:X197,$M$2:$X$2)*$K197*$L197</f>
        <v/>
      </c>
      <c r="Z197" s="14">
        <f>SUM(M197:X197)</f>
        <v/>
      </c>
      <c r="AA197" s="13">
        <f>SUMPRODUCT(M197:X197,$M$3:$X$3)*$K197*$L197</f>
        <v/>
      </c>
      <c r="AB197" s="13">
        <f>SUMPRODUCT(M197:X197,$M$4:$X$4)*$K197*$L197</f>
        <v/>
      </c>
      <c r="AC197" s="15">
        <f>SUMPRODUCT(M197:X197,$M$5:$X$5)*$K197*$L197</f>
        <v/>
      </c>
      <c r="AD197" s="15">
        <f>SUMPRODUCT(M197:X197,$M$6:$X$6)*$K197*$L197</f>
        <v/>
      </c>
      <c r="AE197" s="19" t="n"/>
    </row>
    <row r="198">
      <c r="A198" s="9" t="n">
        <v>663158</v>
      </c>
      <c r="B198" s="9" t="inlineStr">
        <is>
          <t>Robert Suarez</t>
        </is>
      </c>
      <c r="C198" s="9" t="inlineStr">
        <is>
          <t>ATL</t>
        </is>
      </c>
      <c r="D198" s="9" t="n">
        <v>36</v>
      </c>
      <c r="E198" s="17" t="inlineStr">
        <is>
          <t>R</t>
        </is>
      </c>
      <c r="F198" s="17" t="n"/>
      <c r="G198" s="9" t="n">
        <v>121</v>
      </c>
      <c r="H198" s="9" t="n">
        <v>947</v>
      </c>
      <c r="I198" s="9" t="inlineStr">
        <is>
          <t>Middle Relief</t>
        </is>
      </c>
      <c r="J198" s="17" t="inlineStr">
        <is>
          <t>Opening Day</t>
        </is>
      </c>
      <c r="K198" s="11">
        <f>IFERROR(INDEX(Roles!$B$17:$B$20,MATCH(J198,Roles!$A$17:$A$20,0)),1)</f>
        <v/>
      </c>
      <c r="L198" s="18" t="n">
        <v>1</v>
      </c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3">
        <f>SUMPRODUCT(M198:X198,$M$2:$X$2)*$K198*$L198</f>
        <v/>
      </c>
      <c r="Z198" s="14">
        <f>SUM(M198:X198)</f>
        <v/>
      </c>
      <c r="AA198" s="13">
        <f>SUMPRODUCT(M198:X198,$M$3:$X$3)*$K198*$L198</f>
        <v/>
      </c>
      <c r="AB198" s="13">
        <f>SUMPRODUCT(M198:X198,$M$4:$X$4)*$K198*$L198</f>
        <v/>
      </c>
      <c r="AC198" s="15">
        <f>SUMPRODUCT(M198:X198,$M$5:$X$5)*$K198*$L198</f>
        <v/>
      </c>
      <c r="AD198" s="15">
        <f>SUMPRODUCT(M198:X198,$M$6:$X$6)*$K198*$L198</f>
        <v/>
      </c>
      <c r="AE198" s="19" t="n"/>
    </row>
    <row r="199">
      <c r="A199" s="9" t="n">
        <v>579328</v>
      </c>
      <c r="B199" s="9" t="inlineStr">
        <is>
          <t>Yusei Kikuchi</t>
        </is>
      </c>
      <c r="C199" s="9" t="inlineStr">
        <is>
          <t>LAA</t>
        </is>
      </c>
      <c r="D199" s="9" t="n">
        <v>36</v>
      </c>
      <c r="E199" s="17" t="inlineStr">
        <is>
          <t>L</t>
        </is>
      </c>
      <c r="F199" s="17" t="n"/>
      <c r="G199" s="9" t="n">
        <v>260</v>
      </c>
      <c r="H199" s="9" t="n">
        <v>2922</v>
      </c>
      <c r="I199" s="9" t="inlineStr">
        <is>
          <t>Mid-Rotation Starter (SP2-3)</t>
        </is>
      </c>
      <c r="J199" s="17" t="inlineStr">
        <is>
          <t>Opening Day</t>
        </is>
      </c>
      <c r="K199" s="11">
        <f>IFERROR(INDEX(Roles!$B$17:$B$20,MATCH(J199,Roles!$A$17:$A$20,0)),1)</f>
        <v/>
      </c>
      <c r="L199" s="18" t="n">
        <v>1</v>
      </c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3">
        <f>SUMPRODUCT(M199:X199,$M$2:$X$2)*$K199*$L199</f>
        <v/>
      </c>
      <c r="Z199" s="14">
        <f>SUM(M199:X199)</f>
        <v/>
      </c>
      <c r="AA199" s="13">
        <f>SUMPRODUCT(M199:X199,$M$3:$X$3)*$K199*$L199</f>
        <v/>
      </c>
      <c r="AB199" s="13">
        <f>SUMPRODUCT(M199:X199,$M$4:$X$4)*$K199*$L199</f>
        <v/>
      </c>
      <c r="AC199" s="15">
        <f>SUMPRODUCT(M199:X199,$M$5:$X$5)*$K199*$L199</f>
        <v/>
      </c>
      <c r="AD199" s="15">
        <f>SUMPRODUCT(M199:X199,$M$6:$X$6)*$K199*$L199</f>
        <v/>
      </c>
      <c r="AE199" s="19" t="n"/>
    </row>
    <row r="200">
      <c r="A200" s="9" t="n">
        <v>689254</v>
      </c>
      <c r="B200" s="9" t="inlineStr">
        <is>
          <t>Mason Fluharty</t>
        </is>
      </c>
      <c r="C200" s="9" t="inlineStr">
        <is>
          <t>TOR</t>
        </is>
      </c>
      <c r="D200" s="9" t="n">
        <v>25</v>
      </c>
      <c r="E200" s="17" t="inlineStr">
        <is>
          <t>L</t>
        </is>
      </c>
      <c r="F200" s="17" t="n"/>
      <c r="G200" s="9" t="n">
        <v>253</v>
      </c>
      <c r="H200" s="9" t="n">
        <v>468</v>
      </c>
      <c r="I200" s="9" t="inlineStr">
        <is>
          <t>Bullpen Depth Arm</t>
        </is>
      </c>
      <c r="J200" s="17" t="inlineStr">
        <is>
          <t>Opening Day</t>
        </is>
      </c>
      <c r="K200" s="11">
        <f>IFERROR(INDEX(Roles!$B$17:$B$20,MATCH(J200,Roles!$A$17:$A$20,0)),1)</f>
        <v/>
      </c>
      <c r="L200" s="18" t="n">
        <v>1</v>
      </c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3">
        <f>SUMPRODUCT(M200:X200,$M$2:$X$2)*$K200*$L200</f>
        <v/>
      </c>
      <c r="Z200" s="14">
        <f>SUM(M200:X200)</f>
        <v/>
      </c>
      <c r="AA200" s="13">
        <f>SUMPRODUCT(M200:X200,$M$3:$X$3)*$K200*$L200</f>
        <v/>
      </c>
      <c r="AB200" s="13">
        <f>SUMPRODUCT(M200:X200,$M$4:$X$4)*$K200*$L200</f>
        <v/>
      </c>
      <c r="AC200" s="15">
        <f>SUMPRODUCT(M200:X200,$M$5:$X$5)*$K200*$L200</f>
        <v/>
      </c>
      <c r="AD200" s="15">
        <f>SUMPRODUCT(M200:X200,$M$6:$X$6)*$K200*$L200</f>
        <v/>
      </c>
      <c r="AE200" s="19" t="n"/>
    </row>
    <row r="201">
      <c r="A201" s="9" t="n">
        <v>686752</v>
      </c>
      <c r="B201" s="9" t="inlineStr">
        <is>
          <t>Ryan Pepiot</t>
        </is>
      </c>
      <c r="C201" s="9" t="inlineStr">
        <is>
          <t>TB</t>
        </is>
      </c>
      <c r="D201" s="9" t="n">
        <v>29</v>
      </c>
      <c r="E201" s="17" t="inlineStr">
        <is>
          <t>R</t>
        </is>
      </c>
      <c r="F201" s="17" t="n"/>
      <c r="G201" s="9" t="n">
        <v>679</v>
      </c>
      <c r="H201" s="9" t="n">
        <v>1537</v>
      </c>
      <c r="I201" s="9" t="inlineStr">
        <is>
          <t>Mid-Rotation Starter (SP2-3)</t>
        </is>
      </c>
      <c r="J201" s="17" t="inlineStr">
        <is>
          <t>Opening Day</t>
        </is>
      </c>
      <c r="K201" s="11">
        <f>IFERROR(INDEX(Roles!$B$17:$B$20,MATCH(J201,Roles!$A$17:$A$20,0)),1)</f>
        <v/>
      </c>
      <c r="L201" s="18" t="n">
        <v>1</v>
      </c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3">
        <f>SUMPRODUCT(M201:X201,$M$2:$X$2)*$K201*$L201</f>
        <v/>
      </c>
      <c r="Z201" s="14">
        <f>SUM(M201:X201)</f>
        <v/>
      </c>
      <c r="AA201" s="13">
        <f>SUMPRODUCT(M201:X201,$M$3:$X$3)*$K201*$L201</f>
        <v/>
      </c>
      <c r="AB201" s="13">
        <f>SUMPRODUCT(M201:X201,$M$4:$X$4)*$K201*$L201</f>
        <v/>
      </c>
      <c r="AC201" s="15">
        <f>SUMPRODUCT(M201:X201,$M$5:$X$5)*$K201*$L201</f>
        <v/>
      </c>
      <c r="AD201" s="15">
        <f>SUMPRODUCT(M201:X201,$M$6:$X$6)*$K201*$L201</f>
        <v/>
      </c>
      <c r="AE201" s="19" t="n"/>
    </row>
    <row r="202">
      <c r="A202" s="9" t="n">
        <v>689147</v>
      </c>
      <c r="B202" s="9" t="inlineStr">
        <is>
          <t>Orion Kerkering</t>
        </is>
      </c>
      <c r="C202" s="9" t="inlineStr">
        <is>
          <t>PHI</t>
        </is>
      </c>
      <c r="D202" s="9" t="n">
        <v>26</v>
      </c>
      <c r="E202" s="17" t="inlineStr">
        <is>
          <t>R</t>
        </is>
      </c>
      <c r="F202" s="17" t="n"/>
      <c r="G202" s="9" t="n">
        <v>252</v>
      </c>
      <c r="H202" s="9" t="n">
        <v>789</v>
      </c>
      <c r="I202" s="9" t="inlineStr">
        <is>
          <t>Bullpen Depth Arm</t>
        </is>
      </c>
      <c r="J202" s="17" t="inlineStr">
        <is>
          <t>Opening Day</t>
        </is>
      </c>
      <c r="K202" s="11">
        <f>IFERROR(INDEX(Roles!$B$17:$B$20,MATCH(J202,Roles!$A$17:$A$20,0)),1)</f>
        <v/>
      </c>
      <c r="L202" s="18" t="n">
        <v>1</v>
      </c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3">
        <f>SUMPRODUCT(M202:X202,$M$2:$X$2)*$K202*$L202</f>
        <v/>
      </c>
      <c r="Z202" s="14">
        <f>SUM(M202:X202)</f>
        <v/>
      </c>
      <c r="AA202" s="13">
        <f>SUMPRODUCT(M202:X202,$M$3:$X$3)*$K202*$L202</f>
        <v/>
      </c>
      <c r="AB202" s="13">
        <f>SUMPRODUCT(M202:X202,$M$4:$X$4)*$K202*$L202</f>
        <v/>
      </c>
      <c r="AC202" s="15">
        <f>SUMPRODUCT(M202:X202,$M$5:$X$5)*$K202*$L202</f>
        <v/>
      </c>
      <c r="AD202" s="15">
        <f>SUMPRODUCT(M202:X202,$M$6:$X$6)*$K202*$L202</f>
        <v/>
      </c>
      <c r="AE202" s="19" t="n"/>
    </row>
    <row r="203">
      <c r="A203" s="9" t="n">
        <v>543339</v>
      </c>
      <c r="B203" s="9" t="inlineStr">
        <is>
          <t>Daniel Hudson</t>
        </is>
      </c>
      <c r="C203" s="9" t="inlineStr">
        <is>
          <t>LAD</t>
        </is>
      </c>
      <c r="D203" s="9" t="n">
        <v>40</v>
      </c>
      <c r="E203" s="17" t="inlineStr">
        <is>
          <t>R</t>
        </is>
      </c>
      <c r="F203" s="17" t="n"/>
      <c r="G203" s="9" t="n">
        <v>253</v>
      </c>
      <c r="H203" s="9" t="n">
        <v>364</v>
      </c>
      <c r="I203" s="9" t="inlineStr">
        <is>
          <t>Depth (no MLB IP)</t>
        </is>
      </c>
      <c r="J203" s="17" t="inlineStr">
        <is>
          <t>Opening Day</t>
        </is>
      </c>
      <c r="K203" s="11">
        <f>IFERROR(INDEX(Roles!$B$17:$B$20,MATCH(J203,Roles!$A$17:$A$20,0)),1)</f>
        <v/>
      </c>
      <c r="L203" s="18" t="n">
        <v>1</v>
      </c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3">
        <f>SUMPRODUCT(M203:X203,$M$2:$X$2)*$K203*$L203</f>
        <v/>
      </c>
      <c r="Z203" s="14">
        <f>SUM(M203:X203)</f>
        <v/>
      </c>
      <c r="AA203" s="13">
        <f>SUMPRODUCT(M203:X203,$M$3:$X$3)*$K203*$L203</f>
        <v/>
      </c>
      <c r="AB203" s="13">
        <f>SUMPRODUCT(M203:X203,$M$4:$X$4)*$K203*$L203</f>
        <v/>
      </c>
      <c r="AC203" s="15">
        <f>SUMPRODUCT(M203:X203,$M$5:$X$5)*$K203*$L203</f>
        <v/>
      </c>
      <c r="AD203" s="15">
        <f>SUMPRODUCT(M203:X203,$M$6:$X$6)*$K203*$L203</f>
        <v/>
      </c>
      <c r="AE203" s="19" t="n"/>
    </row>
    <row r="204">
      <c r="A204" s="9" t="n">
        <v>813349</v>
      </c>
      <c r="B204" s="9" t="inlineStr">
        <is>
          <t>Connelly Early</t>
        </is>
      </c>
      <c r="C204" s="9" t="inlineStr">
        <is>
          <t>BOS</t>
        </is>
      </c>
      <c r="D204" s="9" t="n">
        <v>25</v>
      </c>
      <c r="E204" s="17" t="inlineStr">
        <is>
          <t>L</t>
        </is>
      </c>
      <c r="F204" s="17" t="n"/>
      <c r="G204" s="9" t="n">
        <v>390</v>
      </c>
      <c r="H204" s="9" t="n">
        <v>469</v>
      </c>
      <c r="I204" s="9" t="inlineStr">
        <is>
          <t>Mid-Rotation Starter (SP2-3)</t>
        </is>
      </c>
      <c r="J204" s="17" t="inlineStr">
        <is>
          <t>Opening Day</t>
        </is>
      </c>
      <c r="K204" s="11">
        <f>IFERROR(INDEX(Roles!$B$17:$B$20,MATCH(J204,Roles!$A$17:$A$20,0)),1)</f>
        <v/>
      </c>
      <c r="L204" s="18" t="n">
        <v>1</v>
      </c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3">
        <f>SUMPRODUCT(M204:X204,$M$2:$X$2)*$K204*$L204</f>
        <v/>
      </c>
      <c r="Z204" s="14">
        <f>SUM(M204:X204)</f>
        <v/>
      </c>
      <c r="AA204" s="13">
        <f>SUMPRODUCT(M204:X204,$M$3:$X$3)*$K204*$L204</f>
        <v/>
      </c>
      <c r="AB204" s="13">
        <f>SUMPRODUCT(M204:X204,$M$4:$X$4)*$K204*$L204</f>
        <v/>
      </c>
      <c r="AC204" s="15">
        <f>SUMPRODUCT(M204:X204,$M$5:$X$5)*$K204*$L204</f>
        <v/>
      </c>
      <c r="AD204" s="15">
        <f>SUMPRODUCT(M204:X204,$M$6:$X$6)*$K204*$L204</f>
        <v/>
      </c>
      <c r="AE204" s="19" t="n"/>
    </row>
    <row r="205">
      <c r="A205" s="9" t="n">
        <v>673929</v>
      </c>
      <c r="B205" s="9" t="inlineStr">
        <is>
          <t>Jordan Leasure</t>
        </is>
      </c>
      <c r="C205" s="9" t="inlineStr">
        <is>
          <t>CWS</t>
        </is>
      </c>
      <c r="D205" s="9" t="n">
        <v>28</v>
      </c>
      <c r="E205" s="17" t="inlineStr">
        <is>
          <t>R</t>
        </is>
      </c>
      <c r="F205" s="17" t="n"/>
      <c r="G205" s="9" t="n">
        <v>78</v>
      </c>
      <c r="H205" s="9" t="n">
        <v>489</v>
      </c>
      <c r="I205" s="9" t="inlineStr">
        <is>
          <t>Bullpen Depth Arm</t>
        </is>
      </c>
      <c r="J205" s="17" t="inlineStr">
        <is>
          <t>Opening Day</t>
        </is>
      </c>
      <c r="K205" s="11">
        <f>IFERROR(INDEX(Roles!$B$17:$B$20,MATCH(J205,Roles!$A$17:$A$20,0)),1)</f>
        <v/>
      </c>
      <c r="L205" s="18" t="n">
        <v>1</v>
      </c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3">
        <f>SUMPRODUCT(M205:X205,$M$2:$X$2)*$K205*$L205</f>
        <v/>
      </c>
      <c r="Z205" s="14">
        <f>SUM(M205:X205)</f>
        <v/>
      </c>
      <c r="AA205" s="13">
        <f>SUMPRODUCT(M205:X205,$M$3:$X$3)*$K205*$L205</f>
        <v/>
      </c>
      <c r="AB205" s="13">
        <f>SUMPRODUCT(M205:X205,$M$4:$X$4)*$K205*$L205</f>
        <v/>
      </c>
      <c r="AC205" s="15">
        <f>SUMPRODUCT(M205:X205,$M$5:$X$5)*$K205*$L205</f>
        <v/>
      </c>
      <c r="AD205" s="15">
        <f>SUMPRODUCT(M205:X205,$M$6:$X$6)*$K205*$L205</f>
        <v/>
      </c>
      <c r="AE205" s="19" t="n"/>
    </row>
    <row r="206">
      <c r="A206" s="9" t="n">
        <v>656848</v>
      </c>
      <c r="B206" s="9" t="inlineStr">
        <is>
          <t>Michael Petersen</t>
        </is>
      </c>
      <c r="C206" s="9" t="inlineStr">
        <is>
          <t>MIA</t>
        </is>
      </c>
      <c r="D206" s="9" t="n">
        <v>33</v>
      </c>
      <c r="E206" s="17" t="inlineStr">
        <is>
          <t>R</t>
        </is>
      </c>
      <c r="F206" s="17" t="n"/>
      <c r="G206" s="9" t="n">
        <v>249</v>
      </c>
      <c r="H206" s="9" t="n">
        <v>418</v>
      </c>
      <c r="I206" s="9" t="inlineStr">
        <is>
          <t>Bullpen Depth Arm</t>
        </is>
      </c>
      <c r="J206" s="17" t="inlineStr">
        <is>
          <t>Opening Day</t>
        </is>
      </c>
      <c r="K206" s="11">
        <f>IFERROR(INDEX(Roles!$B$17:$B$20,MATCH(J206,Roles!$A$17:$A$20,0)),1)</f>
        <v/>
      </c>
      <c r="L206" s="18" t="n">
        <v>1</v>
      </c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3">
        <f>SUMPRODUCT(M206:X206,$M$2:$X$2)*$K206*$L206</f>
        <v/>
      </c>
      <c r="Z206" s="14">
        <f>SUM(M206:X206)</f>
        <v/>
      </c>
      <c r="AA206" s="13">
        <f>SUMPRODUCT(M206:X206,$M$3:$X$3)*$K206*$L206</f>
        <v/>
      </c>
      <c r="AB206" s="13">
        <f>SUMPRODUCT(M206:X206,$M$4:$X$4)*$K206*$L206</f>
        <v/>
      </c>
      <c r="AC206" s="15">
        <f>SUMPRODUCT(M206:X206,$M$5:$X$5)*$K206*$L206</f>
        <v/>
      </c>
      <c r="AD206" s="15">
        <f>SUMPRODUCT(M206:X206,$M$6:$X$6)*$K206*$L206</f>
        <v/>
      </c>
      <c r="AE206" s="19" t="n"/>
    </row>
    <row r="207">
      <c r="A207" s="9" t="n">
        <v>607237</v>
      </c>
      <c r="B207" s="9" t="inlineStr">
        <is>
          <t>Amir Garrett</t>
        </is>
      </c>
      <c r="C207" s="9" t="inlineStr">
        <is>
          <t>KC</t>
        </is>
      </c>
      <c r="D207" s="9" t="n">
        <v>35</v>
      </c>
      <c r="E207" s="17" t="inlineStr">
        <is>
          <t>L</t>
        </is>
      </c>
      <c r="F207" s="17" t="n"/>
      <c r="G207" s="9" t="n">
        <v>24</v>
      </c>
      <c r="H207" s="9" t="n">
        <v>332</v>
      </c>
      <c r="I207" s="9" t="inlineStr">
        <is>
          <t>Depth (no MLB IP)</t>
        </is>
      </c>
      <c r="J207" s="17" t="inlineStr">
        <is>
          <t>Opening Day</t>
        </is>
      </c>
      <c r="K207" s="11">
        <f>IFERROR(INDEX(Roles!$B$17:$B$20,MATCH(J207,Roles!$A$17:$A$20,0)),1)</f>
        <v/>
      </c>
      <c r="L207" s="18" t="n">
        <v>1</v>
      </c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3">
        <f>SUMPRODUCT(M207:X207,$M$2:$X$2)*$K207*$L207</f>
        <v/>
      </c>
      <c r="Z207" s="14">
        <f>SUM(M207:X207)</f>
        <v/>
      </c>
      <c r="AA207" s="13">
        <f>SUMPRODUCT(M207:X207,$M$3:$X$3)*$K207*$L207</f>
        <v/>
      </c>
      <c r="AB207" s="13">
        <f>SUMPRODUCT(M207:X207,$M$4:$X$4)*$K207*$L207</f>
        <v/>
      </c>
      <c r="AC207" s="15">
        <f>SUMPRODUCT(M207:X207,$M$5:$X$5)*$K207*$L207</f>
        <v/>
      </c>
      <c r="AD207" s="15">
        <f>SUMPRODUCT(M207:X207,$M$6:$X$6)*$K207*$L207</f>
        <v/>
      </c>
      <c r="AE207" s="19" t="n"/>
    </row>
    <row r="208">
      <c r="A208" s="9" t="n">
        <v>689296</v>
      </c>
      <c r="B208" s="9" t="inlineStr">
        <is>
          <t>Anthony Nunez</t>
        </is>
      </c>
      <c r="C208" s="9" t="inlineStr">
        <is>
          <t>BAL</t>
        </is>
      </c>
      <c r="D208" s="9" t="n">
        <v>25</v>
      </c>
      <c r="E208" s="17" t="inlineStr">
        <is>
          <t>R</t>
        </is>
      </c>
      <c r="F208" s="17" t="n"/>
      <c r="G208" s="9" t="n">
        <v>242</v>
      </c>
      <c r="H208" s="9" t="n">
        <v>242</v>
      </c>
      <c r="I208" s="9" t="inlineStr">
        <is>
          <t>Middle Relief</t>
        </is>
      </c>
      <c r="J208" s="17" t="inlineStr">
        <is>
          <t>Opening Day</t>
        </is>
      </c>
      <c r="K208" s="11">
        <f>IFERROR(INDEX(Roles!$B$17:$B$20,MATCH(J208,Roles!$A$17:$A$20,0)),1)</f>
        <v/>
      </c>
      <c r="L208" s="18" t="n">
        <v>1</v>
      </c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3">
        <f>SUMPRODUCT(M208:X208,$M$2:$X$2)*$K208*$L208</f>
        <v/>
      </c>
      <c r="Z208" s="14">
        <f>SUM(M208:X208)</f>
        <v/>
      </c>
      <c r="AA208" s="13">
        <f>SUMPRODUCT(M208:X208,$M$3:$X$3)*$K208*$L208</f>
        <v/>
      </c>
      <c r="AB208" s="13">
        <f>SUMPRODUCT(M208:X208,$M$4:$X$4)*$K208*$L208</f>
        <v/>
      </c>
      <c r="AC208" s="15">
        <f>SUMPRODUCT(M208:X208,$M$5:$X$5)*$K208*$L208</f>
        <v/>
      </c>
      <c r="AD208" s="15">
        <f>SUMPRODUCT(M208:X208,$M$6:$X$6)*$K208*$L208</f>
        <v/>
      </c>
      <c r="AE208" s="19" t="n"/>
    </row>
    <row r="209">
      <c r="A209" s="9" t="n">
        <v>641656</v>
      </c>
      <c r="B209" s="9" t="inlineStr">
        <is>
          <t>Ian Hamilton</t>
        </is>
      </c>
      <c r="C209" s="9" t="inlineStr">
        <is>
          <t>NYY</t>
        </is>
      </c>
      <c r="D209" s="9" t="n">
        <v>32</v>
      </c>
      <c r="E209" s="17" t="inlineStr">
        <is>
          <t>R</t>
        </is>
      </c>
      <c r="F209" s="17" t="n"/>
      <c r="G209" s="9" t="n">
        <v>23</v>
      </c>
      <c r="H209" s="9" t="n">
        <v>602</v>
      </c>
      <c r="I209" s="9" t="inlineStr">
        <is>
          <t>Bullpen Depth Arm</t>
        </is>
      </c>
      <c r="J209" s="17" t="inlineStr">
        <is>
          <t>Opening Day</t>
        </is>
      </c>
      <c r="K209" s="11">
        <f>IFERROR(INDEX(Roles!$B$17:$B$20,MATCH(J209,Roles!$A$17:$A$20,0)),1)</f>
        <v/>
      </c>
      <c r="L209" s="18" t="n">
        <v>1</v>
      </c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3">
        <f>SUMPRODUCT(M209:X209,$M$2:$X$2)*$K209*$L209</f>
        <v/>
      </c>
      <c r="Z209" s="14">
        <f>SUM(M209:X209)</f>
        <v/>
      </c>
      <c r="AA209" s="13">
        <f>SUMPRODUCT(M209:X209,$M$3:$X$3)*$K209*$L209</f>
        <v/>
      </c>
      <c r="AB209" s="13">
        <f>SUMPRODUCT(M209:X209,$M$4:$X$4)*$K209*$L209</f>
        <v/>
      </c>
      <c r="AC209" s="15">
        <f>SUMPRODUCT(M209:X209,$M$5:$X$5)*$K209*$L209</f>
        <v/>
      </c>
      <c r="AD209" s="15">
        <f>SUMPRODUCT(M209:X209,$M$6:$X$6)*$K209*$L209</f>
        <v/>
      </c>
      <c r="AE209" s="19" t="n"/>
    </row>
    <row r="210">
      <c r="A210" s="9" t="n">
        <v>455119</v>
      </c>
      <c r="B210" s="9" t="inlineStr">
        <is>
          <t>Chris Martin</t>
        </is>
      </c>
      <c r="C210" s="9" t="inlineStr">
        <is>
          <t>TEX</t>
        </is>
      </c>
      <c r="D210" s="9" t="n">
        <v>41</v>
      </c>
      <c r="E210" s="17" t="inlineStr">
        <is>
          <t>R</t>
        </is>
      </c>
      <c r="F210" s="17" t="n"/>
      <c r="G210" s="9" t="n">
        <v>66</v>
      </c>
      <c r="H210" s="9" t="n">
        <v>844</v>
      </c>
      <c r="I210" s="9" t="inlineStr">
        <is>
          <t>Middle Relief</t>
        </is>
      </c>
      <c r="J210" s="17" t="inlineStr">
        <is>
          <t>Opening Day</t>
        </is>
      </c>
      <c r="K210" s="11">
        <f>IFERROR(INDEX(Roles!$B$17:$B$20,MATCH(J210,Roles!$A$17:$A$20,0)),1)</f>
        <v/>
      </c>
      <c r="L210" s="18" t="n">
        <v>1</v>
      </c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3">
        <f>SUMPRODUCT(M210:X210,$M$2:$X$2)*$K210*$L210</f>
        <v/>
      </c>
      <c r="Z210" s="14">
        <f>SUM(M210:X210)</f>
        <v/>
      </c>
      <c r="AA210" s="13">
        <f>SUMPRODUCT(M210:X210,$M$3:$X$3)*$K210*$L210</f>
        <v/>
      </c>
      <c r="AB210" s="13">
        <f>SUMPRODUCT(M210:X210,$M$4:$X$4)*$K210*$L210</f>
        <v/>
      </c>
      <c r="AC210" s="15">
        <f>SUMPRODUCT(M210:X210,$M$5:$X$5)*$K210*$L210</f>
        <v/>
      </c>
      <c r="AD210" s="15">
        <f>SUMPRODUCT(M210:X210,$M$6:$X$6)*$K210*$L210</f>
        <v/>
      </c>
      <c r="AE210" s="19" t="n"/>
    </row>
    <row r="211">
      <c r="A211" s="9" t="n">
        <v>669111</v>
      </c>
      <c r="B211" s="9" t="inlineStr">
        <is>
          <t>John McMillon</t>
        </is>
      </c>
      <c r="C211" s="9" t="inlineStr">
        <is>
          <t>MIA</t>
        </is>
      </c>
      <c r="D211" s="9" t="n">
        <v>29</v>
      </c>
      <c r="E211" s="17" t="inlineStr">
        <is>
          <t>R</t>
        </is>
      </c>
      <c r="F211" s="17" t="n"/>
      <c r="G211" s="9" t="n">
        <v>47</v>
      </c>
      <c r="H211" s="9" t="n">
        <v>60</v>
      </c>
      <c r="I211" s="9" t="inlineStr">
        <is>
          <t>Depth (no MLB IP)</t>
        </is>
      </c>
      <c r="J211" s="17" t="inlineStr">
        <is>
          <t>Opening Day</t>
        </is>
      </c>
      <c r="K211" s="11">
        <f>IFERROR(INDEX(Roles!$B$17:$B$20,MATCH(J211,Roles!$A$17:$A$20,0)),1)</f>
        <v/>
      </c>
      <c r="L211" s="18" t="n">
        <v>1</v>
      </c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3">
        <f>SUMPRODUCT(M211:X211,$M$2:$X$2)*$K211*$L211</f>
        <v/>
      </c>
      <c r="Z211" s="14">
        <f>SUM(M211:X211)</f>
        <v/>
      </c>
      <c r="AA211" s="13">
        <f>SUMPRODUCT(M211:X211,$M$3:$X$3)*$K211*$L211</f>
        <v/>
      </c>
      <c r="AB211" s="13">
        <f>SUMPRODUCT(M211:X211,$M$4:$X$4)*$K211*$L211</f>
        <v/>
      </c>
      <c r="AC211" s="15">
        <f>SUMPRODUCT(M211:X211,$M$5:$X$5)*$K211*$L211</f>
        <v/>
      </c>
      <c r="AD211" s="15">
        <f>SUMPRODUCT(M211:X211,$M$6:$X$6)*$K211*$L211</f>
        <v/>
      </c>
      <c r="AE211" s="19" t="n"/>
    </row>
    <row r="212">
      <c r="A212" s="9" t="n">
        <v>656638</v>
      </c>
      <c r="B212" s="9" t="inlineStr">
        <is>
          <t>Alex Lange</t>
        </is>
      </c>
      <c r="C212" s="9" t="inlineStr">
        <is>
          <t>KC</t>
        </is>
      </c>
      <c r="D212" s="9" t="n">
        <v>31</v>
      </c>
      <c r="E212" s="17" t="inlineStr">
        <is>
          <t>R</t>
        </is>
      </c>
      <c r="F212" s="17" t="n"/>
      <c r="G212" s="9" t="n">
        <v>255</v>
      </c>
      <c r="H212" s="9" t="n">
        <v>910</v>
      </c>
      <c r="I212" s="9" t="inlineStr">
        <is>
          <t>Bullpen Depth Arm</t>
        </is>
      </c>
      <c r="J212" s="17" t="inlineStr">
        <is>
          <t>Opening Day</t>
        </is>
      </c>
      <c r="K212" s="11">
        <f>IFERROR(INDEX(Roles!$B$17:$B$20,MATCH(J212,Roles!$A$17:$A$20,0)),1)</f>
        <v/>
      </c>
      <c r="L212" s="18" t="n">
        <v>1</v>
      </c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3">
        <f>SUMPRODUCT(M212:X212,$M$2:$X$2)*$K212*$L212</f>
        <v/>
      </c>
      <c r="Z212" s="14">
        <f>SUM(M212:X212)</f>
        <v/>
      </c>
      <c r="AA212" s="13">
        <f>SUMPRODUCT(M212:X212,$M$3:$X$3)*$K212*$L212</f>
        <v/>
      </c>
      <c r="AB212" s="13">
        <f>SUMPRODUCT(M212:X212,$M$4:$X$4)*$K212*$L212</f>
        <v/>
      </c>
      <c r="AC212" s="15">
        <f>SUMPRODUCT(M212:X212,$M$5:$X$5)*$K212*$L212</f>
        <v/>
      </c>
      <c r="AD212" s="15">
        <f>SUMPRODUCT(M212:X212,$M$6:$X$6)*$K212*$L212</f>
        <v/>
      </c>
      <c r="AE212" s="19" t="n"/>
    </row>
    <row r="213">
      <c r="A213" s="9" t="n">
        <v>676254</v>
      </c>
      <c r="B213" s="9" t="inlineStr">
        <is>
          <t>Ryan Walker</t>
        </is>
      </c>
      <c r="C213" s="9" t="inlineStr">
        <is>
          <t>SF</t>
        </is>
      </c>
      <c r="D213" s="9" t="n">
        <v>31</v>
      </c>
      <c r="E213" s="17" t="inlineStr">
        <is>
          <t>R</t>
        </is>
      </c>
      <c r="F213" s="17" t="n"/>
      <c r="G213" s="9" t="n">
        <v>155</v>
      </c>
      <c r="H213" s="9" t="n">
        <v>992</v>
      </c>
      <c r="I213" s="9" t="inlineStr">
        <is>
          <t>Middle Relief</t>
        </is>
      </c>
      <c r="J213" s="17" t="inlineStr">
        <is>
          <t>Opening Day</t>
        </is>
      </c>
      <c r="K213" s="11">
        <f>IFERROR(INDEX(Roles!$B$17:$B$20,MATCH(J213,Roles!$A$17:$A$20,0)),1)</f>
        <v/>
      </c>
      <c r="L213" s="18" t="n">
        <v>1</v>
      </c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3">
        <f>SUMPRODUCT(M213:X213,$M$2:$X$2)*$K213*$L213</f>
        <v/>
      </c>
      <c r="Z213" s="14">
        <f>SUM(M213:X213)</f>
        <v/>
      </c>
      <c r="AA213" s="13">
        <f>SUMPRODUCT(M213:X213,$M$3:$X$3)*$K213*$L213</f>
        <v/>
      </c>
      <c r="AB213" s="13">
        <f>SUMPRODUCT(M213:X213,$M$4:$X$4)*$K213*$L213</f>
        <v/>
      </c>
      <c r="AC213" s="15">
        <f>SUMPRODUCT(M213:X213,$M$5:$X$5)*$K213*$L213</f>
        <v/>
      </c>
      <c r="AD213" s="15">
        <f>SUMPRODUCT(M213:X213,$M$6:$X$6)*$K213*$L213</f>
        <v/>
      </c>
      <c r="AE213" s="19" t="n"/>
    </row>
    <row r="214">
      <c r="A214" s="9" t="n">
        <v>596133</v>
      </c>
      <c r="B214" s="9" t="inlineStr">
        <is>
          <t>Luke Weaver</t>
        </is>
      </c>
      <c r="C214" s="9" t="inlineStr">
        <is>
          <t>PIT</t>
        </is>
      </c>
      <c r="D214" s="9" t="n">
        <v>33</v>
      </c>
      <c r="E214" s="17" t="inlineStr">
        <is>
          <t>R</t>
        </is>
      </c>
      <c r="F214" s="17" t="n"/>
      <c r="G214" s="9" t="n">
        <v>222</v>
      </c>
      <c r="H214" s="9" t="n">
        <v>1552</v>
      </c>
      <c r="I214" s="9" t="inlineStr">
        <is>
          <t>Bullpen Depth Arm</t>
        </is>
      </c>
      <c r="J214" s="17" t="inlineStr">
        <is>
          <t>Opening Day</t>
        </is>
      </c>
      <c r="K214" s="11">
        <f>IFERROR(INDEX(Roles!$B$17:$B$20,MATCH(J214,Roles!$A$17:$A$20,0)),1)</f>
        <v/>
      </c>
      <c r="L214" s="18" t="n">
        <v>1</v>
      </c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3">
        <f>SUMPRODUCT(M214:X214,$M$2:$X$2)*$K214*$L214</f>
        <v/>
      </c>
      <c r="Z214" s="14">
        <f>SUM(M214:X214)</f>
        <v/>
      </c>
      <c r="AA214" s="13">
        <f>SUMPRODUCT(M214:X214,$M$3:$X$3)*$K214*$L214</f>
        <v/>
      </c>
      <c r="AB214" s="13">
        <f>SUMPRODUCT(M214:X214,$M$4:$X$4)*$K214*$L214</f>
        <v/>
      </c>
      <c r="AC214" s="15">
        <f>SUMPRODUCT(M214:X214,$M$5:$X$5)*$K214*$L214</f>
        <v/>
      </c>
      <c r="AD214" s="15">
        <f>SUMPRODUCT(M214:X214,$M$6:$X$6)*$K214*$L214</f>
        <v/>
      </c>
      <c r="AE214" s="19" t="n"/>
    </row>
    <row r="215">
      <c r="A215" s="9" t="n">
        <v>693433</v>
      </c>
      <c r="B215" s="9" t="inlineStr">
        <is>
          <t>Bryan Woo</t>
        </is>
      </c>
      <c r="C215" s="9" t="inlineStr">
        <is>
          <t>SEA</t>
        </is>
      </c>
      <c r="D215" s="9" t="n">
        <v>27</v>
      </c>
      <c r="E215" s="17" t="inlineStr">
        <is>
          <t>R</t>
        </is>
      </c>
      <c r="F215" s="17" t="n"/>
      <c r="G215" s="9" t="n">
        <v>657</v>
      </c>
      <c r="H215" s="9" t="n">
        <v>2231</v>
      </c>
      <c r="I215" s="9" t="inlineStr">
        <is>
          <t>Ace (SP1)</t>
        </is>
      </c>
      <c r="J215" s="17" t="inlineStr">
        <is>
          <t>Opening Day</t>
        </is>
      </c>
      <c r="K215" s="11">
        <f>IFERROR(INDEX(Roles!$B$17:$B$20,MATCH(J215,Roles!$A$17:$A$20,0)),1)</f>
        <v/>
      </c>
      <c r="L215" s="18" t="n">
        <v>1</v>
      </c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3">
        <f>SUMPRODUCT(M215:X215,$M$2:$X$2)*$K215*$L215</f>
        <v/>
      </c>
      <c r="Z215" s="14">
        <f>SUM(M215:X215)</f>
        <v/>
      </c>
      <c r="AA215" s="13">
        <f>SUMPRODUCT(M215:X215,$M$3:$X$3)*$K215*$L215</f>
        <v/>
      </c>
      <c r="AB215" s="13">
        <f>SUMPRODUCT(M215:X215,$M$4:$X$4)*$K215*$L215</f>
        <v/>
      </c>
      <c r="AC215" s="15">
        <f>SUMPRODUCT(M215:X215,$M$5:$X$5)*$K215*$L215</f>
        <v/>
      </c>
      <c r="AD215" s="15">
        <f>SUMPRODUCT(M215:X215,$M$6:$X$6)*$K215*$L215</f>
        <v/>
      </c>
      <c r="AE215" s="19" t="n"/>
    </row>
    <row r="216">
      <c r="A216" s="9" t="n">
        <v>686642</v>
      </c>
      <c r="B216" s="9" t="inlineStr">
        <is>
          <t>Fraser Ellard</t>
        </is>
      </c>
      <c r="C216" s="9" t="inlineStr">
        <is>
          <t>CWS</t>
        </is>
      </c>
      <c r="D216" s="9" t="n">
        <v>29</v>
      </c>
      <c r="E216" s="17" t="inlineStr">
        <is>
          <t>L</t>
        </is>
      </c>
      <c r="F216" s="17" t="n"/>
      <c r="G216" s="9" t="n">
        <v>74</v>
      </c>
      <c r="H216" s="9" t="n">
        <v>175</v>
      </c>
      <c r="I216" s="9" t="inlineStr">
        <is>
          <t>Bullpen Depth Arm</t>
        </is>
      </c>
      <c r="J216" s="17" t="inlineStr">
        <is>
          <t>Opening Day</t>
        </is>
      </c>
      <c r="K216" s="11">
        <f>IFERROR(INDEX(Roles!$B$17:$B$20,MATCH(J216,Roles!$A$17:$A$20,0)),1)</f>
        <v/>
      </c>
      <c r="L216" s="18" t="n">
        <v>1</v>
      </c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3">
        <f>SUMPRODUCT(M216:X216,$M$2:$X$2)*$K216*$L216</f>
        <v/>
      </c>
      <c r="Z216" s="14">
        <f>SUM(M216:X216)</f>
        <v/>
      </c>
      <c r="AA216" s="13">
        <f>SUMPRODUCT(M216:X216,$M$3:$X$3)*$K216*$L216</f>
        <v/>
      </c>
      <c r="AB216" s="13">
        <f>SUMPRODUCT(M216:X216,$M$4:$X$4)*$K216*$L216</f>
        <v/>
      </c>
      <c r="AC216" s="15">
        <f>SUMPRODUCT(M216:X216,$M$5:$X$5)*$K216*$L216</f>
        <v/>
      </c>
      <c r="AD216" s="15">
        <f>SUMPRODUCT(M216:X216,$M$6:$X$6)*$K216*$L216</f>
        <v/>
      </c>
      <c r="AE216" s="19" t="n"/>
    </row>
    <row r="217">
      <c r="A217" s="9" t="n">
        <v>690986</v>
      </c>
      <c r="B217" s="9" t="inlineStr">
        <is>
          <t>Kyle Harrison</t>
        </is>
      </c>
      <c r="C217" s="9" t="inlineStr">
        <is>
          <t>MIL</t>
        </is>
      </c>
      <c r="D217" s="9" t="n">
        <v>25</v>
      </c>
      <c r="E217" s="17" t="inlineStr">
        <is>
          <t>L</t>
        </is>
      </c>
      <c r="F217" s="17" t="n"/>
      <c r="G217" s="9" t="n">
        <v>489</v>
      </c>
      <c r="H217" s="9" t="n">
        <v>1324</v>
      </c>
      <c r="I217" s="9" t="inlineStr">
        <is>
          <t>End-of-Rotation Starter (SP4-5)</t>
        </is>
      </c>
      <c r="J217" s="17" t="inlineStr">
        <is>
          <t>Opening Day</t>
        </is>
      </c>
      <c r="K217" s="11">
        <f>IFERROR(INDEX(Roles!$B$17:$B$20,MATCH(J217,Roles!$A$17:$A$20,0)),1)</f>
        <v/>
      </c>
      <c r="L217" s="18" t="n">
        <v>1</v>
      </c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3">
        <f>SUMPRODUCT(M217:X217,$M$2:$X$2)*$K217*$L217</f>
        <v/>
      </c>
      <c r="Z217" s="14">
        <f>SUM(M217:X217)</f>
        <v/>
      </c>
      <c r="AA217" s="13">
        <f>SUMPRODUCT(M217:X217,$M$3:$X$3)*$K217*$L217</f>
        <v/>
      </c>
      <c r="AB217" s="13">
        <f>SUMPRODUCT(M217:X217,$M$4:$X$4)*$K217*$L217</f>
        <v/>
      </c>
      <c r="AC217" s="15">
        <f>SUMPRODUCT(M217:X217,$M$5:$X$5)*$K217*$L217</f>
        <v/>
      </c>
      <c r="AD217" s="15">
        <f>SUMPRODUCT(M217:X217,$M$6:$X$6)*$K217*$L217</f>
        <v/>
      </c>
      <c r="AE217" s="19" t="n"/>
    </row>
    <row r="218">
      <c r="A218" s="9" t="n">
        <v>592773</v>
      </c>
      <c r="B218" s="9" t="inlineStr">
        <is>
          <t>Ryne Stanek</t>
        </is>
      </c>
      <c r="C218" s="9" t="inlineStr">
        <is>
          <t>STL</t>
        </is>
      </c>
      <c r="D218" s="9" t="n">
        <v>35</v>
      </c>
      <c r="E218" s="17" t="inlineStr">
        <is>
          <t>R</t>
        </is>
      </c>
      <c r="F218" s="17" t="n"/>
      <c r="G218" s="9" t="n">
        <v>257</v>
      </c>
      <c r="H218" s="9" t="n">
        <v>1190</v>
      </c>
      <c r="I218" s="9" t="inlineStr">
        <is>
          <t>Bullpen Depth Arm</t>
        </is>
      </c>
      <c r="J218" s="17" t="inlineStr">
        <is>
          <t>Opening Day</t>
        </is>
      </c>
      <c r="K218" s="11">
        <f>IFERROR(INDEX(Roles!$B$17:$B$20,MATCH(J218,Roles!$A$17:$A$20,0)),1)</f>
        <v/>
      </c>
      <c r="L218" s="18" t="n">
        <v>1</v>
      </c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3">
        <f>SUMPRODUCT(M218:X218,$M$2:$X$2)*$K218*$L218</f>
        <v/>
      </c>
      <c r="Z218" s="14">
        <f>SUM(M218:X218)</f>
        <v/>
      </c>
      <c r="AA218" s="13">
        <f>SUMPRODUCT(M218:X218,$M$3:$X$3)*$K218*$L218</f>
        <v/>
      </c>
      <c r="AB218" s="13">
        <f>SUMPRODUCT(M218:X218,$M$4:$X$4)*$K218*$L218</f>
        <v/>
      </c>
      <c r="AC218" s="15">
        <f>SUMPRODUCT(M218:X218,$M$5:$X$5)*$K218*$L218</f>
        <v/>
      </c>
      <c r="AD218" s="15">
        <f>SUMPRODUCT(M218:X218,$M$6:$X$6)*$K218*$L218</f>
        <v/>
      </c>
      <c r="AE218" s="19" t="n"/>
    </row>
    <row r="219">
      <c r="A219" s="9" t="n">
        <v>621053</v>
      </c>
      <c r="B219" s="9" t="inlineStr">
        <is>
          <t>Tyler Ferguson</t>
        </is>
      </c>
      <c r="C219" s="9" t="inlineStr">
        <is>
          <t>CHC</t>
        </is>
      </c>
      <c r="D219" s="9" t="n">
        <v>33</v>
      </c>
      <c r="E219" s="17" t="inlineStr">
        <is>
          <t>R</t>
        </is>
      </c>
      <c r="F219" s="17" t="n"/>
      <c r="G219" s="9" t="n">
        <v>78</v>
      </c>
      <c r="H219" s="9" t="n">
        <v>531</v>
      </c>
      <c r="I219" s="9" t="inlineStr">
        <is>
          <t>Middle Relief</t>
        </is>
      </c>
      <c r="J219" s="17" t="inlineStr">
        <is>
          <t>Opening Day</t>
        </is>
      </c>
      <c r="K219" s="11">
        <f>IFERROR(INDEX(Roles!$B$17:$B$20,MATCH(J219,Roles!$A$17:$A$20,0)),1)</f>
        <v/>
      </c>
      <c r="L219" s="18" t="n">
        <v>1</v>
      </c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3">
        <f>SUMPRODUCT(M219:X219,$M$2:$X$2)*$K219*$L219</f>
        <v/>
      </c>
      <c r="Z219" s="14">
        <f>SUM(M219:X219)</f>
        <v/>
      </c>
      <c r="AA219" s="13">
        <f>SUMPRODUCT(M219:X219,$M$3:$X$3)*$K219*$L219</f>
        <v/>
      </c>
      <c r="AB219" s="13">
        <f>SUMPRODUCT(M219:X219,$M$4:$X$4)*$K219*$L219</f>
        <v/>
      </c>
      <c r="AC219" s="15">
        <f>SUMPRODUCT(M219:X219,$M$5:$X$5)*$K219*$L219</f>
        <v/>
      </c>
      <c r="AD219" s="15">
        <f>SUMPRODUCT(M219:X219,$M$6:$X$6)*$K219*$L219</f>
        <v/>
      </c>
      <c r="AE219" s="19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7" t="inlineStr">
        <is>
          <t>L</t>
        </is>
      </c>
      <c r="F220" s="17" t="n"/>
      <c r="G220" s="9" t="n">
        <v>213</v>
      </c>
      <c r="H220" s="9" t="n">
        <v>346</v>
      </c>
      <c r="I220" s="9" t="inlineStr">
        <is>
          <t>Bullpen Depth Arm</t>
        </is>
      </c>
      <c r="J220" s="17" t="inlineStr">
        <is>
          <t>Opening Day</t>
        </is>
      </c>
      <c r="K220" s="11">
        <f>IFERROR(INDEX(Roles!$B$17:$B$20,MATCH(J220,Roles!$A$17:$A$20,0)),1)</f>
        <v/>
      </c>
      <c r="L220" s="18" t="n">
        <v>1</v>
      </c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3">
        <f>SUMPRODUCT(M220:X220,$M$2:$X$2)*$K220*$L220</f>
        <v/>
      </c>
      <c r="Z220" s="14">
        <f>SUM(M220:X220)</f>
        <v/>
      </c>
      <c r="AA220" s="13">
        <f>SUMPRODUCT(M220:X220,$M$3:$X$3)*$K220*$L220</f>
        <v/>
      </c>
      <c r="AB220" s="13">
        <f>SUMPRODUCT(M220:X220,$M$4:$X$4)*$K220*$L220</f>
        <v/>
      </c>
      <c r="AC220" s="15">
        <f>SUMPRODUCT(M220:X220,$M$5:$X$5)*$K220*$L220</f>
        <v/>
      </c>
      <c r="AD220" s="15">
        <f>SUMPRODUCT(M220:X220,$M$6:$X$6)*$K220*$L220</f>
        <v/>
      </c>
      <c r="AE220" s="19" t="n"/>
    </row>
    <row r="221">
      <c r="A221" s="9" t="n">
        <v>694361</v>
      </c>
      <c r="B221" s="9" t="inlineStr">
        <is>
          <t>Will Klein</t>
        </is>
      </c>
      <c r="C221" s="9" t="inlineStr">
        <is>
          <t>LAD</t>
        </is>
      </c>
      <c r="D221" s="9" t="n">
        <v>27</v>
      </c>
      <c r="E221" s="17" t="inlineStr">
        <is>
          <t>R</t>
        </is>
      </c>
      <c r="F221" s="17" t="n"/>
      <c r="G221" s="9" t="n">
        <v>189</v>
      </c>
      <c r="H221" s="9" t="n">
        <v>297</v>
      </c>
      <c r="I221" s="9" t="inlineStr">
        <is>
          <t>Bullpen Depth Arm</t>
        </is>
      </c>
      <c r="J221" s="17" t="inlineStr">
        <is>
          <t>Opening Day</t>
        </is>
      </c>
      <c r="K221" s="11">
        <f>IFERROR(INDEX(Roles!$B$17:$B$20,MATCH(J221,Roles!$A$17:$A$20,0)),1)</f>
        <v/>
      </c>
      <c r="L221" s="18" t="n">
        <v>1</v>
      </c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3">
        <f>SUMPRODUCT(M221:X221,$M$2:$X$2)*$K221*$L221</f>
        <v/>
      </c>
      <c r="Z221" s="14">
        <f>SUM(M221:X221)</f>
        <v/>
      </c>
      <c r="AA221" s="13">
        <f>SUMPRODUCT(M221:X221,$M$3:$X$3)*$K221*$L221</f>
        <v/>
      </c>
      <c r="AB221" s="13">
        <f>SUMPRODUCT(M221:X221,$M$4:$X$4)*$K221*$L221</f>
        <v/>
      </c>
      <c r="AC221" s="15">
        <f>SUMPRODUCT(M221:X221,$M$5:$X$5)*$K221*$L221</f>
        <v/>
      </c>
      <c r="AD221" s="15">
        <f>SUMPRODUCT(M221:X221,$M$6:$X$6)*$K221*$L221</f>
        <v/>
      </c>
      <c r="AE221" s="19" t="n"/>
    </row>
    <row r="222">
      <c r="A222" s="9" t="n">
        <v>605130</v>
      </c>
      <c r="B222" s="9" t="inlineStr">
        <is>
          <t>Scott Barlow</t>
        </is>
      </c>
      <c r="C222" s="9" t="inlineStr">
        <is>
          <t>OAK</t>
        </is>
      </c>
      <c r="D222" s="9" t="n">
        <v>34</v>
      </c>
      <c r="E222" s="17" t="inlineStr">
        <is>
          <t>R</t>
        </is>
      </c>
      <c r="F222" s="17" t="n"/>
      <c r="G222" s="9" t="n">
        <v>152</v>
      </c>
      <c r="H222" s="9" t="n">
        <v>1285</v>
      </c>
      <c r="I222" s="9" t="inlineStr">
        <is>
          <t>Bullpen Depth Arm</t>
        </is>
      </c>
      <c r="J222" s="17" t="inlineStr">
        <is>
          <t>Opening Day</t>
        </is>
      </c>
      <c r="K222" s="11">
        <f>IFERROR(INDEX(Roles!$B$17:$B$20,MATCH(J222,Roles!$A$17:$A$20,0)),1)</f>
        <v/>
      </c>
      <c r="L222" s="18" t="n">
        <v>1</v>
      </c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3">
        <f>SUMPRODUCT(M222:X222,$M$2:$X$2)*$K222*$L222</f>
        <v/>
      </c>
      <c r="Z222" s="14">
        <f>SUM(M222:X222)</f>
        <v/>
      </c>
      <c r="AA222" s="13">
        <f>SUMPRODUCT(M222:X222,$M$3:$X$3)*$K222*$L222</f>
        <v/>
      </c>
      <c r="AB222" s="13">
        <f>SUMPRODUCT(M222:X222,$M$4:$X$4)*$K222*$L222</f>
        <v/>
      </c>
      <c r="AC222" s="15">
        <f>SUMPRODUCT(M222:X222,$M$5:$X$5)*$K222*$L222</f>
        <v/>
      </c>
      <c r="AD222" s="15">
        <f>SUMPRODUCT(M222:X222,$M$6:$X$6)*$K222*$L222</f>
        <v/>
      </c>
      <c r="AE222" s="19" t="n"/>
    </row>
    <row r="223">
      <c r="A223" s="9" t="n">
        <v>681217</v>
      </c>
      <c r="B223" s="9" t="inlineStr">
        <is>
          <t>Chase Silseth</t>
        </is>
      </c>
      <c r="C223" s="9" t="inlineStr">
        <is>
          <t>TEX</t>
        </is>
      </c>
      <c r="D223" s="9" t="n">
        <v>27</v>
      </c>
      <c r="E223" s="17" t="inlineStr">
        <is>
          <t>R</t>
        </is>
      </c>
      <c r="F223" s="17" t="n"/>
      <c r="G223" s="9" t="n">
        <v>250</v>
      </c>
      <c r="H223" s="9" t="n">
        <v>687</v>
      </c>
      <c r="I223" s="9" t="inlineStr">
        <is>
          <t>Bullpen Depth Arm</t>
        </is>
      </c>
      <c r="J223" s="17" t="inlineStr">
        <is>
          <t>Opening Day</t>
        </is>
      </c>
      <c r="K223" s="11">
        <f>IFERROR(INDEX(Roles!$B$17:$B$20,MATCH(J223,Roles!$A$17:$A$20,0)),1)</f>
        <v/>
      </c>
      <c r="L223" s="18" t="n">
        <v>1</v>
      </c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3">
        <f>SUMPRODUCT(M223:X223,$M$2:$X$2)*$K223*$L223</f>
        <v/>
      </c>
      <c r="Z223" s="14">
        <f>SUM(M223:X223)</f>
        <v/>
      </c>
      <c r="AA223" s="13">
        <f>SUMPRODUCT(M223:X223,$M$3:$X$3)*$K223*$L223</f>
        <v/>
      </c>
      <c r="AB223" s="13">
        <f>SUMPRODUCT(M223:X223,$M$4:$X$4)*$K223*$L223</f>
        <v/>
      </c>
      <c r="AC223" s="15">
        <f>SUMPRODUCT(M223:X223,$M$5:$X$5)*$K223*$L223</f>
        <v/>
      </c>
      <c r="AD223" s="15">
        <f>SUMPRODUCT(M223:X223,$M$6:$X$6)*$K223*$L223</f>
        <v/>
      </c>
      <c r="AE223" s="19" t="n"/>
    </row>
    <row r="224">
      <c r="A224" s="9" t="n">
        <v>681544</v>
      </c>
      <c r="B224" s="9" t="inlineStr">
        <is>
          <t>Wyatt Olds</t>
        </is>
      </c>
      <c r="C224" s="9" t="inlineStr">
        <is>
          <t>BOS</t>
        </is>
      </c>
      <c r="D224" s="9" t="n">
        <v>27</v>
      </c>
      <c r="E224" s="17" t="inlineStr">
        <is>
          <t>R</t>
        </is>
      </c>
      <c r="F224" s="17" t="n"/>
      <c r="G224" s="9" t="n">
        <v>58</v>
      </c>
      <c r="H224" s="9" t="n">
        <v>58</v>
      </c>
      <c r="I224" s="9" t="inlineStr">
        <is>
          <t>Bullpen Depth Arm</t>
        </is>
      </c>
      <c r="J224" s="17" t="inlineStr">
        <is>
          <t>Opening Day</t>
        </is>
      </c>
      <c r="K224" s="11">
        <f>IFERROR(INDEX(Roles!$B$17:$B$20,MATCH(J224,Roles!$A$17:$A$20,0)),1)</f>
        <v/>
      </c>
      <c r="L224" s="18" t="n">
        <v>1</v>
      </c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3">
        <f>SUMPRODUCT(M224:X224,$M$2:$X$2)*$K224*$L224</f>
        <v/>
      </c>
      <c r="Z224" s="14">
        <f>SUM(M224:X224)</f>
        <v/>
      </c>
      <c r="AA224" s="13">
        <f>SUMPRODUCT(M224:X224,$M$3:$X$3)*$K224*$L224</f>
        <v/>
      </c>
      <c r="AB224" s="13">
        <f>SUMPRODUCT(M224:X224,$M$4:$X$4)*$K224*$L224</f>
        <v/>
      </c>
      <c r="AC224" s="15">
        <f>SUMPRODUCT(M224:X224,$M$5:$X$5)*$K224*$L224</f>
        <v/>
      </c>
      <c r="AD224" s="15">
        <f>SUMPRODUCT(M224:X224,$M$6:$X$6)*$K224*$L224</f>
        <v/>
      </c>
      <c r="AE224" s="19" t="n"/>
    </row>
    <row r="225">
      <c r="A225" s="9" t="n">
        <v>669199</v>
      </c>
      <c r="B225" s="9" t="inlineStr">
        <is>
          <t>Lake Bachar</t>
        </is>
      </c>
      <c r="C225" s="9" t="inlineStr">
        <is>
          <t>PIT</t>
        </is>
      </c>
      <c r="D225" s="9" t="n">
        <v>32</v>
      </c>
      <c r="E225" s="17" t="inlineStr">
        <is>
          <t>R</t>
        </is>
      </c>
      <c r="F225" s="17" t="n"/>
      <c r="G225" s="9" t="n">
        <v>336</v>
      </c>
      <c r="H225" s="9" t="n">
        <v>672</v>
      </c>
      <c r="I225" s="9" t="inlineStr">
        <is>
          <t>Bullpen Depth Arm</t>
        </is>
      </c>
      <c r="J225" s="17" t="inlineStr">
        <is>
          <t>Opening Day</t>
        </is>
      </c>
      <c r="K225" s="11">
        <f>IFERROR(INDEX(Roles!$B$17:$B$20,MATCH(J225,Roles!$A$17:$A$20,0)),1)</f>
        <v/>
      </c>
      <c r="L225" s="18" t="n">
        <v>1</v>
      </c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3">
        <f>SUMPRODUCT(M225:X225,$M$2:$X$2)*$K225*$L225</f>
        <v/>
      </c>
      <c r="Z225" s="14">
        <f>SUM(M225:X225)</f>
        <v/>
      </c>
      <c r="AA225" s="13">
        <f>SUMPRODUCT(M225:X225,$M$3:$X$3)*$K225*$L225</f>
        <v/>
      </c>
      <c r="AB225" s="13">
        <f>SUMPRODUCT(M225:X225,$M$4:$X$4)*$K225*$L225</f>
        <v/>
      </c>
      <c r="AC225" s="15">
        <f>SUMPRODUCT(M225:X225,$M$5:$X$5)*$K225*$L225</f>
        <v/>
      </c>
      <c r="AD225" s="15">
        <f>SUMPRODUCT(M225:X225,$M$6:$X$6)*$K225*$L225</f>
        <v/>
      </c>
      <c r="AE225" s="19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7" t="inlineStr">
        <is>
          <t>L</t>
        </is>
      </c>
      <c r="F226" s="17" t="n"/>
      <c r="G226" s="9" t="n">
        <v>5</v>
      </c>
      <c r="H226" s="9" t="n">
        <v>159</v>
      </c>
      <c r="I226" s="9" t="inlineStr">
        <is>
          <t>Depth (no MLB IP)</t>
        </is>
      </c>
      <c r="J226" s="17" t="inlineStr">
        <is>
          <t>Opening Day</t>
        </is>
      </c>
      <c r="K226" s="11">
        <f>IFERROR(INDEX(Roles!$B$17:$B$20,MATCH(J226,Roles!$A$17:$A$20,0)),1)</f>
        <v/>
      </c>
      <c r="L226" s="18" t="n">
        <v>1</v>
      </c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3">
        <f>SUMPRODUCT(M226:X226,$M$2:$X$2)*$K226*$L226</f>
        <v/>
      </c>
      <c r="Z226" s="14">
        <f>SUM(M226:X226)</f>
        <v/>
      </c>
      <c r="AA226" s="13">
        <f>SUMPRODUCT(M226:X226,$M$3:$X$3)*$K226*$L226</f>
        <v/>
      </c>
      <c r="AB226" s="13">
        <f>SUMPRODUCT(M226:X226,$M$4:$X$4)*$K226*$L226</f>
        <v/>
      </c>
      <c r="AC226" s="15">
        <f>SUMPRODUCT(M226:X226,$M$5:$X$5)*$K226*$L226</f>
        <v/>
      </c>
      <c r="AD226" s="15">
        <f>SUMPRODUCT(M226:X226,$M$6:$X$6)*$K226*$L226</f>
        <v/>
      </c>
      <c r="AE226" s="19" t="n"/>
    </row>
    <row r="227">
      <c r="A227" s="9" t="n">
        <v>665795</v>
      </c>
      <c r="B227" s="9" t="inlineStr">
        <is>
          <t>Edward Cabrera</t>
        </is>
      </c>
      <c r="C227" s="9" t="inlineStr">
        <is>
          <t>CHC</t>
        </is>
      </c>
      <c r="D227" s="9" t="n">
        <v>29</v>
      </c>
      <c r="E227" s="17" t="inlineStr">
        <is>
          <t>R</t>
        </is>
      </c>
      <c r="F227" s="17" t="n"/>
      <c r="G227" s="9" t="n">
        <v>339</v>
      </c>
      <c r="H227" s="9" t="n">
        <v>2063</v>
      </c>
      <c r="I227" s="9" t="inlineStr">
        <is>
          <t>Mid-Rotation Starter (SP2-3)</t>
        </is>
      </c>
      <c r="J227" s="17" t="inlineStr">
        <is>
          <t>Opening Day</t>
        </is>
      </c>
      <c r="K227" s="11">
        <f>IFERROR(INDEX(Roles!$B$17:$B$20,MATCH(J227,Roles!$A$17:$A$20,0)),1)</f>
        <v/>
      </c>
      <c r="L227" s="18" t="n">
        <v>1</v>
      </c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3">
        <f>SUMPRODUCT(M227:X227,$M$2:$X$2)*$K227*$L227</f>
        <v/>
      </c>
      <c r="Z227" s="14">
        <f>SUM(M227:X227)</f>
        <v/>
      </c>
      <c r="AA227" s="13">
        <f>SUMPRODUCT(M227:X227,$M$3:$X$3)*$K227*$L227</f>
        <v/>
      </c>
      <c r="AB227" s="13">
        <f>SUMPRODUCT(M227:X227,$M$4:$X$4)*$K227*$L227</f>
        <v/>
      </c>
      <c r="AC227" s="15">
        <f>SUMPRODUCT(M227:X227,$M$5:$X$5)*$K227*$L227</f>
        <v/>
      </c>
      <c r="AD227" s="15">
        <f>SUMPRODUCT(M227:X227,$M$6:$X$6)*$K227*$L227</f>
        <v/>
      </c>
      <c r="AE227" s="19" t="n"/>
    </row>
    <row r="228">
      <c r="A228" s="9" t="n">
        <v>680885</v>
      </c>
      <c r="B228" s="9" t="inlineStr">
        <is>
          <t>Spencer Schwellenbach</t>
        </is>
      </c>
      <c r="C228" s="9" t="inlineStr">
        <is>
          <t>ATL</t>
        </is>
      </c>
      <c r="D228" s="9" t="n">
        <v>27</v>
      </c>
      <c r="E228" s="17" t="inlineStr">
        <is>
          <t>R</t>
        </is>
      </c>
      <c r="F228" s="17" t="n"/>
      <c r="G228" s="9" t="n">
        <v>434</v>
      </c>
      <c r="H228" s="9" t="n">
        <v>934</v>
      </c>
      <c r="I228" s="9" t="inlineStr">
        <is>
          <t>Ace (SP1)</t>
        </is>
      </c>
      <c r="J228" s="17" t="inlineStr">
        <is>
          <t>Opening Day</t>
        </is>
      </c>
      <c r="K228" s="11">
        <f>IFERROR(INDEX(Roles!$B$17:$B$20,MATCH(J228,Roles!$A$17:$A$20,0)),1)</f>
        <v/>
      </c>
      <c r="L228" s="18" t="n">
        <v>1</v>
      </c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3">
        <f>SUMPRODUCT(M228:X228,$M$2:$X$2)*$K228*$L228</f>
        <v/>
      </c>
      <c r="Z228" s="14">
        <f>SUM(M228:X228)</f>
        <v/>
      </c>
      <c r="AA228" s="13">
        <f>SUMPRODUCT(M228:X228,$M$3:$X$3)*$K228*$L228</f>
        <v/>
      </c>
      <c r="AB228" s="13">
        <f>SUMPRODUCT(M228:X228,$M$4:$X$4)*$K228*$L228</f>
        <v/>
      </c>
      <c r="AC228" s="15">
        <f>SUMPRODUCT(M228:X228,$M$5:$X$5)*$K228*$L228</f>
        <v/>
      </c>
      <c r="AD228" s="15">
        <f>SUMPRODUCT(M228:X228,$M$6:$X$6)*$K228*$L228</f>
        <v/>
      </c>
      <c r="AE228" s="19" t="n"/>
    </row>
    <row r="229">
      <c r="A229" s="9" t="n">
        <v>682171</v>
      </c>
      <c r="B229" s="9" t="inlineStr">
        <is>
          <t>Penn Murfee</t>
        </is>
      </c>
      <c r="C229" s="9" t="inlineStr">
        <is>
          <t>CWS</t>
        </is>
      </c>
      <c r="D229" s="9" t="n">
        <v>33</v>
      </c>
      <c r="E229" s="17" t="inlineStr">
        <is>
          <t>R</t>
        </is>
      </c>
      <c r="F229" s="17" t="n"/>
      <c r="G229" s="9" t="n">
        <v>63</v>
      </c>
      <c r="H229" s="9" t="n">
        <v>393</v>
      </c>
      <c r="I229" s="9" t="inlineStr">
        <is>
          <t>Bullpen Depth Arm</t>
        </is>
      </c>
      <c r="J229" s="17" t="inlineStr">
        <is>
          <t>Opening Day</t>
        </is>
      </c>
      <c r="K229" s="11">
        <f>IFERROR(INDEX(Roles!$B$17:$B$20,MATCH(J229,Roles!$A$17:$A$20,0)),1)</f>
        <v/>
      </c>
      <c r="L229" s="18" t="n">
        <v>1</v>
      </c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3">
        <f>SUMPRODUCT(M229:X229,$M$2:$X$2)*$K229*$L229</f>
        <v/>
      </c>
      <c r="Z229" s="14">
        <f>SUM(M229:X229)</f>
        <v/>
      </c>
      <c r="AA229" s="13">
        <f>SUMPRODUCT(M229:X229,$M$3:$X$3)*$K229*$L229</f>
        <v/>
      </c>
      <c r="AB229" s="13">
        <f>SUMPRODUCT(M229:X229,$M$4:$X$4)*$K229*$L229</f>
        <v/>
      </c>
      <c r="AC229" s="15">
        <f>SUMPRODUCT(M229:X229,$M$5:$X$5)*$K229*$L229</f>
        <v/>
      </c>
      <c r="AD229" s="15">
        <f>SUMPRODUCT(M229:X229,$M$6:$X$6)*$K229*$L229</f>
        <v/>
      </c>
      <c r="AE229" s="19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7" t="inlineStr">
        <is>
          <t>R</t>
        </is>
      </c>
      <c r="F230" s="17" t="n"/>
      <c r="G230" s="9" t="n">
        <v>100</v>
      </c>
      <c r="H230" s="9" t="n">
        <v>525</v>
      </c>
      <c r="I230" s="9" t="inlineStr">
        <is>
          <t>Bullpen Depth Arm</t>
        </is>
      </c>
      <c r="J230" s="17" t="inlineStr">
        <is>
          <t>Opening Day</t>
        </is>
      </c>
      <c r="K230" s="11">
        <f>IFERROR(INDEX(Roles!$B$17:$B$20,MATCH(J230,Roles!$A$17:$A$20,0)),1)</f>
        <v/>
      </c>
      <c r="L230" s="18" t="n">
        <v>1</v>
      </c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3">
        <f>SUMPRODUCT(M230:X230,$M$2:$X$2)*$K230*$L230</f>
        <v/>
      </c>
      <c r="Z230" s="14">
        <f>SUM(M230:X230)</f>
        <v/>
      </c>
      <c r="AA230" s="13">
        <f>SUMPRODUCT(M230:X230,$M$3:$X$3)*$K230*$L230</f>
        <v/>
      </c>
      <c r="AB230" s="13">
        <f>SUMPRODUCT(M230:X230,$M$4:$X$4)*$K230*$L230</f>
        <v/>
      </c>
      <c r="AC230" s="15">
        <f>SUMPRODUCT(M230:X230,$M$5:$X$5)*$K230*$L230</f>
        <v/>
      </c>
      <c r="AD230" s="15">
        <f>SUMPRODUCT(M230:X230,$M$6:$X$6)*$K230*$L230</f>
        <v/>
      </c>
      <c r="AE230" s="19" t="n"/>
    </row>
    <row r="231">
      <c r="A231" s="9" t="n">
        <v>450203</v>
      </c>
      <c r="B231" s="9" t="inlineStr">
        <is>
          <t>Charlie Morton</t>
        </is>
      </c>
      <c r="C231" s="9" t="inlineStr">
        <is>
          <t>ATL</t>
        </is>
      </c>
      <c r="D231" s="9" t="n">
        <v>43</v>
      </c>
      <c r="E231" s="17" t="inlineStr">
        <is>
          <t>R</t>
        </is>
      </c>
      <c r="F231" s="17" t="n"/>
      <c r="G231" s="9" t="n">
        <v>654</v>
      </c>
      <c r="H231" s="9" t="n">
        <v>2799</v>
      </c>
      <c r="I231" s="9" t="inlineStr">
        <is>
          <t>End-of-Rotation Starter (SP4-5)</t>
        </is>
      </c>
      <c r="J231" s="17" t="inlineStr">
        <is>
          <t>Opening Day</t>
        </is>
      </c>
      <c r="K231" s="11">
        <f>IFERROR(INDEX(Roles!$B$17:$B$20,MATCH(J231,Roles!$A$17:$A$20,0)),1)</f>
        <v/>
      </c>
      <c r="L231" s="18" t="n">
        <v>1</v>
      </c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3">
        <f>SUMPRODUCT(M231:X231,$M$2:$X$2)*$K231*$L231</f>
        <v/>
      </c>
      <c r="Z231" s="14">
        <f>SUM(M231:X231)</f>
        <v/>
      </c>
      <c r="AA231" s="13">
        <f>SUMPRODUCT(M231:X231,$M$3:$X$3)*$K231*$L231</f>
        <v/>
      </c>
      <c r="AB231" s="13">
        <f>SUMPRODUCT(M231:X231,$M$4:$X$4)*$K231*$L231</f>
        <v/>
      </c>
      <c r="AC231" s="15">
        <f>SUMPRODUCT(M231:X231,$M$5:$X$5)*$K231*$L231</f>
        <v/>
      </c>
      <c r="AD231" s="15">
        <f>SUMPRODUCT(M231:X231,$M$6:$X$6)*$K231*$L231</f>
        <v/>
      </c>
      <c r="AE231" s="19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7" t="inlineStr">
        <is>
          <t>R</t>
        </is>
      </c>
      <c r="F232" s="17" t="n"/>
      <c r="G232" s="9" t="n">
        <v>229</v>
      </c>
      <c r="H232" s="9" t="n">
        <v>506</v>
      </c>
      <c r="I232" s="9" t="inlineStr">
        <is>
          <t>End-of-Rotation Starter (SP4-5)</t>
        </is>
      </c>
      <c r="J232" s="17" t="inlineStr">
        <is>
          <t>Opening Day</t>
        </is>
      </c>
      <c r="K232" s="11">
        <f>IFERROR(INDEX(Roles!$B$17:$B$20,MATCH(J232,Roles!$A$17:$A$20,0)),1)</f>
        <v/>
      </c>
      <c r="L232" s="18" t="n">
        <v>1</v>
      </c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3">
        <f>SUMPRODUCT(M232:X232,$M$2:$X$2)*$K232*$L232</f>
        <v/>
      </c>
      <c r="Z232" s="14">
        <f>SUM(M232:X232)</f>
        <v/>
      </c>
      <c r="AA232" s="13">
        <f>SUMPRODUCT(M232:X232,$M$3:$X$3)*$K232*$L232</f>
        <v/>
      </c>
      <c r="AB232" s="13">
        <f>SUMPRODUCT(M232:X232,$M$4:$X$4)*$K232*$L232</f>
        <v/>
      </c>
      <c r="AC232" s="15">
        <f>SUMPRODUCT(M232:X232,$M$5:$X$5)*$K232*$L232</f>
        <v/>
      </c>
      <c r="AD232" s="15">
        <f>SUMPRODUCT(M232:X232,$M$6:$X$6)*$K232*$L232</f>
        <v/>
      </c>
      <c r="AE232" s="19" t="n"/>
    </row>
    <row r="233">
      <c r="A233" s="9" t="n">
        <v>671212</v>
      </c>
      <c r="B233" s="9" t="inlineStr">
        <is>
          <t>Joe Boyle</t>
        </is>
      </c>
      <c r="C233" s="9" t="inlineStr">
        <is>
          <t>TB</t>
        </is>
      </c>
      <c r="D233" s="9" t="n">
        <v>27</v>
      </c>
      <c r="E233" s="17" t="inlineStr">
        <is>
          <t>R</t>
        </is>
      </c>
      <c r="F233" s="17" t="n"/>
      <c r="G233" s="9" t="n">
        <v>81</v>
      </c>
      <c r="H233" s="9" t="n">
        <v>593</v>
      </c>
      <c r="I233" s="9" t="inlineStr">
        <is>
          <t>End-of-Rotation Starter (SP4-5)</t>
        </is>
      </c>
      <c r="J233" s="17" t="inlineStr">
        <is>
          <t>Opening Day</t>
        </is>
      </c>
      <c r="K233" s="11">
        <f>IFERROR(INDEX(Roles!$B$17:$B$20,MATCH(J233,Roles!$A$17:$A$20,0)),1)</f>
        <v/>
      </c>
      <c r="L233" s="18" t="n">
        <v>1</v>
      </c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3">
        <f>SUMPRODUCT(M233:X233,$M$2:$X$2)*$K233*$L233</f>
        <v/>
      </c>
      <c r="Z233" s="14">
        <f>SUM(M233:X233)</f>
        <v/>
      </c>
      <c r="AA233" s="13">
        <f>SUMPRODUCT(M233:X233,$M$3:$X$3)*$K233*$L233</f>
        <v/>
      </c>
      <c r="AB233" s="13">
        <f>SUMPRODUCT(M233:X233,$M$4:$X$4)*$K233*$L233</f>
        <v/>
      </c>
      <c r="AC233" s="15">
        <f>SUMPRODUCT(M233:X233,$M$5:$X$5)*$K233*$L233</f>
        <v/>
      </c>
      <c r="AD233" s="15">
        <f>SUMPRODUCT(M233:X233,$M$6:$X$6)*$K233*$L233</f>
        <v/>
      </c>
      <c r="AE233" s="19" t="n"/>
    </row>
    <row r="234">
      <c r="A234" s="9" t="n">
        <v>680704</v>
      </c>
      <c r="B234" s="9" t="inlineStr">
        <is>
          <t>Nick Sandlin</t>
        </is>
      </c>
      <c r="C234" s="9" t="inlineStr">
        <is>
          <t>LAA</t>
        </is>
      </c>
      <c r="D234" s="9" t="n">
        <v>30</v>
      </c>
      <c r="E234" s="17" t="inlineStr">
        <is>
          <t>R</t>
        </is>
      </c>
      <c r="F234" s="17" t="n"/>
      <c r="G234" s="9" t="n">
        <v>40</v>
      </c>
      <c r="H234" s="9" t="n">
        <v>774</v>
      </c>
      <c r="I234" s="9" t="inlineStr">
        <is>
          <t>Bullpen Depth Arm</t>
        </is>
      </c>
      <c r="J234" s="17" t="inlineStr">
        <is>
          <t>Opening Day</t>
        </is>
      </c>
      <c r="K234" s="11">
        <f>IFERROR(INDEX(Roles!$B$17:$B$20,MATCH(J234,Roles!$A$17:$A$20,0)),1)</f>
        <v/>
      </c>
      <c r="L234" s="18" t="n">
        <v>1</v>
      </c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3">
        <f>SUMPRODUCT(M234:X234,$M$2:$X$2)*$K234*$L234</f>
        <v/>
      </c>
      <c r="Z234" s="14">
        <f>SUM(M234:X234)</f>
        <v/>
      </c>
      <c r="AA234" s="13">
        <f>SUMPRODUCT(M234:X234,$M$3:$X$3)*$K234*$L234</f>
        <v/>
      </c>
      <c r="AB234" s="13">
        <f>SUMPRODUCT(M234:X234,$M$4:$X$4)*$K234*$L234</f>
        <v/>
      </c>
      <c r="AC234" s="15">
        <f>SUMPRODUCT(M234:X234,$M$5:$X$5)*$K234*$L234</f>
        <v/>
      </c>
      <c r="AD234" s="15">
        <f>SUMPRODUCT(M234:X234,$M$6:$X$6)*$K234*$L234</f>
        <v/>
      </c>
      <c r="AE234" s="19" t="n"/>
    </row>
    <row r="235">
      <c r="A235" s="9" t="n">
        <v>683175</v>
      </c>
      <c r="B235" s="9" t="inlineStr">
        <is>
          <t>Connor Phillips</t>
        </is>
      </c>
      <c r="C235" s="9" t="inlineStr">
        <is>
          <t>CIN</t>
        </is>
      </c>
      <c r="D235" s="9" t="n">
        <v>26</v>
      </c>
      <c r="E235" s="17" t="inlineStr">
        <is>
          <t>R</t>
        </is>
      </c>
      <c r="F235" s="17" t="n"/>
      <c r="G235" s="9" t="n">
        <v>133</v>
      </c>
      <c r="H235" s="9" t="n">
        <v>327</v>
      </c>
      <c r="I235" s="9" t="inlineStr">
        <is>
          <t>Bullpen Depth Arm</t>
        </is>
      </c>
      <c r="J235" s="17" t="inlineStr">
        <is>
          <t>Opening Day</t>
        </is>
      </c>
      <c r="K235" s="11">
        <f>IFERROR(INDEX(Roles!$B$17:$B$20,MATCH(J235,Roles!$A$17:$A$20,0)),1)</f>
        <v/>
      </c>
      <c r="L235" s="18" t="n">
        <v>1</v>
      </c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3">
        <f>SUMPRODUCT(M235:X235,$M$2:$X$2)*$K235*$L235</f>
        <v/>
      </c>
      <c r="Z235" s="14">
        <f>SUM(M235:X235)</f>
        <v/>
      </c>
      <c r="AA235" s="13">
        <f>SUMPRODUCT(M235:X235,$M$3:$X$3)*$K235*$L235</f>
        <v/>
      </c>
      <c r="AB235" s="13">
        <f>SUMPRODUCT(M235:X235,$M$4:$X$4)*$K235*$L235</f>
        <v/>
      </c>
      <c r="AC235" s="15">
        <f>SUMPRODUCT(M235:X235,$M$5:$X$5)*$K235*$L235</f>
        <v/>
      </c>
      <c r="AD235" s="15">
        <f>SUMPRODUCT(M235:X235,$M$6:$X$6)*$K235*$L235</f>
        <v/>
      </c>
      <c r="AE235" s="19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7" t="inlineStr">
        <is>
          <t>R</t>
        </is>
      </c>
      <c r="F236" s="17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7" t="inlineStr">
        <is>
          <t>Opening Day</t>
        </is>
      </c>
      <c r="K236" s="11">
        <f>IFERROR(INDEX(Roles!$B$17:$B$20,MATCH(J236,Roles!$A$17:$A$20,0)),1)</f>
        <v/>
      </c>
      <c r="L236" s="18" t="n">
        <v>1</v>
      </c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3">
        <f>SUMPRODUCT(M236:X236,$M$2:$X$2)*$K236*$L236</f>
        <v/>
      </c>
      <c r="Z236" s="14">
        <f>SUM(M236:X236)</f>
        <v/>
      </c>
      <c r="AA236" s="13">
        <f>SUMPRODUCT(M236:X236,$M$3:$X$3)*$K236*$L236</f>
        <v/>
      </c>
      <c r="AB236" s="13">
        <f>SUMPRODUCT(M236:X236,$M$4:$X$4)*$K236*$L236</f>
        <v/>
      </c>
      <c r="AC236" s="15">
        <f>SUMPRODUCT(M236:X236,$M$5:$X$5)*$K236*$L236</f>
        <v/>
      </c>
      <c r="AD236" s="15">
        <f>SUMPRODUCT(M236:X236,$M$6:$X$6)*$K236*$L236</f>
        <v/>
      </c>
      <c r="AE236" s="19" t="n"/>
    </row>
    <row r="237">
      <c r="A237" s="9" t="n">
        <v>673513</v>
      </c>
      <c r="B237" s="9" t="inlineStr">
        <is>
          <t>Yuki Matsui</t>
        </is>
      </c>
      <c r="C237" s="9" t="inlineStr">
        <is>
          <t>SD</t>
        </is>
      </c>
      <c r="D237" s="9" t="n">
        <v>31</v>
      </c>
      <c r="E237" s="17" t="inlineStr">
        <is>
          <t>L</t>
        </is>
      </c>
      <c r="F237" s="17" t="n"/>
      <c r="G237" s="9" t="n">
        <v>244</v>
      </c>
      <c r="H237" s="9" t="n">
        <v>773</v>
      </c>
      <c r="I237" s="9" t="inlineStr">
        <is>
          <t>Bullpen Depth Arm</t>
        </is>
      </c>
      <c r="J237" s="17" t="inlineStr">
        <is>
          <t>Opening Day</t>
        </is>
      </c>
      <c r="K237" s="11">
        <f>IFERROR(INDEX(Roles!$B$17:$B$20,MATCH(J237,Roles!$A$17:$A$20,0)),1)</f>
        <v/>
      </c>
      <c r="L237" s="18" t="n">
        <v>1</v>
      </c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3">
        <f>SUMPRODUCT(M237:X237,$M$2:$X$2)*$K237*$L237</f>
        <v/>
      </c>
      <c r="Z237" s="14">
        <f>SUM(M237:X237)</f>
        <v/>
      </c>
      <c r="AA237" s="13">
        <f>SUMPRODUCT(M237:X237,$M$3:$X$3)*$K237*$L237</f>
        <v/>
      </c>
      <c r="AB237" s="13">
        <f>SUMPRODUCT(M237:X237,$M$4:$X$4)*$K237*$L237</f>
        <v/>
      </c>
      <c r="AC237" s="15">
        <f>SUMPRODUCT(M237:X237,$M$5:$X$5)*$K237*$L237</f>
        <v/>
      </c>
      <c r="AD237" s="15">
        <f>SUMPRODUCT(M237:X237,$M$6:$X$6)*$K237*$L237</f>
        <v/>
      </c>
      <c r="AE237" s="19" t="n"/>
    </row>
    <row r="238">
      <c r="A238" s="9" t="n">
        <v>657031</v>
      </c>
      <c r="B238" s="9" t="inlineStr">
        <is>
          <t>Josh Taylor</t>
        </is>
      </c>
      <c r="C238" s="9" t="inlineStr">
        <is>
          <t>KC</t>
        </is>
      </c>
      <c r="D238" s="9" t="n">
        <v>34</v>
      </c>
      <c r="E238" s="17" t="inlineStr">
        <is>
          <t>L</t>
        </is>
      </c>
      <c r="F238" s="17" t="n"/>
      <c r="G238" s="9" t="n">
        <v>83</v>
      </c>
      <c r="H238" s="9" t="n">
        <v>83</v>
      </c>
      <c r="I238" s="9" t="inlineStr">
        <is>
          <t>Depth (no MLB IP)</t>
        </is>
      </c>
      <c r="J238" s="17" t="inlineStr">
        <is>
          <t>Opening Day</t>
        </is>
      </c>
      <c r="K238" s="11">
        <f>IFERROR(INDEX(Roles!$B$17:$B$20,MATCH(J238,Roles!$A$17:$A$20,0)),1)</f>
        <v/>
      </c>
      <c r="L238" s="18" t="n">
        <v>1</v>
      </c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3">
        <f>SUMPRODUCT(M238:X238,$M$2:$X$2)*$K238*$L238</f>
        <v/>
      </c>
      <c r="Z238" s="14">
        <f>SUM(M238:X238)</f>
        <v/>
      </c>
      <c r="AA238" s="13">
        <f>SUMPRODUCT(M238:X238,$M$3:$X$3)*$K238*$L238</f>
        <v/>
      </c>
      <c r="AB238" s="13">
        <f>SUMPRODUCT(M238:X238,$M$4:$X$4)*$K238*$L238</f>
        <v/>
      </c>
      <c r="AC238" s="15">
        <f>SUMPRODUCT(M238:X238,$M$5:$X$5)*$K238*$L238</f>
        <v/>
      </c>
      <c r="AD238" s="15">
        <f>SUMPRODUCT(M238:X238,$M$6:$X$6)*$K238*$L238</f>
        <v/>
      </c>
      <c r="AE238" s="19" t="n"/>
    </row>
    <row r="239">
      <c r="A239" s="9" t="n">
        <v>806185</v>
      </c>
      <c r="B239" s="9" t="inlineStr">
        <is>
          <t>Hayden Birdsong</t>
        </is>
      </c>
      <c r="C239" s="9" t="inlineStr">
        <is>
          <t>SF</t>
        </is>
      </c>
      <c r="D239" s="9" t="n">
        <v>25</v>
      </c>
      <c r="E239" s="17" t="inlineStr">
        <is>
          <t>R</t>
        </is>
      </c>
      <c r="F239" s="17" t="n"/>
      <c r="G239" s="9" t="n">
        <v>298</v>
      </c>
      <c r="H239" s="9" t="n">
        <v>613</v>
      </c>
      <c r="I239" s="9" t="inlineStr">
        <is>
          <t>End-of-Rotation Starter (SP4-5)</t>
        </is>
      </c>
      <c r="J239" s="17" t="inlineStr">
        <is>
          <t>Opening Day</t>
        </is>
      </c>
      <c r="K239" s="11">
        <f>IFERROR(INDEX(Roles!$B$17:$B$20,MATCH(J239,Roles!$A$17:$A$20,0)),1)</f>
        <v/>
      </c>
      <c r="L239" s="18" t="n">
        <v>1</v>
      </c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3">
        <f>SUMPRODUCT(M239:X239,$M$2:$X$2)*$K239*$L239</f>
        <v/>
      </c>
      <c r="Z239" s="14">
        <f>SUM(M239:X239)</f>
        <v/>
      </c>
      <c r="AA239" s="13">
        <f>SUMPRODUCT(M239:X239,$M$3:$X$3)*$K239*$L239</f>
        <v/>
      </c>
      <c r="AB239" s="13">
        <f>SUMPRODUCT(M239:X239,$M$4:$X$4)*$K239*$L239</f>
        <v/>
      </c>
      <c r="AC239" s="15">
        <f>SUMPRODUCT(M239:X239,$M$5:$X$5)*$K239*$L239</f>
        <v/>
      </c>
      <c r="AD239" s="15">
        <f>SUMPRODUCT(M239:X239,$M$6:$X$6)*$K239*$L239</f>
        <v/>
      </c>
      <c r="AE239" s="19" t="n"/>
    </row>
    <row r="240">
      <c r="A240" s="9" t="n">
        <v>686751</v>
      </c>
      <c r="B240" s="9" t="inlineStr">
        <is>
          <t>Seth Johnson</t>
        </is>
      </c>
      <c r="C240" s="9" t="inlineStr">
        <is>
          <t>OAK</t>
        </is>
      </c>
      <c r="D240" s="9" t="n">
        <v>28</v>
      </c>
      <c r="E240" s="17" t="inlineStr">
        <is>
          <t>R</t>
        </is>
      </c>
      <c r="F240" s="17" t="n"/>
      <c r="G240" s="9" t="n">
        <v>129</v>
      </c>
      <c r="H240" s="9" t="n">
        <v>201</v>
      </c>
      <c r="I240" s="9" t="inlineStr">
        <is>
          <t>Bullpen Depth Arm</t>
        </is>
      </c>
      <c r="J240" s="17" t="inlineStr">
        <is>
          <t>Opening Day</t>
        </is>
      </c>
      <c r="K240" s="11">
        <f>IFERROR(INDEX(Roles!$B$17:$B$20,MATCH(J240,Roles!$A$17:$A$20,0)),1)</f>
        <v/>
      </c>
      <c r="L240" s="18" t="n">
        <v>1</v>
      </c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3">
        <f>SUMPRODUCT(M240:X240,$M$2:$X$2)*$K240*$L240</f>
        <v/>
      </c>
      <c r="Z240" s="14">
        <f>SUM(M240:X240)</f>
        <v/>
      </c>
      <c r="AA240" s="13">
        <f>SUMPRODUCT(M240:X240,$M$3:$X$3)*$K240*$L240</f>
        <v/>
      </c>
      <c r="AB240" s="13">
        <f>SUMPRODUCT(M240:X240,$M$4:$X$4)*$K240*$L240</f>
        <v/>
      </c>
      <c r="AC240" s="15">
        <f>SUMPRODUCT(M240:X240,$M$5:$X$5)*$K240*$L240</f>
        <v/>
      </c>
      <c r="AD240" s="15">
        <f>SUMPRODUCT(M240:X240,$M$6:$X$6)*$K240*$L240</f>
        <v/>
      </c>
      <c r="AE240" s="19" t="n"/>
    </row>
    <row r="241">
      <c r="A241" s="9" t="n">
        <v>669308</v>
      </c>
      <c r="B241" s="9" t="inlineStr">
        <is>
          <t>Sean Reynolds</t>
        </is>
      </c>
      <c r="C241" s="9" t="inlineStr">
        <is>
          <t>SD</t>
        </is>
      </c>
      <c r="D241" s="9" t="n">
        <v>29</v>
      </c>
      <c r="E241" s="17" t="inlineStr">
        <is>
          <t>R</t>
        </is>
      </c>
      <c r="F241" s="17" t="n"/>
      <c r="G241" s="9" t="n">
        <v>117</v>
      </c>
      <c r="H241" s="9" t="n">
        <v>166</v>
      </c>
      <c r="I241" s="9" t="inlineStr">
        <is>
          <t>Bullpen Depth Arm</t>
        </is>
      </c>
      <c r="J241" s="17" t="inlineStr">
        <is>
          <t>Opening Day</t>
        </is>
      </c>
      <c r="K241" s="11">
        <f>IFERROR(INDEX(Roles!$B$17:$B$20,MATCH(J241,Roles!$A$17:$A$20,0)),1)</f>
        <v/>
      </c>
      <c r="L241" s="18" t="n">
        <v>1</v>
      </c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3">
        <f>SUMPRODUCT(M241:X241,$M$2:$X$2)*$K241*$L241</f>
        <v/>
      </c>
      <c r="Z241" s="14">
        <f>SUM(M241:X241)</f>
        <v/>
      </c>
      <c r="AA241" s="13">
        <f>SUMPRODUCT(M241:X241,$M$3:$X$3)*$K241*$L241</f>
        <v/>
      </c>
      <c r="AB241" s="13">
        <f>SUMPRODUCT(M241:X241,$M$4:$X$4)*$K241*$L241</f>
        <v/>
      </c>
      <c r="AC241" s="15">
        <f>SUMPRODUCT(M241:X241,$M$5:$X$5)*$K241*$L241</f>
        <v/>
      </c>
      <c r="AD241" s="15">
        <f>SUMPRODUCT(M241:X241,$M$6:$X$6)*$K241*$L241</f>
        <v/>
      </c>
      <c r="AE241" s="19" t="n"/>
    </row>
    <row r="242">
      <c r="A242" s="9" t="n">
        <v>687309</v>
      </c>
      <c r="B242" s="9" t="inlineStr">
        <is>
          <t>Cooper Hjerpe</t>
        </is>
      </c>
      <c r="C242" s="9" t="inlineStr"/>
      <c r="D242" s="9" t="n">
        <v>26</v>
      </c>
      <c r="E242" s="17" t="inlineStr">
        <is>
          <t>L</t>
        </is>
      </c>
      <c r="F242" s="17" t="n"/>
      <c r="G242" s="9" t="n">
        <v>23</v>
      </c>
      <c r="H242" s="9" t="n">
        <v>23</v>
      </c>
      <c r="I242" s="9" t="inlineStr">
        <is>
          <t>Depth (no MLB IP)</t>
        </is>
      </c>
      <c r="J242" s="17" t="inlineStr">
        <is>
          <t>Opening Day</t>
        </is>
      </c>
      <c r="K242" s="11">
        <f>IFERROR(INDEX(Roles!$B$17:$B$20,MATCH(J242,Roles!$A$17:$A$20,0)),1)</f>
        <v/>
      </c>
      <c r="L242" s="18" t="n">
        <v>1</v>
      </c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3">
        <f>SUMPRODUCT(M242:X242,$M$2:$X$2)*$K242*$L242</f>
        <v/>
      </c>
      <c r="Z242" s="14">
        <f>SUM(M242:X242)</f>
        <v/>
      </c>
      <c r="AA242" s="13">
        <f>SUMPRODUCT(M242:X242,$M$3:$X$3)*$K242*$L242</f>
        <v/>
      </c>
      <c r="AB242" s="13">
        <f>SUMPRODUCT(M242:X242,$M$4:$X$4)*$K242*$L242</f>
        <v/>
      </c>
      <c r="AC242" s="15">
        <f>SUMPRODUCT(M242:X242,$M$5:$X$5)*$K242*$L242</f>
        <v/>
      </c>
      <c r="AD242" s="15">
        <f>SUMPRODUCT(M242:X242,$M$6:$X$6)*$K242*$L242</f>
        <v/>
      </c>
      <c r="AE242" s="19" t="n"/>
    </row>
    <row r="243">
      <c r="A243" s="9" t="n">
        <v>678022</v>
      </c>
      <c r="B243" s="9" t="inlineStr">
        <is>
          <t>Jack Perkins</t>
        </is>
      </c>
      <c r="C243" s="9" t="inlineStr">
        <is>
          <t>OAK</t>
        </is>
      </c>
      <c r="D243" s="9" t="n">
        <v>27</v>
      </c>
      <c r="E243" s="17" t="inlineStr">
        <is>
          <t>R</t>
        </is>
      </c>
      <c r="F243" s="17" t="n"/>
      <c r="G243" s="9" t="n">
        <v>497</v>
      </c>
      <c r="H243" s="9" t="n">
        <v>658</v>
      </c>
      <c r="I243" s="9" t="inlineStr">
        <is>
          <t>Bullpen Depth Arm</t>
        </is>
      </c>
      <c r="J243" s="17" t="inlineStr">
        <is>
          <t>Opening Day</t>
        </is>
      </c>
      <c r="K243" s="11">
        <f>IFERROR(INDEX(Roles!$B$17:$B$20,MATCH(J243,Roles!$A$17:$A$20,0)),1)</f>
        <v/>
      </c>
      <c r="L243" s="18" t="n">
        <v>1</v>
      </c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3">
        <f>SUMPRODUCT(M243:X243,$M$2:$X$2)*$K243*$L243</f>
        <v/>
      </c>
      <c r="Z243" s="14">
        <f>SUM(M243:X243)</f>
        <v/>
      </c>
      <c r="AA243" s="13">
        <f>SUMPRODUCT(M243:X243,$M$3:$X$3)*$K243*$L243</f>
        <v/>
      </c>
      <c r="AB243" s="13">
        <f>SUMPRODUCT(M243:X243,$M$4:$X$4)*$K243*$L243</f>
        <v/>
      </c>
      <c r="AC243" s="15">
        <f>SUMPRODUCT(M243:X243,$M$5:$X$5)*$K243*$L243</f>
        <v/>
      </c>
      <c r="AD243" s="15">
        <f>SUMPRODUCT(M243:X243,$M$6:$X$6)*$K243*$L243</f>
        <v/>
      </c>
      <c r="AE243" s="19" t="n"/>
    </row>
    <row r="244">
      <c r="A244" s="9" t="n">
        <v>650911</v>
      </c>
      <c r="B244" s="9" t="inlineStr">
        <is>
          <t>Cristopher Sánchez</t>
        </is>
      </c>
      <c r="C244" s="9" t="inlineStr">
        <is>
          <t>PHI</t>
        </is>
      </c>
      <c r="D244" s="9" t="n">
        <v>30</v>
      </c>
      <c r="E244" s="17" t="inlineStr">
        <is>
          <t>L</t>
        </is>
      </c>
      <c r="F244" s="17" t="n"/>
      <c r="G244" s="9" t="n">
        <v>805</v>
      </c>
      <c r="H244" s="9" t="n">
        <v>2939</v>
      </c>
      <c r="I244" s="9" t="inlineStr">
        <is>
          <t>Ace (SP1)</t>
        </is>
      </c>
      <c r="J244" s="17" t="inlineStr">
        <is>
          <t>Opening Day</t>
        </is>
      </c>
      <c r="K244" s="11">
        <f>IFERROR(INDEX(Roles!$B$17:$B$20,MATCH(J244,Roles!$A$17:$A$20,0)),1)</f>
        <v/>
      </c>
      <c r="L244" s="18" t="n">
        <v>1</v>
      </c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3">
        <f>SUMPRODUCT(M244:X244,$M$2:$X$2)*$K244*$L244</f>
        <v/>
      </c>
      <c r="Z244" s="14">
        <f>SUM(M244:X244)</f>
        <v/>
      </c>
      <c r="AA244" s="13">
        <f>SUMPRODUCT(M244:X244,$M$3:$X$3)*$K244*$L244</f>
        <v/>
      </c>
      <c r="AB244" s="13">
        <f>SUMPRODUCT(M244:X244,$M$4:$X$4)*$K244*$L244</f>
        <v/>
      </c>
      <c r="AC244" s="15">
        <f>SUMPRODUCT(M244:X244,$M$5:$X$5)*$K244*$L244</f>
        <v/>
      </c>
      <c r="AD244" s="15">
        <f>SUMPRODUCT(M244:X244,$M$6:$X$6)*$K244*$L244</f>
        <v/>
      </c>
      <c r="AE244" s="19" t="n"/>
    </row>
    <row r="245">
      <c r="A245" s="9" t="n">
        <v>690925</v>
      </c>
      <c r="B245" s="9" t="inlineStr">
        <is>
          <t>Clayton Beeter</t>
        </is>
      </c>
      <c r="C245" s="9" t="inlineStr">
        <is>
          <t>WSH</t>
        </is>
      </c>
      <c r="D245" s="9" t="n">
        <v>28</v>
      </c>
      <c r="E245" s="17" t="inlineStr">
        <is>
          <t>R</t>
        </is>
      </c>
      <c r="F245" s="17" t="n"/>
      <c r="G245" s="9" t="n">
        <v>209</v>
      </c>
      <c r="H245" s="9" t="n">
        <v>328</v>
      </c>
      <c r="I245" s="9" t="inlineStr">
        <is>
          <t>Bullpen Depth Arm</t>
        </is>
      </c>
      <c r="J245" s="17" t="inlineStr">
        <is>
          <t>Opening Day</t>
        </is>
      </c>
      <c r="K245" s="11">
        <f>IFERROR(INDEX(Roles!$B$17:$B$20,MATCH(J245,Roles!$A$17:$A$20,0)),1)</f>
        <v/>
      </c>
      <c r="L245" s="18" t="n">
        <v>1</v>
      </c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3">
        <f>SUMPRODUCT(M245:X245,$M$2:$X$2)*$K245*$L245</f>
        <v/>
      </c>
      <c r="Z245" s="14">
        <f>SUM(M245:X245)</f>
        <v/>
      </c>
      <c r="AA245" s="13">
        <f>SUMPRODUCT(M245:X245,$M$3:$X$3)*$K245*$L245</f>
        <v/>
      </c>
      <c r="AB245" s="13">
        <f>SUMPRODUCT(M245:X245,$M$4:$X$4)*$K245*$L245</f>
        <v/>
      </c>
      <c r="AC245" s="15">
        <f>SUMPRODUCT(M245:X245,$M$5:$X$5)*$K245*$L245</f>
        <v/>
      </c>
      <c r="AD245" s="15">
        <f>SUMPRODUCT(M245:X245,$M$6:$X$6)*$K245*$L245</f>
        <v/>
      </c>
      <c r="AE245" s="19" t="n"/>
    </row>
    <row r="246">
      <c r="A246" s="9" t="n">
        <v>670990</v>
      </c>
      <c r="B246" s="9" t="inlineStr">
        <is>
          <t>Yohan Ramírez</t>
        </is>
      </c>
      <c r="C246" s="9" t="inlineStr">
        <is>
          <t>PIT</t>
        </is>
      </c>
      <c r="D246" s="9" t="n">
        <v>32</v>
      </c>
      <c r="E246" s="17" t="inlineStr">
        <is>
          <t>R</t>
        </is>
      </c>
      <c r="F246" s="17" t="n"/>
      <c r="G246" s="9" t="n">
        <v>341</v>
      </c>
      <c r="H246" s="9" t="n">
        <v>1047</v>
      </c>
      <c r="I246" s="9" t="inlineStr">
        <is>
          <t>Bullpen Depth Arm</t>
        </is>
      </c>
      <c r="J246" s="17" t="inlineStr">
        <is>
          <t>Opening Day</t>
        </is>
      </c>
      <c r="K246" s="11">
        <f>IFERROR(INDEX(Roles!$B$17:$B$20,MATCH(J246,Roles!$A$17:$A$20,0)),1)</f>
        <v/>
      </c>
      <c r="L246" s="18" t="n">
        <v>1</v>
      </c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3">
        <f>SUMPRODUCT(M246:X246,$M$2:$X$2)*$K246*$L246</f>
        <v/>
      </c>
      <c r="Z246" s="14">
        <f>SUM(M246:X246)</f>
        <v/>
      </c>
      <c r="AA246" s="13">
        <f>SUMPRODUCT(M246:X246,$M$3:$X$3)*$K246*$L246</f>
        <v/>
      </c>
      <c r="AB246" s="13">
        <f>SUMPRODUCT(M246:X246,$M$4:$X$4)*$K246*$L246</f>
        <v/>
      </c>
      <c r="AC246" s="15">
        <f>SUMPRODUCT(M246:X246,$M$5:$X$5)*$K246*$L246</f>
        <v/>
      </c>
      <c r="AD246" s="15">
        <f>SUMPRODUCT(M246:X246,$M$6:$X$6)*$K246*$L246</f>
        <v/>
      </c>
      <c r="AE246" s="19" t="n"/>
    </row>
    <row r="247">
      <c r="A247" s="9" t="n">
        <v>657240</v>
      </c>
      <c r="B247" s="9" t="inlineStr">
        <is>
          <t>Julian Merryweather</t>
        </is>
      </c>
      <c r="C247" s="9" t="inlineStr">
        <is>
          <t>CHC</t>
        </is>
      </c>
      <c r="D247" s="9" t="n">
        <v>35</v>
      </c>
      <c r="E247" s="17" t="inlineStr">
        <is>
          <t>R</t>
        </is>
      </c>
      <c r="F247" s="17" t="n"/>
      <c r="G247" s="9" t="n">
        <v>88</v>
      </c>
      <c r="H247" s="9" t="n">
        <v>584</v>
      </c>
      <c r="I247" s="9" t="inlineStr">
        <is>
          <t>Bullpen Depth Arm</t>
        </is>
      </c>
      <c r="J247" s="17" t="inlineStr">
        <is>
          <t>Opening Day</t>
        </is>
      </c>
      <c r="K247" s="11">
        <f>IFERROR(INDEX(Roles!$B$17:$B$20,MATCH(J247,Roles!$A$17:$A$20,0)),1)</f>
        <v/>
      </c>
      <c r="L247" s="18" t="n">
        <v>1</v>
      </c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3">
        <f>SUMPRODUCT(M247:X247,$M$2:$X$2)*$K247*$L247</f>
        <v/>
      </c>
      <c r="Z247" s="14">
        <f>SUM(M247:X247)</f>
        <v/>
      </c>
      <c r="AA247" s="13">
        <f>SUMPRODUCT(M247:X247,$M$3:$X$3)*$K247*$L247</f>
        <v/>
      </c>
      <c r="AB247" s="13">
        <f>SUMPRODUCT(M247:X247,$M$4:$X$4)*$K247*$L247</f>
        <v/>
      </c>
      <c r="AC247" s="15">
        <f>SUMPRODUCT(M247:X247,$M$5:$X$5)*$K247*$L247</f>
        <v/>
      </c>
      <c r="AD247" s="15">
        <f>SUMPRODUCT(M247:X247,$M$6:$X$6)*$K247*$L247</f>
        <v/>
      </c>
      <c r="AE247" s="19" t="n"/>
    </row>
    <row r="248">
      <c r="A248" s="9" t="n">
        <v>682790</v>
      </c>
      <c r="B248" s="9" t="inlineStr">
        <is>
          <t>Wikelman González</t>
        </is>
      </c>
      <c r="C248" s="9" t="inlineStr">
        <is>
          <t>CWS</t>
        </is>
      </c>
      <c r="D248" s="9" t="n">
        <v>25</v>
      </c>
      <c r="E248" s="17" t="inlineStr">
        <is>
          <t>R</t>
        </is>
      </c>
      <c r="F248" s="17" t="n"/>
      <c r="G248" s="9" t="n">
        <v>87</v>
      </c>
      <c r="H248" s="9" t="n">
        <v>87</v>
      </c>
      <c r="I248" s="9" t="inlineStr">
        <is>
          <t>Middle Relief</t>
        </is>
      </c>
      <c r="J248" s="17" t="inlineStr">
        <is>
          <t>Opening Day</t>
        </is>
      </c>
      <c r="K248" s="11">
        <f>IFERROR(INDEX(Roles!$B$17:$B$20,MATCH(J248,Roles!$A$17:$A$20,0)),1)</f>
        <v/>
      </c>
      <c r="L248" s="18" t="n">
        <v>1</v>
      </c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3">
        <f>SUMPRODUCT(M248:X248,$M$2:$X$2)*$K248*$L248</f>
        <v/>
      </c>
      <c r="Z248" s="14">
        <f>SUM(M248:X248)</f>
        <v/>
      </c>
      <c r="AA248" s="13">
        <f>SUMPRODUCT(M248:X248,$M$3:$X$3)*$K248*$L248</f>
        <v/>
      </c>
      <c r="AB248" s="13">
        <f>SUMPRODUCT(M248:X248,$M$4:$X$4)*$K248*$L248</f>
        <v/>
      </c>
      <c r="AC248" s="15">
        <f>SUMPRODUCT(M248:X248,$M$5:$X$5)*$K248*$L248</f>
        <v/>
      </c>
      <c r="AD248" s="15">
        <f>SUMPRODUCT(M248:X248,$M$6:$X$6)*$K248*$L248</f>
        <v/>
      </c>
      <c r="AE248" s="19" t="n"/>
    </row>
    <row r="249">
      <c r="A249" s="9" t="n">
        <v>623454</v>
      </c>
      <c r="B249" s="9" t="inlineStr">
        <is>
          <t>Drew Anderson</t>
        </is>
      </c>
      <c r="C249" s="9" t="inlineStr">
        <is>
          <t>DET</t>
        </is>
      </c>
      <c r="D249" s="9" t="n">
        <v>33</v>
      </c>
      <c r="E249" s="17" t="inlineStr">
        <is>
          <t>R</t>
        </is>
      </c>
      <c r="F249" s="17" t="n"/>
      <c r="G249" s="9" t="n">
        <v>434</v>
      </c>
      <c r="H249" s="9" t="n">
        <v>434</v>
      </c>
      <c r="I249" s="9" t="inlineStr">
        <is>
          <t>Middle Relief</t>
        </is>
      </c>
      <c r="J249" s="17" t="inlineStr">
        <is>
          <t>Opening Day</t>
        </is>
      </c>
      <c r="K249" s="11">
        <f>IFERROR(INDEX(Roles!$B$17:$B$20,MATCH(J249,Roles!$A$17:$A$20,0)),1)</f>
        <v/>
      </c>
      <c r="L249" s="18" t="n">
        <v>1</v>
      </c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3">
        <f>SUMPRODUCT(M249:X249,$M$2:$X$2)*$K249*$L249</f>
        <v/>
      </c>
      <c r="Z249" s="14">
        <f>SUM(M249:X249)</f>
        <v/>
      </c>
      <c r="AA249" s="13">
        <f>SUMPRODUCT(M249:X249,$M$3:$X$3)*$K249*$L249</f>
        <v/>
      </c>
      <c r="AB249" s="13">
        <f>SUMPRODUCT(M249:X249,$M$4:$X$4)*$K249*$L249</f>
        <v/>
      </c>
      <c r="AC249" s="15">
        <f>SUMPRODUCT(M249:X249,$M$5:$X$5)*$K249*$L249</f>
        <v/>
      </c>
      <c r="AD249" s="15">
        <f>SUMPRODUCT(M249:X249,$M$6:$X$6)*$K249*$L249</f>
        <v/>
      </c>
      <c r="AE249" s="19" t="n"/>
    </row>
    <row r="250">
      <c r="A250" s="9" t="n">
        <v>573124</v>
      </c>
      <c r="B250" s="9" t="inlineStr">
        <is>
          <t>Taylor Rogers</t>
        </is>
      </c>
      <c r="C250" s="9" t="inlineStr">
        <is>
          <t>MIN</t>
        </is>
      </c>
      <c r="D250" s="9" t="n">
        <v>36</v>
      </c>
      <c r="E250" s="17" t="inlineStr">
        <is>
          <t>L</t>
        </is>
      </c>
      <c r="F250" s="17" t="n"/>
      <c r="G250" s="9" t="n">
        <v>256</v>
      </c>
      <c r="H250" s="9" t="n">
        <v>1216</v>
      </c>
      <c r="I250" s="9" t="inlineStr">
        <is>
          <t>Bullpen Depth Arm</t>
        </is>
      </c>
      <c r="J250" s="17" t="inlineStr">
        <is>
          <t>Opening Day</t>
        </is>
      </c>
      <c r="K250" s="11">
        <f>IFERROR(INDEX(Roles!$B$17:$B$20,MATCH(J250,Roles!$A$17:$A$20,0)),1)</f>
        <v/>
      </c>
      <c r="L250" s="18" t="n">
        <v>1</v>
      </c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3">
        <f>SUMPRODUCT(M250:X250,$M$2:$X$2)*$K250*$L250</f>
        <v/>
      </c>
      <c r="Z250" s="14">
        <f>SUM(M250:X250)</f>
        <v/>
      </c>
      <c r="AA250" s="13">
        <f>SUMPRODUCT(M250:X250,$M$3:$X$3)*$K250*$L250</f>
        <v/>
      </c>
      <c r="AB250" s="13">
        <f>SUMPRODUCT(M250:X250,$M$4:$X$4)*$K250*$L250</f>
        <v/>
      </c>
      <c r="AC250" s="15">
        <f>SUMPRODUCT(M250:X250,$M$5:$X$5)*$K250*$L250</f>
        <v/>
      </c>
      <c r="AD250" s="15">
        <f>SUMPRODUCT(M250:X250,$M$6:$X$6)*$K250*$L250</f>
        <v/>
      </c>
      <c r="AE250" s="19" t="n"/>
    </row>
    <row r="251">
      <c r="A251" s="9" t="n">
        <v>669796</v>
      </c>
      <c r="B251" s="9" t="inlineStr">
        <is>
          <t>Jose E. Hernandez</t>
        </is>
      </c>
      <c r="C251" s="9" t="inlineStr">
        <is>
          <t>PIT</t>
        </is>
      </c>
      <c r="D251" s="9" t="n">
        <v>29</v>
      </c>
      <c r="E251" s="17" t="inlineStr">
        <is>
          <t>L</t>
        </is>
      </c>
      <c r="F251" s="17" t="n"/>
      <c r="G251" s="9" t="n">
        <v>25</v>
      </c>
      <c r="H251" s="9" t="n">
        <v>248</v>
      </c>
      <c r="I251" s="9" t="inlineStr">
        <is>
          <t>Depth (no MLB IP)</t>
        </is>
      </c>
      <c r="J251" s="17" t="inlineStr">
        <is>
          <t>Opening Day</t>
        </is>
      </c>
      <c r="K251" s="11">
        <f>IFERROR(INDEX(Roles!$B$17:$B$20,MATCH(J251,Roles!$A$17:$A$20,0)),1)</f>
        <v/>
      </c>
      <c r="L251" s="18" t="n">
        <v>1</v>
      </c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3">
        <f>SUMPRODUCT(M251:X251,$M$2:$X$2)*$K251*$L251</f>
        <v/>
      </c>
      <c r="Z251" s="14">
        <f>SUM(M251:X251)</f>
        <v/>
      </c>
      <c r="AA251" s="13">
        <f>SUMPRODUCT(M251:X251,$M$3:$X$3)*$K251*$L251</f>
        <v/>
      </c>
      <c r="AB251" s="13">
        <f>SUMPRODUCT(M251:X251,$M$4:$X$4)*$K251*$L251</f>
        <v/>
      </c>
      <c r="AC251" s="15">
        <f>SUMPRODUCT(M251:X251,$M$5:$X$5)*$K251*$L251</f>
        <v/>
      </c>
      <c r="AD251" s="15">
        <f>SUMPRODUCT(M251:X251,$M$6:$X$6)*$K251*$L251</f>
        <v/>
      </c>
      <c r="AE251" s="19" t="n"/>
    </row>
    <row r="252">
      <c r="A252" s="9" t="n">
        <v>664299</v>
      </c>
      <c r="B252" s="9" t="inlineStr">
        <is>
          <t>Cristian Javier</t>
        </is>
      </c>
      <c r="C252" s="9" t="inlineStr">
        <is>
          <t>HOU</t>
        </is>
      </c>
      <c r="D252" s="9" t="n">
        <v>30</v>
      </c>
      <c r="E252" s="17" t="inlineStr">
        <is>
          <t>R</t>
        </is>
      </c>
      <c r="F252" s="17" t="n"/>
      <c r="G252" s="9" t="n">
        <v>267</v>
      </c>
      <c r="H252" s="9" t="n">
        <v>1846</v>
      </c>
      <c r="I252" s="9" t="inlineStr">
        <is>
          <t>End-of-Rotation Starter (SP4-5)</t>
        </is>
      </c>
      <c r="J252" s="17" t="inlineStr">
        <is>
          <t>Opening Day</t>
        </is>
      </c>
      <c r="K252" s="11">
        <f>IFERROR(INDEX(Roles!$B$17:$B$20,MATCH(J252,Roles!$A$17:$A$20,0)),1)</f>
        <v/>
      </c>
      <c r="L252" s="18" t="n">
        <v>1</v>
      </c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3">
        <f>SUMPRODUCT(M252:X252,$M$2:$X$2)*$K252*$L252</f>
        <v/>
      </c>
      <c r="Z252" s="14">
        <f>SUM(M252:X252)</f>
        <v/>
      </c>
      <c r="AA252" s="13">
        <f>SUMPRODUCT(M252:X252,$M$3:$X$3)*$K252*$L252</f>
        <v/>
      </c>
      <c r="AB252" s="13">
        <f>SUMPRODUCT(M252:X252,$M$4:$X$4)*$K252*$L252</f>
        <v/>
      </c>
      <c r="AC252" s="15">
        <f>SUMPRODUCT(M252:X252,$M$5:$X$5)*$K252*$L252</f>
        <v/>
      </c>
      <c r="AD252" s="15">
        <f>SUMPRODUCT(M252:X252,$M$6:$X$6)*$K252*$L252</f>
        <v/>
      </c>
      <c r="AE252" s="19" t="n"/>
    </row>
    <row r="253">
      <c r="A253" s="9" t="n">
        <v>453286</v>
      </c>
      <c r="B253" s="9" t="inlineStr">
        <is>
          <t>Max Scherzer</t>
        </is>
      </c>
      <c r="C253" s="9" t="inlineStr">
        <is>
          <t>TOR</t>
        </is>
      </c>
      <c r="D253" s="9" t="n">
        <v>42</v>
      </c>
      <c r="E253" s="17" t="inlineStr">
        <is>
          <t>R</t>
        </is>
      </c>
      <c r="F253" s="17" t="n"/>
      <c r="G253" s="9" t="n">
        <v>315</v>
      </c>
      <c r="H253" s="9" t="n">
        <v>2036</v>
      </c>
      <c r="I253" s="9" t="inlineStr">
        <is>
          <t>End-of-Rotation Starter (SP4-5)</t>
        </is>
      </c>
      <c r="J253" s="17" t="inlineStr">
        <is>
          <t>Opening Day</t>
        </is>
      </c>
      <c r="K253" s="11">
        <f>IFERROR(INDEX(Roles!$B$17:$B$20,MATCH(J253,Roles!$A$17:$A$20,0)),1)</f>
        <v/>
      </c>
      <c r="L253" s="18" t="n">
        <v>1</v>
      </c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3">
        <f>SUMPRODUCT(M253:X253,$M$2:$X$2)*$K253*$L253</f>
        <v/>
      </c>
      <c r="Z253" s="14">
        <f>SUM(M253:X253)</f>
        <v/>
      </c>
      <c r="AA253" s="13">
        <f>SUMPRODUCT(M253:X253,$M$3:$X$3)*$K253*$L253</f>
        <v/>
      </c>
      <c r="AB253" s="13">
        <f>SUMPRODUCT(M253:X253,$M$4:$X$4)*$K253*$L253</f>
        <v/>
      </c>
      <c r="AC253" s="15">
        <f>SUMPRODUCT(M253:X253,$M$5:$X$5)*$K253*$L253</f>
        <v/>
      </c>
      <c r="AD253" s="15">
        <f>SUMPRODUCT(M253:X253,$M$6:$X$6)*$K253*$L253</f>
        <v/>
      </c>
      <c r="AE253" s="19" t="n"/>
    </row>
    <row r="254">
      <c r="A254" s="9" t="n">
        <v>805123</v>
      </c>
      <c r="B254" s="9" t="inlineStr">
        <is>
          <t>AJ Blubaugh</t>
        </is>
      </c>
      <c r="C254" s="9" t="inlineStr">
        <is>
          <t>HOU</t>
        </is>
      </c>
      <c r="D254" s="9" t="n">
        <v>26</v>
      </c>
      <c r="E254" s="17" t="inlineStr">
        <is>
          <t>R</t>
        </is>
      </c>
      <c r="F254" s="17" t="n"/>
      <c r="G254" s="9" t="n">
        <v>378</v>
      </c>
      <c r="H254" s="9" t="n">
        <v>502</v>
      </c>
      <c r="I254" s="9" t="inlineStr">
        <is>
          <t>Middle Relief</t>
        </is>
      </c>
      <c r="J254" s="17" t="inlineStr">
        <is>
          <t>Opening Day</t>
        </is>
      </c>
      <c r="K254" s="11">
        <f>IFERROR(INDEX(Roles!$B$17:$B$20,MATCH(J254,Roles!$A$17:$A$20,0)),1)</f>
        <v/>
      </c>
      <c r="L254" s="18" t="n">
        <v>1</v>
      </c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3">
        <f>SUMPRODUCT(M254:X254,$M$2:$X$2)*$K254*$L254</f>
        <v/>
      </c>
      <c r="Z254" s="14">
        <f>SUM(M254:X254)</f>
        <v/>
      </c>
      <c r="AA254" s="13">
        <f>SUMPRODUCT(M254:X254,$M$3:$X$3)*$K254*$L254</f>
        <v/>
      </c>
      <c r="AB254" s="13">
        <f>SUMPRODUCT(M254:X254,$M$4:$X$4)*$K254*$L254</f>
        <v/>
      </c>
      <c r="AC254" s="15">
        <f>SUMPRODUCT(M254:X254,$M$5:$X$5)*$K254*$L254</f>
        <v/>
      </c>
      <c r="AD254" s="15">
        <f>SUMPRODUCT(M254:X254,$M$6:$X$6)*$K254*$L254</f>
        <v/>
      </c>
      <c r="AE254" s="19" t="n"/>
    </row>
    <row r="255">
      <c r="A255" s="9" t="n">
        <v>605397</v>
      </c>
      <c r="B255" s="9" t="inlineStr">
        <is>
          <t>Joe Musgrove</t>
        </is>
      </c>
      <c r="C255" s="9" t="inlineStr">
        <is>
          <t>SD</t>
        </is>
      </c>
      <c r="D255" s="9" t="n">
        <v>34</v>
      </c>
      <c r="E255" s="17" t="inlineStr">
        <is>
          <t>R</t>
        </is>
      </c>
      <c r="F255" s="17" t="n"/>
      <c r="G255" s="9" t="n">
        <v>410</v>
      </c>
      <c r="H255" s="9" t="n">
        <v>1549</v>
      </c>
      <c r="I255" s="9" t="inlineStr">
        <is>
          <t>Depth (no MLB IP)</t>
        </is>
      </c>
      <c r="J255" s="17" t="inlineStr">
        <is>
          <t>Opening Day</t>
        </is>
      </c>
      <c r="K255" s="11">
        <f>IFERROR(INDEX(Roles!$B$17:$B$20,MATCH(J255,Roles!$A$17:$A$20,0)),1)</f>
        <v/>
      </c>
      <c r="L255" s="18" t="n">
        <v>1</v>
      </c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3">
        <f>SUMPRODUCT(M255:X255,$M$2:$X$2)*$K255*$L255</f>
        <v/>
      </c>
      <c r="Z255" s="14">
        <f>SUM(M255:X255)</f>
        <v/>
      </c>
      <c r="AA255" s="13">
        <f>SUMPRODUCT(M255:X255,$M$3:$X$3)*$K255*$L255</f>
        <v/>
      </c>
      <c r="AB255" s="13">
        <f>SUMPRODUCT(M255:X255,$M$4:$X$4)*$K255*$L255</f>
        <v/>
      </c>
      <c r="AC255" s="15">
        <f>SUMPRODUCT(M255:X255,$M$5:$X$5)*$K255*$L255</f>
        <v/>
      </c>
      <c r="AD255" s="15">
        <f>SUMPRODUCT(M255:X255,$M$6:$X$6)*$K255*$L255</f>
        <v/>
      </c>
      <c r="AE255" s="19" t="n"/>
    </row>
    <row r="256">
      <c r="A256" s="9" t="n">
        <v>680732</v>
      </c>
      <c r="B256" s="9" t="inlineStr">
        <is>
          <t>Sean Burke</t>
        </is>
      </c>
      <c r="C256" s="9" t="inlineStr">
        <is>
          <t>CWS</t>
        </is>
      </c>
      <c r="D256" s="9" t="n">
        <v>27</v>
      </c>
      <c r="E256" s="17" t="inlineStr">
        <is>
          <t>R</t>
        </is>
      </c>
      <c r="F256" s="17" t="n"/>
      <c r="G256" s="9" t="n">
        <v>669</v>
      </c>
      <c r="H256" s="9" t="n">
        <v>1341</v>
      </c>
      <c r="I256" s="9" t="inlineStr">
        <is>
          <t>Mid-Rotation Starter (SP2-3)</t>
        </is>
      </c>
      <c r="J256" s="17" t="inlineStr">
        <is>
          <t>Opening Day</t>
        </is>
      </c>
      <c r="K256" s="11">
        <f>IFERROR(INDEX(Roles!$B$17:$B$20,MATCH(J256,Roles!$A$17:$A$20,0)),1)</f>
        <v/>
      </c>
      <c r="L256" s="18" t="n">
        <v>1</v>
      </c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3">
        <f>SUMPRODUCT(M256:X256,$M$2:$X$2)*$K256*$L256</f>
        <v/>
      </c>
      <c r="Z256" s="14">
        <f>SUM(M256:X256)</f>
        <v/>
      </c>
      <c r="AA256" s="13">
        <f>SUMPRODUCT(M256:X256,$M$3:$X$3)*$K256*$L256</f>
        <v/>
      </c>
      <c r="AB256" s="13">
        <f>SUMPRODUCT(M256:X256,$M$4:$X$4)*$K256*$L256</f>
        <v/>
      </c>
      <c r="AC256" s="15">
        <f>SUMPRODUCT(M256:X256,$M$5:$X$5)*$K256*$L256</f>
        <v/>
      </c>
      <c r="AD256" s="15">
        <f>SUMPRODUCT(M256:X256,$M$6:$X$6)*$K256*$L256</f>
        <v/>
      </c>
      <c r="AE256" s="19" t="n"/>
    </row>
    <row r="257">
      <c r="A257" s="9" t="n">
        <v>660825</v>
      </c>
      <c r="B257" s="9" t="inlineStr">
        <is>
          <t>Eduard Bazardo</t>
        </is>
      </c>
      <c r="C257" s="9" t="inlineStr">
        <is>
          <t>SEA</t>
        </is>
      </c>
      <c r="D257" s="9" t="n">
        <v>31</v>
      </c>
      <c r="E257" s="17" t="inlineStr">
        <is>
          <t>R</t>
        </is>
      </c>
      <c r="F257" s="17" t="n"/>
      <c r="G257" s="9" t="n">
        <v>279</v>
      </c>
      <c r="H257" s="9" t="n">
        <v>832</v>
      </c>
      <c r="I257" s="9" t="inlineStr">
        <is>
          <t>Middle Relief</t>
        </is>
      </c>
      <c r="J257" s="17" t="inlineStr">
        <is>
          <t>Opening Day</t>
        </is>
      </c>
      <c r="K257" s="11">
        <f>IFERROR(INDEX(Roles!$B$17:$B$20,MATCH(J257,Roles!$A$17:$A$20,0)),1)</f>
        <v/>
      </c>
      <c r="L257" s="18" t="n">
        <v>1</v>
      </c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3">
        <f>SUMPRODUCT(M257:X257,$M$2:$X$2)*$K257*$L257</f>
        <v/>
      </c>
      <c r="Z257" s="14">
        <f>SUM(M257:X257)</f>
        <v/>
      </c>
      <c r="AA257" s="13">
        <f>SUMPRODUCT(M257:X257,$M$3:$X$3)*$K257*$L257</f>
        <v/>
      </c>
      <c r="AB257" s="13">
        <f>SUMPRODUCT(M257:X257,$M$4:$X$4)*$K257*$L257</f>
        <v/>
      </c>
      <c r="AC257" s="15">
        <f>SUMPRODUCT(M257:X257,$M$5:$X$5)*$K257*$L257</f>
        <v/>
      </c>
      <c r="AD257" s="15">
        <f>SUMPRODUCT(M257:X257,$M$6:$X$6)*$K257*$L257</f>
        <v/>
      </c>
      <c r="AE257" s="19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7" t="inlineStr">
        <is>
          <t>R</t>
        </is>
      </c>
      <c r="F258" s="17" t="n"/>
      <c r="G258" s="9" t="n">
        <v>75</v>
      </c>
      <c r="H258" s="9" t="n">
        <v>380</v>
      </c>
      <c r="I258" s="9" t="inlineStr">
        <is>
          <t>Depth (no MLB IP)</t>
        </is>
      </c>
      <c r="J258" s="17" t="inlineStr">
        <is>
          <t>Opening Day</t>
        </is>
      </c>
      <c r="K258" s="11">
        <f>IFERROR(INDEX(Roles!$B$17:$B$20,MATCH(J258,Roles!$A$17:$A$20,0)),1)</f>
        <v/>
      </c>
      <c r="L258" s="18" t="n">
        <v>1</v>
      </c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3">
        <f>SUMPRODUCT(M258:X258,$M$2:$X$2)*$K258*$L258</f>
        <v/>
      </c>
      <c r="Z258" s="14">
        <f>SUM(M258:X258)</f>
        <v/>
      </c>
      <c r="AA258" s="13">
        <f>SUMPRODUCT(M258:X258,$M$3:$X$3)*$K258*$L258</f>
        <v/>
      </c>
      <c r="AB258" s="13">
        <f>SUMPRODUCT(M258:X258,$M$4:$X$4)*$K258*$L258</f>
        <v/>
      </c>
      <c r="AC258" s="15">
        <f>SUMPRODUCT(M258:X258,$M$5:$X$5)*$K258*$L258</f>
        <v/>
      </c>
      <c r="AD258" s="15">
        <f>SUMPRODUCT(M258:X258,$M$6:$X$6)*$K258*$L258</f>
        <v/>
      </c>
      <c r="AE258" s="19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7" t="inlineStr">
        <is>
          <t>R</t>
        </is>
      </c>
      <c r="F259" s="17" t="n"/>
      <c r="G259" s="9" t="n">
        <v>103</v>
      </c>
      <c r="H259" s="9" t="n">
        <v>103</v>
      </c>
      <c r="I259" s="9" t="inlineStr">
        <is>
          <t>Bullpen Depth Arm</t>
        </is>
      </c>
      <c r="J259" s="17" t="inlineStr">
        <is>
          <t>Opening Day</t>
        </is>
      </c>
      <c r="K259" s="11">
        <f>IFERROR(INDEX(Roles!$B$17:$B$20,MATCH(J259,Roles!$A$17:$A$20,0)),1)</f>
        <v/>
      </c>
      <c r="L259" s="18" t="n">
        <v>1</v>
      </c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3">
        <f>SUMPRODUCT(M259:X259,$M$2:$X$2)*$K259*$L259</f>
        <v/>
      </c>
      <c r="Z259" s="14">
        <f>SUM(M259:X259)</f>
        <v/>
      </c>
      <c r="AA259" s="13">
        <f>SUMPRODUCT(M259:X259,$M$3:$X$3)*$K259*$L259</f>
        <v/>
      </c>
      <c r="AB259" s="13">
        <f>SUMPRODUCT(M259:X259,$M$4:$X$4)*$K259*$L259</f>
        <v/>
      </c>
      <c r="AC259" s="15">
        <f>SUMPRODUCT(M259:X259,$M$5:$X$5)*$K259*$L259</f>
        <v/>
      </c>
      <c r="AD259" s="15">
        <f>SUMPRODUCT(M259:X259,$M$6:$X$6)*$K259*$L259</f>
        <v/>
      </c>
      <c r="AE259" s="19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7" t="inlineStr">
        <is>
          <t>R</t>
        </is>
      </c>
      <c r="F260" s="17" t="n"/>
      <c r="G260" s="9" t="n">
        <v>18</v>
      </c>
      <c r="H260" s="9" t="n">
        <v>105</v>
      </c>
      <c r="I260" s="9" t="inlineStr">
        <is>
          <t>Depth (no MLB IP)</t>
        </is>
      </c>
      <c r="J260" s="17" t="inlineStr">
        <is>
          <t>Opening Day</t>
        </is>
      </c>
      <c r="K260" s="11">
        <f>IFERROR(INDEX(Roles!$B$17:$B$20,MATCH(J260,Roles!$A$17:$A$20,0)),1)</f>
        <v/>
      </c>
      <c r="L260" s="18" t="n">
        <v>1</v>
      </c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3">
        <f>SUMPRODUCT(M260:X260,$M$2:$X$2)*$K260*$L260</f>
        <v/>
      </c>
      <c r="Z260" s="14">
        <f>SUM(M260:X260)</f>
        <v/>
      </c>
      <c r="AA260" s="13">
        <f>SUMPRODUCT(M260:X260,$M$3:$X$3)*$K260*$L260</f>
        <v/>
      </c>
      <c r="AB260" s="13">
        <f>SUMPRODUCT(M260:X260,$M$4:$X$4)*$K260*$L260</f>
        <v/>
      </c>
      <c r="AC260" s="15">
        <f>SUMPRODUCT(M260:X260,$M$5:$X$5)*$K260*$L260</f>
        <v/>
      </c>
      <c r="AD260" s="15">
        <f>SUMPRODUCT(M260:X260,$M$6:$X$6)*$K260*$L260</f>
        <v/>
      </c>
      <c r="AE260" s="19" t="n"/>
    </row>
    <row r="261">
      <c r="A261" s="9" t="n">
        <v>607481</v>
      </c>
      <c r="B261" s="9" t="inlineStr">
        <is>
          <t>Aaron Bummer</t>
        </is>
      </c>
      <c r="C261" s="9" t="inlineStr">
        <is>
          <t>KC</t>
        </is>
      </c>
      <c r="D261" s="9" t="n">
        <v>33</v>
      </c>
      <c r="E261" s="17" t="inlineStr">
        <is>
          <t>L</t>
        </is>
      </c>
      <c r="F261" s="17" t="n"/>
      <c r="G261" s="9" t="n">
        <v>88</v>
      </c>
      <c r="H261" s="9" t="n">
        <v>951</v>
      </c>
      <c r="I261" s="9" t="inlineStr">
        <is>
          <t>Bullpen Depth Arm</t>
        </is>
      </c>
      <c r="J261" s="17" t="inlineStr">
        <is>
          <t>Opening Day</t>
        </is>
      </c>
      <c r="K261" s="11">
        <f>IFERROR(INDEX(Roles!$B$17:$B$20,MATCH(J261,Roles!$A$17:$A$20,0)),1)</f>
        <v/>
      </c>
      <c r="L261" s="18" t="n">
        <v>1</v>
      </c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3">
        <f>SUMPRODUCT(M261:X261,$M$2:$X$2)*$K261*$L261</f>
        <v/>
      </c>
      <c r="Z261" s="14">
        <f>SUM(M261:X261)</f>
        <v/>
      </c>
      <c r="AA261" s="13">
        <f>SUMPRODUCT(M261:X261,$M$3:$X$3)*$K261*$L261</f>
        <v/>
      </c>
      <c r="AB261" s="13">
        <f>SUMPRODUCT(M261:X261,$M$4:$X$4)*$K261*$L261</f>
        <v/>
      </c>
      <c r="AC261" s="15">
        <f>SUMPRODUCT(M261:X261,$M$5:$X$5)*$K261*$L261</f>
        <v/>
      </c>
      <c r="AD261" s="15">
        <f>SUMPRODUCT(M261:X261,$M$6:$X$6)*$K261*$L261</f>
        <v/>
      </c>
      <c r="AE261" s="19" t="n"/>
    </row>
    <row r="262">
      <c r="A262" s="9" t="n">
        <v>592848</v>
      </c>
      <c r="B262" s="9" t="inlineStr">
        <is>
          <t>Zack Weiss</t>
        </is>
      </c>
      <c r="C262" s="9" t="inlineStr">
        <is>
          <t>BOS</t>
        </is>
      </c>
      <c r="D262" s="9" t="n">
        <v>35</v>
      </c>
      <c r="E262" s="17" t="inlineStr">
        <is>
          <t>R</t>
        </is>
      </c>
      <c r="F262" s="17" t="n"/>
      <c r="G262" s="9" t="n">
        <v>58</v>
      </c>
      <c r="H262" s="9" t="n">
        <v>114</v>
      </c>
      <c r="I262" s="9" t="inlineStr">
        <is>
          <t>Depth (no MLB IP)</t>
        </is>
      </c>
      <c r="J262" s="17" t="inlineStr">
        <is>
          <t>Opening Day</t>
        </is>
      </c>
      <c r="K262" s="11">
        <f>IFERROR(INDEX(Roles!$B$17:$B$20,MATCH(J262,Roles!$A$17:$A$20,0)),1)</f>
        <v/>
      </c>
      <c r="L262" s="18" t="n">
        <v>1</v>
      </c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3">
        <f>SUMPRODUCT(M262:X262,$M$2:$X$2)*$K262*$L262</f>
        <v/>
      </c>
      <c r="Z262" s="14">
        <f>SUM(M262:X262)</f>
        <v/>
      </c>
      <c r="AA262" s="13">
        <f>SUMPRODUCT(M262:X262,$M$3:$X$3)*$K262*$L262</f>
        <v/>
      </c>
      <c r="AB262" s="13">
        <f>SUMPRODUCT(M262:X262,$M$4:$X$4)*$K262*$L262</f>
        <v/>
      </c>
      <c r="AC262" s="15">
        <f>SUMPRODUCT(M262:X262,$M$5:$X$5)*$K262*$L262</f>
        <v/>
      </c>
      <c r="AD262" s="15">
        <f>SUMPRODUCT(M262:X262,$M$6:$X$6)*$K262*$L262</f>
        <v/>
      </c>
      <c r="AE262" s="19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7" t="inlineStr">
        <is>
          <t>R</t>
        </is>
      </c>
      <c r="F263" s="17" t="n"/>
      <c r="G263" s="9" t="n">
        <v>28</v>
      </c>
      <c r="H263" s="9" t="n">
        <v>786</v>
      </c>
      <c r="I263" s="9" t="inlineStr">
        <is>
          <t>End-of-Rotation Starter (SP4-5)</t>
        </is>
      </c>
      <c r="J263" s="17" t="inlineStr">
        <is>
          <t>Opening Day</t>
        </is>
      </c>
      <c r="K263" s="11">
        <f>IFERROR(INDEX(Roles!$B$17:$B$20,MATCH(J263,Roles!$A$17:$A$20,0)),1)</f>
        <v/>
      </c>
      <c r="L263" s="18" t="n">
        <v>1</v>
      </c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3">
        <f>SUMPRODUCT(M263:X263,$M$2:$X$2)*$K263*$L263</f>
        <v/>
      </c>
      <c r="Z263" s="14">
        <f>SUM(M263:X263)</f>
        <v/>
      </c>
      <c r="AA263" s="13">
        <f>SUMPRODUCT(M263:X263,$M$3:$X$3)*$K263*$L263</f>
        <v/>
      </c>
      <c r="AB263" s="13">
        <f>SUMPRODUCT(M263:X263,$M$4:$X$4)*$K263*$L263</f>
        <v/>
      </c>
      <c r="AC263" s="15">
        <f>SUMPRODUCT(M263:X263,$M$5:$X$5)*$K263*$L263</f>
        <v/>
      </c>
      <c r="AD263" s="15">
        <f>SUMPRODUCT(M263:X263,$M$6:$X$6)*$K263*$L263</f>
        <v/>
      </c>
      <c r="AE263" s="19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7" t="inlineStr">
        <is>
          <t>R</t>
        </is>
      </c>
      <c r="F264" s="17" t="n"/>
      <c r="G264" s="9" t="n">
        <v>39</v>
      </c>
      <c r="H264" s="9" t="n">
        <v>590</v>
      </c>
      <c r="I264" s="9" t="inlineStr">
        <is>
          <t>Depth (no MLB IP)</t>
        </is>
      </c>
      <c r="J264" s="17" t="inlineStr">
        <is>
          <t>Opening Day</t>
        </is>
      </c>
      <c r="K264" s="11">
        <f>IFERROR(INDEX(Roles!$B$17:$B$20,MATCH(J264,Roles!$A$17:$A$20,0)),1)</f>
        <v/>
      </c>
      <c r="L264" s="18" t="n">
        <v>1</v>
      </c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3">
        <f>SUMPRODUCT(M264:X264,$M$2:$X$2)*$K264*$L264</f>
        <v/>
      </c>
      <c r="Z264" s="14">
        <f>SUM(M264:X264)</f>
        <v/>
      </c>
      <c r="AA264" s="13">
        <f>SUMPRODUCT(M264:X264,$M$3:$X$3)*$K264*$L264</f>
        <v/>
      </c>
      <c r="AB264" s="13">
        <f>SUMPRODUCT(M264:X264,$M$4:$X$4)*$K264*$L264</f>
        <v/>
      </c>
      <c r="AC264" s="15">
        <f>SUMPRODUCT(M264:X264,$M$5:$X$5)*$K264*$L264</f>
        <v/>
      </c>
      <c r="AD264" s="15">
        <f>SUMPRODUCT(M264:X264,$M$6:$X$6)*$K264*$L264</f>
        <v/>
      </c>
      <c r="AE264" s="19" t="n"/>
    </row>
    <row r="265">
      <c r="A265" s="9" t="n">
        <v>656641</v>
      </c>
      <c r="B265" s="9" t="inlineStr">
        <is>
          <t>Jacob Latz</t>
        </is>
      </c>
      <c r="C265" s="9" t="inlineStr">
        <is>
          <t>TEX</t>
        </is>
      </c>
      <c r="D265" s="9" t="n">
        <v>31</v>
      </c>
      <c r="E265" s="17" t="inlineStr">
        <is>
          <t>L</t>
        </is>
      </c>
      <c r="F265" s="17" t="n"/>
      <c r="G265" s="9" t="n">
        <v>254</v>
      </c>
      <c r="H265" s="9" t="n">
        <v>816</v>
      </c>
      <c r="I265" s="9" t="inlineStr">
        <is>
          <t>Middle Relief</t>
        </is>
      </c>
      <c r="J265" s="17" t="inlineStr">
        <is>
          <t>Opening Day</t>
        </is>
      </c>
      <c r="K265" s="11">
        <f>IFERROR(INDEX(Roles!$B$17:$B$20,MATCH(J265,Roles!$A$17:$A$20,0)),1)</f>
        <v/>
      </c>
      <c r="L265" s="18" t="n">
        <v>1</v>
      </c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3">
        <f>SUMPRODUCT(M265:X265,$M$2:$X$2)*$K265*$L265</f>
        <v/>
      </c>
      <c r="Z265" s="14">
        <f>SUM(M265:X265)</f>
        <v/>
      </c>
      <c r="AA265" s="13">
        <f>SUMPRODUCT(M265:X265,$M$3:$X$3)*$K265*$L265</f>
        <v/>
      </c>
      <c r="AB265" s="13">
        <f>SUMPRODUCT(M265:X265,$M$4:$X$4)*$K265*$L265</f>
        <v/>
      </c>
      <c r="AC265" s="15">
        <f>SUMPRODUCT(M265:X265,$M$5:$X$5)*$K265*$L265</f>
        <v/>
      </c>
      <c r="AD265" s="15">
        <f>SUMPRODUCT(M265:X265,$M$6:$X$6)*$K265*$L265</f>
        <v/>
      </c>
      <c r="AE265" s="19" t="n"/>
    </row>
    <row r="266">
      <c r="A266" s="9" t="n">
        <v>642376</v>
      </c>
      <c r="B266" s="9" t="inlineStr">
        <is>
          <t>Jefry Yan</t>
        </is>
      </c>
      <c r="C266" s="9" t="inlineStr">
        <is>
          <t>NYM</t>
        </is>
      </c>
      <c r="D266" s="9" t="n">
        <v>30</v>
      </c>
      <c r="E266" s="17" t="inlineStr">
        <is>
          <t>L</t>
        </is>
      </c>
      <c r="F266" s="17" t="n"/>
      <c r="G266" s="9" t="n">
        <v>71</v>
      </c>
      <c r="H266" s="9" t="n">
        <v>71</v>
      </c>
      <c r="I266" s="9" t="inlineStr">
        <is>
          <t>Bullpen Depth Arm</t>
        </is>
      </c>
      <c r="J266" s="17" t="inlineStr">
        <is>
          <t>Opening Day</t>
        </is>
      </c>
      <c r="K266" s="11">
        <f>IFERROR(INDEX(Roles!$B$17:$B$20,MATCH(J266,Roles!$A$17:$A$20,0)),1)</f>
        <v/>
      </c>
      <c r="L266" s="18" t="n">
        <v>1</v>
      </c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3">
        <f>SUMPRODUCT(M266:X266,$M$2:$X$2)*$K266*$L266</f>
        <v/>
      </c>
      <c r="Z266" s="14">
        <f>SUM(M266:X266)</f>
        <v/>
      </c>
      <c r="AA266" s="13">
        <f>SUMPRODUCT(M266:X266,$M$3:$X$3)*$K266*$L266</f>
        <v/>
      </c>
      <c r="AB266" s="13">
        <f>SUMPRODUCT(M266:X266,$M$4:$X$4)*$K266*$L266</f>
        <v/>
      </c>
      <c r="AC266" s="15">
        <f>SUMPRODUCT(M266:X266,$M$5:$X$5)*$K266*$L266</f>
        <v/>
      </c>
      <c r="AD266" s="15">
        <f>SUMPRODUCT(M266:X266,$M$6:$X$6)*$K266*$L266</f>
        <v/>
      </c>
      <c r="AE266" s="19" t="n"/>
    </row>
    <row r="267">
      <c r="A267" s="9" t="n">
        <v>676684</v>
      </c>
      <c r="B267" s="9" t="inlineStr">
        <is>
          <t>Will Vest</t>
        </is>
      </c>
      <c r="C267" s="9" t="inlineStr">
        <is>
          <t>DET</t>
        </is>
      </c>
      <c r="D267" s="9" t="n">
        <v>32</v>
      </c>
      <c r="E267" s="17" t="inlineStr">
        <is>
          <t>R</t>
        </is>
      </c>
      <c r="F267" s="17" t="n"/>
      <c r="G267" s="9" t="n">
        <v>116</v>
      </c>
      <c r="H267" s="9" t="n">
        <v>1160</v>
      </c>
      <c r="I267" s="9" t="inlineStr">
        <is>
          <t>Closer</t>
        </is>
      </c>
      <c r="J267" s="17" t="inlineStr">
        <is>
          <t>Opening Day</t>
        </is>
      </c>
      <c r="K267" s="11">
        <f>IFERROR(INDEX(Roles!$B$17:$B$20,MATCH(J267,Roles!$A$17:$A$20,0)),1)</f>
        <v/>
      </c>
      <c r="L267" s="18" t="n">
        <v>1</v>
      </c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3">
        <f>SUMPRODUCT(M267:X267,$M$2:$X$2)*$K267*$L267</f>
        <v/>
      </c>
      <c r="Z267" s="14">
        <f>SUM(M267:X267)</f>
        <v/>
      </c>
      <c r="AA267" s="13">
        <f>SUMPRODUCT(M267:X267,$M$3:$X$3)*$K267*$L267</f>
        <v/>
      </c>
      <c r="AB267" s="13">
        <f>SUMPRODUCT(M267:X267,$M$4:$X$4)*$K267*$L267</f>
        <v/>
      </c>
      <c r="AC267" s="15">
        <f>SUMPRODUCT(M267:X267,$M$5:$X$5)*$K267*$L267</f>
        <v/>
      </c>
      <c r="AD267" s="15">
        <f>SUMPRODUCT(M267:X267,$M$6:$X$6)*$K267*$L267</f>
        <v/>
      </c>
      <c r="AE267" s="19" t="n"/>
    </row>
    <row r="268">
      <c r="A268" s="9" t="n">
        <v>669622</v>
      </c>
      <c r="B268" s="9" t="inlineStr">
        <is>
          <t>Anthony Bender</t>
        </is>
      </c>
      <c r="C268" s="9" t="inlineStr">
        <is>
          <t>MIA</t>
        </is>
      </c>
      <c r="D268" s="9" t="n">
        <v>32</v>
      </c>
      <c r="E268" s="17" t="inlineStr">
        <is>
          <t>R</t>
        </is>
      </c>
      <c r="F268" s="17" t="n"/>
      <c r="G268" s="9" t="n">
        <v>140</v>
      </c>
      <c r="H268" s="9" t="n">
        <v>650</v>
      </c>
      <c r="I268" s="9" t="inlineStr">
        <is>
          <t>Closer</t>
        </is>
      </c>
      <c r="J268" s="17" t="inlineStr">
        <is>
          <t>Opening Day</t>
        </is>
      </c>
      <c r="K268" s="11">
        <f>IFERROR(INDEX(Roles!$B$17:$B$20,MATCH(J268,Roles!$A$17:$A$20,0)),1)</f>
        <v/>
      </c>
      <c r="L268" s="18" t="n">
        <v>1</v>
      </c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3">
        <f>SUMPRODUCT(M268:X268,$M$2:$X$2)*$K268*$L268</f>
        <v/>
      </c>
      <c r="Z268" s="14">
        <f>SUM(M268:X268)</f>
        <v/>
      </c>
      <c r="AA268" s="13">
        <f>SUMPRODUCT(M268:X268,$M$3:$X$3)*$K268*$L268</f>
        <v/>
      </c>
      <c r="AB268" s="13">
        <f>SUMPRODUCT(M268:X268,$M$4:$X$4)*$K268*$L268</f>
        <v/>
      </c>
      <c r="AC268" s="15">
        <f>SUMPRODUCT(M268:X268,$M$5:$X$5)*$K268*$L268</f>
        <v/>
      </c>
      <c r="AD268" s="15">
        <f>SUMPRODUCT(M268:X268,$M$6:$X$6)*$K268*$L268</f>
        <v/>
      </c>
      <c r="AE268" s="19" t="n"/>
    </row>
    <row r="269">
      <c r="A269" s="9" t="n">
        <v>656986</v>
      </c>
      <c r="B269" s="9" t="inlineStr">
        <is>
          <t>Bennett Sousa</t>
        </is>
      </c>
      <c r="C269" s="9" t="inlineStr">
        <is>
          <t>HOU</t>
        </is>
      </c>
      <c r="D269" s="9" t="n">
        <v>32</v>
      </c>
      <c r="E269" s="17" t="inlineStr">
        <is>
          <t>L</t>
        </is>
      </c>
      <c r="F269" s="17" t="n"/>
      <c r="G269" s="9" t="n">
        <v>119</v>
      </c>
      <c r="H269" s="9" t="n">
        <v>448</v>
      </c>
      <c r="I269" s="9" t="inlineStr">
        <is>
          <t>Late Inning RP (Setup)</t>
        </is>
      </c>
      <c r="J269" s="17" t="inlineStr">
        <is>
          <t>Opening Day</t>
        </is>
      </c>
      <c r="K269" s="11">
        <f>IFERROR(INDEX(Roles!$B$17:$B$20,MATCH(J269,Roles!$A$17:$A$20,0)),1)</f>
        <v/>
      </c>
      <c r="L269" s="18" t="n">
        <v>1</v>
      </c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3">
        <f>SUMPRODUCT(M269:X269,$M$2:$X$2)*$K269*$L269</f>
        <v/>
      </c>
      <c r="Z269" s="14">
        <f>SUM(M269:X269)</f>
        <v/>
      </c>
      <c r="AA269" s="13">
        <f>SUMPRODUCT(M269:X269,$M$3:$X$3)*$K269*$L269</f>
        <v/>
      </c>
      <c r="AB269" s="13">
        <f>SUMPRODUCT(M269:X269,$M$4:$X$4)*$K269*$L269</f>
        <v/>
      </c>
      <c r="AC269" s="15">
        <f>SUMPRODUCT(M269:X269,$M$5:$X$5)*$K269*$L269</f>
        <v/>
      </c>
      <c r="AD269" s="15">
        <f>SUMPRODUCT(M269:X269,$M$6:$X$6)*$K269*$L269</f>
        <v/>
      </c>
      <c r="AE269" s="19" t="n"/>
    </row>
    <row r="270">
      <c r="A270" s="9" t="n">
        <v>656257</v>
      </c>
      <c r="B270" s="9" t="inlineStr">
        <is>
          <t>Jeff Brigham</t>
        </is>
      </c>
      <c r="C270" s="9" t="inlineStr">
        <is>
          <t>NYM</t>
        </is>
      </c>
      <c r="D270" s="9" t="n">
        <v>35</v>
      </c>
      <c r="E270" s="17" t="inlineStr">
        <is>
          <t>R</t>
        </is>
      </c>
      <c r="F270" s="17" t="n"/>
      <c r="G270" s="9" t="n">
        <v>18</v>
      </c>
      <c r="H270" s="9" t="n">
        <v>279</v>
      </c>
      <c r="I270" s="9" t="inlineStr">
        <is>
          <t>Depth (no MLB IP)</t>
        </is>
      </c>
      <c r="J270" s="17" t="inlineStr">
        <is>
          <t>Opening Day</t>
        </is>
      </c>
      <c r="K270" s="11">
        <f>IFERROR(INDEX(Roles!$B$17:$B$20,MATCH(J270,Roles!$A$17:$A$20,0)),1)</f>
        <v/>
      </c>
      <c r="L270" s="18" t="n">
        <v>1</v>
      </c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3">
        <f>SUMPRODUCT(M270:X270,$M$2:$X$2)*$K270*$L270</f>
        <v/>
      </c>
      <c r="Z270" s="14">
        <f>SUM(M270:X270)</f>
        <v/>
      </c>
      <c r="AA270" s="13">
        <f>SUMPRODUCT(M270:X270,$M$3:$X$3)*$K270*$L270</f>
        <v/>
      </c>
      <c r="AB270" s="13">
        <f>SUMPRODUCT(M270:X270,$M$4:$X$4)*$K270*$L270</f>
        <v/>
      </c>
      <c r="AC270" s="15">
        <f>SUMPRODUCT(M270:X270,$M$5:$X$5)*$K270*$L270</f>
        <v/>
      </c>
      <c r="AD270" s="15">
        <f>SUMPRODUCT(M270:X270,$M$6:$X$6)*$K270*$L270</f>
        <v/>
      </c>
      <c r="AE270" s="19" t="n"/>
    </row>
    <row r="271">
      <c r="A271" s="9" t="n">
        <v>657006</v>
      </c>
      <c r="B271" s="9" t="inlineStr">
        <is>
          <t>Justin Steele</t>
        </is>
      </c>
      <c r="C271" s="9" t="inlineStr">
        <is>
          <t>CHC</t>
        </is>
      </c>
      <c r="D271" s="9" t="n">
        <v>31</v>
      </c>
      <c r="E271" s="17" t="inlineStr">
        <is>
          <t>L</t>
        </is>
      </c>
      <c r="F271" s="17" t="n"/>
      <c r="G271" s="9" t="n">
        <v>92</v>
      </c>
      <c r="H271" s="9" t="n">
        <v>1875</v>
      </c>
      <c r="I271" s="9" t="inlineStr">
        <is>
          <t>Mid-Rotation Starter (SP2-3)</t>
        </is>
      </c>
      <c r="J271" s="17" t="inlineStr">
        <is>
          <t>Opening Day</t>
        </is>
      </c>
      <c r="K271" s="11">
        <f>IFERROR(INDEX(Roles!$B$17:$B$20,MATCH(J271,Roles!$A$17:$A$20,0)),1)</f>
        <v/>
      </c>
      <c r="L271" s="18" t="n">
        <v>1</v>
      </c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3">
        <f>SUMPRODUCT(M271:X271,$M$2:$X$2)*$K271*$L271</f>
        <v/>
      </c>
      <c r="Z271" s="14">
        <f>SUM(M271:X271)</f>
        <v/>
      </c>
      <c r="AA271" s="13">
        <f>SUMPRODUCT(M271:X271,$M$3:$X$3)*$K271*$L271</f>
        <v/>
      </c>
      <c r="AB271" s="13">
        <f>SUMPRODUCT(M271:X271,$M$4:$X$4)*$K271*$L271</f>
        <v/>
      </c>
      <c r="AC271" s="15">
        <f>SUMPRODUCT(M271:X271,$M$5:$X$5)*$K271*$L271</f>
        <v/>
      </c>
      <c r="AD271" s="15">
        <f>SUMPRODUCT(M271:X271,$M$6:$X$6)*$K271*$L271</f>
        <v/>
      </c>
      <c r="AE271" s="19" t="n"/>
    </row>
    <row r="272">
      <c r="A272" s="9" t="n">
        <v>506433</v>
      </c>
      <c r="B272" s="9" t="inlineStr">
        <is>
          <t>Yu Darvish</t>
        </is>
      </c>
      <c r="C272" s="9" t="inlineStr">
        <is>
          <t>SD</t>
        </is>
      </c>
      <c r="D272" s="9" t="n">
        <v>40</v>
      </c>
      <c r="E272" s="17" t="inlineStr">
        <is>
          <t>R</t>
        </is>
      </c>
      <c r="F272" s="17" t="n"/>
      <c r="G272" s="9" t="n">
        <v>296</v>
      </c>
      <c r="H272" s="9" t="n">
        <v>1972</v>
      </c>
      <c r="I272" s="9" t="inlineStr">
        <is>
          <t>End-of-Rotation Starter (SP4-5)</t>
        </is>
      </c>
      <c r="J272" s="17" t="inlineStr">
        <is>
          <t>Opening Day</t>
        </is>
      </c>
      <c r="K272" s="11">
        <f>IFERROR(INDEX(Roles!$B$17:$B$20,MATCH(J272,Roles!$A$17:$A$20,0)),1)</f>
        <v/>
      </c>
      <c r="L272" s="18" t="n">
        <v>1</v>
      </c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3">
        <f>SUMPRODUCT(M272:X272,$M$2:$X$2)*$K272*$L272</f>
        <v/>
      </c>
      <c r="Z272" s="14">
        <f>SUM(M272:X272)</f>
        <v/>
      </c>
      <c r="AA272" s="13">
        <f>SUMPRODUCT(M272:X272,$M$3:$X$3)*$K272*$L272</f>
        <v/>
      </c>
      <c r="AB272" s="13">
        <f>SUMPRODUCT(M272:X272,$M$4:$X$4)*$K272*$L272</f>
        <v/>
      </c>
      <c r="AC272" s="15">
        <f>SUMPRODUCT(M272:X272,$M$5:$X$5)*$K272*$L272</f>
        <v/>
      </c>
      <c r="AD272" s="15">
        <f>SUMPRODUCT(M272:X272,$M$6:$X$6)*$K272*$L272</f>
        <v/>
      </c>
      <c r="AE272" s="19" t="n"/>
    </row>
    <row r="273">
      <c r="A273" s="9" t="n">
        <v>678061</v>
      </c>
      <c r="B273" s="9" t="inlineStr">
        <is>
          <t>Ray Kerr</t>
        </is>
      </c>
      <c r="C273" s="9" t="inlineStr">
        <is>
          <t>ATL</t>
        </is>
      </c>
      <c r="D273" s="9" t="n">
        <v>32</v>
      </c>
      <c r="E273" s="17" t="inlineStr">
        <is>
          <t>L</t>
        </is>
      </c>
      <c r="F273" s="17" t="n"/>
      <c r="G273" s="9" t="n">
        <v>51</v>
      </c>
      <c r="H273" s="9" t="n">
        <v>289</v>
      </c>
      <c r="I273" s="9" t="inlineStr">
        <is>
          <t>Middle Relief</t>
        </is>
      </c>
      <c r="J273" s="17" t="inlineStr">
        <is>
          <t>Opening Day</t>
        </is>
      </c>
      <c r="K273" s="11">
        <f>IFERROR(INDEX(Roles!$B$17:$B$20,MATCH(J273,Roles!$A$17:$A$20,0)),1)</f>
        <v/>
      </c>
      <c r="L273" s="18" t="n">
        <v>1</v>
      </c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3">
        <f>SUMPRODUCT(M273:X273,$M$2:$X$2)*$K273*$L273</f>
        <v/>
      </c>
      <c r="Z273" s="14">
        <f>SUM(M273:X273)</f>
        <v/>
      </c>
      <c r="AA273" s="13">
        <f>SUMPRODUCT(M273:X273,$M$3:$X$3)*$K273*$L273</f>
        <v/>
      </c>
      <c r="AB273" s="13">
        <f>SUMPRODUCT(M273:X273,$M$4:$X$4)*$K273*$L273</f>
        <v/>
      </c>
      <c r="AC273" s="15">
        <f>SUMPRODUCT(M273:X273,$M$5:$X$5)*$K273*$L273</f>
        <v/>
      </c>
      <c r="AD273" s="15">
        <f>SUMPRODUCT(M273:X273,$M$6:$X$6)*$K273*$L273</f>
        <v/>
      </c>
      <c r="AE273" s="19" t="n"/>
    </row>
    <row r="274">
      <c r="A274" s="9" t="n">
        <v>699044</v>
      </c>
      <c r="B274" s="9" t="inlineStr">
        <is>
          <t>Miguel Ullola</t>
        </is>
      </c>
      <c r="C274" s="9" t="inlineStr">
        <is>
          <t>HOU</t>
        </is>
      </c>
      <c r="D274" s="9" t="n">
        <v>25</v>
      </c>
      <c r="E274" s="17" t="inlineStr">
        <is>
          <t>R</t>
        </is>
      </c>
      <c r="F274" s="17" t="n"/>
      <c r="G274" s="9" t="n">
        <v>30</v>
      </c>
      <c r="H274" s="9" t="n">
        <v>30</v>
      </c>
      <c r="I274" s="9" t="inlineStr">
        <is>
          <t>Bullpen Depth Arm</t>
        </is>
      </c>
      <c r="J274" s="17" t="inlineStr">
        <is>
          <t>Opening Day</t>
        </is>
      </c>
      <c r="K274" s="11">
        <f>IFERROR(INDEX(Roles!$B$17:$B$20,MATCH(J274,Roles!$A$17:$A$20,0)),1)</f>
        <v/>
      </c>
      <c r="L274" s="18" t="n">
        <v>1</v>
      </c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3">
        <f>SUMPRODUCT(M274:X274,$M$2:$X$2)*$K274*$L274</f>
        <v/>
      </c>
      <c r="Z274" s="14">
        <f>SUM(M274:X274)</f>
        <v/>
      </c>
      <c r="AA274" s="13">
        <f>SUMPRODUCT(M274:X274,$M$3:$X$3)*$K274*$L274</f>
        <v/>
      </c>
      <c r="AB274" s="13">
        <f>SUMPRODUCT(M274:X274,$M$4:$X$4)*$K274*$L274</f>
        <v/>
      </c>
      <c r="AC274" s="15">
        <f>SUMPRODUCT(M274:X274,$M$5:$X$5)*$K274*$L274</f>
        <v/>
      </c>
      <c r="AD274" s="15">
        <f>SUMPRODUCT(M274:X274,$M$6:$X$6)*$K274*$L274</f>
        <v/>
      </c>
      <c r="AE274" s="19" t="n"/>
    </row>
    <row r="275">
      <c r="A275" s="9" t="n">
        <v>640455</v>
      </c>
      <c r="B275" s="9" t="inlineStr">
        <is>
          <t>Sean Manaea</t>
        </is>
      </c>
      <c r="C275" s="9" t="inlineStr">
        <is>
          <t>NYM</t>
        </is>
      </c>
      <c r="D275" s="9" t="n">
        <v>35</v>
      </c>
      <c r="E275" s="17" t="inlineStr">
        <is>
          <t>L</t>
        </is>
      </c>
      <c r="F275" s="17" t="n"/>
      <c r="G275" s="9" t="n">
        <v>601</v>
      </c>
      <c r="H275" s="9" t="n">
        <v>2772</v>
      </c>
      <c r="I275" s="9" t="inlineStr">
        <is>
          <t>End-of-Rotation Starter (SP4-5)</t>
        </is>
      </c>
      <c r="J275" s="17" t="inlineStr">
        <is>
          <t>Opening Day</t>
        </is>
      </c>
      <c r="K275" s="11">
        <f>IFERROR(INDEX(Roles!$B$17:$B$20,MATCH(J275,Roles!$A$17:$A$20,0)),1)</f>
        <v/>
      </c>
      <c r="L275" s="18" t="n">
        <v>1</v>
      </c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3">
        <f>SUMPRODUCT(M275:X275,$M$2:$X$2)*$K275*$L275</f>
        <v/>
      </c>
      <c r="Z275" s="14">
        <f>SUM(M275:X275)</f>
        <v/>
      </c>
      <c r="AA275" s="13">
        <f>SUMPRODUCT(M275:X275,$M$3:$X$3)*$K275*$L275</f>
        <v/>
      </c>
      <c r="AB275" s="13">
        <f>SUMPRODUCT(M275:X275,$M$4:$X$4)*$K275*$L275</f>
        <v/>
      </c>
      <c r="AC275" s="15">
        <f>SUMPRODUCT(M275:X275,$M$5:$X$5)*$K275*$L275</f>
        <v/>
      </c>
      <c r="AD275" s="15">
        <f>SUMPRODUCT(M275:X275,$M$6:$X$6)*$K275*$L275</f>
        <v/>
      </c>
      <c r="AE275" s="19" t="n"/>
    </row>
    <row r="276">
      <c r="A276" s="9" t="n">
        <v>519151</v>
      </c>
      <c r="B276" s="9" t="inlineStr">
        <is>
          <t>Ryan Pressly</t>
        </is>
      </c>
      <c r="C276" s="9" t="inlineStr">
        <is>
          <t>CHC</t>
        </is>
      </c>
      <c r="D276" s="9" t="n">
        <v>38</v>
      </c>
      <c r="E276" s="17" t="inlineStr">
        <is>
          <t>R</t>
        </is>
      </c>
      <c r="F276" s="17" t="n"/>
      <c r="G276" s="9" t="n">
        <v>182</v>
      </c>
      <c r="H276" s="9" t="n">
        <v>876</v>
      </c>
      <c r="I276" s="9" t="inlineStr">
        <is>
          <t>Bullpen Depth Arm</t>
        </is>
      </c>
      <c r="J276" s="17" t="inlineStr">
        <is>
          <t>Opening Day</t>
        </is>
      </c>
      <c r="K276" s="11">
        <f>IFERROR(INDEX(Roles!$B$17:$B$20,MATCH(J276,Roles!$A$17:$A$20,0)),1)</f>
        <v/>
      </c>
      <c r="L276" s="18" t="n">
        <v>1</v>
      </c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3">
        <f>SUMPRODUCT(M276:X276,$M$2:$X$2)*$K276*$L276</f>
        <v/>
      </c>
      <c r="Z276" s="14">
        <f>SUM(M276:X276)</f>
        <v/>
      </c>
      <c r="AA276" s="13">
        <f>SUMPRODUCT(M276:X276,$M$3:$X$3)*$K276*$L276</f>
        <v/>
      </c>
      <c r="AB276" s="13">
        <f>SUMPRODUCT(M276:X276,$M$4:$X$4)*$K276*$L276</f>
        <v/>
      </c>
      <c r="AC276" s="15">
        <f>SUMPRODUCT(M276:X276,$M$5:$X$5)*$K276*$L276</f>
        <v/>
      </c>
      <c r="AD276" s="15">
        <f>SUMPRODUCT(M276:X276,$M$6:$X$6)*$K276*$L276</f>
        <v/>
      </c>
      <c r="AE276" s="19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7" t="inlineStr">
        <is>
          <t>L</t>
        </is>
      </c>
      <c r="F277" s="17" t="n"/>
      <c r="G277" s="9" t="n">
        <v>210</v>
      </c>
      <c r="H277" s="9" t="n">
        <v>732</v>
      </c>
      <c r="I277" s="9" t="inlineStr">
        <is>
          <t>Depth (no MLB IP)</t>
        </is>
      </c>
      <c r="J277" s="17" t="inlineStr">
        <is>
          <t>Opening Day</t>
        </is>
      </c>
      <c r="K277" s="11">
        <f>IFERROR(INDEX(Roles!$B$17:$B$20,MATCH(J277,Roles!$A$17:$A$20,0)),1)</f>
        <v/>
      </c>
      <c r="L277" s="18" t="n">
        <v>1</v>
      </c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3">
        <f>SUMPRODUCT(M277:X277,$M$2:$X$2)*$K277*$L277</f>
        <v/>
      </c>
      <c r="Z277" s="14">
        <f>SUM(M277:X277)</f>
        <v/>
      </c>
      <c r="AA277" s="13">
        <f>SUMPRODUCT(M277:X277,$M$3:$X$3)*$K277*$L277</f>
        <v/>
      </c>
      <c r="AB277" s="13">
        <f>SUMPRODUCT(M277:X277,$M$4:$X$4)*$K277*$L277</f>
        <v/>
      </c>
      <c r="AC277" s="15">
        <f>SUMPRODUCT(M277:X277,$M$5:$X$5)*$K277*$L277</f>
        <v/>
      </c>
      <c r="AD277" s="15">
        <f>SUMPRODUCT(M277:X277,$M$6:$X$6)*$K277*$L277</f>
        <v/>
      </c>
      <c r="AE277" s="19" t="n"/>
    </row>
    <row r="278">
      <c r="A278" s="9" t="n">
        <v>685126</v>
      </c>
      <c r="B278" s="9" t="inlineStr">
        <is>
          <t>Brandon Eisert</t>
        </is>
      </c>
      <c r="C278" s="9" t="inlineStr">
        <is>
          <t>PIT</t>
        </is>
      </c>
      <c r="D278" s="9" t="n">
        <v>29</v>
      </c>
      <c r="E278" s="17" t="inlineStr">
        <is>
          <t>L</t>
        </is>
      </c>
      <c r="F278" s="17" t="n"/>
      <c r="G278" s="9" t="n">
        <v>172</v>
      </c>
      <c r="H278" s="9" t="n">
        <v>504</v>
      </c>
      <c r="I278" s="9" t="inlineStr">
        <is>
          <t>Bullpen Depth Arm</t>
        </is>
      </c>
      <c r="J278" s="17" t="inlineStr">
        <is>
          <t>Opening Day</t>
        </is>
      </c>
      <c r="K278" s="11">
        <f>IFERROR(INDEX(Roles!$B$17:$B$20,MATCH(J278,Roles!$A$17:$A$20,0)),1)</f>
        <v/>
      </c>
      <c r="L278" s="18" t="n">
        <v>1</v>
      </c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3">
        <f>SUMPRODUCT(M278:X278,$M$2:$X$2)*$K278*$L278</f>
        <v/>
      </c>
      <c r="Z278" s="14">
        <f>SUM(M278:X278)</f>
        <v/>
      </c>
      <c r="AA278" s="13">
        <f>SUMPRODUCT(M278:X278,$M$3:$X$3)*$K278*$L278</f>
        <v/>
      </c>
      <c r="AB278" s="13">
        <f>SUMPRODUCT(M278:X278,$M$4:$X$4)*$K278*$L278</f>
        <v/>
      </c>
      <c r="AC278" s="15">
        <f>SUMPRODUCT(M278:X278,$M$5:$X$5)*$K278*$L278</f>
        <v/>
      </c>
      <c r="AD278" s="15">
        <f>SUMPRODUCT(M278:X278,$M$6:$X$6)*$K278*$L278</f>
        <v/>
      </c>
      <c r="AE278" s="19" t="n"/>
    </row>
    <row r="279">
      <c r="A279" s="9" t="n">
        <v>695611</v>
      </c>
      <c r="B279" s="9" t="inlineStr">
        <is>
          <t>Gage Jump</t>
        </is>
      </c>
      <c r="C279" s="9" t="inlineStr">
        <is>
          <t>OAK</t>
        </is>
      </c>
      <c r="D279" s="9" t="n">
        <v>24</v>
      </c>
      <c r="E279" s="17" t="inlineStr">
        <is>
          <t>L</t>
        </is>
      </c>
      <c r="F279" s="17" t="n"/>
      <c r="G279" s="9" t="n">
        <v>437</v>
      </c>
      <c r="H279" s="9" t="n">
        <v>437</v>
      </c>
      <c r="I279" s="9" t="inlineStr">
        <is>
          <t>End-of-Rotation Starter (SP4-5)</t>
        </is>
      </c>
      <c r="J279" s="17" t="inlineStr">
        <is>
          <t>Opening Day</t>
        </is>
      </c>
      <c r="K279" s="11">
        <f>IFERROR(INDEX(Roles!$B$17:$B$20,MATCH(J279,Roles!$A$17:$A$20,0)),1)</f>
        <v/>
      </c>
      <c r="L279" s="18" t="n">
        <v>1</v>
      </c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3">
        <f>SUMPRODUCT(M279:X279,$M$2:$X$2)*$K279*$L279</f>
        <v/>
      </c>
      <c r="Z279" s="14">
        <f>SUM(M279:X279)</f>
        <v/>
      </c>
      <c r="AA279" s="13">
        <f>SUMPRODUCT(M279:X279,$M$3:$X$3)*$K279*$L279</f>
        <v/>
      </c>
      <c r="AB279" s="13">
        <f>SUMPRODUCT(M279:X279,$M$4:$X$4)*$K279*$L279</f>
        <v/>
      </c>
      <c r="AC279" s="15">
        <f>SUMPRODUCT(M279:X279,$M$5:$X$5)*$K279*$L279</f>
        <v/>
      </c>
      <c r="AD279" s="15">
        <f>SUMPRODUCT(M279:X279,$M$6:$X$6)*$K279*$L279</f>
        <v/>
      </c>
      <c r="AE279" s="19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7" t="inlineStr">
        <is>
          <t>R</t>
        </is>
      </c>
      <c r="F280" s="17" t="n"/>
      <c r="G280" s="9" t="n">
        <v>669</v>
      </c>
      <c r="H280" s="9" t="n">
        <v>2138</v>
      </c>
      <c r="I280" s="9" t="inlineStr">
        <is>
          <t>Mid-Rotation Starter (SP2-3)</t>
        </is>
      </c>
      <c r="J280" s="17" t="inlineStr">
        <is>
          <t>Opening Day</t>
        </is>
      </c>
      <c r="K280" s="11">
        <f>IFERROR(INDEX(Roles!$B$17:$B$20,MATCH(J280,Roles!$A$17:$A$20,0)),1)</f>
        <v/>
      </c>
      <c r="L280" s="18" t="n">
        <v>1</v>
      </c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3">
        <f>SUMPRODUCT(M280:X280,$M$2:$X$2)*$K280*$L280</f>
        <v/>
      </c>
      <c r="Z280" s="14">
        <f>SUM(M280:X280)</f>
        <v/>
      </c>
      <c r="AA280" s="13">
        <f>SUMPRODUCT(M280:X280,$M$3:$X$3)*$K280*$L280</f>
        <v/>
      </c>
      <c r="AB280" s="13">
        <f>SUMPRODUCT(M280:X280,$M$4:$X$4)*$K280*$L280</f>
        <v/>
      </c>
      <c r="AC280" s="15">
        <f>SUMPRODUCT(M280:X280,$M$5:$X$5)*$K280*$L280</f>
        <v/>
      </c>
      <c r="AD280" s="15">
        <f>SUMPRODUCT(M280:X280,$M$6:$X$6)*$K280*$L280</f>
        <v/>
      </c>
      <c r="AE280" s="19" t="n"/>
    </row>
    <row r="281">
      <c r="A281" s="9" t="n">
        <v>688497</v>
      </c>
      <c r="B281" s="9" t="inlineStr">
        <is>
          <t>Taylor Rashi</t>
        </is>
      </c>
      <c r="C281" s="9" t="inlineStr">
        <is>
          <t>OAK</t>
        </is>
      </c>
      <c r="D281" s="9" t="n">
        <v>31</v>
      </c>
      <c r="E281" s="17" t="inlineStr">
        <is>
          <t>R</t>
        </is>
      </c>
      <c r="F281" s="17" t="n"/>
      <c r="G281" s="9" t="n">
        <v>26</v>
      </c>
      <c r="H281" s="9" t="n">
        <v>98</v>
      </c>
      <c r="I281" s="9" t="inlineStr">
        <is>
          <t>Bullpen Depth Arm</t>
        </is>
      </c>
      <c r="J281" s="17" t="inlineStr">
        <is>
          <t>Opening Day</t>
        </is>
      </c>
      <c r="K281" s="11">
        <f>IFERROR(INDEX(Roles!$B$17:$B$20,MATCH(J281,Roles!$A$17:$A$20,0)),1)</f>
        <v/>
      </c>
      <c r="L281" s="18" t="n">
        <v>1</v>
      </c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3">
        <f>SUMPRODUCT(M281:X281,$M$2:$X$2)*$K281*$L281</f>
        <v/>
      </c>
      <c r="Z281" s="14">
        <f>SUM(M281:X281)</f>
        <v/>
      </c>
      <c r="AA281" s="13">
        <f>SUMPRODUCT(M281:X281,$M$3:$X$3)*$K281*$L281</f>
        <v/>
      </c>
      <c r="AB281" s="13">
        <f>SUMPRODUCT(M281:X281,$M$4:$X$4)*$K281*$L281</f>
        <v/>
      </c>
      <c r="AC281" s="15">
        <f>SUMPRODUCT(M281:X281,$M$5:$X$5)*$K281*$L281</f>
        <v/>
      </c>
      <c r="AD281" s="15">
        <f>SUMPRODUCT(M281:X281,$M$6:$X$6)*$K281*$L281</f>
        <v/>
      </c>
      <c r="AE281" s="19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7" t="inlineStr">
        <is>
          <t>L</t>
        </is>
      </c>
      <c r="F282" s="17" t="n"/>
      <c r="G282" s="9" t="n">
        <v>130</v>
      </c>
      <c r="H282" s="9" t="n">
        <v>130</v>
      </c>
      <c r="I282" s="9" t="inlineStr">
        <is>
          <t>Bullpen Depth Arm</t>
        </is>
      </c>
      <c r="J282" s="17" t="inlineStr">
        <is>
          <t>Opening Day</t>
        </is>
      </c>
      <c r="K282" s="11">
        <f>IFERROR(INDEX(Roles!$B$17:$B$20,MATCH(J282,Roles!$A$17:$A$20,0)),1)</f>
        <v/>
      </c>
      <c r="L282" s="18" t="n">
        <v>1</v>
      </c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3">
        <f>SUMPRODUCT(M282:X282,$M$2:$X$2)*$K282*$L282</f>
        <v/>
      </c>
      <c r="Z282" s="14">
        <f>SUM(M282:X282)</f>
        <v/>
      </c>
      <c r="AA282" s="13">
        <f>SUMPRODUCT(M282:X282,$M$3:$X$3)*$K282*$L282</f>
        <v/>
      </c>
      <c r="AB282" s="13">
        <f>SUMPRODUCT(M282:X282,$M$4:$X$4)*$K282*$L282</f>
        <v/>
      </c>
      <c r="AC282" s="15">
        <f>SUMPRODUCT(M282:X282,$M$5:$X$5)*$K282*$L282</f>
        <v/>
      </c>
      <c r="AD282" s="15">
        <f>SUMPRODUCT(M282:X282,$M$6:$X$6)*$K282*$L282</f>
        <v/>
      </c>
      <c r="AE282" s="19" t="n"/>
    </row>
    <row r="283">
      <c r="A283" s="9" t="n">
        <v>656731</v>
      </c>
      <c r="B283" s="9" t="inlineStr">
        <is>
          <t>Tylor Megill</t>
        </is>
      </c>
      <c r="C283" s="9" t="inlineStr">
        <is>
          <t>NYM</t>
        </is>
      </c>
      <c r="D283" s="9" t="n">
        <v>31</v>
      </c>
      <c r="E283" s="17" t="inlineStr">
        <is>
          <t>R</t>
        </is>
      </c>
      <c r="F283" s="17" t="n"/>
      <c r="G283" s="9" t="n">
        <v>305</v>
      </c>
      <c r="H283" s="9" t="n">
        <v>1409</v>
      </c>
      <c r="I283" s="9" t="inlineStr">
        <is>
          <t>End-of-Rotation Starter (SP4-5)</t>
        </is>
      </c>
      <c r="J283" s="17" t="inlineStr">
        <is>
          <t>Opening Day</t>
        </is>
      </c>
      <c r="K283" s="11">
        <f>IFERROR(INDEX(Roles!$B$17:$B$20,MATCH(J283,Roles!$A$17:$A$20,0)),1)</f>
        <v/>
      </c>
      <c r="L283" s="18" t="n">
        <v>1</v>
      </c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3">
        <f>SUMPRODUCT(M283:X283,$M$2:$X$2)*$K283*$L283</f>
        <v/>
      </c>
      <c r="Z283" s="14">
        <f>SUM(M283:X283)</f>
        <v/>
      </c>
      <c r="AA283" s="13">
        <f>SUMPRODUCT(M283:X283,$M$3:$X$3)*$K283*$L283</f>
        <v/>
      </c>
      <c r="AB283" s="13">
        <f>SUMPRODUCT(M283:X283,$M$4:$X$4)*$K283*$L283</f>
        <v/>
      </c>
      <c r="AC283" s="15">
        <f>SUMPRODUCT(M283:X283,$M$5:$X$5)*$K283*$L283</f>
        <v/>
      </c>
      <c r="AD283" s="15">
        <f>SUMPRODUCT(M283:X283,$M$6:$X$6)*$K283*$L283</f>
        <v/>
      </c>
      <c r="AE283" s="19" t="n"/>
    </row>
    <row r="284">
      <c r="A284" s="9" t="n">
        <v>688158</v>
      </c>
      <c r="B284" s="9" t="inlineStr">
        <is>
          <t>David Morgan</t>
        </is>
      </c>
      <c r="C284" s="9" t="inlineStr">
        <is>
          <t>SD</t>
        </is>
      </c>
      <c r="D284" s="9" t="n">
        <v>27</v>
      </c>
      <c r="E284" s="17" t="inlineStr">
        <is>
          <t>R</t>
        </is>
      </c>
      <c r="F284" s="17" t="n"/>
      <c r="G284" s="9" t="n">
        <v>139</v>
      </c>
      <c r="H284" s="9" t="n">
        <v>332</v>
      </c>
      <c r="I284" s="9" t="inlineStr">
        <is>
          <t>Bullpen Depth Arm</t>
        </is>
      </c>
      <c r="J284" s="17" t="inlineStr">
        <is>
          <t>Opening Day</t>
        </is>
      </c>
      <c r="K284" s="11">
        <f>IFERROR(INDEX(Roles!$B$17:$B$20,MATCH(J284,Roles!$A$17:$A$20,0)),1)</f>
        <v/>
      </c>
      <c r="L284" s="18" t="n">
        <v>1</v>
      </c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3">
        <f>SUMPRODUCT(M284:X284,$M$2:$X$2)*$K284*$L284</f>
        <v/>
      </c>
      <c r="Z284" s="14">
        <f>SUM(M284:X284)</f>
        <v/>
      </c>
      <c r="AA284" s="13">
        <f>SUMPRODUCT(M284:X284,$M$3:$X$3)*$K284*$L284</f>
        <v/>
      </c>
      <c r="AB284" s="13">
        <f>SUMPRODUCT(M284:X284,$M$4:$X$4)*$K284*$L284</f>
        <v/>
      </c>
      <c r="AC284" s="15">
        <f>SUMPRODUCT(M284:X284,$M$5:$X$5)*$K284*$L284</f>
        <v/>
      </c>
      <c r="AD284" s="15">
        <f>SUMPRODUCT(M284:X284,$M$6:$X$6)*$K284*$L284</f>
        <v/>
      </c>
      <c r="AE284" s="19" t="n"/>
    </row>
    <row r="285">
      <c r="A285" s="9" t="n">
        <v>542888</v>
      </c>
      <c r="B285" s="9" t="inlineStr">
        <is>
          <t>Shawn Armstrong</t>
        </is>
      </c>
      <c r="C285" s="9" t="inlineStr">
        <is>
          <t>CLE</t>
        </is>
      </c>
      <c r="D285" s="9" t="n">
        <v>36</v>
      </c>
      <c r="E285" s="17" t="inlineStr">
        <is>
          <t>R</t>
        </is>
      </c>
      <c r="F285" s="17" t="n"/>
      <c r="G285" s="9" t="n">
        <v>146</v>
      </c>
      <c r="H285" s="9" t="n">
        <v>1201</v>
      </c>
      <c r="I285" s="9" t="inlineStr">
        <is>
          <t>Middle Relief</t>
        </is>
      </c>
      <c r="J285" s="17" t="inlineStr">
        <is>
          <t>Opening Day</t>
        </is>
      </c>
      <c r="K285" s="11">
        <f>IFERROR(INDEX(Roles!$B$17:$B$20,MATCH(J285,Roles!$A$17:$A$20,0)),1)</f>
        <v/>
      </c>
      <c r="L285" s="18" t="n">
        <v>1</v>
      </c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3">
        <f>SUMPRODUCT(M285:X285,$M$2:$X$2)*$K285*$L285</f>
        <v/>
      </c>
      <c r="Z285" s="14">
        <f>SUM(M285:X285)</f>
        <v/>
      </c>
      <c r="AA285" s="13">
        <f>SUMPRODUCT(M285:X285,$M$3:$X$3)*$K285*$L285</f>
        <v/>
      </c>
      <c r="AB285" s="13">
        <f>SUMPRODUCT(M285:X285,$M$4:$X$4)*$K285*$L285</f>
        <v/>
      </c>
      <c r="AC285" s="15">
        <f>SUMPRODUCT(M285:X285,$M$5:$X$5)*$K285*$L285</f>
        <v/>
      </c>
      <c r="AD285" s="15">
        <f>SUMPRODUCT(M285:X285,$M$6:$X$6)*$K285*$L285</f>
        <v/>
      </c>
      <c r="AE285" s="19" t="n"/>
    </row>
    <row r="286">
      <c r="A286" s="9" t="n">
        <v>656629</v>
      </c>
      <c r="B286" s="9" t="inlineStr">
        <is>
          <t>Michael Kopech</t>
        </is>
      </c>
      <c r="C286" s="9" t="inlineStr">
        <is>
          <t>LAD</t>
        </is>
      </c>
      <c r="D286" s="9" t="n">
        <v>31</v>
      </c>
      <c r="E286" s="17" t="inlineStr">
        <is>
          <t>R</t>
        </is>
      </c>
      <c r="F286" s="17" t="n"/>
      <c r="G286" s="9" t="n">
        <v>53</v>
      </c>
      <c r="H286" s="9" t="n">
        <v>1417</v>
      </c>
      <c r="I286" s="9" t="inlineStr">
        <is>
          <t>Bullpen Depth Arm</t>
        </is>
      </c>
      <c r="J286" s="17" t="inlineStr">
        <is>
          <t>Opening Day</t>
        </is>
      </c>
      <c r="K286" s="11">
        <f>IFERROR(INDEX(Roles!$B$17:$B$20,MATCH(J286,Roles!$A$17:$A$20,0)),1)</f>
        <v/>
      </c>
      <c r="L286" s="18" t="n">
        <v>1</v>
      </c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3">
        <f>SUMPRODUCT(M286:X286,$M$2:$X$2)*$K286*$L286</f>
        <v/>
      </c>
      <c r="Z286" s="14">
        <f>SUM(M286:X286)</f>
        <v/>
      </c>
      <c r="AA286" s="13">
        <f>SUMPRODUCT(M286:X286,$M$3:$X$3)*$K286*$L286</f>
        <v/>
      </c>
      <c r="AB286" s="13">
        <f>SUMPRODUCT(M286:X286,$M$4:$X$4)*$K286*$L286</f>
        <v/>
      </c>
      <c r="AC286" s="15">
        <f>SUMPRODUCT(M286:X286,$M$5:$X$5)*$K286*$L286</f>
        <v/>
      </c>
      <c r="AD286" s="15">
        <f>SUMPRODUCT(M286:X286,$M$6:$X$6)*$K286*$L286</f>
        <v/>
      </c>
      <c r="AE286" s="19" t="n"/>
    </row>
    <row r="287">
      <c r="A287" s="9" t="n">
        <v>702303</v>
      </c>
      <c r="B287" s="9" t="inlineStr">
        <is>
          <t>Riley Martin</t>
        </is>
      </c>
      <c r="C287" s="9" t="inlineStr">
        <is>
          <t>CHC</t>
        </is>
      </c>
      <c r="D287" s="9" t="n">
        <v>29</v>
      </c>
      <c r="E287" s="17" t="inlineStr">
        <is>
          <t>L</t>
        </is>
      </c>
      <c r="F287" s="17" t="n"/>
      <c r="G287" s="9" t="n">
        <v>31</v>
      </c>
      <c r="H287" s="9" t="n">
        <v>31</v>
      </c>
      <c r="I287" s="9" t="inlineStr">
        <is>
          <t>Middle Relief</t>
        </is>
      </c>
      <c r="J287" s="17" t="inlineStr">
        <is>
          <t>Opening Day</t>
        </is>
      </c>
      <c r="K287" s="11">
        <f>IFERROR(INDEX(Roles!$B$17:$B$20,MATCH(J287,Roles!$A$17:$A$20,0)),1)</f>
        <v/>
      </c>
      <c r="L287" s="18" t="n">
        <v>1</v>
      </c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3">
        <f>SUMPRODUCT(M287:X287,$M$2:$X$2)*$K287*$L287</f>
        <v/>
      </c>
      <c r="Z287" s="14">
        <f>SUM(M287:X287)</f>
        <v/>
      </c>
      <c r="AA287" s="13">
        <f>SUMPRODUCT(M287:X287,$M$3:$X$3)*$K287*$L287</f>
        <v/>
      </c>
      <c r="AB287" s="13">
        <f>SUMPRODUCT(M287:X287,$M$4:$X$4)*$K287*$L287</f>
        <v/>
      </c>
      <c r="AC287" s="15">
        <f>SUMPRODUCT(M287:X287,$M$5:$X$5)*$K287*$L287</f>
        <v/>
      </c>
      <c r="AD287" s="15">
        <f>SUMPRODUCT(M287:X287,$M$6:$X$6)*$K287*$L287</f>
        <v/>
      </c>
      <c r="AE287" s="19" t="n"/>
    </row>
    <row r="288">
      <c r="A288" s="9" t="n">
        <v>622075</v>
      </c>
      <c r="B288" s="9" t="inlineStr">
        <is>
          <t>Yency Almonte</t>
        </is>
      </c>
      <c r="C288" s="9" t="inlineStr">
        <is>
          <t>CHC</t>
        </is>
      </c>
      <c r="D288" s="9" t="n">
        <v>33</v>
      </c>
      <c r="E288" s="17" t="inlineStr">
        <is>
          <t>R</t>
        </is>
      </c>
      <c r="F288" s="17" t="n"/>
      <c r="G288" s="9" t="n">
        <v>67</v>
      </c>
      <c r="H288" s="9" t="n">
        <v>410</v>
      </c>
      <c r="I288" s="9" t="inlineStr">
        <is>
          <t>Depth (no MLB IP)</t>
        </is>
      </c>
      <c r="J288" s="17" t="inlineStr">
        <is>
          <t>Opening Day</t>
        </is>
      </c>
      <c r="K288" s="11">
        <f>IFERROR(INDEX(Roles!$B$17:$B$20,MATCH(J288,Roles!$A$17:$A$20,0)),1)</f>
        <v/>
      </c>
      <c r="L288" s="18" t="n">
        <v>1</v>
      </c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3">
        <f>SUMPRODUCT(M288:X288,$M$2:$X$2)*$K288*$L288</f>
        <v/>
      </c>
      <c r="Z288" s="14">
        <f>SUM(M288:X288)</f>
        <v/>
      </c>
      <c r="AA288" s="13">
        <f>SUMPRODUCT(M288:X288,$M$3:$X$3)*$K288*$L288</f>
        <v/>
      </c>
      <c r="AB288" s="13">
        <f>SUMPRODUCT(M288:X288,$M$4:$X$4)*$K288*$L288</f>
        <v/>
      </c>
      <c r="AC288" s="15">
        <f>SUMPRODUCT(M288:X288,$M$5:$X$5)*$K288*$L288</f>
        <v/>
      </c>
      <c r="AD288" s="15">
        <f>SUMPRODUCT(M288:X288,$M$6:$X$6)*$K288*$L288</f>
        <v/>
      </c>
      <c r="AE288" s="19" t="n"/>
    </row>
    <row r="289">
      <c r="A289" s="9" t="n">
        <v>686580</v>
      </c>
      <c r="B289" s="9" t="inlineStr">
        <is>
          <t>Justin Slaten</t>
        </is>
      </c>
      <c r="C289" s="9" t="inlineStr">
        <is>
          <t>BOS</t>
        </is>
      </c>
      <c r="D289" s="9" t="n">
        <v>29</v>
      </c>
      <c r="E289" s="17" t="inlineStr">
        <is>
          <t>R</t>
        </is>
      </c>
      <c r="F289" s="17" t="n"/>
      <c r="G289" s="9" t="n">
        <v>137</v>
      </c>
      <c r="H289" s="9" t="n">
        <v>498</v>
      </c>
      <c r="I289" s="9" t="inlineStr">
        <is>
          <t>Bullpen Depth Arm</t>
        </is>
      </c>
      <c r="J289" s="17" t="inlineStr">
        <is>
          <t>Opening Day</t>
        </is>
      </c>
      <c r="K289" s="11">
        <f>IFERROR(INDEX(Roles!$B$17:$B$20,MATCH(J289,Roles!$A$17:$A$20,0)),1)</f>
        <v/>
      </c>
      <c r="L289" s="18" t="n">
        <v>1</v>
      </c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3">
        <f>SUMPRODUCT(M289:X289,$M$2:$X$2)*$K289*$L289</f>
        <v/>
      </c>
      <c r="Z289" s="14">
        <f>SUM(M289:X289)</f>
        <v/>
      </c>
      <c r="AA289" s="13">
        <f>SUMPRODUCT(M289:X289,$M$3:$X$3)*$K289*$L289</f>
        <v/>
      </c>
      <c r="AB289" s="13">
        <f>SUMPRODUCT(M289:X289,$M$4:$X$4)*$K289*$L289</f>
        <v/>
      </c>
      <c r="AC289" s="15">
        <f>SUMPRODUCT(M289:X289,$M$5:$X$5)*$K289*$L289</f>
        <v/>
      </c>
      <c r="AD289" s="15">
        <f>SUMPRODUCT(M289:X289,$M$6:$X$6)*$K289*$L289</f>
        <v/>
      </c>
      <c r="AE289" s="19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7" t="inlineStr">
        <is>
          <t>R</t>
        </is>
      </c>
      <c r="F290" s="17" t="n"/>
      <c r="G290" s="9" t="n">
        <v>22</v>
      </c>
      <c r="H290" s="9" t="n">
        <v>282</v>
      </c>
      <c r="I290" s="9" t="inlineStr">
        <is>
          <t>Depth (no MLB IP)</t>
        </is>
      </c>
      <c r="J290" s="17" t="inlineStr">
        <is>
          <t>Opening Day</t>
        </is>
      </c>
      <c r="K290" s="11">
        <f>IFERROR(INDEX(Roles!$B$17:$B$20,MATCH(J290,Roles!$A$17:$A$20,0)),1)</f>
        <v/>
      </c>
      <c r="L290" s="18" t="n">
        <v>1</v>
      </c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3">
        <f>SUMPRODUCT(M290:X290,$M$2:$X$2)*$K290*$L290</f>
        <v/>
      </c>
      <c r="Z290" s="14">
        <f>SUM(M290:X290)</f>
        <v/>
      </c>
      <c r="AA290" s="13">
        <f>SUMPRODUCT(M290:X290,$M$3:$X$3)*$K290*$L290</f>
        <v/>
      </c>
      <c r="AB290" s="13">
        <f>SUMPRODUCT(M290:X290,$M$4:$X$4)*$K290*$L290</f>
        <v/>
      </c>
      <c r="AC290" s="15">
        <f>SUMPRODUCT(M290:X290,$M$5:$X$5)*$K290*$L290</f>
        <v/>
      </c>
      <c r="AD290" s="15">
        <f>SUMPRODUCT(M290:X290,$M$6:$X$6)*$K290*$L290</f>
        <v/>
      </c>
      <c r="AE290" s="19" t="n"/>
    </row>
    <row r="291">
      <c r="A291" s="9" t="n">
        <v>682120</v>
      </c>
      <c r="B291" s="9" t="inlineStr">
        <is>
          <t>Tim Herrin</t>
        </is>
      </c>
      <c r="C291" s="9" t="inlineStr">
        <is>
          <t>CLE</t>
        </is>
      </c>
      <c r="D291" s="9" t="n">
        <v>30</v>
      </c>
      <c r="E291" s="17" t="inlineStr">
        <is>
          <t>L</t>
        </is>
      </c>
      <c r="F291" s="17" t="n"/>
      <c r="G291" s="9" t="n">
        <v>224</v>
      </c>
      <c r="H291" s="9" t="n">
        <v>796</v>
      </c>
      <c r="I291" s="9" t="inlineStr">
        <is>
          <t>Bullpen Depth Arm</t>
        </is>
      </c>
      <c r="J291" s="17" t="inlineStr">
        <is>
          <t>Opening Day</t>
        </is>
      </c>
      <c r="K291" s="11">
        <f>IFERROR(INDEX(Roles!$B$17:$B$20,MATCH(J291,Roles!$A$17:$A$20,0)),1)</f>
        <v/>
      </c>
      <c r="L291" s="18" t="n">
        <v>1</v>
      </c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3">
        <f>SUMPRODUCT(M291:X291,$M$2:$X$2)*$K291*$L291</f>
        <v/>
      </c>
      <c r="Z291" s="14">
        <f>SUM(M291:X291)</f>
        <v/>
      </c>
      <c r="AA291" s="13">
        <f>SUMPRODUCT(M291:X291,$M$3:$X$3)*$K291*$L291</f>
        <v/>
      </c>
      <c r="AB291" s="13">
        <f>SUMPRODUCT(M291:X291,$M$4:$X$4)*$K291*$L291</f>
        <v/>
      </c>
      <c r="AC291" s="15">
        <f>SUMPRODUCT(M291:X291,$M$5:$X$5)*$K291*$L291</f>
        <v/>
      </c>
      <c r="AD291" s="15">
        <f>SUMPRODUCT(M291:X291,$M$6:$X$6)*$K291*$L291</f>
        <v/>
      </c>
      <c r="AE291" s="19" t="n"/>
    </row>
    <row r="292">
      <c r="A292" s="9" t="n">
        <v>668831</v>
      </c>
      <c r="B292" s="9" t="inlineStr">
        <is>
          <t>Garrett Stallings</t>
        </is>
      </c>
      <c r="C292" s="9" t="inlineStr">
        <is>
          <t>MIL</t>
        </is>
      </c>
      <c r="D292" s="9" t="n">
        <v>29</v>
      </c>
      <c r="E292" s="17" t="inlineStr">
        <is>
          <t>R</t>
        </is>
      </c>
      <c r="F292" s="17" t="n"/>
      <c r="G292" s="9" t="n">
        <v>44</v>
      </c>
      <c r="H292" s="9" t="n">
        <v>44</v>
      </c>
      <c r="I292" s="9" t="inlineStr">
        <is>
          <t>Middle Relief</t>
        </is>
      </c>
      <c r="J292" s="17" t="inlineStr">
        <is>
          <t>Opening Day</t>
        </is>
      </c>
      <c r="K292" s="11">
        <f>IFERROR(INDEX(Roles!$B$17:$B$20,MATCH(J292,Roles!$A$17:$A$20,0)),1)</f>
        <v/>
      </c>
      <c r="L292" s="18" t="n">
        <v>1</v>
      </c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3">
        <f>SUMPRODUCT(M292:X292,$M$2:$X$2)*$K292*$L292</f>
        <v/>
      </c>
      <c r="Z292" s="14">
        <f>SUM(M292:X292)</f>
        <v/>
      </c>
      <c r="AA292" s="13">
        <f>SUMPRODUCT(M292:X292,$M$3:$X$3)*$K292*$L292</f>
        <v/>
      </c>
      <c r="AB292" s="13">
        <f>SUMPRODUCT(M292:X292,$M$4:$X$4)*$K292*$L292</f>
        <v/>
      </c>
      <c r="AC292" s="15">
        <f>SUMPRODUCT(M292:X292,$M$5:$X$5)*$K292*$L292</f>
        <v/>
      </c>
      <c r="AD292" s="15">
        <f>SUMPRODUCT(M292:X292,$M$6:$X$6)*$K292*$L292</f>
        <v/>
      </c>
      <c r="AE292" s="19" t="n"/>
    </row>
    <row r="293">
      <c r="A293" s="9" t="n">
        <v>542914</v>
      </c>
      <c r="B293" s="9" t="inlineStr">
        <is>
          <t>Anthony Bass</t>
        </is>
      </c>
      <c r="C293" s="9" t="inlineStr">
        <is>
          <t>TOR</t>
        </is>
      </c>
      <c r="D293" s="9" t="n">
        <v>39</v>
      </c>
      <c r="E293" s="17" t="inlineStr">
        <is>
          <t>R</t>
        </is>
      </c>
      <c r="F293" s="17" t="n"/>
      <c r="G293" s="9" t="n">
        <v>88</v>
      </c>
      <c r="H293" s="9" t="n">
        <v>363</v>
      </c>
      <c r="I293" s="9" t="inlineStr">
        <is>
          <t>Depth (no MLB IP)</t>
        </is>
      </c>
      <c r="J293" s="17" t="inlineStr">
        <is>
          <t>Opening Day</t>
        </is>
      </c>
      <c r="K293" s="11">
        <f>IFERROR(INDEX(Roles!$B$17:$B$20,MATCH(J293,Roles!$A$17:$A$20,0)),1)</f>
        <v/>
      </c>
      <c r="L293" s="18" t="n">
        <v>1</v>
      </c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3">
        <f>SUMPRODUCT(M293:X293,$M$2:$X$2)*$K293*$L293</f>
        <v/>
      </c>
      <c r="Z293" s="14">
        <f>SUM(M293:X293)</f>
        <v/>
      </c>
      <c r="AA293" s="13">
        <f>SUMPRODUCT(M293:X293,$M$3:$X$3)*$K293*$L293</f>
        <v/>
      </c>
      <c r="AB293" s="13">
        <f>SUMPRODUCT(M293:X293,$M$4:$X$4)*$K293*$L293</f>
        <v/>
      </c>
      <c r="AC293" s="15">
        <f>SUMPRODUCT(M293:X293,$M$5:$X$5)*$K293*$L293</f>
        <v/>
      </c>
      <c r="AD293" s="15">
        <f>SUMPRODUCT(M293:X293,$M$6:$X$6)*$K293*$L293</f>
        <v/>
      </c>
      <c r="AE293" s="19" t="n"/>
    </row>
    <row r="294">
      <c r="A294" s="9" t="n">
        <v>543135</v>
      </c>
      <c r="B294" s="9" t="inlineStr">
        <is>
          <t>Nathan Eovaldi</t>
        </is>
      </c>
      <c r="C294" s="9" t="inlineStr">
        <is>
          <t>TEX</t>
        </is>
      </c>
      <c r="D294" s="9" t="n">
        <v>37</v>
      </c>
      <c r="E294" s="17" t="inlineStr">
        <is>
          <t>R</t>
        </is>
      </c>
      <c r="F294" s="17" t="n"/>
      <c r="G294" s="9" t="n">
        <v>582</v>
      </c>
      <c r="H294" s="9" t="n">
        <v>2811</v>
      </c>
      <c r="I294" s="9" t="inlineStr">
        <is>
          <t>Ace (SP1)</t>
        </is>
      </c>
      <c r="J294" s="17" t="inlineStr">
        <is>
          <t>Opening Day</t>
        </is>
      </c>
      <c r="K294" s="11">
        <f>IFERROR(INDEX(Roles!$B$17:$B$20,MATCH(J294,Roles!$A$17:$A$20,0)),1)</f>
        <v/>
      </c>
      <c r="L294" s="18" t="n">
        <v>1</v>
      </c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3">
        <f>SUMPRODUCT(M294:X294,$M$2:$X$2)*$K294*$L294</f>
        <v/>
      </c>
      <c r="Z294" s="14">
        <f>SUM(M294:X294)</f>
        <v/>
      </c>
      <c r="AA294" s="13">
        <f>SUMPRODUCT(M294:X294,$M$3:$X$3)*$K294*$L294</f>
        <v/>
      </c>
      <c r="AB294" s="13">
        <f>SUMPRODUCT(M294:X294,$M$4:$X$4)*$K294*$L294</f>
        <v/>
      </c>
      <c r="AC294" s="15">
        <f>SUMPRODUCT(M294:X294,$M$5:$X$5)*$K294*$L294</f>
        <v/>
      </c>
      <c r="AD294" s="15">
        <f>SUMPRODUCT(M294:X294,$M$6:$X$6)*$K294*$L294</f>
        <v/>
      </c>
      <c r="AE294" s="19" t="n"/>
    </row>
    <row r="295">
      <c r="A295" s="9" t="n">
        <v>659275</v>
      </c>
      <c r="B295" s="9" t="inlineStr">
        <is>
          <t>Dinelson Lamet</t>
        </is>
      </c>
      <c r="C295" s="9" t="inlineStr">
        <is>
          <t>BOS</t>
        </is>
      </c>
      <c r="D295" s="9" t="n">
        <v>34</v>
      </c>
      <c r="E295" s="17" t="inlineStr">
        <is>
          <t>R</t>
        </is>
      </c>
      <c r="F295" s="17" t="n"/>
      <c r="G295" s="9" t="n">
        <v>18</v>
      </c>
      <c r="H295" s="9" t="n">
        <v>312</v>
      </c>
      <c r="I295" s="9" t="inlineStr">
        <is>
          <t>Depth (no MLB IP)</t>
        </is>
      </c>
      <c r="J295" s="17" t="inlineStr">
        <is>
          <t>Opening Day</t>
        </is>
      </c>
      <c r="K295" s="11">
        <f>IFERROR(INDEX(Roles!$B$17:$B$20,MATCH(J295,Roles!$A$17:$A$20,0)),1)</f>
        <v/>
      </c>
      <c r="L295" s="18" t="n">
        <v>1</v>
      </c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3">
        <f>SUMPRODUCT(M295:X295,$M$2:$X$2)*$K295*$L295</f>
        <v/>
      </c>
      <c r="Z295" s="14">
        <f>SUM(M295:X295)</f>
        <v/>
      </c>
      <c r="AA295" s="13">
        <f>SUMPRODUCT(M295:X295,$M$3:$X$3)*$K295*$L295</f>
        <v/>
      </c>
      <c r="AB295" s="13">
        <f>SUMPRODUCT(M295:X295,$M$4:$X$4)*$K295*$L295</f>
        <v/>
      </c>
      <c r="AC295" s="15">
        <f>SUMPRODUCT(M295:X295,$M$5:$X$5)*$K295*$L295</f>
        <v/>
      </c>
      <c r="AD295" s="15">
        <f>SUMPRODUCT(M295:X295,$M$6:$X$6)*$K295*$L295</f>
        <v/>
      </c>
      <c r="AE295" s="19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7" t="inlineStr">
        <is>
          <t>R</t>
        </is>
      </c>
      <c r="F296" s="17" t="n"/>
      <c r="G296" s="9" t="n">
        <v>48</v>
      </c>
      <c r="H296" s="9" t="n">
        <v>132</v>
      </c>
      <c r="I296" s="9" t="inlineStr">
        <is>
          <t>Bullpen Depth Arm</t>
        </is>
      </c>
      <c r="J296" s="17" t="inlineStr">
        <is>
          <t>Opening Day</t>
        </is>
      </c>
      <c r="K296" s="11">
        <f>IFERROR(INDEX(Roles!$B$17:$B$20,MATCH(J296,Roles!$A$17:$A$20,0)),1)</f>
        <v/>
      </c>
      <c r="L296" s="18" t="n">
        <v>1</v>
      </c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3">
        <f>SUMPRODUCT(M296:X296,$M$2:$X$2)*$K296*$L296</f>
        <v/>
      </c>
      <c r="Z296" s="14">
        <f>SUM(M296:X296)</f>
        <v/>
      </c>
      <c r="AA296" s="13">
        <f>SUMPRODUCT(M296:X296,$M$3:$X$3)*$K296*$L296</f>
        <v/>
      </c>
      <c r="AB296" s="13">
        <f>SUMPRODUCT(M296:X296,$M$4:$X$4)*$K296*$L296</f>
        <v/>
      </c>
      <c r="AC296" s="15">
        <f>SUMPRODUCT(M296:X296,$M$5:$X$5)*$K296*$L296</f>
        <v/>
      </c>
      <c r="AD296" s="15">
        <f>SUMPRODUCT(M296:X296,$M$6:$X$6)*$K296*$L296</f>
        <v/>
      </c>
      <c r="AE296" s="19" t="n"/>
    </row>
    <row r="297">
      <c r="A297" s="9" t="n">
        <v>542585</v>
      </c>
      <c r="B297" s="9" t="inlineStr">
        <is>
          <t>José Cisnero</t>
        </is>
      </c>
      <c r="C297" s="9" t="inlineStr">
        <is>
          <t>LAA</t>
        </is>
      </c>
      <c r="D297" s="9" t="n">
        <v>38</v>
      </c>
      <c r="E297" s="17" t="inlineStr">
        <is>
          <t>R</t>
        </is>
      </c>
      <c r="F297" s="17" t="n"/>
      <c r="G297" s="9" t="n">
        <v>74</v>
      </c>
      <c r="H297" s="9" t="n">
        <v>446</v>
      </c>
      <c r="I297" s="9" t="inlineStr">
        <is>
          <t>Depth (no MLB IP)</t>
        </is>
      </c>
      <c r="J297" s="17" t="inlineStr">
        <is>
          <t>Opening Day</t>
        </is>
      </c>
      <c r="K297" s="11">
        <f>IFERROR(INDEX(Roles!$B$17:$B$20,MATCH(J297,Roles!$A$17:$A$20,0)),1)</f>
        <v/>
      </c>
      <c r="L297" s="18" t="n">
        <v>1</v>
      </c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3">
        <f>SUMPRODUCT(M297:X297,$M$2:$X$2)*$K297*$L297</f>
        <v/>
      </c>
      <c r="Z297" s="14">
        <f>SUM(M297:X297)</f>
        <v/>
      </c>
      <c r="AA297" s="13">
        <f>SUMPRODUCT(M297:X297,$M$3:$X$3)*$K297*$L297</f>
        <v/>
      </c>
      <c r="AB297" s="13">
        <f>SUMPRODUCT(M297:X297,$M$4:$X$4)*$K297*$L297</f>
        <v/>
      </c>
      <c r="AC297" s="15">
        <f>SUMPRODUCT(M297:X297,$M$5:$X$5)*$K297*$L297</f>
        <v/>
      </c>
      <c r="AD297" s="15">
        <f>SUMPRODUCT(M297:X297,$M$6:$X$6)*$K297*$L297</f>
        <v/>
      </c>
      <c r="AE297" s="19" t="n"/>
    </row>
    <row r="298">
      <c r="A298" s="9" t="n">
        <v>663574</v>
      </c>
      <c r="B298" s="9" t="inlineStr">
        <is>
          <t>Tony Santillan</t>
        </is>
      </c>
      <c r="C298" s="9" t="inlineStr">
        <is>
          <t>CIN</t>
        </is>
      </c>
      <c r="D298" s="9" t="n">
        <v>30</v>
      </c>
      <c r="E298" s="17" t="inlineStr">
        <is>
          <t>R</t>
        </is>
      </c>
      <c r="F298" s="17" t="n"/>
      <c r="G298" s="9" t="n">
        <v>191</v>
      </c>
      <c r="H298" s="9" t="n">
        <v>728</v>
      </c>
      <c r="I298" s="9" t="inlineStr">
        <is>
          <t>Bullpen Depth Arm</t>
        </is>
      </c>
      <c r="J298" s="17" t="inlineStr">
        <is>
          <t>Opening Day</t>
        </is>
      </c>
      <c r="K298" s="11">
        <f>IFERROR(INDEX(Roles!$B$17:$B$20,MATCH(J298,Roles!$A$17:$A$20,0)),1)</f>
        <v/>
      </c>
      <c r="L298" s="18" t="n">
        <v>1</v>
      </c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3">
        <f>SUMPRODUCT(M298:X298,$M$2:$X$2)*$K298*$L298</f>
        <v/>
      </c>
      <c r="Z298" s="14">
        <f>SUM(M298:X298)</f>
        <v/>
      </c>
      <c r="AA298" s="13">
        <f>SUMPRODUCT(M298:X298,$M$3:$X$3)*$K298*$L298</f>
        <v/>
      </c>
      <c r="AB298" s="13">
        <f>SUMPRODUCT(M298:X298,$M$4:$X$4)*$K298*$L298</f>
        <v/>
      </c>
      <c r="AC298" s="15">
        <f>SUMPRODUCT(M298:X298,$M$5:$X$5)*$K298*$L298</f>
        <v/>
      </c>
      <c r="AD298" s="15">
        <f>SUMPRODUCT(M298:X298,$M$6:$X$6)*$K298*$L298</f>
        <v/>
      </c>
      <c r="AE298" s="19" t="n"/>
    </row>
    <row r="299">
      <c r="A299" s="9" t="n">
        <v>665734</v>
      </c>
      <c r="B299" s="9" t="inlineStr">
        <is>
          <t>Angel Felipe</t>
        </is>
      </c>
      <c r="C299" s="9" t="inlineStr">
        <is>
          <t>OAK</t>
        </is>
      </c>
      <c r="D299" s="9" t="n">
        <v>29</v>
      </c>
      <c r="E299" s="17" t="inlineStr">
        <is>
          <t>R</t>
        </is>
      </c>
      <c r="F299" s="17" t="n"/>
      <c r="G299" s="9" t="n">
        <v>64</v>
      </c>
      <c r="H299" s="9" t="n">
        <v>64</v>
      </c>
      <c r="I299" s="9" t="inlineStr">
        <is>
          <t>Depth (no MLB IP)</t>
        </is>
      </c>
      <c r="J299" s="17" t="inlineStr">
        <is>
          <t>Opening Day</t>
        </is>
      </c>
      <c r="K299" s="11">
        <f>IFERROR(INDEX(Roles!$B$17:$B$20,MATCH(J299,Roles!$A$17:$A$20,0)),1)</f>
        <v/>
      </c>
      <c r="L299" s="18" t="n">
        <v>1</v>
      </c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3">
        <f>SUMPRODUCT(M299:X299,$M$2:$X$2)*$K299*$L299</f>
        <v/>
      </c>
      <c r="Z299" s="14">
        <f>SUM(M299:X299)</f>
        <v/>
      </c>
      <c r="AA299" s="13">
        <f>SUMPRODUCT(M299:X299,$M$3:$X$3)*$K299*$L299</f>
        <v/>
      </c>
      <c r="AB299" s="13">
        <f>SUMPRODUCT(M299:X299,$M$4:$X$4)*$K299*$L299</f>
        <v/>
      </c>
      <c r="AC299" s="15">
        <f>SUMPRODUCT(M299:X299,$M$5:$X$5)*$K299*$L299</f>
        <v/>
      </c>
      <c r="AD299" s="15">
        <f>SUMPRODUCT(M299:X299,$M$6:$X$6)*$K299*$L299</f>
        <v/>
      </c>
      <c r="AE299" s="19" t="n"/>
    </row>
    <row r="300">
      <c r="A300" s="9" t="n">
        <v>628711</v>
      </c>
      <c r="B300" s="9" t="inlineStr">
        <is>
          <t>Julio Urías</t>
        </is>
      </c>
      <c r="C300" s="9" t="inlineStr">
        <is>
          <t>LAD</t>
        </is>
      </c>
      <c r="D300" s="9" t="n">
        <v>30</v>
      </c>
      <c r="E300" s="17" t="inlineStr">
        <is>
          <t>L</t>
        </is>
      </c>
      <c r="F300" s="17" t="n"/>
      <c r="G300" s="9" t="n">
        <v>482</v>
      </c>
      <c r="H300" s="9" t="n">
        <v>1171</v>
      </c>
      <c r="I300" s="9" t="inlineStr">
        <is>
          <t>Depth (no MLB IP)</t>
        </is>
      </c>
      <c r="J300" s="17" t="inlineStr">
        <is>
          <t>Opening Day</t>
        </is>
      </c>
      <c r="K300" s="11">
        <f>IFERROR(INDEX(Roles!$B$17:$B$20,MATCH(J300,Roles!$A$17:$A$20,0)),1)</f>
        <v/>
      </c>
      <c r="L300" s="18" t="n">
        <v>1</v>
      </c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3">
        <f>SUMPRODUCT(M300:X300,$M$2:$X$2)*$K300*$L300</f>
        <v/>
      </c>
      <c r="Z300" s="14">
        <f>SUM(M300:X300)</f>
        <v/>
      </c>
      <c r="AA300" s="13">
        <f>SUMPRODUCT(M300:X300,$M$3:$X$3)*$K300*$L300</f>
        <v/>
      </c>
      <c r="AB300" s="13">
        <f>SUMPRODUCT(M300:X300,$M$4:$X$4)*$K300*$L300</f>
        <v/>
      </c>
      <c r="AC300" s="15">
        <f>SUMPRODUCT(M300:X300,$M$5:$X$5)*$K300*$L300</f>
        <v/>
      </c>
      <c r="AD300" s="15">
        <f>SUMPRODUCT(M300:X300,$M$6:$X$6)*$K300*$L300</f>
        <v/>
      </c>
      <c r="AE300" s="19" t="n"/>
    </row>
    <row r="301">
      <c r="A301" s="9" t="n">
        <v>665622</v>
      </c>
      <c r="B301" s="9" t="inlineStr">
        <is>
          <t>Luis Medina</t>
        </is>
      </c>
      <c r="C301" s="9" t="inlineStr">
        <is>
          <t>OAK</t>
        </is>
      </c>
      <c r="D301" s="9" t="n">
        <v>28</v>
      </c>
      <c r="E301" s="17" t="inlineStr">
        <is>
          <t>R</t>
        </is>
      </c>
      <c r="F301" s="17" t="n"/>
      <c r="G301" s="9" t="n">
        <v>296</v>
      </c>
      <c r="H301" s="9" t="n">
        <v>971</v>
      </c>
      <c r="I301" s="9" t="inlineStr">
        <is>
          <t>Middle Relief</t>
        </is>
      </c>
      <c r="J301" s="17" t="inlineStr">
        <is>
          <t>Opening Day</t>
        </is>
      </c>
      <c r="K301" s="11">
        <f>IFERROR(INDEX(Roles!$B$17:$B$20,MATCH(J301,Roles!$A$17:$A$20,0)),1)</f>
        <v/>
      </c>
      <c r="L301" s="18" t="n">
        <v>1</v>
      </c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3">
        <f>SUMPRODUCT(M301:X301,$M$2:$X$2)*$K301*$L301</f>
        <v/>
      </c>
      <c r="Z301" s="14">
        <f>SUM(M301:X301)</f>
        <v/>
      </c>
      <c r="AA301" s="13">
        <f>SUMPRODUCT(M301:X301,$M$3:$X$3)*$K301*$L301</f>
        <v/>
      </c>
      <c r="AB301" s="13">
        <f>SUMPRODUCT(M301:X301,$M$4:$X$4)*$K301*$L301</f>
        <v/>
      </c>
      <c r="AC301" s="15">
        <f>SUMPRODUCT(M301:X301,$M$5:$X$5)*$K301*$L301</f>
        <v/>
      </c>
      <c r="AD301" s="15">
        <f>SUMPRODUCT(M301:X301,$M$6:$X$6)*$K301*$L301</f>
        <v/>
      </c>
      <c r="AE301" s="19" t="n"/>
    </row>
    <row r="302">
      <c r="A302" s="9" t="n">
        <v>592662</v>
      </c>
      <c r="B302" s="9" t="inlineStr">
        <is>
          <t>Robbie Ray</t>
        </is>
      </c>
      <c r="C302" s="9" t="inlineStr">
        <is>
          <t>SD</t>
        </is>
      </c>
      <c r="D302" s="9" t="n">
        <v>35</v>
      </c>
      <c r="E302" s="17" t="inlineStr">
        <is>
          <t>L</t>
        </is>
      </c>
      <c r="F302" s="17" t="n"/>
      <c r="G302" s="9" t="n">
        <v>685</v>
      </c>
      <c r="H302" s="9" t="n">
        <v>2363</v>
      </c>
      <c r="I302" s="9" t="inlineStr">
        <is>
          <t>Mid-Rotation Starter (SP2-3)</t>
        </is>
      </c>
      <c r="J302" s="17" t="inlineStr">
        <is>
          <t>Opening Day</t>
        </is>
      </c>
      <c r="K302" s="11">
        <f>IFERROR(INDEX(Roles!$B$17:$B$20,MATCH(J302,Roles!$A$17:$A$20,0)),1)</f>
        <v/>
      </c>
      <c r="L302" s="18" t="n">
        <v>1</v>
      </c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3">
        <f>SUMPRODUCT(M302:X302,$M$2:$X$2)*$K302*$L302</f>
        <v/>
      </c>
      <c r="Z302" s="14">
        <f>SUM(M302:X302)</f>
        <v/>
      </c>
      <c r="AA302" s="13">
        <f>SUMPRODUCT(M302:X302,$M$3:$X$3)*$K302*$L302</f>
        <v/>
      </c>
      <c r="AB302" s="13">
        <f>SUMPRODUCT(M302:X302,$M$4:$X$4)*$K302*$L302</f>
        <v/>
      </c>
      <c r="AC302" s="15">
        <f>SUMPRODUCT(M302:X302,$M$5:$X$5)*$K302*$L302</f>
        <v/>
      </c>
      <c r="AD302" s="15">
        <f>SUMPRODUCT(M302:X302,$M$6:$X$6)*$K302*$L302</f>
        <v/>
      </c>
      <c r="AE302" s="19" t="n"/>
    </row>
    <row r="303">
      <c r="A303" s="9" t="n">
        <v>676604</v>
      </c>
      <c r="B303" s="9" t="inlineStr">
        <is>
          <t>Tyler Zuber</t>
        </is>
      </c>
      <c r="C303" s="9" t="inlineStr">
        <is>
          <t>MIA</t>
        </is>
      </c>
      <c r="D303" s="9" t="n">
        <v>32</v>
      </c>
      <c r="E303" s="17" t="inlineStr">
        <is>
          <t>R</t>
        </is>
      </c>
      <c r="F303" s="17" t="n"/>
      <c r="G303" s="9" t="n">
        <v>164</v>
      </c>
      <c r="H303" s="9" t="n">
        <v>238</v>
      </c>
      <c r="I303" s="9" t="inlineStr">
        <is>
          <t>Bullpen Depth Arm</t>
        </is>
      </c>
      <c r="J303" s="17" t="inlineStr">
        <is>
          <t>Opening Day</t>
        </is>
      </c>
      <c r="K303" s="11">
        <f>IFERROR(INDEX(Roles!$B$17:$B$20,MATCH(J303,Roles!$A$17:$A$20,0)),1)</f>
        <v/>
      </c>
      <c r="L303" s="18" t="n">
        <v>1</v>
      </c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3">
        <f>SUMPRODUCT(M303:X303,$M$2:$X$2)*$K303*$L303</f>
        <v/>
      </c>
      <c r="Z303" s="14">
        <f>SUM(M303:X303)</f>
        <v/>
      </c>
      <c r="AA303" s="13">
        <f>SUMPRODUCT(M303:X303,$M$3:$X$3)*$K303*$L303</f>
        <v/>
      </c>
      <c r="AB303" s="13">
        <f>SUMPRODUCT(M303:X303,$M$4:$X$4)*$K303*$L303</f>
        <v/>
      </c>
      <c r="AC303" s="15">
        <f>SUMPRODUCT(M303:X303,$M$5:$X$5)*$K303*$L303</f>
        <v/>
      </c>
      <c r="AD303" s="15">
        <f>SUMPRODUCT(M303:X303,$M$6:$X$6)*$K303*$L303</f>
        <v/>
      </c>
      <c r="AE303" s="19" t="n"/>
    </row>
    <row r="304">
      <c r="A304" s="9" t="n">
        <v>685464</v>
      </c>
      <c r="B304" s="9" t="inlineStr">
        <is>
          <t>Cade Winquest</t>
        </is>
      </c>
      <c r="C304" s="9" t="inlineStr">
        <is>
          <t>STL</t>
        </is>
      </c>
      <c r="D304" s="9" t="n">
        <v>27</v>
      </c>
      <c r="E304" s="17" t="inlineStr">
        <is>
          <t>R</t>
        </is>
      </c>
      <c r="F304" s="17" t="n"/>
      <c r="G304" s="9" t="n">
        <v>37</v>
      </c>
      <c r="H304" s="9" t="n">
        <v>37</v>
      </c>
      <c r="I304" s="9" t="inlineStr">
        <is>
          <t>Bullpen Depth Arm</t>
        </is>
      </c>
      <c r="J304" s="17" t="inlineStr">
        <is>
          <t>Opening Day</t>
        </is>
      </c>
      <c r="K304" s="11">
        <f>IFERROR(INDEX(Roles!$B$17:$B$20,MATCH(J304,Roles!$A$17:$A$20,0)),1)</f>
        <v/>
      </c>
      <c r="L304" s="18" t="n">
        <v>1</v>
      </c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3">
        <f>SUMPRODUCT(M304:X304,$M$2:$X$2)*$K304*$L304</f>
        <v/>
      </c>
      <c r="Z304" s="14">
        <f>SUM(M304:X304)</f>
        <v/>
      </c>
      <c r="AA304" s="13">
        <f>SUMPRODUCT(M304:X304,$M$3:$X$3)*$K304*$L304</f>
        <v/>
      </c>
      <c r="AB304" s="13">
        <f>SUMPRODUCT(M304:X304,$M$4:$X$4)*$K304*$L304</f>
        <v/>
      </c>
      <c r="AC304" s="15">
        <f>SUMPRODUCT(M304:X304,$M$5:$X$5)*$K304*$L304</f>
        <v/>
      </c>
      <c r="AD304" s="15">
        <f>SUMPRODUCT(M304:X304,$M$6:$X$6)*$K304*$L304</f>
        <v/>
      </c>
      <c r="AE304" s="19" t="n"/>
    </row>
    <row r="305">
      <c r="A305" s="9" t="n">
        <v>661403</v>
      </c>
      <c r="B305" s="9" t="inlineStr">
        <is>
          <t>Emmanuel Clase</t>
        </is>
      </c>
      <c r="C305" s="9" t="inlineStr">
        <is>
          <t>CLE</t>
        </is>
      </c>
      <c r="D305" s="9" t="n">
        <v>29</v>
      </c>
      <c r="E305" s="17" t="inlineStr">
        <is>
          <t>R</t>
        </is>
      </c>
      <c r="F305" s="17" t="n"/>
      <c r="G305" s="9" t="n">
        <v>201</v>
      </c>
      <c r="H305" s="9" t="n">
        <v>1044</v>
      </c>
      <c r="I305" s="9" t="inlineStr">
        <is>
          <t>Late Inning RP (Setup)</t>
        </is>
      </c>
      <c r="J305" s="17" t="inlineStr">
        <is>
          <t>Opening Day</t>
        </is>
      </c>
      <c r="K305" s="11">
        <f>IFERROR(INDEX(Roles!$B$17:$B$20,MATCH(J305,Roles!$A$17:$A$20,0)),1)</f>
        <v/>
      </c>
      <c r="L305" s="18" t="n">
        <v>1</v>
      </c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3">
        <f>SUMPRODUCT(M305:X305,$M$2:$X$2)*$K305*$L305</f>
        <v/>
      </c>
      <c r="Z305" s="14">
        <f>SUM(M305:X305)</f>
        <v/>
      </c>
      <c r="AA305" s="13">
        <f>SUMPRODUCT(M305:X305,$M$3:$X$3)*$K305*$L305</f>
        <v/>
      </c>
      <c r="AB305" s="13">
        <f>SUMPRODUCT(M305:X305,$M$4:$X$4)*$K305*$L305</f>
        <v/>
      </c>
      <c r="AC305" s="15">
        <f>SUMPRODUCT(M305:X305,$M$5:$X$5)*$K305*$L305</f>
        <v/>
      </c>
      <c r="AD305" s="15">
        <f>SUMPRODUCT(M305:X305,$M$6:$X$6)*$K305*$L305</f>
        <v/>
      </c>
      <c r="AE305" s="19" t="n"/>
    </row>
    <row r="306">
      <c r="A306" s="9" t="n">
        <v>694335</v>
      </c>
      <c r="B306" s="9" t="inlineStr">
        <is>
          <t>Matt Svanson</t>
        </is>
      </c>
      <c r="C306" s="9" t="inlineStr">
        <is>
          <t>STL</t>
        </is>
      </c>
      <c r="D306" s="9" t="n">
        <v>28</v>
      </c>
      <c r="E306" s="17" t="inlineStr">
        <is>
          <t>R</t>
        </is>
      </c>
      <c r="F306" s="17" t="n"/>
      <c r="G306" s="9" t="n">
        <v>207</v>
      </c>
      <c r="H306" s="9" t="n">
        <v>441</v>
      </c>
      <c r="I306" s="9" t="inlineStr">
        <is>
          <t>Bullpen Depth Arm</t>
        </is>
      </c>
      <c r="J306" s="17" t="inlineStr">
        <is>
          <t>Opening Day</t>
        </is>
      </c>
      <c r="K306" s="11">
        <f>IFERROR(INDEX(Roles!$B$17:$B$20,MATCH(J306,Roles!$A$17:$A$20,0)),1)</f>
        <v/>
      </c>
      <c r="L306" s="18" t="n">
        <v>1</v>
      </c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3">
        <f>SUMPRODUCT(M306:X306,$M$2:$X$2)*$K306*$L306</f>
        <v/>
      </c>
      <c r="Z306" s="14">
        <f>SUM(M306:X306)</f>
        <v/>
      </c>
      <c r="AA306" s="13">
        <f>SUMPRODUCT(M306:X306,$M$3:$X$3)*$K306*$L306</f>
        <v/>
      </c>
      <c r="AB306" s="13">
        <f>SUMPRODUCT(M306:X306,$M$4:$X$4)*$K306*$L306</f>
        <v/>
      </c>
      <c r="AC306" s="15">
        <f>SUMPRODUCT(M306:X306,$M$5:$X$5)*$K306*$L306</f>
        <v/>
      </c>
      <c r="AD306" s="15">
        <f>SUMPRODUCT(M306:X306,$M$6:$X$6)*$K306*$L306</f>
        <v/>
      </c>
      <c r="AE306" s="19" t="n"/>
    </row>
    <row r="307">
      <c r="A307" s="9" t="n">
        <v>676534</v>
      </c>
      <c r="B307" s="9" t="inlineStr">
        <is>
          <t>Calvin Faucher</t>
        </is>
      </c>
      <c r="C307" s="9" t="inlineStr">
        <is>
          <t>MIA</t>
        </is>
      </c>
      <c r="D307" s="9" t="n">
        <v>31</v>
      </c>
      <c r="E307" s="17" t="inlineStr">
        <is>
          <t>R</t>
        </is>
      </c>
      <c r="F307" s="17" t="n"/>
      <c r="G307" s="9" t="n">
        <v>276</v>
      </c>
      <c r="H307" s="9" t="n">
        <v>987</v>
      </c>
      <c r="I307" s="9" t="inlineStr">
        <is>
          <t>Middle Relief</t>
        </is>
      </c>
      <c r="J307" s="17" t="inlineStr">
        <is>
          <t>Opening Day</t>
        </is>
      </c>
      <c r="K307" s="11">
        <f>IFERROR(INDEX(Roles!$B$17:$B$20,MATCH(J307,Roles!$A$17:$A$20,0)),1)</f>
        <v/>
      </c>
      <c r="L307" s="18" t="n">
        <v>1</v>
      </c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3">
        <f>SUMPRODUCT(M307:X307,$M$2:$X$2)*$K307*$L307</f>
        <v/>
      </c>
      <c r="Z307" s="14">
        <f>SUM(M307:X307)</f>
        <v/>
      </c>
      <c r="AA307" s="13">
        <f>SUMPRODUCT(M307:X307,$M$3:$X$3)*$K307*$L307</f>
        <v/>
      </c>
      <c r="AB307" s="13">
        <f>SUMPRODUCT(M307:X307,$M$4:$X$4)*$K307*$L307</f>
        <v/>
      </c>
      <c r="AC307" s="15">
        <f>SUMPRODUCT(M307:X307,$M$5:$X$5)*$K307*$L307</f>
        <v/>
      </c>
      <c r="AD307" s="15">
        <f>SUMPRODUCT(M307:X307,$M$6:$X$6)*$K307*$L307</f>
        <v/>
      </c>
      <c r="AE307" s="19" t="n"/>
    </row>
    <row r="308">
      <c r="A308" s="9" t="n">
        <v>670329</v>
      </c>
      <c r="B308" s="9" t="inlineStr">
        <is>
          <t>Rico Garcia</t>
        </is>
      </c>
      <c r="C308" s="9" t="inlineStr">
        <is>
          <t>BAL</t>
        </is>
      </c>
      <c r="D308" s="9" t="n">
        <v>33</v>
      </c>
      <c r="E308" s="17" t="inlineStr">
        <is>
          <t>R</t>
        </is>
      </c>
      <c r="F308" s="17" t="n"/>
      <c r="G308" s="9" t="n">
        <v>254</v>
      </c>
      <c r="H308" s="9" t="n">
        <v>491</v>
      </c>
      <c r="I308" s="9" t="inlineStr">
        <is>
          <t>Bullpen Depth Arm</t>
        </is>
      </c>
      <c r="J308" s="17" t="inlineStr">
        <is>
          <t>Opening Day</t>
        </is>
      </c>
      <c r="K308" s="11">
        <f>IFERROR(INDEX(Roles!$B$17:$B$20,MATCH(J308,Roles!$A$17:$A$20,0)),1)</f>
        <v/>
      </c>
      <c r="L308" s="18" t="n">
        <v>1</v>
      </c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3">
        <f>SUMPRODUCT(M308:X308,$M$2:$X$2)*$K308*$L308</f>
        <v/>
      </c>
      <c r="Z308" s="14">
        <f>SUM(M308:X308)</f>
        <v/>
      </c>
      <c r="AA308" s="13">
        <f>SUMPRODUCT(M308:X308,$M$3:$X$3)*$K308*$L308</f>
        <v/>
      </c>
      <c r="AB308" s="13">
        <f>SUMPRODUCT(M308:X308,$M$4:$X$4)*$K308*$L308</f>
        <v/>
      </c>
      <c r="AC308" s="15">
        <f>SUMPRODUCT(M308:X308,$M$5:$X$5)*$K308*$L308</f>
        <v/>
      </c>
      <c r="AD308" s="15">
        <f>SUMPRODUCT(M308:X308,$M$6:$X$6)*$K308*$L308</f>
        <v/>
      </c>
      <c r="AE308" s="19" t="n"/>
    </row>
    <row r="309">
      <c r="A309" s="9" t="n">
        <v>622088</v>
      </c>
      <c r="B309" s="9" t="inlineStr">
        <is>
          <t>Tejay Antone</t>
        </is>
      </c>
      <c r="C309" s="9" t="inlineStr">
        <is>
          <t>CIN</t>
        </is>
      </c>
      <c r="D309" s="9" t="n">
        <v>33</v>
      </c>
      <c r="E309" s="17" t="inlineStr">
        <is>
          <t>R</t>
        </is>
      </c>
      <c r="F309" s="17" t="n"/>
      <c r="G309" s="9" t="n">
        <v>217</v>
      </c>
      <c r="H309" s="9" t="n">
        <v>249</v>
      </c>
      <c r="I309" s="9" t="inlineStr">
        <is>
          <t>Bullpen Depth Arm</t>
        </is>
      </c>
      <c r="J309" s="17" t="inlineStr">
        <is>
          <t>Opening Day</t>
        </is>
      </c>
      <c r="K309" s="11">
        <f>IFERROR(INDEX(Roles!$B$17:$B$20,MATCH(J309,Roles!$A$17:$A$20,0)),1)</f>
        <v/>
      </c>
      <c r="L309" s="18" t="n">
        <v>1</v>
      </c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3">
        <f>SUMPRODUCT(M309:X309,$M$2:$X$2)*$K309*$L309</f>
        <v/>
      </c>
      <c r="Z309" s="14">
        <f>SUM(M309:X309)</f>
        <v/>
      </c>
      <c r="AA309" s="13">
        <f>SUMPRODUCT(M309:X309,$M$3:$X$3)*$K309*$L309</f>
        <v/>
      </c>
      <c r="AB309" s="13">
        <f>SUMPRODUCT(M309:X309,$M$4:$X$4)*$K309*$L309</f>
        <v/>
      </c>
      <c r="AC309" s="15">
        <f>SUMPRODUCT(M309:X309,$M$5:$X$5)*$K309*$L309</f>
        <v/>
      </c>
      <c r="AD309" s="15">
        <f>SUMPRODUCT(M309:X309,$M$6:$X$6)*$K309*$L309</f>
        <v/>
      </c>
      <c r="AE309" s="19" t="n"/>
    </row>
    <row r="310">
      <c r="A310" s="9" t="n">
        <v>687531</v>
      </c>
      <c r="B310" s="9" t="inlineStr">
        <is>
          <t>William Kempner</t>
        </is>
      </c>
      <c r="C310" s="9" t="inlineStr">
        <is>
          <t>MIA</t>
        </is>
      </c>
      <c r="D310" s="9" t="n">
        <v>26</v>
      </c>
      <c r="E310" s="17" t="inlineStr">
        <is>
          <t>R</t>
        </is>
      </c>
      <c r="F310" s="17" t="n"/>
      <c r="G310" s="9" t="n">
        <v>50</v>
      </c>
      <c r="H310" s="9" t="n">
        <v>50</v>
      </c>
      <c r="I310" s="9" t="inlineStr">
        <is>
          <t>Bullpen Depth Arm</t>
        </is>
      </c>
      <c r="J310" s="17" t="inlineStr">
        <is>
          <t>Opening Day</t>
        </is>
      </c>
      <c r="K310" s="11">
        <f>IFERROR(INDEX(Roles!$B$17:$B$20,MATCH(J310,Roles!$A$17:$A$20,0)),1)</f>
        <v/>
      </c>
      <c r="L310" s="18" t="n">
        <v>1</v>
      </c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3">
        <f>SUMPRODUCT(M310:X310,$M$2:$X$2)*$K310*$L310</f>
        <v/>
      </c>
      <c r="Z310" s="14">
        <f>SUM(M310:X310)</f>
        <v/>
      </c>
      <c r="AA310" s="13">
        <f>SUMPRODUCT(M310:X310,$M$3:$X$3)*$K310*$L310</f>
        <v/>
      </c>
      <c r="AB310" s="13">
        <f>SUMPRODUCT(M310:X310,$M$4:$X$4)*$K310*$L310</f>
        <v/>
      </c>
      <c r="AC310" s="15">
        <f>SUMPRODUCT(M310:X310,$M$5:$X$5)*$K310*$L310</f>
        <v/>
      </c>
      <c r="AD310" s="15">
        <f>SUMPRODUCT(M310:X310,$M$6:$X$6)*$K310*$L310</f>
        <v/>
      </c>
      <c r="AE310" s="19" t="n"/>
    </row>
    <row r="311">
      <c r="A311" s="9" t="n">
        <v>594580</v>
      </c>
      <c r="B311" s="9" t="inlineStr">
        <is>
          <t>Sam Moll</t>
        </is>
      </c>
      <c r="C311" s="9" t="inlineStr">
        <is>
          <t>CIN</t>
        </is>
      </c>
      <c r="D311" s="9" t="n">
        <v>35</v>
      </c>
      <c r="E311" s="17" t="inlineStr">
        <is>
          <t>L</t>
        </is>
      </c>
      <c r="F311" s="17" t="n"/>
      <c r="G311" s="9" t="n">
        <v>257</v>
      </c>
      <c r="H311" s="9" t="n">
        <v>945</v>
      </c>
      <c r="I311" s="9" t="inlineStr">
        <is>
          <t>Bullpen Depth Arm</t>
        </is>
      </c>
      <c r="J311" s="17" t="inlineStr">
        <is>
          <t>Opening Day</t>
        </is>
      </c>
      <c r="K311" s="11">
        <f>IFERROR(INDEX(Roles!$B$17:$B$20,MATCH(J311,Roles!$A$17:$A$20,0)),1)</f>
        <v/>
      </c>
      <c r="L311" s="18" t="n">
        <v>1</v>
      </c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3">
        <f>SUMPRODUCT(M311:X311,$M$2:$X$2)*$K311*$L311</f>
        <v/>
      </c>
      <c r="Z311" s="14">
        <f>SUM(M311:X311)</f>
        <v/>
      </c>
      <c r="AA311" s="13">
        <f>SUMPRODUCT(M311:X311,$M$3:$X$3)*$K311*$L311</f>
        <v/>
      </c>
      <c r="AB311" s="13">
        <f>SUMPRODUCT(M311:X311,$M$4:$X$4)*$K311*$L311</f>
        <v/>
      </c>
      <c r="AC311" s="15">
        <f>SUMPRODUCT(M311:X311,$M$5:$X$5)*$K311*$L311</f>
        <v/>
      </c>
      <c r="AD311" s="15">
        <f>SUMPRODUCT(M311:X311,$M$6:$X$6)*$K311*$L311</f>
        <v/>
      </c>
      <c r="AE311" s="19" t="n"/>
    </row>
    <row r="312">
      <c r="A312" s="9" t="n">
        <v>676206</v>
      </c>
      <c r="B312" s="9" t="inlineStr">
        <is>
          <t>Freddy Tarnok</t>
        </is>
      </c>
      <c r="C312" s="9" t="inlineStr">
        <is>
          <t>MIA</t>
        </is>
      </c>
      <c r="D312" s="9" t="n">
        <v>28</v>
      </c>
      <c r="E312" s="17" t="inlineStr">
        <is>
          <t>R</t>
        </is>
      </c>
      <c r="F312" s="17" t="n"/>
      <c r="G312" s="9" t="n">
        <v>28</v>
      </c>
      <c r="H312" s="9" t="n">
        <v>96</v>
      </c>
      <c r="I312" s="9" t="inlineStr">
        <is>
          <t>Bullpen Depth Arm</t>
        </is>
      </c>
      <c r="J312" s="17" t="inlineStr">
        <is>
          <t>Opening Day</t>
        </is>
      </c>
      <c r="K312" s="11">
        <f>IFERROR(INDEX(Roles!$B$17:$B$20,MATCH(J312,Roles!$A$17:$A$20,0)),1)</f>
        <v/>
      </c>
      <c r="L312" s="18" t="n">
        <v>1</v>
      </c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3">
        <f>SUMPRODUCT(M312:X312,$M$2:$X$2)*$K312*$L312</f>
        <v/>
      </c>
      <c r="Z312" s="14">
        <f>SUM(M312:X312)</f>
        <v/>
      </c>
      <c r="AA312" s="13">
        <f>SUMPRODUCT(M312:X312,$M$3:$X$3)*$K312*$L312</f>
        <v/>
      </c>
      <c r="AB312" s="13">
        <f>SUMPRODUCT(M312:X312,$M$4:$X$4)*$K312*$L312</f>
        <v/>
      </c>
      <c r="AC312" s="15">
        <f>SUMPRODUCT(M312:X312,$M$5:$X$5)*$K312*$L312</f>
        <v/>
      </c>
      <c r="AD312" s="15">
        <f>SUMPRODUCT(M312:X312,$M$6:$X$6)*$K312*$L312</f>
        <v/>
      </c>
      <c r="AE312" s="19" t="n"/>
    </row>
    <row r="313">
      <c r="A313" s="9" t="n">
        <v>815083</v>
      </c>
      <c r="B313" s="9" t="inlineStr">
        <is>
          <t>Mitch Farris</t>
        </is>
      </c>
      <c r="C313" s="9" t="inlineStr">
        <is>
          <t>LAA</t>
        </is>
      </c>
      <c r="D313" s="9" t="n">
        <v>26</v>
      </c>
      <c r="E313" s="17" t="inlineStr">
        <is>
          <t>L</t>
        </is>
      </c>
      <c r="F313" s="17" t="n"/>
      <c r="G313" s="9" t="n">
        <v>226</v>
      </c>
      <c r="H313" s="9" t="n">
        <v>333</v>
      </c>
      <c r="I313" s="9" t="inlineStr">
        <is>
          <t>Bullpen Depth Arm</t>
        </is>
      </c>
      <c r="J313" s="17" t="inlineStr">
        <is>
          <t>Opening Day</t>
        </is>
      </c>
      <c r="K313" s="11">
        <f>IFERROR(INDEX(Roles!$B$17:$B$20,MATCH(J313,Roles!$A$17:$A$20,0)),1)</f>
        <v/>
      </c>
      <c r="L313" s="18" t="n">
        <v>1</v>
      </c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3">
        <f>SUMPRODUCT(M313:X313,$M$2:$X$2)*$K313*$L313</f>
        <v/>
      </c>
      <c r="Z313" s="14">
        <f>SUM(M313:X313)</f>
        <v/>
      </c>
      <c r="AA313" s="13">
        <f>SUMPRODUCT(M313:X313,$M$3:$X$3)*$K313*$L313</f>
        <v/>
      </c>
      <c r="AB313" s="13">
        <f>SUMPRODUCT(M313:X313,$M$4:$X$4)*$K313*$L313</f>
        <v/>
      </c>
      <c r="AC313" s="15">
        <f>SUMPRODUCT(M313:X313,$M$5:$X$5)*$K313*$L313</f>
        <v/>
      </c>
      <c r="AD313" s="15">
        <f>SUMPRODUCT(M313:X313,$M$6:$X$6)*$K313*$L313</f>
        <v/>
      </c>
      <c r="AE313" s="19" t="n"/>
    </row>
    <row r="314">
      <c r="A314" s="9" t="n">
        <v>676974</v>
      </c>
      <c r="B314" s="9" t="inlineStr">
        <is>
          <t>Max Meyer</t>
        </is>
      </c>
      <c r="C314" s="9" t="inlineStr">
        <is>
          <t>MIA</t>
        </is>
      </c>
      <c r="D314" s="9" t="n">
        <v>28</v>
      </c>
      <c r="E314" s="17" t="inlineStr">
        <is>
          <t>R</t>
        </is>
      </c>
      <c r="F314" s="17" t="n"/>
      <c r="G314" s="9" t="n">
        <v>462</v>
      </c>
      <c r="H314" s="9" t="n">
        <v>1021</v>
      </c>
      <c r="I314" s="9" t="inlineStr">
        <is>
          <t>Mid-Rotation Starter (SP2-3)</t>
        </is>
      </c>
      <c r="J314" s="17" t="inlineStr">
        <is>
          <t>Opening Day</t>
        </is>
      </c>
      <c r="K314" s="11">
        <f>IFERROR(INDEX(Roles!$B$17:$B$20,MATCH(J314,Roles!$A$17:$A$20,0)),1)</f>
        <v/>
      </c>
      <c r="L314" s="18" t="n">
        <v>1</v>
      </c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3">
        <f>SUMPRODUCT(M314:X314,$M$2:$X$2)*$K314*$L314</f>
        <v/>
      </c>
      <c r="Z314" s="14">
        <f>SUM(M314:X314)</f>
        <v/>
      </c>
      <c r="AA314" s="13">
        <f>SUMPRODUCT(M314:X314,$M$3:$X$3)*$K314*$L314</f>
        <v/>
      </c>
      <c r="AB314" s="13">
        <f>SUMPRODUCT(M314:X314,$M$4:$X$4)*$K314*$L314</f>
        <v/>
      </c>
      <c r="AC314" s="15">
        <f>SUMPRODUCT(M314:X314,$M$5:$X$5)*$K314*$L314</f>
        <v/>
      </c>
      <c r="AD314" s="15">
        <f>SUMPRODUCT(M314:X314,$M$6:$X$6)*$K314*$L314</f>
        <v/>
      </c>
      <c r="AE314" s="19" t="n"/>
    </row>
    <row r="315">
      <c r="A315" s="9" t="n">
        <v>676742</v>
      </c>
      <c r="B315" s="9" t="inlineStr">
        <is>
          <t>Cam Sanders</t>
        </is>
      </c>
      <c r="C315" s="9" t="inlineStr">
        <is>
          <t>BAL</t>
        </is>
      </c>
      <c r="D315" s="9" t="n">
        <v>30</v>
      </c>
      <c r="E315" s="17" t="inlineStr">
        <is>
          <t>R</t>
        </is>
      </c>
      <c r="F315" s="17" t="n"/>
      <c r="G315" s="9" t="n">
        <v>124</v>
      </c>
      <c r="H315" s="9" t="n">
        <v>158</v>
      </c>
      <c r="I315" s="9" t="inlineStr">
        <is>
          <t>Bullpen Depth Arm</t>
        </is>
      </c>
      <c r="J315" s="17" t="inlineStr">
        <is>
          <t>Opening Day</t>
        </is>
      </c>
      <c r="K315" s="11">
        <f>IFERROR(INDEX(Roles!$B$17:$B$20,MATCH(J315,Roles!$A$17:$A$20,0)),1)</f>
        <v/>
      </c>
      <c r="L315" s="18" t="n">
        <v>1</v>
      </c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3">
        <f>SUMPRODUCT(M315:X315,$M$2:$X$2)*$K315*$L315</f>
        <v/>
      </c>
      <c r="Z315" s="14">
        <f>SUM(M315:X315)</f>
        <v/>
      </c>
      <c r="AA315" s="13">
        <f>SUMPRODUCT(M315:X315,$M$3:$X$3)*$K315*$L315</f>
        <v/>
      </c>
      <c r="AB315" s="13">
        <f>SUMPRODUCT(M315:X315,$M$4:$X$4)*$K315*$L315</f>
        <v/>
      </c>
      <c r="AC315" s="15">
        <f>SUMPRODUCT(M315:X315,$M$5:$X$5)*$K315*$L315</f>
        <v/>
      </c>
      <c r="AD315" s="15">
        <f>SUMPRODUCT(M315:X315,$M$6:$X$6)*$K315*$L315</f>
        <v/>
      </c>
      <c r="AE315" s="19" t="n"/>
    </row>
    <row r="316">
      <c r="A316" s="9" t="n">
        <v>669211</v>
      </c>
      <c r="B316" s="9" t="inlineStr">
        <is>
          <t>Keegan Akin</t>
        </is>
      </c>
      <c r="C316" s="9" t="inlineStr">
        <is>
          <t>BAL</t>
        </is>
      </c>
      <c r="D316" s="9" t="n">
        <v>32</v>
      </c>
      <c r="E316" s="17" t="inlineStr">
        <is>
          <t>L</t>
        </is>
      </c>
      <c r="F316" s="17" t="n"/>
      <c r="G316" s="9" t="n">
        <v>114</v>
      </c>
      <c r="H316" s="9" t="n">
        <v>1136</v>
      </c>
      <c r="I316" s="9" t="inlineStr">
        <is>
          <t>Bullpen Depth Arm</t>
        </is>
      </c>
      <c r="J316" s="17" t="inlineStr">
        <is>
          <t>Opening Day</t>
        </is>
      </c>
      <c r="K316" s="11">
        <f>IFERROR(INDEX(Roles!$B$17:$B$20,MATCH(J316,Roles!$A$17:$A$20,0)),1)</f>
        <v/>
      </c>
      <c r="L316" s="18" t="n">
        <v>1</v>
      </c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3">
        <f>SUMPRODUCT(M316:X316,$M$2:$X$2)*$K316*$L316</f>
        <v/>
      </c>
      <c r="Z316" s="14">
        <f>SUM(M316:X316)</f>
        <v/>
      </c>
      <c r="AA316" s="13">
        <f>SUMPRODUCT(M316:X316,$M$3:$X$3)*$K316*$L316</f>
        <v/>
      </c>
      <c r="AB316" s="13">
        <f>SUMPRODUCT(M316:X316,$M$4:$X$4)*$K316*$L316</f>
        <v/>
      </c>
      <c r="AC316" s="15">
        <f>SUMPRODUCT(M316:X316,$M$5:$X$5)*$K316*$L316</f>
        <v/>
      </c>
      <c r="AD316" s="15">
        <f>SUMPRODUCT(M316:X316,$M$6:$X$6)*$K316*$L316</f>
        <v/>
      </c>
      <c r="AE316" s="19" t="n"/>
    </row>
    <row r="317">
      <c r="A317" s="9" t="n">
        <v>605242</v>
      </c>
      <c r="B317" s="9" t="inlineStr">
        <is>
          <t>Michael Fulmer</t>
        </is>
      </c>
      <c r="C317" s="9" t="inlineStr">
        <is>
          <t>NYY</t>
        </is>
      </c>
      <c r="D317" s="9" t="n">
        <v>34</v>
      </c>
      <c r="E317" s="17" t="inlineStr">
        <is>
          <t>R</t>
        </is>
      </c>
      <c r="F317" s="17" t="n"/>
      <c r="G317" s="9" t="n">
        <v>46</v>
      </c>
      <c r="H317" s="9" t="n">
        <v>582</v>
      </c>
      <c r="I317" s="9" t="inlineStr">
        <is>
          <t>Middle Relief</t>
        </is>
      </c>
      <c r="J317" s="17" t="inlineStr">
        <is>
          <t>Opening Day</t>
        </is>
      </c>
      <c r="K317" s="11">
        <f>IFERROR(INDEX(Roles!$B$17:$B$20,MATCH(J317,Roles!$A$17:$A$20,0)),1)</f>
        <v/>
      </c>
      <c r="L317" s="18" t="n">
        <v>1</v>
      </c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3">
        <f>SUMPRODUCT(M317:X317,$M$2:$X$2)*$K317*$L317</f>
        <v/>
      </c>
      <c r="Z317" s="14">
        <f>SUM(M317:X317)</f>
        <v/>
      </c>
      <c r="AA317" s="13">
        <f>SUMPRODUCT(M317:X317,$M$3:$X$3)*$K317*$L317</f>
        <v/>
      </c>
      <c r="AB317" s="13">
        <f>SUMPRODUCT(M317:X317,$M$4:$X$4)*$K317*$L317</f>
        <v/>
      </c>
      <c r="AC317" s="15">
        <f>SUMPRODUCT(M317:X317,$M$5:$X$5)*$K317*$L317</f>
        <v/>
      </c>
      <c r="AD317" s="15">
        <f>SUMPRODUCT(M317:X317,$M$6:$X$6)*$K317*$L317</f>
        <v/>
      </c>
      <c r="AE317" s="19" t="n"/>
    </row>
    <row r="318">
      <c r="A318" s="9" t="n">
        <v>672391</v>
      </c>
      <c r="B318" s="9" t="inlineStr">
        <is>
          <t>Kaleb Ort</t>
        </is>
      </c>
      <c r="C318" s="9" t="inlineStr">
        <is>
          <t>HOU</t>
        </is>
      </c>
      <c r="D318" s="9" t="n">
        <v>35</v>
      </c>
      <c r="E318" s="17" t="inlineStr">
        <is>
          <t>R</t>
        </is>
      </c>
      <c r="F318" s="17" t="n"/>
      <c r="G318" s="9" t="n">
        <v>194</v>
      </c>
      <c r="H318" s="9" t="n">
        <v>528</v>
      </c>
      <c r="I318" s="9" t="inlineStr">
        <is>
          <t>Bullpen Depth Arm</t>
        </is>
      </c>
      <c r="J318" s="17" t="inlineStr">
        <is>
          <t>Opening Day</t>
        </is>
      </c>
      <c r="K318" s="11">
        <f>IFERROR(INDEX(Roles!$B$17:$B$20,MATCH(J318,Roles!$A$17:$A$20,0)),1)</f>
        <v/>
      </c>
      <c r="L318" s="18" t="n">
        <v>1</v>
      </c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3">
        <f>SUMPRODUCT(M318:X318,$M$2:$X$2)*$K318*$L318</f>
        <v/>
      </c>
      <c r="Z318" s="14">
        <f>SUM(M318:X318)</f>
        <v/>
      </c>
      <c r="AA318" s="13">
        <f>SUMPRODUCT(M318:X318,$M$3:$X$3)*$K318*$L318</f>
        <v/>
      </c>
      <c r="AB318" s="13">
        <f>SUMPRODUCT(M318:X318,$M$4:$X$4)*$K318*$L318</f>
        <v/>
      </c>
      <c r="AC318" s="15">
        <f>SUMPRODUCT(M318:X318,$M$5:$X$5)*$K318*$L318</f>
        <v/>
      </c>
      <c r="AD318" s="15">
        <f>SUMPRODUCT(M318:X318,$M$6:$X$6)*$K318*$L318</f>
        <v/>
      </c>
      <c r="AE318" s="19" t="n"/>
    </row>
    <row r="319">
      <c r="A319" s="9" t="n">
        <v>608331</v>
      </c>
      <c r="B319" s="9" t="inlineStr">
        <is>
          <t>Max Fried</t>
        </is>
      </c>
      <c r="C319" s="9" t="inlineStr">
        <is>
          <t>NYY</t>
        </is>
      </c>
      <c r="D319" s="9" t="n">
        <v>33</v>
      </c>
      <c r="E319" s="17" t="inlineStr">
        <is>
          <t>L</t>
        </is>
      </c>
      <c r="F319" s="17" t="n"/>
      <c r="G319" s="9" t="n">
        <v>407</v>
      </c>
      <c r="H319" s="9" t="n">
        <v>2966</v>
      </c>
      <c r="I319" s="9" t="inlineStr">
        <is>
          <t>Ace (SP1)</t>
        </is>
      </c>
      <c r="J319" s="17" t="inlineStr">
        <is>
          <t>Opening Day</t>
        </is>
      </c>
      <c r="K319" s="11">
        <f>IFERROR(INDEX(Roles!$B$17:$B$20,MATCH(J319,Roles!$A$17:$A$20,0)),1)</f>
        <v/>
      </c>
      <c r="L319" s="18" t="n">
        <v>1</v>
      </c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3">
        <f>SUMPRODUCT(M319:X319,$M$2:$X$2)*$K319*$L319</f>
        <v/>
      </c>
      <c r="Z319" s="14">
        <f>SUM(M319:X319)</f>
        <v/>
      </c>
      <c r="AA319" s="13">
        <f>SUMPRODUCT(M319:X319,$M$3:$X$3)*$K319*$L319</f>
        <v/>
      </c>
      <c r="AB319" s="13">
        <f>SUMPRODUCT(M319:X319,$M$4:$X$4)*$K319*$L319</f>
        <v/>
      </c>
      <c r="AC319" s="15">
        <f>SUMPRODUCT(M319:X319,$M$5:$X$5)*$K319*$L319</f>
        <v/>
      </c>
      <c r="AD319" s="15">
        <f>SUMPRODUCT(M319:X319,$M$6:$X$6)*$K319*$L319</f>
        <v/>
      </c>
      <c r="AE319" s="19" t="n"/>
    </row>
    <row r="320">
      <c r="A320" s="9" t="n">
        <v>666157</v>
      </c>
      <c r="B320" s="9" t="inlineStr">
        <is>
          <t>Nick Lodolo</t>
        </is>
      </c>
      <c r="C320" s="9" t="inlineStr">
        <is>
          <t>CIN</t>
        </is>
      </c>
      <c r="D320" s="9" t="n">
        <v>29</v>
      </c>
      <c r="E320" s="17" t="inlineStr">
        <is>
          <t>L</t>
        </is>
      </c>
      <c r="F320" s="17" t="n"/>
      <c r="G320" s="9" t="n">
        <v>433</v>
      </c>
      <c r="H320" s="9" t="n">
        <v>2175</v>
      </c>
      <c r="I320" s="9" t="inlineStr">
        <is>
          <t>Mid-Rotation Starter (SP2-3)</t>
        </is>
      </c>
      <c r="J320" s="17" t="inlineStr">
        <is>
          <t>Opening Day</t>
        </is>
      </c>
      <c r="K320" s="11">
        <f>IFERROR(INDEX(Roles!$B$17:$B$20,MATCH(J320,Roles!$A$17:$A$20,0)),1)</f>
        <v/>
      </c>
      <c r="L320" s="18" t="n">
        <v>1</v>
      </c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3">
        <f>SUMPRODUCT(M320:X320,$M$2:$X$2)*$K320*$L320</f>
        <v/>
      </c>
      <c r="Z320" s="14">
        <f>SUM(M320:X320)</f>
        <v/>
      </c>
      <c r="AA320" s="13">
        <f>SUMPRODUCT(M320:X320,$M$3:$X$3)*$K320*$L320</f>
        <v/>
      </c>
      <c r="AB320" s="13">
        <f>SUMPRODUCT(M320:X320,$M$4:$X$4)*$K320*$L320</f>
        <v/>
      </c>
      <c r="AC320" s="15">
        <f>SUMPRODUCT(M320:X320,$M$5:$X$5)*$K320*$L320</f>
        <v/>
      </c>
      <c r="AD320" s="15">
        <f>SUMPRODUCT(M320:X320,$M$6:$X$6)*$K320*$L320</f>
        <v/>
      </c>
      <c r="AE320" s="19" t="n"/>
    </row>
    <row r="321">
      <c r="A321" s="9" t="n">
        <v>686993</v>
      </c>
      <c r="B321" s="9" t="inlineStr">
        <is>
          <t>Justin Sterner</t>
        </is>
      </c>
      <c r="C321" s="9" t="inlineStr">
        <is>
          <t>OAK</t>
        </is>
      </c>
      <c r="D321" s="9" t="n">
        <v>30</v>
      </c>
      <c r="E321" s="17" t="inlineStr">
        <is>
          <t>R</t>
        </is>
      </c>
      <c r="F321" s="17" t="n"/>
      <c r="G321" s="9" t="n">
        <v>184</v>
      </c>
      <c r="H321" s="9" t="n">
        <v>469</v>
      </c>
      <c r="I321" s="9" t="inlineStr">
        <is>
          <t>Bullpen Depth Arm</t>
        </is>
      </c>
      <c r="J321" s="17" t="inlineStr">
        <is>
          <t>Opening Day</t>
        </is>
      </c>
      <c r="K321" s="11">
        <f>IFERROR(INDEX(Roles!$B$17:$B$20,MATCH(J321,Roles!$A$17:$A$20,0)),1)</f>
        <v/>
      </c>
      <c r="L321" s="18" t="n">
        <v>1</v>
      </c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3">
        <f>SUMPRODUCT(M321:X321,$M$2:$X$2)*$K321*$L321</f>
        <v/>
      </c>
      <c r="Z321" s="14">
        <f>SUM(M321:X321)</f>
        <v/>
      </c>
      <c r="AA321" s="13">
        <f>SUMPRODUCT(M321:X321,$M$3:$X$3)*$K321*$L321</f>
        <v/>
      </c>
      <c r="AB321" s="13">
        <f>SUMPRODUCT(M321:X321,$M$4:$X$4)*$K321*$L321</f>
        <v/>
      </c>
      <c r="AC321" s="15">
        <f>SUMPRODUCT(M321:X321,$M$5:$X$5)*$K321*$L321</f>
        <v/>
      </c>
      <c r="AD321" s="15">
        <f>SUMPRODUCT(M321:X321,$M$6:$X$6)*$K321*$L321</f>
        <v/>
      </c>
      <c r="AE321" s="19" t="n"/>
    </row>
    <row r="322">
      <c r="A322" s="9" t="n">
        <v>657097</v>
      </c>
      <c r="B322" s="9" t="inlineStr">
        <is>
          <t>Jacob Webb</t>
        </is>
      </c>
      <c r="C322" s="9" t="inlineStr">
        <is>
          <t>CHC</t>
        </is>
      </c>
      <c r="D322" s="9" t="n">
        <v>33</v>
      </c>
      <c r="E322" s="17" t="inlineStr">
        <is>
          <t>R</t>
        </is>
      </c>
      <c r="F322" s="17" t="n"/>
      <c r="G322" s="9" t="n">
        <v>271</v>
      </c>
      <c r="H322" s="9" t="n">
        <v>1007</v>
      </c>
      <c r="I322" s="9" t="inlineStr">
        <is>
          <t>Bullpen Depth Arm</t>
        </is>
      </c>
      <c r="J322" s="17" t="inlineStr">
        <is>
          <t>Opening Day</t>
        </is>
      </c>
      <c r="K322" s="11">
        <f>IFERROR(INDEX(Roles!$B$17:$B$20,MATCH(J322,Roles!$A$17:$A$20,0)),1)</f>
        <v/>
      </c>
      <c r="L322" s="18" t="n">
        <v>1</v>
      </c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3">
        <f>SUMPRODUCT(M322:X322,$M$2:$X$2)*$K322*$L322</f>
        <v/>
      </c>
      <c r="Z322" s="14">
        <f>SUM(M322:X322)</f>
        <v/>
      </c>
      <c r="AA322" s="13">
        <f>SUMPRODUCT(M322:X322,$M$3:$X$3)*$K322*$L322</f>
        <v/>
      </c>
      <c r="AB322" s="13">
        <f>SUMPRODUCT(M322:X322,$M$4:$X$4)*$K322*$L322</f>
        <v/>
      </c>
      <c r="AC322" s="15">
        <f>SUMPRODUCT(M322:X322,$M$5:$X$5)*$K322*$L322</f>
        <v/>
      </c>
      <c r="AD322" s="15">
        <f>SUMPRODUCT(M322:X322,$M$6:$X$6)*$K322*$L322</f>
        <v/>
      </c>
      <c r="AE322" s="19" t="n"/>
    </row>
    <row r="323">
      <c r="A323" s="9" t="n">
        <v>570257</v>
      </c>
      <c r="B323" s="9" t="inlineStr">
        <is>
          <t>Joely Rodríguez</t>
        </is>
      </c>
      <c r="C323" s="9" t="inlineStr">
        <is>
          <t>BOS</t>
        </is>
      </c>
      <c r="D323" s="9" t="n">
        <v>35</v>
      </c>
      <c r="E323" s="17" t="inlineStr">
        <is>
          <t>L</t>
        </is>
      </c>
      <c r="F323" s="17" t="n"/>
      <c r="G323" s="9" t="n">
        <v>64</v>
      </c>
      <c r="H323" s="9" t="n">
        <v>331</v>
      </c>
      <c r="I323" s="9" t="inlineStr">
        <is>
          <t>Depth (no MLB IP)</t>
        </is>
      </c>
      <c r="J323" s="17" t="inlineStr">
        <is>
          <t>Opening Day</t>
        </is>
      </c>
      <c r="K323" s="11">
        <f>IFERROR(INDEX(Roles!$B$17:$B$20,MATCH(J323,Roles!$A$17:$A$20,0)),1)</f>
        <v/>
      </c>
      <c r="L323" s="18" t="n">
        <v>1</v>
      </c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3">
        <f>SUMPRODUCT(M323:X323,$M$2:$X$2)*$K323*$L323</f>
        <v/>
      </c>
      <c r="Z323" s="14">
        <f>SUM(M323:X323)</f>
        <v/>
      </c>
      <c r="AA323" s="13">
        <f>SUMPRODUCT(M323:X323,$M$3:$X$3)*$K323*$L323</f>
        <v/>
      </c>
      <c r="AB323" s="13">
        <f>SUMPRODUCT(M323:X323,$M$4:$X$4)*$K323*$L323</f>
        <v/>
      </c>
      <c r="AC323" s="15">
        <f>SUMPRODUCT(M323:X323,$M$5:$X$5)*$K323*$L323</f>
        <v/>
      </c>
      <c r="AD323" s="15">
        <f>SUMPRODUCT(M323:X323,$M$6:$X$6)*$K323*$L323</f>
        <v/>
      </c>
      <c r="AE323" s="19" t="n"/>
    </row>
    <row r="324">
      <c r="A324" s="9" t="n">
        <v>647336</v>
      </c>
      <c r="B324" s="9" t="inlineStr">
        <is>
          <t>Michael Soroka</t>
        </is>
      </c>
      <c r="C324" s="9" t="inlineStr">
        <is>
          <t>ARI</t>
        </is>
      </c>
      <c r="D324" s="9" t="n">
        <v>29</v>
      </c>
      <c r="E324" s="17" t="inlineStr">
        <is>
          <t>R</t>
        </is>
      </c>
      <c r="F324" s="17" t="n"/>
      <c r="G324" s="9" t="n">
        <v>429</v>
      </c>
      <c r="H324" s="9" t="n">
        <v>1300</v>
      </c>
      <c r="I324" s="9" t="inlineStr">
        <is>
          <t>End-of-Rotation Starter (SP4-5)</t>
        </is>
      </c>
      <c r="J324" s="17" t="inlineStr">
        <is>
          <t>Opening Day</t>
        </is>
      </c>
      <c r="K324" s="11">
        <f>IFERROR(INDEX(Roles!$B$17:$B$20,MATCH(J324,Roles!$A$17:$A$20,0)),1)</f>
        <v/>
      </c>
      <c r="L324" s="18" t="n">
        <v>1</v>
      </c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3">
        <f>SUMPRODUCT(M324:X324,$M$2:$X$2)*$K324*$L324</f>
        <v/>
      </c>
      <c r="Z324" s="14">
        <f>SUM(M324:X324)</f>
        <v/>
      </c>
      <c r="AA324" s="13">
        <f>SUMPRODUCT(M324:X324,$M$3:$X$3)*$K324*$L324</f>
        <v/>
      </c>
      <c r="AB324" s="13">
        <f>SUMPRODUCT(M324:X324,$M$4:$X$4)*$K324*$L324</f>
        <v/>
      </c>
      <c r="AC324" s="15">
        <f>SUMPRODUCT(M324:X324,$M$5:$X$5)*$K324*$L324</f>
        <v/>
      </c>
      <c r="AD324" s="15">
        <f>SUMPRODUCT(M324:X324,$M$6:$X$6)*$K324*$L324</f>
        <v/>
      </c>
      <c r="AE324" s="19" t="n"/>
    </row>
    <row r="325">
      <c r="A325" s="9" t="n">
        <v>678226</v>
      </c>
      <c r="B325" s="9" t="inlineStr">
        <is>
          <t>Daysbel Hernández</t>
        </is>
      </c>
      <c r="C325" s="9" t="inlineStr">
        <is>
          <t>ATL</t>
        </is>
      </c>
      <c r="D325" s="9" t="n">
        <v>30</v>
      </c>
      <c r="E325" s="17" t="inlineStr">
        <is>
          <t>R</t>
        </is>
      </c>
      <c r="F325" s="17" t="n"/>
      <c r="G325" s="9" t="n">
        <v>164</v>
      </c>
      <c r="H325" s="9" t="n">
        <v>258</v>
      </c>
      <c r="I325" s="9" t="inlineStr">
        <is>
          <t>Bullpen Depth Arm</t>
        </is>
      </c>
      <c r="J325" s="17" t="inlineStr">
        <is>
          <t>Opening Day</t>
        </is>
      </c>
      <c r="K325" s="11">
        <f>IFERROR(INDEX(Roles!$B$17:$B$20,MATCH(J325,Roles!$A$17:$A$20,0)),1)</f>
        <v/>
      </c>
      <c r="L325" s="18" t="n">
        <v>1</v>
      </c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3">
        <f>SUMPRODUCT(M325:X325,$M$2:$X$2)*$K325*$L325</f>
        <v/>
      </c>
      <c r="Z325" s="14">
        <f>SUM(M325:X325)</f>
        <v/>
      </c>
      <c r="AA325" s="13">
        <f>SUMPRODUCT(M325:X325,$M$3:$X$3)*$K325*$L325</f>
        <v/>
      </c>
      <c r="AB325" s="13">
        <f>SUMPRODUCT(M325:X325,$M$4:$X$4)*$K325*$L325</f>
        <v/>
      </c>
      <c r="AC325" s="15">
        <f>SUMPRODUCT(M325:X325,$M$5:$X$5)*$K325*$L325</f>
        <v/>
      </c>
      <c r="AD325" s="15">
        <f>SUMPRODUCT(M325:X325,$M$6:$X$6)*$K325*$L325</f>
        <v/>
      </c>
      <c r="AE325" s="19" t="n"/>
    </row>
    <row r="326">
      <c r="A326" s="9" t="n">
        <v>656876</v>
      </c>
      <c r="B326" s="9" t="inlineStr">
        <is>
          <t>Drew Rasmussen</t>
        </is>
      </c>
      <c r="C326" s="9" t="inlineStr">
        <is>
          <t>TB</t>
        </is>
      </c>
      <c r="D326" s="9" t="n">
        <v>31</v>
      </c>
      <c r="E326" s="17" t="inlineStr">
        <is>
          <t>R</t>
        </is>
      </c>
      <c r="F326" s="17" t="n"/>
      <c r="G326" s="9" t="n">
        <v>642</v>
      </c>
      <c r="H326" s="9" t="n">
        <v>2104</v>
      </c>
      <c r="I326" s="9" t="inlineStr">
        <is>
          <t>Mid-Rotation Starter (SP2-3)</t>
        </is>
      </c>
      <c r="J326" s="17" t="inlineStr">
        <is>
          <t>Opening Day</t>
        </is>
      </c>
      <c r="K326" s="11">
        <f>IFERROR(INDEX(Roles!$B$17:$B$20,MATCH(J326,Roles!$A$17:$A$20,0)),1)</f>
        <v/>
      </c>
      <c r="L326" s="18" t="n">
        <v>1</v>
      </c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3">
        <f>SUMPRODUCT(M326:X326,$M$2:$X$2)*$K326*$L326</f>
        <v/>
      </c>
      <c r="Z326" s="14">
        <f>SUM(M326:X326)</f>
        <v/>
      </c>
      <c r="AA326" s="13">
        <f>SUMPRODUCT(M326:X326,$M$3:$X$3)*$K326*$L326</f>
        <v/>
      </c>
      <c r="AB326" s="13">
        <f>SUMPRODUCT(M326:X326,$M$4:$X$4)*$K326*$L326</f>
        <v/>
      </c>
      <c r="AC326" s="15">
        <f>SUMPRODUCT(M326:X326,$M$5:$X$5)*$K326*$L326</f>
        <v/>
      </c>
      <c r="AD326" s="15">
        <f>SUMPRODUCT(M326:X326,$M$6:$X$6)*$K326*$L326</f>
        <v/>
      </c>
      <c r="AE326" s="19" t="n"/>
    </row>
    <row r="327">
      <c r="A327" s="9" t="n">
        <v>676710</v>
      </c>
      <c r="B327" s="9" t="inlineStr">
        <is>
          <t>Kutter Crawford</t>
        </is>
      </c>
      <c r="C327" s="9" t="inlineStr">
        <is>
          <t>BOS</t>
        </is>
      </c>
      <c r="D327" s="9" t="n">
        <v>31</v>
      </c>
      <c r="E327" s="17" t="inlineStr">
        <is>
          <t>R</t>
        </is>
      </c>
      <c r="F327" s="17" t="n"/>
      <c r="G327" s="9" t="n">
        <v>759</v>
      </c>
      <c r="H327" s="9" t="n">
        <v>1620</v>
      </c>
      <c r="I327" s="9" t="inlineStr">
        <is>
          <t>Depth (no MLB IP)</t>
        </is>
      </c>
      <c r="J327" s="17" t="inlineStr">
        <is>
          <t>Opening Day</t>
        </is>
      </c>
      <c r="K327" s="11">
        <f>IFERROR(INDEX(Roles!$B$17:$B$20,MATCH(J327,Roles!$A$17:$A$20,0)),1)</f>
        <v/>
      </c>
      <c r="L327" s="18" t="n">
        <v>1</v>
      </c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3">
        <f>SUMPRODUCT(M327:X327,$M$2:$X$2)*$K327*$L327</f>
        <v/>
      </c>
      <c r="Z327" s="14">
        <f>SUM(M327:X327)</f>
        <v/>
      </c>
      <c r="AA327" s="13">
        <f>SUMPRODUCT(M327:X327,$M$3:$X$3)*$K327*$L327</f>
        <v/>
      </c>
      <c r="AB327" s="13">
        <f>SUMPRODUCT(M327:X327,$M$4:$X$4)*$K327*$L327</f>
        <v/>
      </c>
      <c r="AC327" s="15">
        <f>SUMPRODUCT(M327:X327,$M$5:$X$5)*$K327*$L327</f>
        <v/>
      </c>
      <c r="AD327" s="15">
        <f>SUMPRODUCT(M327:X327,$M$6:$X$6)*$K327*$L327</f>
        <v/>
      </c>
      <c r="AE327" s="19" t="n"/>
    </row>
    <row r="328">
      <c r="A328" s="9" t="n">
        <v>664202</v>
      </c>
      <c r="B328" s="9" t="inlineStr">
        <is>
          <t>Tyler Cyr</t>
        </is>
      </c>
      <c r="C328" s="9" t="inlineStr">
        <is>
          <t>OAK</t>
        </is>
      </c>
      <c r="D328" s="9" t="n">
        <v>34</v>
      </c>
      <c r="E328" s="17" t="inlineStr">
        <is>
          <t>R</t>
        </is>
      </c>
      <c r="F328" s="17" t="n"/>
      <c r="G328" s="9" t="n">
        <v>6</v>
      </c>
      <c r="H328" s="9" t="n">
        <v>61</v>
      </c>
      <c r="I328" s="9" t="inlineStr">
        <is>
          <t>Depth (no MLB IP)</t>
        </is>
      </c>
      <c r="J328" s="17" t="inlineStr">
        <is>
          <t>Opening Day</t>
        </is>
      </c>
      <c r="K328" s="11">
        <f>IFERROR(INDEX(Roles!$B$17:$B$20,MATCH(J328,Roles!$A$17:$A$20,0)),1)</f>
        <v/>
      </c>
      <c r="L328" s="18" t="n">
        <v>1</v>
      </c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3">
        <f>SUMPRODUCT(M328:X328,$M$2:$X$2)*$K328*$L328</f>
        <v/>
      </c>
      <c r="Z328" s="14">
        <f>SUM(M328:X328)</f>
        <v/>
      </c>
      <c r="AA328" s="13">
        <f>SUMPRODUCT(M328:X328,$M$3:$X$3)*$K328*$L328</f>
        <v/>
      </c>
      <c r="AB328" s="13">
        <f>SUMPRODUCT(M328:X328,$M$4:$X$4)*$K328*$L328</f>
        <v/>
      </c>
      <c r="AC328" s="15">
        <f>SUMPRODUCT(M328:X328,$M$5:$X$5)*$K328*$L328</f>
        <v/>
      </c>
      <c r="AD328" s="15">
        <f>SUMPRODUCT(M328:X328,$M$6:$X$6)*$K328*$L328</f>
        <v/>
      </c>
      <c r="AE328" s="19" t="n"/>
    </row>
    <row r="329">
      <c r="A329" s="9" t="n">
        <v>672629</v>
      </c>
      <c r="B329" s="9" t="inlineStr">
        <is>
          <t>Gerardo Carrillo</t>
        </is>
      </c>
      <c r="C329" s="9" t="inlineStr">
        <is>
          <t>ARI</t>
        </is>
      </c>
      <c r="D329" s="9" t="n">
        <v>28</v>
      </c>
      <c r="E329" s="17" t="inlineStr">
        <is>
          <t>R</t>
        </is>
      </c>
      <c r="F329" s="17" t="n"/>
      <c r="G329" s="9" t="n">
        <v>81</v>
      </c>
      <c r="H329" s="9" t="n">
        <v>81</v>
      </c>
      <c r="I329" s="9" t="inlineStr">
        <is>
          <t>Bullpen Depth Arm</t>
        </is>
      </c>
      <c r="J329" s="17" t="inlineStr">
        <is>
          <t>Opening Day</t>
        </is>
      </c>
      <c r="K329" s="11">
        <f>IFERROR(INDEX(Roles!$B$17:$B$20,MATCH(J329,Roles!$A$17:$A$20,0)),1)</f>
        <v/>
      </c>
      <c r="L329" s="18" t="n">
        <v>1</v>
      </c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3">
        <f>SUMPRODUCT(M329:X329,$M$2:$X$2)*$K329*$L329</f>
        <v/>
      </c>
      <c r="Z329" s="14">
        <f>SUM(M329:X329)</f>
        <v/>
      </c>
      <c r="AA329" s="13">
        <f>SUMPRODUCT(M329:X329,$M$3:$X$3)*$K329*$L329</f>
        <v/>
      </c>
      <c r="AB329" s="13">
        <f>SUMPRODUCT(M329:X329,$M$4:$X$4)*$K329*$L329</f>
        <v/>
      </c>
      <c r="AC329" s="15">
        <f>SUMPRODUCT(M329:X329,$M$5:$X$5)*$K329*$L329</f>
        <v/>
      </c>
      <c r="AD329" s="15">
        <f>SUMPRODUCT(M329:X329,$M$6:$X$6)*$K329*$L329</f>
        <v/>
      </c>
      <c r="AE329" s="19" t="n"/>
    </row>
    <row r="330">
      <c r="A330" s="9" t="n">
        <v>687570</v>
      </c>
      <c r="B330" s="9" t="inlineStr">
        <is>
          <t>Connor Prielipp</t>
        </is>
      </c>
      <c r="C330" s="9" t="inlineStr">
        <is>
          <t>MIN</t>
        </is>
      </c>
      <c r="D330" s="9" t="n">
        <v>26</v>
      </c>
      <c r="E330" s="17" t="inlineStr">
        <is>
          <t>L</t>
        </is>
      </c>
      <c r="F330" s="17" t="n"/>
      <c r="G330" s="9" t="n">
        <v>488</v>
      </c>
      <c r="H330" s="9" t="n">
        <v>488</v>
      </c>
      <c r="I330" s="9" t="inlineStr">
        <is>
          <t>Mid-Rotation Starter (SP2-3)</t>
        </is>
      </c>
      <c r="J330" s="17" t="inlineStr">
        <is>
          <t>Opening Day</t>
        </is>
      </c>
      <c r="K330" s="11">
        <f>IFERROR(INDEX(Roles!$B$17:$B$20,MATCH(J330,Roles!$A$17:$A$20,0)),1)</f>
        <v/>
      </c>
      <c r="L330" s="18" t="n">
        <v>1</v>
      </c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3">
        <f>SUMPRODUCT(M330:X330,$M$2:$X$2)*$K330*$L330</f>
        <v/>
      </c>
      <c r="Z330" s="14">
        <f>SUM(M330:X330)</f>
        <v/>
      </c>
      <c r="AA330" s="13">
        <f>SUMPRODUCT(M330:X330,$M$3:$X$3)*$K330*$L330</f>
        <v/>
      </c>
      <c r="AB330" s="13">
        <f>SUMPRODUCT(M330:X330,$M$4:$X$4)*$K330*$L330</f>
        <v/>
      </c>
      <c r="AC330" s="15">
        <f>SUMPRODUCT(M330:X330,$M$5:$X$5)*$K330*$L330</f>
        <v/>
      </c>
      <c r="AD330" s="15">
        <f>SUMPRODUCT(M330:X330,$M$6:$X$6)*$K330*$L330</f>
        <v/>
      </c>
      <c r="AE330" s="19" t="n"/>
    </row>
    <row r="331">
      <c r="A331" s="9" t="n">
        <v>697812</v>
      </c>
      <c r="B331" s="9" t="inlineStr">
        <is>
          <t>Joe Rock</t>
        </is>
      </c>
      <c r="C331" s="9" t="inlineStr">
        <is>
          <t>CWS</t>
        </is>
      </c>
      <c r="D331" s="9" t="n">
        <v>26</v>
      </c>
      <c r="E331" s="17" t="inlineStr">
        <is>
          <t>L</t>
        </is>
      </c>
      <c r="F331" s="17" t="n"/>
      <c r="G331" s="9" t="n">
        <v>53</v>
      </c>
      <c r="H331" s="9" t="n">
        <v>88</v>
      </c>
      <c r="I331" s="9" t="inlineStr">
        <is>
          <t>Bullpen Depth Arm</t>
        </is>
      </c>
      <c r="J331" s="17" t="inlineStr">
        <is>
          <t>Opening Day</t>
        </is>
      </c>
      <c r="K331" s="11">
        <f>IFERROR(INDEX(Roles!$B$17:$B$20,MATCH(J331,Roles!$A$17:$A$20,0)),1)</f>
        <v/>
      </c>
      <c r="L331" s="18" t="n">
        <v>1</v>
      </c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3">
        <f>SUMPRODUCT(M331:X331,$M$2:$X$2)*$K331*$L331</f>
        <v/>
      </c>
      <c r="Z331" s="14">
        <f>SUM(M331:X331)</f>
        <v/>
      </c>
      <c r="AA331" s="13">
        <f>SUMPRODUCT(M331:X331,$M$3:$X$3)*$K331*$L331</f>
        <v/>
      </c>
      <c r="AB331" s="13">
        <f>SUMPRODUCT(M331:X331,$M$4:$X$4)*$K331*$L331</f>
        <v/>
      </c>
      <c r="AC331" s="15">
        <f>SUMPRODUCT(M331:X331,$M$5:$X$5)*$K331*$L331</f>
        <v/>
      </c>
      <c r="AD331" s="15">
        <f>SUMPRODUCT(M331:X331,$M$6:$X$6)*$K331*$L331</f>
        <v/>
      </c>
      <c r="AE331" s="19" t="n"/>
    </row>
    <row r="332">
      <c r="A332" s="9" t="n">
        <v>676454</v>
      </c>
      <c r="B332" s="9" t="inlineStr">
        <is>
          <t>Brendan Cellucci</t>
        </is>
      </c>
      <c r="C332" s="9" t="inlineStr"/>
      <c r="D332" s="9" t="n">
        <v>29</v>
      </c>
      <c r="E332" s="17" t="inlineStr">
        <is>
          <t>L</t>
        </is>
      </c>
      <c r="F332" s="17" t="n"/>
      <c r="G332" s="9" t="n">
        <v>5</v>
      </c>
      <c r="H332" s="9" t="n">
        <v>5</v>
      </c>
      <c r="I332" s="9" t="inlineStr">
        <is>
          <t>Depth (no MLB IP)</t>
        </is>
      </c>
      <c r="J332" s="17" t="inlineStr">
        <is>
          <t>Opening Day</t>
        </is>
      </c>
      <c r="K332" s="11">
        <f>IFERROR(INDEX(Roles!$B$17:$B$20,MATCH(J332,Roles!$A$17:$A$20,0)),1)</f>
        <v/>
      </c>
      <c r="L332" s="18" t="n">
        <v>1</v>
      </c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3">
        <f>SUMPRODUCT(M332:X332,$M$2:$X$2)*$K332*$L332</f>
        <v/>
      </c>
      <c r="Z332" s="14">
        <f>SUM(M332:X332)</f>
        <v/>
      </c>
      <c r="AA332" s="13">
        <f>SUMPRODUCT(M332:X332,$M$3:$X$3)*$K332*$L332</f>
        <v/>
      </c>
      <c r="AB332" s="13">
        <f>SUMPRODUCT(M332:X332,$M$4:$X$4)*$K332*$L332</f>
        <v/>
      </c>
      <c r="AC332" s="15">
        <f>SUMPRODUCT(M332:X332,$M$5:$X$5)*$K332*$L332</f>
        <v/>
      </c>
      <c r="AD332" s="15">
        <f>SUMPRODUCT(M332:X332,$M$6:$X$6)*$K332*$L332</f>
        <v/>
      </c>
      <c r="AE332" s="19" t="n"/>
    </row>
    <row r="333">
      <c r="A333" s="9" t="n">
        <v>621363</v>
      </c>
      <c r="B333" s="9" t="inlineStr">
        <is>
          <t>Colin Poche</t>
        </is>
      </c>
      <c r="C333" s="9" t="inlineStr">
        <is>
          <t>NYM</t>
        </is>
      </c>
      <c r="D333" s="9" t="n">
        <v>33</v>
      </c>
      <c r="E333" s="17" t="inlineStr">
        <is>
          <t>L</t>
        </is>
      </c>
      <c r="F333" s="17" t="n"/>
      <c r="G333" s="9" t="n">
        <v>52</v>
      </c>
      <c r="H333" s="9" t="n">
        <v>696</v>
      </c>
      <c r="I333" s="9" t="inlineStr">
        <is>
          <t>Bullpen Depth Arm</t>
        </is>
      </c>
      <c r="J333" s="17" t="inlineStr">
        <is>
          <t>Opening Day</t>
        </is>
      </c>
      <c r="K333" s="11">
        <f>IFERROR(INDEX(Roles!$B$17:$B$20,MATCH(J333,Roles!$A$17:$A$20,0)),1)</f>
        <v/>
      </c>
      <c r="L333" s="18" t="n">
        <v>1</v>
      </c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3">
        <f>SUMPRODUCT(M333:X333,$M$2:$X$2)*$K333*$L333</f>
        <v/>
      </c>
      <c r="Z333" s="14">
        <f>SUM(M333:X333)</f>
        <v/>
      </c>
      <c r="AA333" s="13">
        <f>SUMPRODUCT(M333:X333,$M$3:$X$3)*$K333*$L333</f>
        <v/>
      </c>
      <c r="AB333" s="13">
        <f>SUMPRODUCT(M333:X333,$M$4:$X$4)*$K333*$L333</f>
        <v/>
      </c>
      <c r="AC333" s="15">
        <f>SUMPRODUCT(M333:X333,$M$5:$X$5)*$K333*$L333</f>
        <v/>
      </c>
      <c r="AD333" s="15">
        <f>SUMPRODUCT(M333:X333,$M$6:$X$6)*$K333*$L333</f>
        <v/>
      </c>
      <c r="AE333" s="19" t="n"/>
    </row>
    <row r="334">
      <c r="A334" s="9" t="n">
        <v>622772</v>
      </c>
      <c r="B334" s="9" t="inlineStr">
        <is>
          <t>Jimmy Cordero</t>
        </is>
      </c>
      <c r="C334" s="9" t="inlineStr">
        <is>
          <t>NYY</t>
        </is>
      </c>
      <c r="D334" s="9" t="n">
        <v>35</v>
      </c>
      <c r="E334" s="17" t="inlineStr">
        <is>
          <t>R</t>
        </is>
      </c>
      <c r="F334" s="17" t="n"/>
      <c r="G334" s="9" t="n">
        <v>132</v>
      </c>
      <c r="H334" s="9" t="n">
        <v>132</v>
      </c>
      <c r="I334" s="9" t="inlineStr">
        <is>
          <t>Depth (no MLB IP)</t>
        </is>
      </c>
      <c r="J334" s="17" t="inlineStr">
        <is>
          <t>Opening Day</t>
        </is>
      </c>
      <c r="K334" s="11">
        <f>IFERROR(INDEX(Roles!$B$17:$B$20,MATCH(J334,Roles!$A$17:$A$20,0)),1)</f>
        <v/>
      </c>
      <c r="L334" s="18" t="n">
        <v>1</v>
      </c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3">
        <f>SUMPRODUCT(M334:X334,$M$2:$X$2)*$K334*$L334</f>
        <v/>
      </c>
      <c r="Z334" s="14">
        <f>SUM(M334:X334)</f>
        <v/>
      </c>
      <c r="AA334" s="13">
        <f>SUMPRODUCT(M334:X334,$M$3:$X$3)*$K334*$L334</f>
        <v/>
      </c>
      <c r="AB334" s="13">
        <f>SUMPRODUCT(M334:X334,$M$4:$X$4)*$K334*$L334</f>
        <v/>
      </c>
      <c r="AC334" s="15">
        <f>SUMPRODUCT(M334:X334,$M$5:$X$5)*$K334*$L334</f>
        <v/>
      </c>
      <c r="AD334" s="15">
        <f>SUMPRODUCT(M334:X334,$M$6:$X$6)*$K334*$L334</f>
        <v/>
      </c>
      <c r="AE334" s="19" t="n"/>
    </row>
    <row r="335">
      <c r="A335" s="9" t="n">
        <v>669459</v>
      </c>
      <c r="B335" s="9" t="inlineStr">
        <is>
          <t>Kyle Nelson</t>
        </is>
      </c>
      <c r="C335" s="9" t="inlineStr">
        <is>
          <t>ARI</t>
        </is>
      </c>
      <c r="D335" s="9" t="n">
        <v>30</v>
      </c>
      <c r="E335" s="17" t="inlineStr">
        <is>
          <t>L</t>
        </is>
      </c>
      <c r="F335" s="17" t="n"/>
      <c r="G335" s="9" t="n">
        <v>11</v>
      </c>
      <c r="H335" s="9" t="n">
        <v>443</v>
      </c>
      <c r="I335" s="9" t="inlineStr">
        <is>
          <t>Depth (no MLB IP)</t>
        </is>
      </c>
      <c r="J335" s="17" t="inlineStr">
        <is>
          <t>Opening Day</t>
        </is>
      </c>
      <c r="K335" s="11">
        <f>IFERROR(INDEX(Roles!$B$17:$B$20,MATCH(J335,Roles!$A$17:$A$20,0)),1)</f>
        <v/>
      </c>
      <c r="L335" s="18" t="n">
        <v>1</v>
      </c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3">
        <f>SUMPRODUCT(M335:X335,$M$2:$X$2)*$K335*$L335</f>
        <v/>
      </c>
      <c r="Z335" s="14">
        <f>SUM(M335:X335)</f>
        <v/>
      </c>
      <c r="AA335" s="13">
        <f>SUMPRODUCT(M335:X335,$M$3:$X$3)*$K335*$L335</f>
        <v/>
      </c>
      <c r="AB335" s="13">
        <f>SUMPRODUCT(M335:X335,$M$4:$X$4)*$K335*$L335</f>
        <v/>
      </c>
      <c r="AC335" s="15">
        <f>SUMPRODUCT(M335:X335,$M$5:$X$5)*$K335*$L335</f>
        <v/>
      </c>
      <c r="AD335" s="15">
        <f>SUMPRODUCT(M335:X335,$M$6:$X$6)*$K335*$L335</f>
        <v/>
      </c>
      <c r="AE335" s="19" t="n"/>
    </row>
    <row r="336">
      <c r="A336" s="9" t="n">
        <v>681293</v>
      </c>
      <c r="B336" s="9" t="inlineStr">
        <is>
          <t>Spencer Arrighetti</t>
        </is>
      </c>
      <c r="C336" s="9" t="inlineStr">
        <is>
          <t>TOR</t>
        </is>
      </c>
      <c r="D336" s="9" t="n">
        <v>27</v>
      </c>
      <c r="E336" s="17" t="inlineStr">
        <is>
          <t>R</t>
        </is>
      </c>
      <c r="F336" s="17" t="n"/>
      <c r="G336" s="9" t="n">
        <v>481</v>
      </c>
      <c r="H336" s="9" t="n">
        <v>1269</v>
      </c>
      <c r="I336" s="9" t="inlineStr">
        <is>
          <t>End-of-Rotation Starter (SP4-5)</t>
        </is>
      </c>
      <c r="J336" s="17" t="inlineStr">
        <is>
          <t>Opening Day</t>
        </is>
      </c>
      <c r="K336" s="11">
        <f>IFERROR(INDEX(Roles!$B$17:$B$20,MATCH(J336,Roles!$A$17:$A$20,0)),1)</f>
        <v/>
      </c>
      <c r="L336" s="18" t="n">
        <v>1</v>
      </c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3">
        <f>SUMPRODUCT(M336:X336,$M$2:$X$2)*$K336*$L336</f>
        <v/>
      </c>
      <c r="Z336" s="14">
        <f>SUM(M336:X336)</f>
        <v/>
      </c>
      <c r="AA336" s="13">
        <f>SUMPRODUCT(M336:X336,$M$3:$X$3)*$K336*$L336</f>
        <v/>
      </c>
      <c r="AB336" s="13">
        <f>SUMPRODUCT(M336:X336,$M$4:$X$4)*$K336*$L336</f>
        <v/>
      </c>
      <c r="AC336" s="15">
        <f>SUMPRODUCT(M336:X336,$M$5:$X$5)*$K336*$L336</f>
        <v/>
      </c>
      <c r="AD336" s="15">
        <f>SUMPRODUCT(M336:X336,$M$6:$X$6)*$K336*$L336</f>
        <v/>
      </c>
      <c r="AE336" s="19" t="n"/>
    </row>
    <row r="337">
      <c r="A337" s="9" t="n">
        <v>605154</v>
      </c>
      <c r="B337" s="9" t="inlineStr">
        <is>
          <t>John Brebbia</t>
        </is>
      </c>
      <c r="C337" s="9" t="inlineStr">
        <is>
          <t>ATL</t>
        </is>
      </c>
      <c r="D337" s="9" t="n">
        <v>37</v>
      </c>
      <c r="E337" s="17" t="inlineStr">
        <is>
          <t>R</t>
        </is>
      </c>
      <c r="F337" s="17" t="n"/>
      <c r="G337" s="9" t="n">
        <v>21</v>
      </c>
      <c r="H337" s="9" t="n">
        <v>827</v>
      </c>
      <c r="I337" s="9" t="inlineStr">
        <is>
          <t>Bullpen Depth Arm</t>
        </is>
      </c>
      <c r="J337" s="17" t="inlineStr">
        <is>
          <t>Opening Day</t>
        </is>
      </c>
      <c r="K337" s="11">
        <f>IFERROR(INDEX(Roles!$B$17:$B$20,MATCH(J337,Roles!$A$17:$A$20,0)),1)</f>
        <v/>
      </c>
      <c r="L337" s="18" t="n">
        <v>1</v>
      </c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3">
        <f>SUMPRODUCT(M337:X337,$M$2:$X$2)*$K337*$L337</f>
        <v/>
      </c>
      <c r="Z337" s="14">
        <f>SUM(M337:X337)</f>
        <v/>
      </c>
      <c r="AA337" s="13">
        <f>SUMPRODUCT(M337:X337,$M$3:$X$3)*$K337*$L337</f>
        <v/>
      </c>
      <c r="AB337" s="13">
        <f>SUMPRODUCT(M337:X337,$M$4:$X$4)*$K337*$L337</f>
        <v/>
      </c>
      <c r="AC337" s="15">
        <f>SUMPRODUCT(M337:X337,$M$5:$X$5)*$K337*$L337</f>
        <v/>
      </c>
      <c r="AD337" s="15">
        <f>SUMPRODUCT(M337:X337,$M$6:$X$6)*$K337*$L337</f>
        <v/>
      </c>
      <c r="AE337" s="19" t="n"/>
    </row>
    <row r="338">
      <c r="A338" s="9" t="n">
        <v>571656</v>
      </c>
      <c r="B338" s="9" t="inlineStr">
        <is>
          <t>Buck Farmer</t>
        </is>
      </c>
      <c r="C338" s="9" t="inlineStr">
        <is>
          <t>CIN</t>
        </is>
      </c>
      <c r="D338" s="9" t="n">
        <v>36</v>
      </c>
      <c r="E338" s="17" t="inlineStr">
        <is>
          <t>R</t>
        </is>
      </c>
      <c r="F338" s="17" t="n"/>
      <c r="G338" s="9" t="n">
        <v>299</v>
      </c>
      <c r="H338" s="9" t="n">
        <v>807</v>
      </c>
      <c r="I338" s="9" t="inlineStr">
        <is>
          <t>Depth (no MLB IP)</t>
        </is>
      </c>
      <c r="J338" s="17" t="inlineStr">
        <is>
          <t>Opening Day</t>
        </is>
      </c>
      <c r="K338" s="11">
        <f>IFERROR(INDEX(Roles!$B$17:$B$20,MATCH(J338,Roles!$A$17:$A$20,0)),1)</f>
        <v/>
      </c>
      <c r="L338" s="18" t="n">
        <v>1</v>
      </c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3">
        <f>SUMPRODUCT(M338:X338,$M$2:$X$2)*$K338*$L338</f>
        <v/>
      </c>
      <c r="Z338" s="14">
        <f>SUM(M338:X338)</f>
        <v/>
      </c>
      <c r="AA338" s="13">
        <f>SUMPRODUCT(M338:X338,$M$3:$X$3)*$K338*$L338</f>
        <v/>
      </c>
      <c r="AB338" s="13">
        <f>SUMPRODUCT(M338:X338,$M$4:$X$4)*$K338*$L338</f>
        <v/>
      </c>
      <c r="AC338" s="15">
        <f>SUMPRODUCT(M338:X338,$M$5:$X$5)*$K338*$L338</f>
        <v/>
      </c>
      <c r="AD338" s="15">
        <f>SUMPRODUCT(M338:X338,$M$6:$X$6)*$K338*$L338</f>
        <v/>
      </c>
      <c r="AE338" s="19" t="n"/>
    </row>
    <row r="339">
      <c r="A339" s="9" t="n">
        <v>641482</v>
      </c>
      <c r="B339" s="9" t="inlineStr">
        <is>
          <t>Nestor Cortes</t>
        </is>
      </c>
      <c r="C339" s="9" t="inlineStr">
        <is>
          <t>SD</t>
        </is>
      </c>
      <c r="D339" s="9" t="n">
        <v>32</v>
      </c>
      <c r="E339" s="17" t="inlineStr">
        <is>
          <t>L</t>
        </is>
      </c>
      <c r="F339" s="17" t="n"/>
      <c r="G339" s="9" t="n">
        <v>157</v>
      </c>
      <c r="H339" s="9" t="n">
        <v>1748</v>
      </c>
      <c r="I339" s="9" t="inlineStr">
        <is>
          <t>Mid-Rotation Starter (SP2-3)</t>
        </is>
      </c>
      <c r="J339" s="17" t="inlineStr">
        <is>
          <t>Opening Day</t>
        </is>
      </c>
      <c r="K339" s="11">
        <f>IFERROR(INDEX(Roles!$B$17:$B$20,MATCH(J339,Roles!$A$17:$A$20,0)),1)</f>
        <v/>
      </c>
      <c r="L339" s="18" t="n">
        <v>1</v>
      </c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3">
        <f>SUMPRODUCT(M339:X339,$M$2:$X$2)*$K339*$L339</f>
        <v/>
      </c>
      <c r="Z339" s="14">
        <f>SUM(M339:X339)</f>
        <v/>
      </c>
      <c r="AA339" s="13">
        <f>SUMPRODUCT(M339:X339,$M$3:$X$3)*$K339*$L339</f>
        <v/>
      </c>
      <c r="AB339" s="13">
        <f>SUMPRODUCT(M339:X339,$M$4:$X$4)*$K339*$L339</f>
        <v/>
      </c>
      <c r="AC339" s="15">
        <f>SUMPRODUCT(M339:X339,$M$5:$X$5)*$K339*$L339</f>
        <v/>
      </c>
      <c r="AD339" s="15">
        <f>SUMPRODUCT(M339:X339,$M$6:$X$6)*$K339*$L339</f>
        <v/>
      </c>
      <c r="AE339" s="19" t="n"/>
    </row>
    <row r="340">
      <c r="A340" s="9" t="n">
        <v>680570</v>
      </c>
      <c r="B340" s="9" t="inlineStr">
        <is>
          <t>Grayson Rodriguez</t>
        </is>
      </c>
      <c r="C340" s="9" t="inlineStr">
        <is>
          <t>LAA</t>
        </is>
      </c>
      <c r="D340" s="9" t="n">
        <v>27</v>
      </c>
      <c r="E340" s="17" t="inlineStr">
        <is>
          <t>R</t>
        </is>
      </c>
      <c r="F340" s="17" t="n"/>
      <c r="G340" s="9" t="n">
        <v>393</v>
      </c>
      <c r="H340" s="9" t="n">
        <v>1399</v>
      </c>
      <c r="I340" s="9" t="inlineStr">
        <is>
          <t>Mid-Rotation Starter (SP2-3)</t>
        </is>
      </c>
      <c r="J340" s="17" t="inlineStr">
        <is>
          <t>Opening Day</t>
        </is>
      </c>
      <c r="K340" s="11">
        <f>IFERROR(INDEX(Roles!$B$17:$B$20,MATCH(J340,Roles!$A$17:$A$20,0)),1)</f>
        <v/>
      </c>
      <c r="L340" s="18" t="n">
        <v>1</v>
      </c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3">
        <f>SUMPRODUCT(M340:X340,$M$2:$X$2)*$K340*$L340</f>
        <v/>
      </c>
      <c r="Z340" s="14">
        <f>SUM(M340:X340)</f>
        <v/>
      </c>
      <c r="AA340" s="13">
        <f>SUMPRODUCT(M340:X340,$M$3:$X$3)*$K340*$L340</f>
        <v/>
      </c>
      <c r="AB340" s="13">
        <f>SUMPRODUCT(M340:X340,$M$4:$X$4)*$K340*$L340</f>
        <v/>
      </c>
      <c r="AC340" s="15">
        <f>SUMPRODUCT(M340:X340,$M$5:$X$5)*$K340*$L340</f>
        <v/>
      </c>
      <c r="AD340" s="15">
        <f>SUMPRODUCT(M340:X340,$M$6:$X$6)*$K340*$L340</f>
        <v/>
      </c>
      <c r="AE340" s="19" t="n"/>
    </row>
    <row r="341">
      <c r="A341" s="9" t="n">
        <v>701542</v>
      </c>
      <c r="B341" s="9" t="inlineStr">
        <is>
          <t>Will Warren</t>
        </is>
      </c>
      <c r="C341" s="9" t="inlineStr">
        <is>
          <t>NYY</t>
        </is>
      </c>
      <c r="D341" s="9" t="n">
        <v>28</v>
      </c>
      <c r="E341" s="17" t="inlineStr">
        <is>
          <t>R</t>
        </is>
      </c>
      <c r="F341" s="17" t="n"/>
      <c r="G341" s="9" t="n">
        <v>641</v>
      </c>
      <c r="H341" s="9" t="n">
        <v>1462</v>
      </c>
      <c r="I341" s="9" t="inlineStr">
        <is>
          <t>End-of-Rotation Starter (SP4-5)</t>
        </is>
      </c>
      <c r="J341" s="17" t="inlineStr">
        <is>
          <t>Opening Day</t>
        </is>
      </c>
      <c r="K341" s="11">
        <f>IFERROR(INDEX(Roles!$B$17:$B$20,MATCH(J341,Roles!$A$17:$A$20,0)),1)</f>
        <v/>
      </c>
      <c r="L341" s="18" t="n">
        <v>1</v>
      </c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3">
        <f>SUMPRODUCT(M341:X341,$M$2:$X$2)*$K341*$L341</f>
        <v/>
      </c>
      <c r="Z341" s="14">
        <f>SUM(M341:X341)</f>
        <v/>
      </c>
      <c r="AA341" s="13">
        <f>SUMPRODUCT(M341:X341,$M$3:$X$3)*$K341*$L341</f>
        <v/>
      </c>
      <c r="AB341" s="13">
        <f>SUMPRODUCT(M341:X341,$M$4:$X$4)*$K341*$L341</f>
        <v/>
      </c>
      <c r="AC341" s="15">
        <f>SUMPRODUCT(M341:X341,$M$5:$X$5)*$K341*$L341</f>
        <v/>
      </c>
      <c r="AD341" s="15">
        <f>SUMPRODUCT(M341:X341,$M$6:$X$6)*$K341*$L341</f>
        <v/>
      </c>
      <c r="AE341" s="19" t="n"/>
    </row>
    <row r="342">
      <c r="A342" s="9" t="n">
        <v>676760</v>
      </c>
      <c r="B342" s="9" t="inlineStr">
        <is>
          <t>Ron Marinaccio</t>
        </is>
      </c>
      <c r="C342" s="9" t="inlineStr">
        <is>
          <t>CIN</t>
        </is>
      </c>
      <c r="D342" s="9" t="n">
        <v>31</v>
      </c>
      <c r="E342" s="17" t="inlineStr">
        <is>
          <t>R</t>
        </is>
      </c>
      <c r="F342" s="17" t="n"/>
      <c r="G342" s="9" t="n">
        <v>260</v>
      </c>
      <c r="H342" s="9" t="n">
        <v>787</v>
      </c>
      <c r="I342" s="9" t="inlineStr">
        <is>
          <t>Bullpen Depth Arm</t>
        </is>
      </c>
      <c r="J342" s="17" t="inlineStr">
        <is>
          <t>Opening Day</t>
        </is>
      </c>
      <c r="K342" s="11">
        <f>IFERROR(INDEX(Roles!$B$17:$B$20,MATCH(J342,Roles!$A$17:$A$20,0)),1)</f>
        <v/>
      </c>
      <c r="L342" s="18" t="n">
        <v>1</v>
      </c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3">
        <f>SUMPRODUCT(M342:X342,$M$2:$X$2)*$K342*$L342</f>
        <v/>
      </c>
      <c r="Z342" s="14">
        <f>SUM(M342:X342)</f>
        <v/>
      </c>
      <c r="AA342" s="13">
        <f>SUMPRODUCT(M342:X342,$M$3:$X$3)*$K342*$L342</f>
        <v/>
      </c>
      <c r="AB342" s="13">
        <f>SUMPRODUCT(M342:X342,$M$4:$X$4)*$K342*$L342</f>
        <v/>
      </c>
      <c r="AC342" s="15">
        <f>SUMPRODUCT(M342:X342,$M$5:$X$5)*$K342*$L342</f>
        <v/>
      </c>
      <c r="AD342" s="15">
        <f>SUMPRODUCT(M342:X342,$M$6:$X$6)*$K342*$L342</f>
        <v/>
      </c>
      <c r="AE342" s="19" t="n"/>
    </row>
    <row r="343">
      <c r="A343" s="9" t="n">
        <v>669084</v>
      </c>
      <c r="B343" s="9" t="inlineStr">
        <is>
          <t>DL Hall</t>
        </is>
      </c>
      <c r="C343" s="9" t="inlineStr">
        <is>
          <t>MIL</t>
        </is>
      </c>
      <c r="D343" s="9" t="n">
        <v>28</v>
      </c>
      <c r="E343" s="17" t="inlineStr">
        <is>
          <t>L</t>
        </is>
      </c>
      <c r="F343" s="17" t="n"/>
      <c r="G343" s="9" t="n">
        <v>213</v>
      </c>
      <c r="H343" s="9" t="n">
        <v>710</v>
      </c>
      <c r="I343" s="9" t="inlineStr">
        <is>
          <t>Bullpen Depth Arm</t>
        </is>
      </c>
      <c r="J343" s="17" t="inlineStr">
        <is>
          <t>Opening Day</t>
        </is>
      </c>
      <c r="K343" s="11">
        <f>IFERROR(INDEX(Roles!$B$17:$B$20,MATCH(J343,Roles!$A$17:$A$20,0)),1)</f>
        <v/>
      </c>
      <c r="L343" s="18" t="n">
        <v>1</v>
      </c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3">
        <f>SUMPRODUCT(M343:X343,$M$2:$X$2)*$K343*$L343</f>
        <v/>
      </c>
      <c r="Z343" s="14">
        <f>SUM(M343:X343)</f>
        <v/>
      </c>
      <c r="AA343" s="13">
        <f>SUMPRODUCT(M343:X343,$M$3:$X$3)*$K343*$L343</f>
        <v/>
      </c>
      <c r="AB343" s="13">
        <f>SUMPRODUCT(M343:X343,$M$4:$X$4)*$K343*$L343</f>
        <v/>
      </c>
      <c r="AC343" s="15">
        <f>SUMPRODUCT(M343:X343,$M$5:$X$5)*$K343*$L343</f>
        <v/>
      </c>
      <c r="AD343" s="15">
        <f>SUMPRODUCT(M343:X343,$M$6:$X$6)*$K343*$L343</f>
        <v/>
      </c>
      <c r="AE343" s="19" t="n"/>
    </row>
    <row r="344">
      <c r="A344" s="9" t="n">
        <v>683232</v>
      </c>
      <c r="B344" s="9" t="inlineStr">
        <is>
          <t>Nick Mears</t>
        </is>
      </c>
      <c r="C344" s="9" t="inlineStr">
        <is>
          <t>KC</t>
        </is>
      </c>
      <c r="D344" s="9" t="n">
        <v>30</v>
      </c>
      <c r="E344" s="17" t="inlineStr">
        <is>
          <t>R</t>
        </is>
      </c>
      <c r="F344" s="17" t="n"/>
      <c r="G344" s="9" t="n">
        <v>83</v>
      </c>
      <c r="H344" s="9" t="n">
        <v>655</v>
      </c>
      <c r="I344" s="9" t="inlineStr">
        <is>
          <t>Bullpen Depth Arm</t>
        </is>
      </c>
      <c r="J344" s="17" t="inlineStr">
        <is>
          <t>Opening Day</t>
        </is>
      </c>
      <c r="K344" s="11">
        <f>IFERROR(INDEX(Roles!$B$17:$B$20,MATCH(J344,Roles!$A$17:$A$20,0)),1)</f>
        <v/>
      </c>
      <c r="L344" s="18" t="n">
        <v>1</v>
      </c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3">
        <f>SUMPRODUCT(M344:X344,$M$2:$X$2)*$K344*$L344</f>
        <v/>
      </c>
      <c r="Z344" s="14">
        <f>SUM(M344:X344)</f>
        <v/>
      </c>
      <c r="AA344" s="13">
        <f>SUMPRODUCT(M344:X344,$M$3:$X$3)*$K344*$L344</f>
        <v/>
      </c>
      <c r="AB344" s="13">
        <f>SUMPRODUCT(M344:X344,$M$4:$X$4)*$K344*$L344</f>
        <v/>
      </c>
      <c r="AC344" s="15">
        <f>SUMPRODUCT(M344:X344,$M$5:$X$5)*$K344*$L344</f>
        <v/>
      </c>
      <c r="AD344" s="15">
        <f>SUMPRODUCT(M344:X344,$M$6:$X$6)*$K344*$L344</f>
        <v/>
      </c>
      <c r="AE344" s="19" t="n"/>
    </row>
    <row r="345">
      <c r="A345" s="9" t="n">
        <v>702056</v>
      </c>
      <c r="B345" s="9" t="inlineStr">
        <is>
          <t>Trey Yesavage</t>
        </is>
      </c>
      <c r="C345" s="9" t="inlineStr">
        <is>
          <t>TOR</t>
        </is>
      </c>
      <c r="D345" s="9" t="n">
        <v>23</v>
      </c>
      <c r="E345" s="17" t="inlineStr">
        <is>
          <t>R</t>
        </is>
      </c>
      <c r="F345" s="17" t="n"/>
      <c r="G345" s="9" t="n">
        <v>386</v>
      </c>
      <c r="H345" s="9" t="n">
        <v>448</v>
      </c>
      <c r="I345" s="9" t="inlineStr">
        <is>
          <t>Mid-Rotation Starter (SP2-3)</t>
        </is>
      </c>
      <c r="J345" s="17" t="inlineStr">
        <is>
          <t>Opening Day</t>
        </is>
      </c>
      <c r="K345" s="11">
        <f>IFERROR(INDEX(Roles!$B$17:$B$20,MATCH(J345,Roles!$A$17:$A$20,0)),1)</f>
        <v/>
      </c>
      <c r="L345" s="18" t="n">
        <v>1</v>
      </c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3">
        <f>SUMPRODUCT(M345:X345,$M$2:$X$2)*$K345*$L345</f>
        <v/>
      </c>
      <c r="Z345" s="14">
        <f>SUM(M345:X345)</f>
        <v/>
      </c>
      <c r="AA345" s="13">
        <f>SUMPRODUCT(M345:X345,$M$3:$X$3)*$K345*$L345</f>
        <v/>
      </c>
      <c r="AB345" s="13">
        <f>SUMPRODUCT(M345:X345,$M$4:$X$4)*$K345*$L345</f>
        <v/>
      </c>
      <c r="AC345" s="15">
        <f>SUMPRODUCT(M345:X345,$M$5:$X$5)*$K345*$L345</f>
        <v/>
      </c>
      <c r="AD345" s="15">
        <f>SUMPRODUCT(M345:X345,$M$6:$X$6)*$K345*$L345</f>
        <v/>
      </c>
      <c r="AE345" s="19" t="n"/>
    </row>
    <row r="346">
      <c r="A346" s="9" t="n">
        <v>621121</v>
      </c>
      <c r="B346" s="9" t="inlineStr">
        <is>
          <t>Lance McCullers Jr.</t>
        </is>
      </c>
      <c r="C346" s="9" t="inlineStr">
        <is>
          <t>MIL</t>
        </is>
      </c>
      <c r="D346" s="9" t="n">
        <v>33</v>
      </c>
      <c r="E346" s="17" t="inlineStr">
        <is>
          <t>R</t>
        </is>
      </c>
      <c r="F346" s="17" t="n"/>
      <c r="G346" s="9" t="n">
        <v>195</v>
      </c>
      <c r="H346" s="9" t="n">
        <v>664</v>
      </c>
      <c r="I346" s="9" t="inlineStr">
        <is>
          <t>End-of-Rotation Starter (SP4-5)</t>
        </is>
      </c>
      <c r="J346" s="17" t="inlineStr">
        <is>
          <t>Opening Day</t>
        </is>
      </c>
      <c r="K346" s="11">
        <f>IFERROR(INDEX(Roles!$B$17:$B$20,MATCH(J346,Roles!$A$17:$A$20,0)),1)</f>
        <v/>
      </c>
      <c r="L346" s="18" t="n">
        <v>1</v>
      </c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3">
        <f>SUMPRODUCT(M346:X346,$M$2:$X$2)*$K346*$L346</f>
        <v/>
      </c>
      <c r="Z346" s="14">
        <f>SUM(M346:X346)</f>
        <v/>
      </c>
      <c r="AA346" s="13">
        <f>SUMPRODUCT(M346:X346,$M$3:$X$3)*$K346*$L346</f>
        <v/>
      </c>
      <c r="AB346" s="13">
        <f>SUMPRODUCT(M346:X346,$M$4:$X$4)*$K346*$L346</f>
        <v/>
      </c>
      <c r="AC346" s="15">
        <f>SUMPRODUCT(M346:X346,$M$5:$X$5)*$K346*$L346</f>
        <v/>
      </c>
      <c r="AD346" s="15">
        <f>SUMPRODUCT(M346:X346,$M$6:$X$6)*$K346*$L346</f>
        <v/>
      </c>
      <c r="AE346" s="19" t="n"/>
    </row>
    <row r="347">
      <c r="A347" s="9" t="n">
        <v>681006</v>
      </c>
      <c r="B347" s="9" t="inlineStr">
        <is>
          <t>Josh Simpson</t>
        </is>
      </c>
      <c r="C347" s="9" t="inlineStr">
        <is>
          <t>SEA</t>
        </is>
      </c>
      <c r="D347" s="9" t="n">
        <v>29</v>
      </c>
      <c r="E347" s="17" t="inlineStr">
        <is>
          <t>L</t>
        </is>
      </c>
      <c r="F347" s="17" t="n"/>
      <c r="G347" s="9" t="n">
        <v>38</v>
      </c>
      <c r="H347" s="9" t="n">
        <v>189</v>
      </c>
      <c r="I347" s="9" t="inlineStr">
        <is>
          <t>Bullpen Depth Arm</t>
        </is>
      </c>
      <c r="J347" s="17" t="inlineStr">
        <is>
          <t>Opening Day</t>
        </is>
      </c>
      <c r="K347" s="11">
        <f>IFERROR(INDEX(Roles!$B$17:$B$20,MATCH(J347,Roles!$A$17:$A$20,0)),1)</f>
        <v/>
      </c>
      <c r="L347" s="18" t="n">
        <v>1</v>
      </c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3">
        <f>SUMPRODUCT(M347:X347,$M$2:$X$2)*$K347*$L347</f>
        <v/>
      </c>
      <c r="Z347" s="14">
        <f>SUM(M347:X347)</f>
        <v/>
      </c>
      <c r="AA347" s="13">
        <f>SUMPRODUCT(M347:X347,$M$3:$X$3)*$K347*$L347</f>
        <v/>
      </c>
      <c r="AB347" s="13">
        <f>SUMPRODUCT(M347:X347,$M$4:$X$4)*$K347*$L347</f>
        <v/>
      </c>
      <c r="AC347" s="15">
        <f>SUMPRODUCT(M347:X347,$M$5:$X$5)*$K347*$L347</f>
        <v/>
      </c>
      <c r="AD347" s="15">
        <f>SUMPRODUCT(M347:X347,$M$6:$X$6)*$K347*$L347</f>
        <v/>
      </c>
      <c r="AE347" s="19" t="n"/>
    </row>
    <row r="348">
      <c r="A348" s="9" t="n">
        <v>663542</v>
      </c>
      <c r="B348" s="9" t="inlineStr">
        <is>
          <t>Bryan Hudson</t>
        </is>
      </c>
      <c r="C348" s="9" t="inlineStr">
        <is>
          <t>CWS</t>
        </is>
      </c>
      <c r="D348" s="9" t="n">
        <v>30</v>
      </c>
      <c r="E348" s="17" t="inlineStr">
        <is>
          <t>L</t>
        </is>
      </c>
      <c r="F348" s="17" t="n"/>
      <c r="G348" s="9" t="n">
        <v>261</v>
      </c>
      <c r="H348" s="9" t="n">
        <v>611</v>
      </c>
      <c r="I348" s="9" t="inlineStr">
        <is>
          <t>Late Inning RP (Setup)</t>
        </is>
      </c>
      <c r="J348" s="17" t="inlineStr">
        <is>
          <t>Opening Day</t>
        </is>
      </c>
      <c r="K348" s="11">
        <f>IFERROR(INDEX(Roles!$B$17:$B$20,MATCH(J348,Roles!$A$17:$A$20,0)),1)</f>
        <v/>
      </c>
      <c r="L348" s="18" t="n">
        <v>1</v>
      </c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3">
        <f>SUMPRODUCT(M348:X348,$M$2:$X$2)*$K348*$L348</f>
        <v/>
      </c>
      <c r="Z348" s="14">
        <f>SUM(M348:X348)</f>
        <v/>
      </c>
      <c r="AA348" s="13">
        <f>SUMPRODUCT(M348:X348,$M$3:$X$3)*$K348*$L348</f>
        <v/>
      </c>
      <c r="AB348" s="13">
        <f>SUMPRODUCT(M348:X348,$M$4:$X$4)*$K348*$L348</f>
        <v/>
      </c>
      <c r="AC348" s="15">
        <f>SUMPRODUCT(M348:X348,$M$5:$X$5)*$K348*$L348</f>
        <v/>
      </c>
      <c r="AD348" s="15">
        <f>SUMPRODUCT(M348:X348,$M$6:$X$6)*$K348*$L348</f>
        <v/>
      </c>
      <c r="AE348" s="19" t="n"/>
    </row>
    <row r="349">
      <c r="A349" s="9" t="n">
        <v>592254</v>
      </c>
      <c r="B349" s="9" t="inlineStr">
        <is>
          <t>José De León</t>
        </is>
      </c>
      <c r="C349" s="9" t="inlineStr">
        <is>
          <t>BOS</t>
        </is>
      </c>
      <c r="D349" s="9" t="n">
        <v>34</v>
      </c>
      <c r="E349" s="17" t="inlineStr">
        <is>
          <t>R</t>
        </is>
      </c>
      <c r="F349" s="17" t="n"/>
      <c r="G349" s="9" t="n">
        <v>28</v>
      </c>
      <c r="H349" s="9" t="n">
        <v>98</v>
      </c>
      <c r="I349" s="9" t="inlineStr">
        <is>
          <t>Ace (SP1)</t>
        </is>
      </c>
      <c r="J349" s="17" t="inlineStr">
        <is>
          <t>Opening Day</t>
        </is>
      </c>
      <c r="K349" s="11">
        <f>IFERROR(INDEX(Roles!$B$17:$B$20,MATCH(J349,Roles!$A$17:$A$20,0)),1)</f>
        <v/>
      </c>
      <c r="L349" s="18" t="n">
        <v>1</v>
      </c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3">
        <f>SUMPRODUCT(M349:X349,$M$2:$X$2)*$K349*$L349</f>
        <v/>
      </c>
      <c r="Z349" s="14">
        <f>SUM(M349:X349)</f>
        <v/>
      </c>
      <c r="AA349" s="13">
        <f>SUMPRODUCT(M349:X349,$M$3:$X$3)*$K349*$L349</f>
        <v/>
      </c>
      <c r="AB349" s="13">
        <f>SUMPRODUCT(M349:X349,$M$4:$X$4)*$K349*$L349</f>
        <v/>
      </c>
      <c r="AC349" s="15">
        <f>SUMPRODUCT(M349:X349,$M$5:$X$5)*$K349*$L349</f>
        <v/>
      </c>
      <c r="AD349" s="15">
        <f>SUMPRODUCT(M349:X349,$M$6:$X$6)*$K349*$L349</f>
        <v/>
      </c>
      <c r="AE349" s="19" t="n"/>
    </row>
    <row r="350">
      <c r="A350" s="9" t="n">
        <v>660896</v>
      </c>
      <c r="B350" s="9" t="inlineStr">
        <is>
          <t>Jorge Alcala</t>
        </is>
      </c>
      <c r="C350" s="9" t="inlineStr">
        <is>
          <t>STL</t>
        </is>
      </c>
      <c r="D350" s="9" t="n">
        <v>31</v>
      </c>
      <c r="E350" s="17" t="inlineStr">
        <is>
          <t>R</t>
        </is>
      </c>
      <c r="F350" s="17" t="n"/>
      <c r="G350" s="9" t="n">
        <v>257</v>
      </c>
      <c r="H350" s="9" t="n">
        <v>577</v>
      </c>
      <c r="I350" s="9" t="inlineStr">
        <is>
          <t>Bullpen Depth Arm</t>
        </is>
      </c>
      <c r="J350" s="17" t="inlineStr">
        <is>
          <t>Opening Day</t>
        </is>
      </c>
      <c r="K350" s="11">
        <f>IFERROR(INDEX(Roles!$B$17:$B$20,MATCH(J350,Roles!$A$17:$A$20,0)),1)</f>
        <v/>
      </c>
      <c r="L350" s="18" t="n">
        <v>1</v>
      </c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3">
        <f>SUMPRODUCT(M350:X350,$M$2:$X$2)*$K350*$L350</f>
        <v/>
      </c>
      <c r="Z350" s="14">
        <f>SUM(M350:X350)</f>
        <v/>
      </c>
      <c r="AA350" s="13">
        <f>SUMPRODUCT(M350:X350,$M$3:$X$3)*$K350*$L350</f>
        <v/>
      </c>
      <c r="AB350" s="13">
        <f>SUMPRODUCT(M350:X350,$M$4:$X$4)*$K350*$L350</f>
        <v/>
      </c>
      <c r="AC350" s="15">
        <f>SUMPRODUCT(M350:X350,$M$5:$X$5)*$K350*$L350</f>
        <v/>
      </c>
      <c r="AD350" s="15">
        <f>SUMPRODUCT(M350:X350,$M$6:$X$6)*$K350*$L350</f>
        <v/>
      </c>
      <c r="AE350" s="19" t="n"/>
    </row>
    <row r="351">
      <c r="A351" s="9" t="n">
        <v>656458</v>
      </c>
      <c r="B351" s="9" t="inlineStr">
        <is>
          <t>Lucas Gilbreath</t>
        </is>
      </c>
      <c r="C351" s="9" t="inlineStr">
        <is>
          <t>COL</t>
        </is>
      </c>
      <c r="D351" s="9" t="n">
        <v>31</v>
      </c>
      <c r="E351" s="17" t="inlineStr">
        <is>
          <t>L</t>
        </is>
      </c>
      <c r="F351" s="17" t="n"/>
      <c r="G351" s="9" t="n">
        <v>4</v>
      </c>
      <c r="H351" s="9" t="n">
        <v>203</v>
      </c>
      <c r="I351" s="9" t="inlineStr">
        <is>
          <t>Depth (no MLB IP)</t>
        </is>
      </c>
      <c r="J351" s="17" t="inlineStr">
        <is>
          <t>Opening Day</t>
        </is>
      </c>
      <c r="K351" s="11">
        <f>IFERROR(INDEX(Roles!$B$17:$B$20,MATCH(J351,Roles!$A$17:$A$20,0)),1)</f>
        <v/>
      </c>
      <c r="L351" s="18" t="n">
        <v>1</v>
      </c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3">
        <f>SUMPRODUCT(M351:X351,$M$2:$X$2)*$K351*$L351</f>
        <v/>
      </c>
      <c r="Z351" s="14">
        <f>SUM(M351:X351)</f>
        <v/>
      </c>
      <c r="AA351" s="13">
        <f>SUMPRODUCT(M351:X351,$M$3:$X$3)*$K351*$L351</f>
        <v/>
      </c>
      <c r="AB351" s="13">
        <f>SUMPRODUCT(M351:X351,$M$4:$X$4)*$K351*$L351</f>
        <v/>
      </c>
      <c r="AC351" s="15">
        <f>SUMPRODUCT(M351:X351,$M$5:$X$5)*$K351*$L351</f>
        <v/>
      </c>
      <c r="AD351" s="15">
        <f>SUMPRODUCT(M351:X351,$M$6:$X$6)*$K351*$L351</f>
        <v/>
      </c>
      <c r="AE351" s="19" t="n"/>
    </row>
    <row r="352">
      <c r="A352" s="9" t="n">
        <v>596057</v>
      </c>
      <c r="B352" s="9" t="inlineStr">
        <is>
          <t>Daniel Norris</t>
        </is>
      </c>
      <c r="C352" s="9" t="inlineStr">
        <is>
          <t>CLE</t>
        </is>
      </c>
      <c r="D352" s="9" t="n">
        <v>34</v>
      </c>
      <c r="E352" s="17" t="inlineStr">
        <is>
          <t>L</t>
        </is>
      </c>
      <c r="F352" s="17" t="n"/>
      <c r="G352" s="9" t="n">
        <v>63</v>
      </c>
      <c r="H352" s="9" t="n">
        <v>313</v>
      </c>
      <c r="I352" s="9" t="inlineStr">
        <is>
          <t>Depth (no MLB IP)</t>
        </is>
      </c>
      <c r="J352" s="17" t="inlineStr">
        <is>
          <t>Opening Day</t>
        </is>
      </c>
      <c r="K352" s="11">
        <f>IFERROR(INDEX(Roles!$B$17:$B$20,MATCH(J352,Roles!$A$17:$A$20,0)),1)</f>
        <v/>
      </c>
      <c r="L352" s="18" t="n">
        <v>1</v>
      </c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3">
        <f>SUMPRODUCT(M352:X352,$M$2:$X$2)*$K352*$L352</f>
        <v/>
      </c>
      <c r="Z352" s="14">
        <f>SUM(M352:X352)</f>
        <v/>
      </c>
      <c r="AA352" s="13">
        <f>SUMPRODUCT(M352:X352,$M$3:$X$3)*$K352*$L352</f>
        <v/>
      </c>
      <c r="AB352" s="13">
        <f>SUMPRODUCT(M352:X352,$M$4:$X$4)*$K352*$L352</f>
        <v/>
      </c>
      <c r="AC352" s="15">
        <f>SUMPRODUCT(M352:X352,$M$5:$X$5)*$K352*$L352</f>
        <v/>
      </c>
      <c r="AD352" s="15">
        <f>SUMPRODUCT(M352:X352,$M$6:$X$6)*$K352*$L352</f>
        <v/>
      </c>
      <c r="AE352" s="19" t="n"/>
    </row>
    <row r="353">
      <c r="A353" s="9" t="n">
        <v>686839</v>
      </c>
      <c r="B353" s="9" t="inlineStr">
        <is>
          <t>Brendan White</t>
        </is>
      </c>
      <c r="C353" s="9" t="inlineStr">
        <is>
          <t>DET</t>
        </is>
      </c>
      <c r="D353" s="9" t="n">
        <v>28</v>
      </c>
      <c r="E353" s="17" t="inlineStr">
        <is>
          <t>R</t>
        </is>
      </c>
      <c r="F353" s="17" t="n"/>
      <c r="G353" s="9" t="n">
        <v>177</v>
      </c>
      <c r="H353" s="9" t="n">
        <v>177</v>
      </c>
      <c r="I353" s="9" t="inlineStr">
        <is>
          <t>Depth (no MLB IP)</t>
        </is>
      </c>
      <c r="J353" s="17" t="inlineStr">
        <is>
          <t>Opening Day</t>
        </is>
      </c>
      <c r="K353" s="11">
        <f>IFERROR(INDEX(Roles!$B$17:$B$20,MATCH(J353,Roles!$A$17:$A$20,0)),1)</f>
        <v/>
      </c>
      <c r="L353" s="18" t="n">
        <v>1</v>
      </c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3">
        <f>SUMPRODUCT(M353:X353,$M$2:$X$2)*$K353*$L353</f>
        <v/>
      </c>
      <c r="Z353" s="14">
        <f>SUM(M353:X353)</f>
        <v/>
      </c>
      <c r="AA353" s="13">
        <f>SUMPRODUCT(M353:X353,$M$3:$X$3)*$K353*$L353</f>
        <v/>
      </c>
      <c r="AB353" s="13">
        <f>SUMPRODUCT(M353:X353,$M$4:$X$4)*$K353*$L353</f>
        <v/>
      </c>
      <c r="AC353" s="15">
        <f>SUMPRODUCT(M353:X353,$M$5:$X$5)*$K353*$L353</f>
        <v/>
      </c>
      <c r="AD353" s="15">
        <f>SUMPRODUCT(M353:X353,$M$6:$X$6)*$K353*$L353</f>
        <v/>
      </c>
      <c r="AE353" s="19" t="n"/>
    </row>
    <row r="354">
      <c r="A354" s="9" t="n">
        <v>453268</v>
      </c>
      <c r="B354" s="9" t="inlineStr">
        <is>
          <t>Daniel Bard</t>
        </is>
      </c>
      <c r="C354" s="9" t="inlineStr">
        <is>
          <t>COL</t>
        </is>
      </c>
      <c r="D354" s="9" t="n">
        <v>42</v>
      </c>
      <c r="E354" s="17" t="inlineStr">
        <is>
          <t>R</t>
        </is>
      </c>
      <c r="F354" s="17" t="n"/>
      <c r="G354" s="9" t="n">
        <v>232</v>
      </c>
      <c r="H354" s="9" t="n">
        <v>477</v>
      </c>
      <c r="I354" s="9" t="inlineStr">
        <is>
          <t>Depth (no MLB IP)</t>
        </is>
      </c>
      <c r="J354" s="17" t="inlineStr">
        <is>
          <t>Opening Day</t>
        </is>
      </c>
      <c r="K354" s="11">
        <f>IFERROR(INDEX(Roles!$B$17:$B$20,MATCH(J354,Roles!$A$17:$A$20,0)),1)</f>
        <v/>
      </c>
      <c r="L354" s="18" t="n">
        <v>1</v>
      </c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3">
        <f>SUMPRODUCT(M354:X354,$M$2:$X$2)*$K354*$L354</f>
        <v/>
      </c>
      <c r="Z354" s="14">
        <f>SUM(M354:X354)</f>
        <v/>
      </c>
      <c r="AA354" s="13">
        <f>SUMPRODUCT(M354:X354,$M$3:$X$3)*$K354*$L354</f>
        <v/>
      </c>
      <c r="AB354" s="13">
        <f>SUMPRODUCT(M354:X354,$M$4:$X$4)*$K354*$L354</f>
        <v/>
      </c>
      <c r="AC354" s="15">
        <f>SUMPRODUCT(M354:X354,$M$5:$X$5)*$K354*$L354</f>
        <v/>
      </c>
      <c r="AD354" s="15">
        <f>SUMPRODUCT(M354:X354,$M$6:$X$6)*$K354*$L354</f>
        <v/>
      </c>
      <c r="AE354" s="19" t="n"/>
    </row>
    <row r="355">
      <c r="A355" s="9" t="n">
        <v>641755</v>
      </c>
      <c r="B355" s="9" t="inlineStr">
        <is>
          <t>Tyler Kinley</t>
        </is>
      </c>
      <c r="C355" s="9" t="inlineStr">
        <is>
          <t>DET</t>
        </is>
      </c>
      <c r="D355" s="9" t="n">
        <v>36</v>
      </c>
      <c r="E355" s="17" t="inlineStr">
        <is>
          <t>R</t>
        </is>
      </c>
      <c r="F355" s="17" t="n"/>
      <c r="G355" s="9" t="n">
        <v>219</v>
      </c>
      <c r="H355" s="9" t="n">
        <v>988</v>
      </c>
      <c r="I355" s="9" t="inlineStr">
        <is>
          <t>Bullpen Depth Arm</t>
        </is>
      </c>
      <c r="J355" s="17" t="inlineStr">
        <is>
          <t>Opening Day</t>
        </is>
      </c>
      <c r="K355" s="11">
        <f>IFERROR(INDEX(Roles!$B$17:$B$20,MATCH(J355,Roles!$A$17:$A$20,0)),1)</f>
        <v/>
      </c>
      <c r="L355" s="18" t="n">
        <v>1</v>
      </c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3">
        <f>SUMPRODUCT(M355:X355,$M$2:$X$2)*$K355*$L355</f>
        <v/>
      </c>
      <c r="Z355" s="14">
        <f>SUM(M355:X355)</f>
        <v/>
      </c>
      <c r="AA355" s="13">
        <f>SUMPRODUCT(M355:X355,$M$3:$X$3)*$K355*$L355</f>
        <v/>
      </c>
      <c r="AB355" s="13">
        <f>SUMPRODUCT(M355:X355,$M$4:$X$4)*$K355*$L355</f>
        <v/>
      </c>
      <c r="AC355" s="15">
        <f>SUMPRODUCT(M355:X355,$M$5:$X$5)*$K355*$L355</f>
        <v/>
      </c>
      <c r="AD355" s="15">
        <f>SUMPRODUCT(M355:X355,$M$6:$X$6)*$K355*$L355</f>
        <v/>
      </c>
      <c r="AE355" s="19" t="n"/>
    </row>
    <row r="356">
      <c r="A356" s="9" t="n">
        <v>687798</v>
      </c>
      <c r="B356" s="9" t="inlineStr">
        <is>
          <t>Nick Robertson</t>
        </is>
      </c>
      <c r="C356" s="9" t="inlineStr">
        <is>
          <t>TOR</t>
        </is>
      </c>
      <c r="D356" s="9" t="n">
        <v>28</v>
      </c>
      <c r="E356" s="17" t="inlineStr">
        <is>
          <t>R</t>
        </is>
      </c>
      <c r="F356" s="17" t="n"/>
      <c r="G356" s="9" t="n">
        <v>55</v>
      </c>
      <c r="H356" s="9" t="n">
        <v>161</v>
      </c>
      <c r="I356" s="9" t="inlineStr">
        <is>
          <t>Depth (no MLB IP)</t>
        </is>
      </c>
      <c r="J356" s="17" t="inlineStr">
        <is>
          <t>Opening Day</t>
        </is>
      </c>
      <c r="K356" s="11">
        <f>IFERROR(INDEX(Roles!$B$17:$B$20,MATCH(J356,Roles!$A$17:$A$20,0)),1)</f>
        <v/>
      </c>
      <c r="L356" s="18" t="n">
        <v>1</v>
      </c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3">
        <f>SUMPRODUCT(M356:X356,$M$2:$X$2)*$K356*$L356</f>
        <v/>
      </c>
      <c r="Z356" s="14">
        <f>SUM(M356:X356)</f>
        <v/>
      </c>
      <c r="AA356" s="13">
        <f>SUMPRODUCT(M356:X356,$M$3:$X$3)*$K356*$L356</f>
        <v/>
      </c>
      <c r="AB356" s="13">
        <f>SUMPRODUCT(M356:X356,$M$4:$X$4)*$K356*$L356</f>
        <v/>
      </c>
      <c r="AC356" s="15">
        <f>SUMPRODUCT(M356:X356,$M$5:$X$5)*$K356*$L356</f>
        <v/>
      </c>
      <c r="AD356" s="15">
        <f>SUMPRODUCT(M356:X356,$M$6:$X$6)*$K356*$L356</f>
        <v/>
      </c>
      <c r="AE356" s="19" t="n"/>
    </row>
    <row r="357">
      <c r="A357" s="9" t="n">
        <v>621074</v>
      </c>
      <c r="B357" s="9" t="inlineStr">
        <is>
          <t>Michael Rucker</t>
        </is>
      </c>
      <c r="C357" s="9" t="inlineStr">
        <is>
          <t>SEA</t>
        </is>
      </c>
      <c r="D357" s="9" t="n">
        <v>33</v>
      </c>
      <c r="E357" s="17" t="inlineStr">
        <is>
          <t>R</t>
        </is>
      </c>
      <c r="F357" s="17" t="n"/>
      <c r="G357" s="9" t="n">
        <v>170</v>
      </c>
      <c r="H357" s="9" t="n">
        <v>575</v>
      </c>
      <c r="I357" s="9" t="inlineStr">
        <is>
          <t>Middle Relief</t>
        </is>
      </c>
      <c r="J357" s="17" t="inlineStr">
        <is>
          <t>Opening Day</t>
        </is>
      </c>
      <c r="K357" s="11">
        <f>IFERROR(INDEX(Roles!$B$17:$B$20,MATCH(J357,Roles!$A$17:$A$20,0)),1)</f>
        <v/>
      </c>
      <c r="L357" s="18" t="n">
        <v>1</v>
      </c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3">
        <f>SUMPRODUCT(M357:X357,$M$2:$X$2)*$K357*$L357</f>
        <v/>
      </c>
      <c r="Z357" s="14">
        <f>SUM(M357:X357)</f>
        <v/>
      </c>
      <c r="AA357" s="13">
        <f>SUMPRODUCT(M357:X357,$M$3:$X$3)*$K357*$L357</f>
        <v/>
      </c>
      <c r="AB357" s="13">
        <f>SUMPRODUCT(M357:X357,$M$4:$X$4)*$K357*$L357</f>
        <v/>
      </c>
      <c r="AC357" s="15">
        <f>SUMPRODUCT(M357:X357,$M$5:$X$5)*$K357*$L357</f>
        <v/>
      </c>
      <c r="AD357" s="15">
        <f>SUMPRODUCT(M357:X357,$M$6:$X$6)*$K357*$L357</f>
        <v/>
      </c>
      <c r="AE357" s="19" t="n"/>
    </row>
    <row r="358">
      <c r="A358" s="9" t="n">
        <v>658648</v>
      </c>
      <c r="B358" s="9" t="inlineStr">
        <is>
          <t>Pedro Avila</t>
        </is>
      </c>
      <c r="C358" s="9" t="inlineStr">
        <is>
          <t>CLE</t>
        </is>
      </c>
      <c r="D358" s="9" t="n">
        <v>30</v>
      </c>
      <c r="E358" s="17" t="inlineStr">
        <is>
          <t>R</t>
        </is>
      </c>
      <c r="F358" s="17" t="n"/>
      <c r="G358" s="9" t="n">
        <v>353</v>
      </c>
      <c r="H358" s="9" t="n">
        <v>591</v>
      </c>
      <c r="I358" s="9" t="inlineStr">
        <is>
          <t>Depth (no MLB IP)</t>
        </is>
      </c>
      <c r="J358" s="17" t="inlineStr">
        <is>
          <t>Opening Day</t>
        </is>
      </c>
      <c r="K358" s="11">
        <f>IFERROR(INDEX(Roles!$B$17:$B$20,MATCH(J358,Roles!$A$17:$A$20,0)),1)</f>
        <v/>
      </c>
      <c r="L358" s="18" t="n">
        <v>1</v>
      </c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3">
        <f>SUMPRODUCT(M358:X358,$M$2:$X$2)*$K358*$L358</f>
        <v/>
      </c>
      <c r="Z358" s="14">
        <f>SUM(M358:X358)</f>
        <v/>
      </c>
      <c r="AA358" s="13">
        <f>SUMPRODUCT(M358:X358,$M$3:$X$3)*$K358*$L358</f>
        <v/>
      </c>
      <c r="AB358" s="13">
        <f>SUMPRODUCT(M358:X358,$M$4:$X$4)*$K358*$L358</f>
        <v/>
      </c>
      <c r="AC358" s="15">
        <f>SUMPRODUCT(M358:X358,$M$5:$X$5)*$K358*$L358</f>
        <v/>
      </c>
      <c r="AD358" s="15">
        <f>SUMPRODUCT(M358:X358,$M$6:$X$6)*$K358*$L358</f>
        <v/>
      </c>
      <c r="AE358" s="19" t="n"/>
    </row>
    <row r="359">
      <c r="A359" s="9" t="n">
        <v>694494</v>
      </c>
      <c r="B359" s="9" t="inlineStr">
        <is>
          <t>Ty Johnson</t>
        </is>
      </c>
      <c r="C359" s="9" t="inlineStr"/>
      <c r="D359" s="9" t="n">
        <v>25</v>
      </c>
      <c r="E359" s="17" t="inlineStr">
        <is>
          <t>R</t>
        </is>
      </c>
      <c r="F359" s="17" t="n"/>
      <c r="G359" s="9" t="n">
        <v>15</v>
      </c>
      <c r="H359" s="9" t="n">
        <v>15</v>
      </c>
      <c r="I359" s="9" t="inlineStr">
        <is>
          <t>Depth (no MLB IP)</t>
        </is>
      </c>
      <c r="J359" s="17" t="inlineStr">
        <is>
          <t>Opening Day</t>
        </is>
      </c>
      <c r="K359" s="11">
        <f>IFERROR(INDEX(Roles!$B$17:$B$20,MATCH(J359,Roles!$A$17:$A$20,0)),1)</f>
        <v/>
      </c>
      <c r="L359" s="18" t="n">
        <v>1</v>
      </c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3">
        <f>SUMPRODUCT(M359:X359,$M$2:$X$2)*$K359*$L359</f>
        <v/>
      </c>
      <c r="Z359" s="14">
        <f>SUM(M359:X359)</f>
        <v/>
      </c>
      <c r="AA359" s="13">
        <f>SUMPRODUCT(M359:X359,$M$3:$X$3)*$K359*$L359</f>
        <v/>
      </c>
      <c r="AB359" s="13">
        <f>SUMPRODUCT(M359:X359,$M$4:$X$4)*$K359*$L359</f>
        <v/>
      </c>
      <c r="AC359" s="15">
        <f>SUMPRODUCT(M359:X359,$M$5:$X$5)*$K359*$L359</f>
        <v/>
      </c>
      <c r="AD359" s="15">
        <f>SUMPRODUCT(M359:X359,$M$6:$X$6)*$K359*$L359</f>
        <v/>
      </c>
      <c r="AE359" s="19" t="n"/>
    </row>
    <row r="360">
      <c r="A360" s="9" t="n">
        <v>543351</v>
      </c>
      <c r="B360" s="9" t="inlineStr">
        <is>
          <t>Jay Jackson</t>
        </is>
      </c>
      <c r="C360" s="9" t="inlineStr">
        <is>
          <t>MIN</t>
        </is>
      </c>
      <c r="D360" s="9" t="n">
        <v>39</v>
      </c>
      <c r="E360" s="17" t="inlineStr">
        <is>
          <t>R</t>
        </is>
      </c>
      <c r="F360" s="17" t="n"/>
      <c r="G360" s="9" t="n">
        <v>114</v>
      </c>
      <c r="H360" s="9" t="n">
        <v>235</v>
      </c>
      <c r="I360" s="9" t="inlineStr">
        <is>
          <t>Depth (no MLB IP)</t>
        </is>
      </c>
      <c r="J360" s="17" t="inlineStr">
        <is>
          <t>Opening Day</t>
        </is>
      </c>
      <c r="K360" s="11">
        <f>IFERROR(INDEX(Roles!$B$17:$B$20,MATCH(J360,Roles!$A$17:$A$20,0)),1)</f>
        <v/>
      </c>
      <c r="L360" s="18" t="n">
        <v>1</v>
      </c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3">
        <f>SUMPRODUCT(M360:X360,$M$2:$X$2)*$K360*$L360</f>
        <v/>
      </c>
      <c r="Z360" s="14">
        <f>SUM(M360:X360)</f>
        <v/>
      </c>
      <c r="AA360" s="13">
        <f>SUMPRODUCT(M360:X360,$M$3:$X$3)*$K360*$L360</f>
        <v/>
      </c>
      <c r="AB360" s="13">
        <f>SUMPRODUCT(M360:X360,$M$4:$X$4)*$K360*$L360</f>
        <v/>
      </c>
      <c r="AC360" s="15">
        <f>SUMPRODUCT(M360:X360,$M$5:$X$5)*$K360*$L360</f>
        <v/>
      </c>
      <c r="AD360" s="15">
        <f>SUMPRODUCT(M360:X360,$M$6:$X$6)*$K360*$L360</f>
        <v/>
      </c>
      <c r="AE360" s="19" t="n"/>
    </row>
    <row r="361">
      <c r="A361" s="9" t="n">
        <v>663474</v>
      </c>
      <c r="B361" s="9" t="inlineStr">
        <is>
          <t>Triston McKenzie</t>
        </is>
      </c>
      <c r="C361" s="9" t="inlineStr">
        <is>
          <t>CLE</t>
        </is>
      </c>
      <c r="D361" s="9" t="n">
        <v>29</v>
      </c>
      <c r="E361" s="17" t="inlineStr">
        <is>
          <t>R</t>
        </is>
      </c>
      <c r="F361" s="17" t="n"/>
      <c r="G361" s="9" t="n">
        <v>30</v>
      </c>
      <c r="H361" s="9" t="n">
        <v>1184</v>
      </c>
      <c r="I361" s="9" t="inlineStr">
        <is>
          <t>End-of-Rotation Starter (SP4-5)</t>
        </is>
      </c>
      <c r="J361" s="17" t="inlineStr">
        <is>
          <t>Opening Day</t>
        </is>
      </c>
      <c r="K361" s="11">
        <f>IFERROR(INDEX(Roles!$B$17:$B$20,MATCH(J361,Roles!$A$17:$A$20,0)),1)</f>
        <v/>
      </c>
      <c r="L361" s="18" t="n">
        <v>1</v>
      </c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3">
        <f>SUMPRODUCT(M361:X361,$M$2:$X$2)*$K361*$L361</f>
        <v/>
      </c>
      <c r="Z361" s="14">
        <f>SUM(M361:X361)</f>
        <v/>
      </c>
      <c r="AA361" s="13">
        <f>SUMPRODUCT(M361:X361,$M$3:$X$3)*$K361*$L361</f>
        <v/>
      </c>
      <c r="AB361" s="13">
        <f>SUMPRODUCT(M361:X361,$M$4:$X$4)*$K361*$L361</f>
        <v/>
      </c>
      <c r="AC361" s="15">
        <f>SUMPRODUCT(M361:X361,$M$5:$X$5)*$K361*$L361</f>
        <v/>
      </c>
      <c r="AD361" s="15">
        <f>SUMPRODUCT(M361:X361,$M$6:$X$6)*$K361*$L361</f>
        <v/>
      </c>
      <c r="AE361" s="19" t="n"/>
    </row>
    <row r="362">
      <c r="A362" s="9" t="n">
        <v>674444</v>
      </c>
      <c r="B362" s="9" t="inlineStr">
        <is>
          <t>Steven Cruz</t>
        </is>
      </c>
      <c r="C362" s="9" t="inlineStr">
        <is>
          <t>KC</t>
        </is>
      </c>
      <c r="D362" s="9" t="n">
        <v>28</v>
      </c>
      <c r="E362" s="17" t="inlineStr">
        <is>
          <t>R</t>
        </is>
      </c>
      <c r="F362" s="17" t="n"/>
      <c r="G362" s="9" t="n">
        <v>237</v>
      </c>
      <c r="H362" s="9" t="n">
        <v>506</v>
      </c>
      <c r="I362" s="9" t="inlineStr">
        <is>
          <t>Middle Relief</t>
        </is>
      </c>
      <c r="J362" s="17" t="inlineStr">
        <is>
          <t>Opening Day</t>
        </is>
      </c>
      <c r="K362" s="11">
        <f>IFERROR(INDEX(Roles!$B$17:$B$20,MATCH(J362,Roles!$A$17:$A$20,0)),1)</f>
        <v/>
      </c>
      <c r="L362" s="18" t="n">
        <v>1</v>
      </c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3">
        <f>SUMPRODUCT(M362:X362,$M$2:$X$2)*$K362*$L362</f>
        <v/>
      </c>
      <c r="Z362" s="14">
        <f>SUM(M362:X362)</f>
        <v/>
      </c>
      <c r="AA362" s="13">
        <f>SUMPRODUCT(M362:X362,$M$3:$X$3)*$K362*$L362</f>
        <v/>
      </c>
      <c r="AB362" s="13">
        <f>SUMPRODUCT(M362:X362,$M$4:$X$4)*$K362*$L362</f>
        <v/>
      </c>
      <c r="AC362" s="15">
        <f>SUMPRODUCT(M362:X362,$M$5:$X$5)*$K362*$L362</f>
        <v/>
      </c>
      <c r="AD362" s="15">
        <f>SUMPRODUCT(M362:X362,$M$6:$X$6)*$K362*$L362</f>
        <v/>
      </c>
      <c r="AE362" s="19" t="n"/>
    </row>
    <row r="363">
      <c r="A363" s="9" t="n">
        <v>595897</v>
      </c>
      <c r="B363" s="9" t="inlineStr">
        <is>
          <t>Nick Burdi</t>
        </is>
      </c>
      <c r="C363" s="9" t="inlineStr">
        <is>
          <t>NYY</t>
        </is>
      </c>
      <c r="D363" s="9" t="n">
        <v>34</v>
      </c>
      <c r="E363" s="17" t="inlineStr">
        <is>
          <t>R</t>
        </is>
      </c>
      <c r="F363" s="17" t="n"/>
      <c r="G363" s="9" t="n">
        <v>21</v>
      </c>
      <c r="H363" s="9" t="n">
        <v>81</v>
      </c>
      <c r="I363" s="9" t="inlineStr">
        <is>
          <t>Depth (no MLB IP)</t>
        </is>
      </c>
      <c r="J363" s="17" t="inlineStr">
        <is>
          <t>Opening Day</t>
        </is>
      </c>
      <c r="K363" s="11">
        <f>IFERROR(INDEX(Roles!$B$17:$B$20,MATCH(J363,Roles!$A$17:$A$20,0)),1)</f>
        <v/>
      </c>
      <c r="L363" s="18" t="n">
        <v>1</v>
      </c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3">
        <f>SUMPRODUCT(M363:X363,$M$2:$X$2)*$K363*$L363</f>
        <v/>
      </c>
      <c r="Z363" s="14">
        <f>SUM(M363:X363)</f>
        <v/>
      </c>
      <c r="AA363" s="13">
        <f>SUMPRODUCT(M363:X363,$M$3:$X$3)*$K363*$L363</f>
        <v/>
      </c>
      <c r="AB363" s="13">
        <f>SUMPRODUCT(M363:X363,$M$4:$X$4)*$K363*$L363</f>
        <v/>
      </c>
      <c r="AC363" s="15">
        <f>SUMPRODUCT(M363:X363,$M$5:$X$5)*$K363*$L363</f>
        <v/>
      </c>
      <c r="AD363" s="15">
        <f>SUMPRODUCT(M363:X363,$M$6:$X$6)*$K363*$L363</f>
        <v/>
      </c>
      <c r="AE363" s="19" t="n"/>
    </row>
    <row r="364">
      <c r="A364" s="9" t="n">
        <v>663687</v>
      </c>
      <c r="B364" s="9" t="inlineStr">
        <is>
          <t>Hogan Harris</t>
        </is>
      </c>
      <c r="C364" s="9" t="inlineStr">
        <is>
          <t>OAK</t>
        </is>
      </c>
      <c r="D364" s="9" t="n">
        <v>30</v>
      </c>
      <c r="E364" s="17" t="inlineStr">
        <is>
          <t>L</t>
        </is>
      </c>
      <c r="F364" s="17" t="n"/>
      <c r="G364" s="9" t="n">
        <v>299</v>
      </c>
      <c r="H364" s="9" t="n">
        <v>1165</v>
      </c>
      <c r="I364" s="9" t="inlineStr">
        <is>
          <t>Bullpen Depth Arm</t>
        </is>
      </c>
      <c r="J364" s="17" t="inlineStr">
        <is>
          <t>Opening Day</t>
        </is>
      </c>
      <c r="K364" s="11">
        <f>IFERROR(INDEX(Roles!$B$17:$B$20,MATCH(J364,Roles!$A$17:$A$20,0)),1)</f>
        <v/>
      </c>
      <c r="L364" s="18" t="n">
        <v>1</v>
      </c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3">
        <f>SUMPRODUCT(M364:X364,$M$2:$X$2)*$K364*$L364</f>
        <v/>
      </c>
      <c r="Z364" s="14">
        <f>SUM(M364:X364)</f>
        <v/>
      </c>
      <c r="AA364" s="13">
        <f>SUMPRODUCT(M364:X364,$M$3:$X$3)*$K364*$L364</f>
        <v/>
      </c>
      <c r="AB364" s="13">
        <f>SUMPRODUCT(M364:X364,$M$4:$X$4)*$K364*$L364</f>
        <v/>
      </c>
      <c r="AC364" s="15">
        <f>SUMPRODUCT(M364:X364,$M$5:$X$5)*$K364*$L364</f>
        <v/>
      </c>
      <c r="AD364" s="15">
        <f>SUMPRODUCT(M364:X364,$M$6:$X$6)*$K364*$L364</f>
        <v/>
      </c>
      <c r="AE364" s="19" t="n"/>
    </row>
    <row r="365">
      <c r="A365" s="9" t="n">
        <v>622766</v>
      </c>
      <c r="B365" s="9" t="inlineStr">
        <is>
          <t>Miguel Díaz</t>
        </is>
      </c>
      <c r="C365" s="9" t="inlineStr">
        <is>
          <t>DET</t>
        </is>
      </c>
      <c r="D365" s="9" t="n">
        <v>32</v>
      </c>
      <c r="E365" s="17" t="inlineStr">
        <is>
          <t>R</t>
        </is>
      </c>
      <c r="F365" s="17" t="n"/>
      <c r="G365" s="9" t="n">
        <v>3</v>
      </c>
      <c r="H365" s="9" t="n">
        <v>71</v>
      </c>
      <c r="I365" s="9" t="inlineStr">
        <is>
          <t>Depth (no MLB IP)</t>
        </is>
      </c>
      <c r="J365" s="17" t="inlineStr">
        <is>
          <t>Opening Day</t>
        </is>
      </c>
      <c r="K365" s="11">
        <f>IFERROR(INDEX(Roles!$B$17:$B$20,MATCH(J365,Roles!$A$17:$A$20,0)),1)</f>
        <v/>
      </c>
      <c r="L365" s="18" t="n">
        <v>1</v>
      </c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3">
        <f>SUMPRODUCT(M365:X365,$M$2:$X$2)*$K365*$L365</f>
        <v/>
      </c>
      <c r="Z365" s="14">
        <f>SUM(M365:X365)</f>
        <v/>
      </c>
      <c r="AA365" s="13">
        <f>SUMPRODUCT(M365:X365,$M$3:$X$3)*$K365*$L365</f>
        <v/>
      </c>
      <c r="AB365" s="13">
        <f>SUMPRODUCT(M365:X365,$M$4:$X$4)*$K365*$L365</f>
        <v/>
      </c>
      <c r="AC365" s="15">
        <f>SUMPRODUCT(M365:X365,$M$5:$X$5)*$K365*$L365</f>
        <v/>
      </c>
      <c r="AD365" s="15">
        <f>SUMPRODUCT(M365:X365,$M$6:$X$6)*$K365*$L365</f>
        <v/>
      </c>
      <c r="AE365" s="19" t="n"/>
    </row>
    <row r="366">
      <c r="A366" s="9" t="n">
        <v>665645</v>
      </c>
      <c r="B366" s="9" t="inlineStr">
        <is>
          <t>Kervin Castro</t>
        </is>
      </c>
      <c r="C366" s="9" t="inlineStr">
        <is>
          <t>CHC</t>
        </is>
      </c>
      <c r="D366" s="9" t="n">
        <v>28</v>
      </c>
      <c r="E366" s="17" t="inlineStr">
        <is>
          <t>R</t>
        </is>
      </c>
      <c r="F366" s="17" t="n"/>
      <c r="G366" s="9" t="n">
        <v>23</v>
      </c>
      <c r="H366" s="9" t="n">
        <v>80</v>
      </c>
      <c r="I366" s="9" t="inlineStr">
        <is>
          <t>Depth (no MLB IP)</t>
        </is>
      </c>
      <c r="J366" s="17" t="inlineStr">
        <is>
          <t>Opening Day</t>
        </is>
      </c>
      <c r="K366" s="11">
        <f>IFERROR(INDEX(Roles!$B$17:$B$20,MATCH(J366,Roles!$A$17:$A$20,0)),1)</f>
        <v/>
      </c>
      <c r="L366" s="18" t="n">
        <v>1</v>
      </c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3">
        <f>SUMPRODUCT(M366:X366,$M$2:$X$2)*$K366*$L366</f>
        <v/>
      </c>
      <c r="Z366" s="14">
        <f>SUM(M366:X366)</f>
        <v/>
      </c>
      <c r="AA366" s="13">
        <f>SUMPRODUCT(M366:X366,$M$3:$X$3)*$K366*$L366</f>
        <v/>
      </c>
      <c r="AB366" s="13">
        <f>SUMPRODUCT(M366:X366,$M$4:$X$4)*$K366*$L366</f>
        <v/>
      </c>
      <c r="AC366" s="15">
        <f>SUMPRODUCT(M366:X366,$M$5:$X$5)*$K366*$L366</f>
        <v/>
      </c>
      <c r="AD366" s="15">
        <f>SUMPRODUCT(M366:X366,$M$6:$X$6)*$K366*$L366</f>
        <v/>
      </c>
      <c r="AE366" s="19" t="n"/>
    </row>
    <row r="367">
      <c r="A367" s="9" t="n">
        <v>663460</v>
      </c>
      <c r="B367" s="9" t="inlineStr">
        <is>
          <t>Kris Bubic</t>
        </is>
      </c>
      <c r="C367" s="9" t="inlineStr">
        <is>
          <t>LAD</t>
        </is>
      </c>
      <c r="D367" s="9" t="n">
        <v>29</v>
      </c>
      <c r="E367" s="17" t="inlineStr">
        <is>
          <t>L</t>
        </is>
      </c>
      <c r="F367" s="17" t="n"/>
      <c r="G367" s="9" t="n">
        <v>211</v>
      </c>
      <c r="H367" s="9" t="n">
        <v>1463</v>
      </c>
      <c r="I367" s="9" t="inlineStr">
        <is>
          <t>Mid-Rotation Starter (SP2-3)</t>
        </is>
      </c>
      <c r="J367" s="17" t="inlineStr">
        <is>
          <t>Opening Day</t>
        </is>
      </c>
      <c r="K367" s="11">
        <f>IFERROR(INDEX(Roles!$B$17:$B$20,MATCH(J367,Roles!$A$17:$A$20,0)),1)</f>
        <v/>
      </c>
      <c r="L367" s="18" t="n">
        <v>1</v>
      </c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3">
        <f>SUMPRODUCT(M367:X367,$M$2:$X$2)*$K367*$L367</f>
        <v/>
      </c>
      <c r="Z367" s="14">
        <f>SUM(M367:X367)</f>
        <v/>
      </c>
      <c r="AA367" s="13">
        <f>SUMPRODUCT(M367:X367,$M$3:$X$3)*$K367*$L367</f>
        <v/>
      </c>
      <c r="AB367" s="13">
        <f>SUMPRODUCT(M367:X367,$M$4:$X$4)*$K367*$L367</f>
        <v/>
      </c>
      <c r="AC367" s="15">
        <f>SUMPRODUCT(M367:X367,$M$5:$X$5)*$K367*$L367</f>
        <v/>
      </c>
      <c r="AD367" s="15">
        <f>SUMPRODUCT(M367:X367,$M$6:$X$6)*$K367*$L367</f>
        <v/>
      </c>
      <c r="AE367" s="19" t="n"/>
    </row>
    <row r="368">
      <c r="A368" s="9" t="n">
        <v>622491</v>
      </c>
      <c r="B368" s="9" t="inlineStr">
        <is>
          <t>Luis Castillo</t>
        </is>
      </c>
      <c r="C368" s="9" t="inlineStr">
        <is>
          <t>CWS</t>
        </is>
      </c>
      <c r="D368" s="9" t="n">
        <v>34</v>
      </c>
      <c r="E368" s="17" t="inlineStr">
        <is>
          <t>R</t>
        </is>
      </c>
      <c r="F368" s="17" t="n"/>
      <c r="G368" s="9" t="n">
        <v>582</v>
      </c>
      <c r="H368" s="9" t="n">
        <v>3463</v>
      </c>
      <c r="I368" s="9" t="inlineStr">
        <is>
          <t>Mid-Rotation Starter (SP2-3)</t>
        </is>
      </c>
      <c r="J368" s="17" t="inlineStr">
        <is>
          <t>Opening Day</t>
        </is>
      </c>
      <c r="K368" s="11">
        <f>IFERROR(INDEX(Roles!$B$17:$B$20,MATCH(J368,Roles!$A$17:$A$20,0)),1)</f>
        <v/>
      </c>
      <c r="L368" s="18" t="n">
        <v>1</v>
      </c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3">
        <f>SUMPRODUCT(M368:X368,$M$2:$X$2)*$K368*$L368</f>
        <v/>
      </c>
      <c r="Z368" s="14">
        <f>SUM(M368:X368)</f>
        <v/>
      </c>
      <c r="AA368" s="13">
        <f>SUMPRODUCT(M368:X368,$M$3:$X$3)*$K368*$L368</f>
        <v/>
      </c>
      <c r="AB368" s="13">
        <f>SUMPRODUCT(M368:X368,$M$4:$X$4)*$K368*$L368</f>
        <v/>
      </c>
      <c r="AC368" s="15">
        <f>SUMPRODUCT(M368:X368,$M$5:$X$5)*$K368*$L368</f>
        <v/>
      </c>
      <c r="AD368" s="15">
        <f>SUMPRODUCT(M368:X368,$M$6:$X$6)*$K368*$L368</f>
        <v/>
      </c>
      <c r="AE368" s="19" t="n"/>
    </row>
    <row r="369">
      <c r="A369" s="9" t="n">
        <v>656271</v>
      </c>
      <c r="B369" s="9" t="inlineStr">
        <is>
          <t>Brock Burke</t>
        </is>
      </c>
      <c r="C369" s="9" t="inlineStr">
        <is>
          <t>CIN</t>
        </is>
      </c>
      <c r="D369" s="9" t="n">
        <v>30</v>
      </c>
      <c r="E369" s="17" t="inlineStr">
        <is>
          <t>L</t>
        </is>
      </c>
      <c r="F369" s="17" t="n"/>
      <c r="G369" s="9" t="n">
        <v>302</v>
      </c>
      <c r="H369" s="9" t="n">
        <v>1291</v>
      </c>
      <c r="I369" s="9" t="inlineStr">
        <is>
          <t>Middle Relief</t>
        </is>
      </c>
      <c r="J369" s="17" t="inlineStr">
        <is>
          <t>Opening Day</t>
        </is>
      </c>
      <c r="K369" s="11">
        <f>IFERROR(INDEX(Roles!$B$17:$B$20,MATCH(J369,Roles!$A$17:$A$20,0)),1)</f>
        <v/>
      </c>
      <c r="L369" s="18" t="n">
        <v>1</v>
      </c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3">
        <f>SUMPRODUCT(M369:X369,$M$2:$X$2)*$K369*$L369</f>
        <v/>
      </c>
      <c r="Z369" s="14">
        <f>SUM(M369:X369)</f>
        <v/>
      </c>
      <c r="AA369" s="13">
        <f>SUMPRODUCT(M369:X369,$M$3:$X$3)*$K369*$L369</f>
        <v/>
      </c>
      <c r="AB369" s="13">
        <f>SUMPRODUCT(M369:X369,$M$4:$X$4)*$K369*$L369</f>
        <v/>
      </c>
      <c r="AC369" s="15">
        <f>SUMPRODUCT(M369:X369,$M$5:$X$5)*$K369*$L369</f>
        <v/>
      </c>
      <c r="AD369" s="15">
        <f>SUMPRODUCT(M369:X369,$M$6:$X$6)*$K369*$L369</f>
        <v/>
      </c>
      <c r="AE369" s="19" t="n"/>
    </row>
    <row r="370">
      <c r="A370" s="9" t="n">
        <v>694477</v>
      </c>
      <c r="B370" s="9" t="inlineStr">
        <is>
          <t>Chad Patrick</t>
        </is>
      </c>
      <c r="C370" s="9" t="inlineStr">
        <is>
          <t>MIL</t>
        </is>
      </c>
      <c r="D370" s="9" t="n">
        <v>28</v>
      </c>
      <c r="E370" s="17" t="inlineStr">
        <is>
          <t>R</t>
        </is>
      </c>
      <c r="F370" s="17" t="n"/>
      <c r="G370" s="9" t="n">
        <v>423</v>
      </c>
      <c r="H370" s="9" t="n">
        <v>926</v>
      </c>
      <c r="I370" s="9" t="inlineStr">
        <is>
          <t>Bullpen Depth Arm</t>
        </is>
      </c>
      <c r="J370" s="17" t="inlineStr">
        <is>
          <t>Opening Day</t>
        </is>
      </c>
      <c r="K370" s="11">
        <f>IFERROR(INDEX(Roles!$B$17:$B$20,MATCH(J370,Roles!$A$17:$A$20,0)),1)</f>
        <v/>
      </c>
      <c r="L370" s="18" t="n">
        <v>1</v>
      </c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3">
        <f>SUMPRODUCT(M370:X370,$M$2:$X$2)*$K370*$L370</f>
        <v/>
      </c>
      <c r="Z370" s="14">
        <f>SUM(M370:X370)</f>
        <v/>
      </c>
      <c r="AA370" s="13">
        <f>SUMPRODUCT(M370:X370,$M$3:$X$3)*$K370*$L370</f>
        <v/>
      </c>
      <c r="AB370" s="13">
        <f>SUMPRODUCT(M370:X370,$M$4:$X$4)*$K370*$L370</f>
        <v/>
      </c>
      <c r="AC370" s="15">
        <f>SUMPRODUCT(M370:X370,$M$5:$X$5)*$K370*$L370</f>
        <v/>
      </c>
      <c r="AD370" s="15">
        <f>SUMPRODUCT(M370:X370,$M$6:$X$6)*$K370*$L370</f>
        <v/>
      </c>
      <c r="AE370" s="19" t="n"/>
    </row>
    <row r="371">
      <c r="A371" s="9" t="n">
        <v>675660</v>
      </c>
      <c r="B371" s="9" t="inlineStr">
        <is>
          <t>Shane Drohan</t>
        </is>
      </c>
      <c r="C371" s="9" t="inlineStr">
        <is>
          <t>MIL</t>
        </is>
      </c>
      <c r="D371" s="9" t="n">
        <v>28</v>
      </c>
      <c r="E371" s="17" t="inlineStr">
        <is>
          <t>L</t>
        </is>
      </c>
      <c r="F371" s="17" t="n"/>
      <c r="G371" s="9" t="n">
        <v>504</v>
      </c>
      <c r="H371" s="9" t="n">
        <v>504</v>
      </c>
      <c r="I371" s="9" t="inlineStr">
        <is>
          <t>End-of-Rotation Starter (SP4-5)</t>
        </is>
      </c>
      <c r="J371" s="17" t="inlineStr">
        <is>
          <t>Opening Day</t>
        </is>
      </c>
      <c r="K371" s="11">
        <f>IFERROR(INDEX(Roles!$B$17:$B$20,MATCH(J371,Roles!$A$17:$A$20,0)),1)</f>
        <v/>
      </c>
      <c r="L371" s="18" t="n">
        <v>1</v>
      </c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3">
        <f>SUMPRODUCT(M371:X371,$M$2:$X$2)*$K371*$L371</f>
        <v/>
      </c>
      <c r="Z371" s="14">
        <f>SUM(M371:X371)</f>
        <v/>
      </c>
      <c r="AA371" s="13">
        <f>SUMPRODUCT(M371:X371,$M$3:$X$3)*$K371*$L371</f>
        <v/>
      </c>
      <c r="AB371" s="13">
        <f>SUMPRODUCT(M371:X371,$M$4:$X$4)*$K371*$L371</f>
        <v/>
      </c>
      <c r="AC371" s="15">
        <f>SUMPRODUCT(M371:X371,$M$5:$X$5)*$K371*$L371</f>
        <v/>
      </c>
      <c r="AD371" s="15">
        <f>SUMPRODUCT(M371:X371,$M$6:$X$6)*$K371*$L371</f>
        <v/>
      </c>
      <c r="AE371" s="19" t="n"/>
    </row>
    <row r="372">
      <c r="A372" s="9" t="n">
        <v>684049</v>
      </c>
      <c r="B372" s="9" t="inlineStr">
        <is>
          <t>Brandan Bidois</t>
        </is>
      </c>
      <c r="C372" s="9" t="inlineStr">
        <is>
          <t>PIT</t>
        </is>
      </c>
      <c r="D372" s="9" t="n">
        <v>26</v>
      </c>
      <c r="E372" s="17" t="inlineStr">
        <is>
          <t>R</t>
        </is>
      </c>
      <c r="F372" s="17" t="n"/>
      <c r="G372" s="9" t="n">
        <v>80</v>
      </c>
      <c r="H372" s="9" t="n">
        <v>80</v>
      </c>
      <c r="I372" s="9" t="inlineStr">
        <is>
          <t>Bullpen Depth Arm</t>
        </is>
      </c>
      <c r="J372" s="17" t="inlineStr">
        <is>
          <t>Opening Day</t>
        </is>
      </c>
      <c r="K372" s="11">
        <f>IFERROR(INDEX(Roles!$B$17:$B$20,MATCH(J372,Roles!$A$17:$A$20,0)),1)</f>
        <v/>
      </c>
      <c r="L372" s="18" t="n">
        <v>1</v>
      </c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3">
        <f>SUMPRODUCT(M372:X372,$M$2:$X$2)*$K372*$L372</f>
        <v/>
      </c>
      <c r="Z372" s="14">
        <f>SUM(M372:X372)</f>
        <v/>
      </c>
      <c r="AA372" s="13">
        <f>SUMPRODUCT(M372:X372,$M$3:$X$3)*$K372*$L372</f>
        <v/>
      </c>
      <c r="AB372" s="13">
        <f>SUMPRODUCT(M372:X372,$M$4:$X$4)*$K372*$L372</f>
        <v/>
      </c>
      <c r="AC372" s="15">
        <f>SUMPRODUCT(M372:X372,$M$5:$X$5)*$K372*$L372</f>
        <v/>
      </c>
      <c r="AD372" s="15">
        <f>SUMPRODUCT(M372:X372,$M$6:$X$6)*$K372*$L372</f>
        <v/>
      </c>
      <c r="AE372" s="19" t="n"/>
    </row>
    <row r="373">
      <c r="A373" s="9" t="n">
        <v>608371</v>
      </c>
      <c r="B373" s="9" t="inlineStr">
        <is>
          <t>Lucas Sims</t>
        </is>
      </c>
      <c r="C373" s="9" t="inlineStr">
        <is>
          <t>CWS</t>
        </is>
      </c>
      <c r="D373" s="9" t="n">
        <v>33</v>
      </c>
      <c r="E373" s="17" t="inlineStr">
        <is>
          <t>R</t>
        </is>
      </c>
      <c r="F373" s="17" t="n"/>
      <c r="G373" s="9" t="n">
        <v>46</v>
      </c>
      <c r="H373" s="9" t="n">
        <v>622</v>
      </c>
      <c r="I373" s="9" t="inlineStr">
        <is>
          <t>Bullpen Depth Arm</t>
        </is>
      </c>
      <c r="J373" s="17" t="inlineStr">
        <is>
          <t>Opening Day</t>
        </is>
      </c>
      <c r="K373" s="11">
        <f>IFERROR(INDEX(Roles!$B$17:$B$20,MATCH(J373,Roles!$A$17:$A$20,0)),1)</f>
        <v/>
      </c>
      <c r="L373" s="18" t="n">
        <v>1</v>
      </c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3">
        <f>SUMPRODUCT(M373:X373,$M$2:$X$2)*$K373*$L373</f>
        <v/>
      </c>
      <c r="Z373" s="14">
        <f>SUM(M373:X373)</f>
        <v/>
      </c>
      <c r="AA373" s="13">
        <f>SUMPRODUCT(M373:X373,$M$3:$X$3)*$K373*$L373</f>
        <v/>
      </c>
      <c r="AB373" s="13">
        <f>SUMPRODUCT(M373:X373,$M$4:$X$4)*$K373*$L373</f>
        <v/>
      </c>
      <c r="AC373" s="15">
        <f>SUMPRODUCT(M373:X373,$M$5:$X$5)*$K373*$L373</f>
        <v/>
      </c>
      <c r="AD373" s="15">
        <f>SUMPRODUCT(M373:X373,$M$6:$X$6)*$K373*$L373</f>
        <v/>
      </c>
      <c r="AE373" s="19" t="n"/>
    </row>
    <row r="374">
      <c r="A374" s="9" t="n">
        <v>695380</v>
      </c>
      <c r="B374" s="9" t="inlineStr">
        <is>
          <t>Alex Hoppe</t>
        </is>
      </c>
      <c r="C374" s="9" t="inlineStr">
        <is>
          <t>BAL</t>
        </is>
      </c>
      <c r="D374" s="9" t="n">
        <v>28</v>
      </c>
      <c r="E374" s="17" t="inlineStr">
        <is>
          <t>R</t>
        </is>
      </c>
      <c r="F374" s="17" t="n"/>
      <c r="G374" s="9" t="n">
        <v>183</v>
      </c>
      <c r="H374" s="9" t="n">
        <v>183</v>
      </c>
      <c r="I374" s="9" t="inlineStr">
        <is>
          <t>Late Inning RP (Setup)</t>
        </is>
      </c>
      <c r="J374" s="17" t="inlineStr">
        <is>
          <t>Opening Day</t>
        </is>
      </c>
      <c r="K374" s="11">
        <f>IFERROR(INDEX(Roles!$B$17:$B$20,MATCH(J374,Roles!$A$17:$A$20,0)),1)</f>
        <v/>
      </c>
      <c r="L374" s="18" t="n">
        <v>1</v>
      </c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3">
        <f>SUMPRODUCT(M374:X374,$M$2:$X$2)*$K374*$L374</f>
        <v/>
      </c>
      <c r="Z374" s="14">
        <f>SUM(M374:X374)</f>
        <v/>
      </c>
      <c r="AA374" s="13">
        <f>SUMPRODUCT(M374:X374,$M$3:$X$3)*$K374*$L374</f>
        <v/>
      </c>
      <c r="AB374" s="13">
        <f>SUMPRODUCT(M374:X374,$M$4:$X$4)*$K374*$L374</f>
        <v/>
      </c>
      <c r="AC374" s="15">
        <f>SUMPRODUCT(M374:X374,$M$5:$X$5)*$K374*$L374</f>
        <v/>
      </c>
      <c r="AD374" s="15">
        <f>SUMPRODUCT(M374:X374,$M$6:$X$6)*$K374*$L374</f>
        <v/>
      </c>
      <c r="AE374" s="19" t="n"/>
    </row>
    <row r="375">
      <c r="A375" s="9" t="n">
        <v>642121</v>
      </c>
      <c r="B375" s="9" t="inlineStr">
        <is>
          <t>Cole Sulser</t>
        </is>
      </c>
      <c r="C375" s="9" t="inlineStr">
        <is>
          <t>TB</t>
        </is>
      </c>
      <c r="D375" s="9" t="n">
        <v>37</v>
      </c>
      <c r="E375" s="17" t="inlineStr">
        <is>
          <t>R</t>
        </is>
      </c>
      <c r="F375" s="17" t="n"/>
      <c r="G375" s="9" t="n">
        <v>215</v>
      </c>
      <c r="H375" s="9" t="n">
        <v>543</v>
      </c>
      <c r="I375" s="9" t="inlineStr">
        <is>
          <t>Bullpen Depth Arm</t>
        </is>
      </c>
      <c r="J375" s="17" t="inlineStr">
        <is>
          <t>Opening Day</t>
        </is>
      </c>
      <c r="K375" s="11">
        <f>IFERROR(INDEX(Roles!$B$17:$B$20,MATCH(J375,Roles!$A$17:$A$20,0)),1)</f>
        <v/>
      </c>
      <c r="L375" s="18" t="n">
        <v>1</v>
      </c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3">
        <f>SUMPRODUCT(M375:X375,$M$2:$X$2)*$K375*$L375</f>
        <v/>
      </c>
      <c r="Z375" s="14">
        <f>SUM(M375:X375)</f>
        <v/>
      </c>
      <c r="AA375" s="13">
        <f>SUMPRODUCT(M375:X375,$M$3:$X$3)*$K375*$L375</f>
        <v/>
      </c>
      <c r="AB375" s="13">
        <f>SUMPRODUCT(M375:X375,$M$4:$X$4)*$K375*$L375</f>
        <v/>
      </c>
      <c r="AC375" s="15">
        <f>SUMPRODUCT(M375:X375,$M$5:$X$5)*$K375*$L375</f>
        <v/>
      </c>
      <c r="AD375" s="15">
        <f>SUMPRODUCT(M375:X375,$M$6:$X$6)*$K375*$L375</f>
        <v/>
      </c>
      <c r="AE375" s="19" t="n"/>
    </row>
    <row r="376">
      <c r="A376" s="9" t="n">
        <v>502202</v>
      </c>
      <c r="B376" s="9" t="inlineStr">
        <is>
          <t>Brad Boxberger</t>
        </is>
      </c>
      <c r="C376" s="9" t="inlineStr">
        <is>
          <t>CHC</t>
        </is>
      </c>
      <c r="D376" s="9" t="n">
        <v>39</v>
      </c>
      <c r="E376" s="17" t="inlineStr">
        <is>
          <t>R</t>
        </is>
      </c>
      <c r="F376" s="17" t="n"/>
      <c r="G376" s="9" t="n">
        <v>84</v>
      </c>
      <c r="H376" s="9" t="n">
        <v>352</v>
      </c>
      <c r="I376" s="9" t="inlineStr">
        <is>
          <t>Depth (no MLB IP)</t>
        </is>
      </c>
      <c r="J376" s="17" t="inlineStr">
        <is>
          <t>Opening Day</t>
        </is>
      </c>
      <c r="K376" s="11">
        <f>IFERROR(INDEX(Roles!$B$17:$B$20,MATCH(J376,Roles!$A$17:$A$20,0)),1)</f>
        <v/>
      </c>
      <c r="L376" s="18" t="n">
        <v>1</v>
      </c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3">
        <f>SUMPRODUCT(M376:X376,$M$2:$X$2)*$K376*$L376</f>
        <v/>
      </c>
      <c r="Z376" s="14">
        <f>SUM(M376:X376)</f>
        <v/>
      </c>
      <c r="AA376" s="13">
        <f>SUMPRODUCT(M376:X376,$M$3:$X$3)*$K376*$L376</f>
        <v/>
      </c>
      <c r="AB376" s="13">
        <f>SUMPRODUCT(M376:X376,$M$4:$X$4)*$K376*$L376</f>
        <v/>
      </c>
      <c r="AC376" s="15">
        <f>SUMPRODUCT(M376:X376,$M$5:$X$5)*$K376*$L376</f>
        <v/>
      </c>
      <c r="AD376" s="15">
        <f>SUMPRODUCT(M376:X376,$M$6:$X$6)*$K376*$L376</f>
        <v/>
      </c>
      <c r="AE376" s="19" t="n"/>
    </row>
    <row r="377">
      <c r="A377" s="9" t="n">
        <v>543518</v>
      </c>
      <c r="B377" s="9" t="inlineStr">
        <is>
          <t>Scott McGough</t>
        </is>
      </c>
      <c r="C377" s="9" t="inlineStr">
        <is>
          <t>OAK</t>
        </is>
      </c>
      <c r="D377" s="9" t="n">
        <v>37</v>
      </c>
      <c r="E377" s="17" t="inlineStr">
        <is>
          <t>R</t>
        </is>
      </c>
      <c r="F377" s="17" t="n"/>
      <c r="G377" s="9" t="n">
        <v>75</v>
      </c>
      <c r="H377" s="9" t="n">
        <v>526</v>
      </c>
      <c r="I377" s="9" t="inlineStr">
        <is>
          <t>Bullpen Depth Arm</t>
        </is>
      </c>
      <c r="J377" s="17" t="inlineStr">
        <is>
          <t>Opening Day</t>
        </is>
      </c>
      <c r="K377" s="11">
        <f>IFERROR(INDEX(Roles!$B$17:$B$20,MATCH(J377,Roles!$A$17:$A$20,0)),1)</f>
        <v/>
      </c>
      <c r="L377" s="18" t="n">
        <v>1</v>
      </c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3">
        <f>SUMPRODUCT(M377:X377,$M$2:$X$2)*$K377*$L377</f>
        <v/>
      </c>
      <c r="Z377" s="14">
        <f>SUM(M377:X377)</f>
        <v/>
      </c>
      <c r="AA377" s="13">
        <f>SUMPRODUCT(M377:X377,$M$3:$X$3)*$K377*$L377</f>
        <v/>
      </c>
      <c r="AB377" s="13">
        <f>SUMPRODUCT(M377:X377,$M$4:$X$4)*$K377*$L377</f>
        <v/>
      </c>
      <c r="AC377" s="15">
        <f>SUMPRODUCT(M377:X377,$M$5:$X$5)*$K377*$L377</f>
        <v/>
      </c>
      <c r="AD377" s="15">
        <f>SUMPRODUCT(M377:X377,$M$6:$X$6)*$K377*$L377</f>
        <v/>
      </c>
      <c r="AE377" s="19" t="n"/>
    </row>
    <row r="378">
      <c r="A378" s="9" t="n">
        <v>663485</v>
      </c>
      <c r="B378" s="9" t="inlineStr">
        <is>
          <t>Cole Sands</t>
        </is>
      </c>
      <c r="C378" s="9" t="inlineStr">
        <is>
          <t>MIN</t>
        </is>
      </c>
      <c r="D378" s="9" t="n">
        <v>29</v>
      </c>
      <c r="E378" s="17" t="inlineStr">
        <is>
          <t>R</t>
        </is>
      </c>
      <c r="F378" s="17" t="n"/>
      <c r="G378" s="9" t="n">
        <v>56</v>
      </c>
      <c r="H378" s="9" t="n">
        <v>890</v>
      </c>
      <c r="I378" s="9" t="inlineStr">
        <is>
          <t>Bullpen Depth Arm</t>
        </is>
      </c>
      <c r="J378" s="17" t="inlineStr">
        <is>
          <t>Opening Day</t>
        </is>
      </c>
      <c r="K378" s="11">
        <f>IFERROR(INDEX(Roles!$B$17:$B$20,MATCH(J378,Roles!$A$17:$A$20,0)),1)</f>
        <v/>
      </c>
      <c r="L378" s="18" t="n">
        <v>1</v>
      </c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3">
        <f>SUMPRODUCT(M378:X378,$M$2:$X$2)*$K378*$L378</f>
        <v/>
      </c>
      <c r="Z378" s="14">
        <f>SUM(M378:X378)</f>
        <v/>
      </c>
      <c r="AA378" s="13">
        <f>SUMPRODUCT(M378:X378,$M$3:$X$3)*$K378*$L378</f>
        <v/>
      </c>
      <c r="AB378" s="13">
        <f>SUMPRODUCT(M378:X378,$M$4:$X$4)*$K378*$L378</f>
        <v/>
      </c>
      <c r="AC378" s="15">
        <f>SUMPRODUCT(M378:X378,$M$5:$X$5)*$K378*$L378</f>
        <v/>
      </c>
      <c r="AD378" s="15">
        <f>SUMPRODUCT(M378:X378,$M$6:$X$6)*$K378*$L378</f>
        <v/>
      </c>
      <c r="AE378" s="19" t="n"/>
    </row>
    <row r="379">
      <c r="A379" s="9" t="n">
        <v>669854</v>
      </c>
      <c r="B379" s="9" t="inlineStr">
        <is>
          <t>Ronel Blanco</t>
        </is>
      </c>
      <c r="C379" s="9" t="inlineStr">
        <is>
          <t>HOU</t>
        </is>
      </c>
      <c r="D379" s="9" t="n">
        <v>33</v>
      </c>
      <c r="E379" s="17" t="inlineStr">
        <is>
          <t>R</t>
        </is>
      </c>
      <c r="F379" s="17" t="n"/>
      <c r="G379" s="9" t="n">
        <v>136</v>
      </c>
      <c r="H379" s="9" t="n">
        <v>1269</v>
      </c>
      <c r="I379" s="9" t="inlineStr">
        <is>
          <t>Mid-Rotation Starter (SP2-3)</t>
        </is>
      </c>
      <c r="J379" s="17" t="inlineStr">
        <is>
          <t>Opening Day</t>
        </is>
      </c>
      <c r="K379" s="11">
        <f>IFERROR(INDEX(Roles!$B$17:$B$20,MATCH(J379,Roles!$A$17:$A$20,0)),1)</f>
        <v/>
      </c>
      <c r="L379" s="18" t="n">
        <v>1</v>
      </c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3">
        <f>SUMPRODUCT(M379:X379,$M$2:$X$2)*$K379*$L379</f>
        <v/>
      </c>
      <c r="Z379" s="14">
        <f>SUM(M379:X379)</f>
        <v/>
      </c>
      <c r="AA379" s="13">
        <f>SUMPRODUCT(M379:X379,$M$3:$X$3)*$K379*$L379</f>
        <v/>
      </c>
      <c r="AB379" s="13">
        <f>SUMPRODUCT(M379:X379,$M$4:$X$4)*$K379*$L379</f>
        <v/>
      </c>
      <c r="AC379" s="15">
        <f>SUMPRODUCT(M379:X379,$M$5:$X$5)*$K379*$L379</f>
        <v/>
      </c>
      <c r="AD379" s="15">
        <f>SUMPRODUCT(M379:X379,$M$6:$X$6)*$K379*$L379</f>
        <v/>
      </c>
      <c r="AE379" s="19" t="n"/>
    </row>
    <row r="380">
      <c r="A380" s="9" t="n">
        <v>802408</v>
      </c>
      <c r="B380" s="9" t="inlineStr">
        <is>
          <t>Brycen Mautz</t>
        </is>
      </c>
      <c r="C380" s="9" t="inlineStr">
        <is>
          <t>STL</t>
        </is>
      </c>
      <c r="D380" s="9" t="n">
        <v>25</v>
      </c>
      <c r="E380" s="17" t="inlineStr">
        <is>
          <t>L</t>
        </is>
      </c>
      <c r="F380" s="17" t="n"/>
      <c r="G380" s="9" t="n">
        <v>59</v>
      </c>
      <c r="H380" s="9" t="n">
        <v>59</v>
      </c>
      <c r="I380" s="9" t="inlineStr">
        <is>
          <t>Bullpen Depth Arm</t>
        </is>
      </c>
      <c r="J380" s="17" t="inlineStr">
        <is>
          <t>Opening Day</t>
        </is>
      </c>
      <c r="K380" s="11">
        <f>IFERROR(INDEX(Roles!$B$17:$B$20,MATCH(J380,Roles!$A$17:$A$20,0)),1)</f>
        <v/>
      </c>
      <c r="L380" s="18" t="n">
        <v>1</v>
      </c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3">
        <f>SUMPRODUCT(M380:X380,$M$2:$X$2)*$K380*$L380</f>
        <v/>
      </c>
      <c r="Z380" s="14">
        <f>SUM(M380:X380)</f>
        <v/>
      </c>
      <c r="AA380" s="13">
        <f>SUMPRODUCT(M380:X380,$M$3:$X$3)*$K380*$L380</f>
        <v/>
      </c>
      <c r="AB380" s="13">
        <f>SUMPRODUCT(M380:X380,$M$4:$X$4)*$K380*$L380</f>
        <v/>
      </c>
      <c r="AC380" s="15">
        <f>SUMPRODUCT(M380:X380,$M$5:$X$5)*$K380*$L380</f>
        <v/>
      </c>
      <c r="AD380" s="15">
        <f>SUMPRODUCT(M380:X380,$M$6:$X$6)*$K380*$L380</f>
        <v/>
      </c>
      <c r="AE380" s="19" t="n"/>
    </row>
    <row r="381">
      <c r="A381" s="9" t="n">
        <v>657376</v>
      </c>
      <c r="B381" s="9" t="inlineStr">
        <is>
          <t>Clarke Schmidt</t>
        </is>
      </c>
      <c r="C381" s="9" t="inlineStr">
        <is>
          <t>NYY</t>
        </is>
      </c>
      <c r="D381" s="9" t="n">
        <v>31</v>
      </c>
      <c r="E381" s="17" t="inlineStr">
        <is>
          <t>R</t>
        </is>
      </c>
      <c r="F381" s="17" t="n"/>
      <c r="G381" s="9" t="n">
        <v>4</v>
      </c>
      <c r="H381" s="9" t="n">
        <v>1603</v>
      </c>
      <c r="I381" s="9" t="inlineStr">
        <is>
          <t>Mid-Rotation Starter (SP2-3)</t>
        </is>
      </c>
      <c r="J381" s="17" t="inlineStr">
        <is>
          <t>Opening Day</t>
        </is>
      </c>
      <c r="K381" s="11">
        <f>IFERROR(INDEX(Roles!$B$17:$B$20,MATCH(J381,Roles!$A$17:$A$20,0)),1)</f>
        <v/>
      </c>
      <c r="L381" s="18" t="n">
        <v>1</v>
      </c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3">
        <f>SUMPRODUCT(M381:X381,$M$2:$X$2)*$K381*$L381</f>
        <v/>
      </c>
      <c r="Z381" s="14">
        <f>SUM(M381:X381)</f>
        <v/>
      </c>
      <c r="AA381" s="13">
        <f>SUMPRODUCT(M381:X381,$M$3:$X$3)*$K381*$L381</f>
        <v/>
      </c>
      <c r="AB381" s="13">
        <f>SUMPRODUCT(M381:X381,$M$4:$X$4)*$K381*$L381</f>
        <v/>
      </c>
      <c r="AC381" s="15">
        <f>SUMPRODUCT(M381:X381,$M$5:$X$5)*$K381*$L381</f>
        <v/>
      </c>
      <c r="AD381" s="15">
        <f>SUMPRODUCT(M381:X381,$M$6:$X$6)*$K381*$L381</f>
        <v/>
      </c>
      <c r="AE381" s="19" t="n"/>
    </row>
    <row r="382">
      <c r="A382" s="9" t="n">
        <v>684007</v>
      </c>
      <c r="B382" s="9" t="inlineStr">
        <is>
          <t>Shota Imanaga</t>
        </is>
      </c>
      <c r="C382" s="9" t="inlineStr">
        <is>
          <t>CHC</t>
        </is>
      </c>
      <c r="D382" s="9" t="n">
        <v>33</v>
      </c>
      <c r="E382" s="17" t="inlineStr">
        <is>
          <t>L</t>
        </is>
      </c>
      <c r="F382" s="17" t="n"/>
      <c r="G382" s="9" t="n">
        <v>683</v>
      </c>
      <c r="H382" s="9" t="n">
        <v>1944</v>
      </c>
      <c r="I382" s="9" t="inlineStr">
        <is>
          <t>Mid-Rotation Starter (SP2-3)</t>
        </is>
      </c>
      <c r="J382" s="17" t="inlineStr">
        <is>
          <t>Opening Day</t>
        </is>
      </c>
      <c r="K382" s="11">
        <f>IFERROR(INDEX(Roles!$B$17:$B$20,MATCH(J382,Roles!$A$17:$A$20,0)),1)</f>
        <v/>
      </c>
      <c r="L382" s="18" t="n">
        <v>1</v>
      </c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3">
        <f>SUMPRODUCT(M382:X382,$M$2:$X$2)*$K382*$L382</f>
        <v/>
      </c>
      <c r="Z382" s="14">
        <f>SUM(M382:X382)</f>
        <v/>
      </c>
      <c r="AA382" s="13">
        <f>SUMPRODUCT(M382:X382,$M$3:$X$3)*$K382*$L382</f>
        <v/>
      </c>
      <c r="AB382" s="13">
        <f>SUMPRODUCT(M382:X382,$M$4:$X$4)*$K382*$L382</f>
        <v/>
      </c>
      <c r="AC382" s="15">
        <f>SUMPRODUCT(M382:X382,$M$5:$X$5)*$K382*$L382</f>
        <v/>
      </c>
      <c r="AD382" s="15">
        <f>SUMPRODUCT(M382:X382,$M$6:$X$6)*$K382*$L382</f>
        <v/>
      </c>
      <c r="AE382" s="19" t="n"/>
    </row>
    <row r="383">
      <c r="A383" s="9" t="n">
        <v>668868</v>
      </c>
      <c r="B383" s="9" t="inlineStr">
        <is>
          <t>Zack Thompson</t>
        </is>
      </c>
      <c r="C383" s="9" t="inlineStr">
        <is>
          <t>STL</t>
        </is>
      </c>
      <c r="D383" s="9" t="n">
        <v>29</v>
      </c>
      <c r="E383" s="17" t="inlineStr">
        <is>
          <t>L</t>
        </is>
      </c>
      <c r="F383" s="17" t="n"/>
      <c r="G383" s="9" t="n">
        <v>83</v>
      </c>
      <c r="H383" s="9" t="n">
        <v>506</v>
      </c>
      <c r="I383" s="9" t="inlineStr">
        <is>
          <t>Depth (no MLB IP)</t>
        </is>
      </c>
      <c r="J383" s="17" t="inlineStr">
        <is>
          <t>Opening Day</t>
        </is>
      </c>
      <c r="K383" s="11">
        <f>IFERROR(INDEX(Roles!$B$17:$B$20,MATCH(J383,Roles!$A$17:$A$20,0)),1)</f>
        <v/>
      </c>
      <c r="L383" s="18" t="n">
        <v>1</v>
      </c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3">
        <f>SUMPRODUCT(M383:X383,$M$2:$X$2)*$K383*$L383</f>
        <v/>
      </c>
      <c r="Z383" s="14">
        <f>SUM(M383:X383)</f>
        <v/>
      </c>
      <c r="AA383" s="13">
        <f>SUMPRODUCT(M383:X383,$M$3:$X$3)*$K383*$L383</f>
        <v/>
      </c>
      <c r="AB383" s="13">
        <f>SUMPRODUCT(M383:X383,$M$4:$X$4)*$K383*$L383</f>
        <v/>
      </c>
      <c r="AC383" s="15">
        <f>SUMPRODUCT(M383:X383,$M$5:$X$5)*$K383*$L383</f>
        <v/>
      </c>
      <c r="AD383" s="15">
        <f>SUMPRODUCT(M383:X383,$M$6:$X$6)*$K383*$L383</f>
        <v/>
      </c>
      <c r="AE383" s="19" t="n"/>
    </row>
    <row r="384">
      <c r="A384" s="9" t="n">
        <v>694357</v>
      </c>
      <c r="B384" s="9" t="inlineStr">
        <is>
          <t>Ricky Tiedemann</t>
        </is>
      </c>
      <c r="C384" s="9" t="inlineStr">
        <is>
          <t>TOR</t>
        </is>
      </c>
      <c r="D384" s="9" t="n">
        <v>24</v>
      </c>
      <c r="E384" s="17" t="inlineStr">
        <is>
          <t>L</t>
        </is>
      </c>
      <c r="F384" s="17" t="n"/>
      <c r="G384" s="9" t="n">
        <v>29</v>
      </c>
      <c r="H384" s="9" t="n">
        <v>29</v>
      </c>
      <c r="I384" s="9" t="inlineStr">
        <is>
          <t>Bullpen Depth Arm</t>
        </is>
      </c>
      <c r="J384" s="17" t="inlineStr">
        <is>
          <t>Opening Day</t>
        </is>
      </c>
      <c r="K384" s="11">
        <f>IFERROR(INDEX(Roles!$B$17:$B$20,MATCH(J384,Roles!$A$17:$A$20,0)),1)</f>
        <v/>
      </c>
      <c r="L384" s="18" t="n">
        <v>1</v>
      </c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3">
        <f>SUMPRODUCT(M384:X384,$M$2:$X$2)*$K384*$L384</f>
        <v/>
      </c>
      <c r="Z384" s="14">
        <f>SUM(M384:X384)</f>
        <v/>
      </c>
      <c r="AA384" s="13">
        <f>SUMPRODUCT(M384:X384,$M$3:$X$3)*$K384*$L384</f>
        <v/>
      </c>
      <c r="AB384" s="13">
        <f>SUMPRODUCT(M384:X384,$M$4:$X$4)*$K384*$L384</f>
        <v/>
      </c>
      <c r="AC384" s="15">
        <f>SUMPRODUCT(M384:X384,$M$5:$X$5)*$K384*$L384</f>
        <v/>
      </c>
      <c r="AD384" s="15">
        <f>SUMPRODUCT(M384:X384,$M$6:$X$6)*$K384*$L384</f>
        <v/>
      </c>
      <c r="AE384" s="19" t="n"/>
    </row>
    <row r="385">
      <c r="A385" s="9" t="n">
        <v>682608</v>
      </c>
      <c r="B385" s="9" t="inlineStr">
        <is>
          <t>Peyton Gray</t>
        </is>
      </c>
      <c r="C385" s="9" t="inlineStr">
        <is>
          <t>TEX</t>
        </is>
      </c>
      <c r="D385" s="9" t="n">
        <v>32</v>
      </c>
      <c r="E385" s="17" t="inlineStr">
        <is>
          <t>R</t>
        </is>
      </c>
      <c r="F385" s="17" t="n"/>
      <c r="G385" s="9" t="n">
        <v>244</v>
      </c>
      <c r="H385" s="9" t="n">
        <v>244</v>
      </c>
      <c r="I385" s="9" t="inlineStr">
        <is>
          <t>Late Inning RP (Setup)</t>
        </is>
      </c>
      <c r="J385" s="17" t="inlineStr">
        <is>
          <t>Opening Day</t>
        </is>
      </c>
      <c r="K385" s="11">
        <f>IFERROR(INDEX(Roles!$B$17:$B$20,MATCH(J385,Roles!$A$17:$A$20,0)),1)</f>
        <v/>
      </c>
      <c r="L385" s="18" t="n">
        <v>1</v>
      </c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3">
        <f>SUMPRODUCT(M385:X385,$M$2:$X$2)*$K385*$L385</f>
        <v/>
      </c>
      <c r="Z385" s="14">
        <f>SUM(M385:X385)</f>
        <v/>
      </c>
      <c r="AA385" s="13">
        <f>SUMPRODUCT(M385:X385,$M$3:$X$3)*$K385*$L385</f>
        <v/>
      </c>
      <c r="AB385" s="13">
        <f>SUMPRODUCT(M385:X385,$M$4:$X$4)*$K385*$L385</f>
        <v/>
      </c>
      <c r="AC385" s="15">
        <f>SUMPRODUCT(M385:X385,$M$5:$X$5)*$K385*$L385</f>
        <v/>
      </c>
      <c r="AD385" s="15">
        <f>SUMPRODUCT(M385:X385,$M$6:$X$6)*$K385*$L385</f>
        <v/>
      </c>
      <c r="AE385" s="19" t="n"/>
    </row>
    <row r="386">
      <c r="A386" s="9" t="n">
        <v>674073</v>
      </c>
      <c r="B386" s="9" t="inlineStr">
        <is>
          <t>Jack Weisenburger</t>
        </is>
      </c>
      <c r="C386" s="9" t="inlineStr">
        <is>
          <t>NYM</t>
        </is>
      </c>
      <c r="D386" s="9" t="n">
        <v>29</v>
      </c>
      <c r="E386" s="17" t="inlineStr">
        <is>
          <t>R</t>
        </is>
      </c>
      <c r="F386" s="17" t="n"/>
      <c r="G386" s="9" t="n">
        <v>42</v>
      </c>
      <c r="H386" s="9" t="n">
        <v>42</v>
      </c>
      <c r="I386" s="9" t="inlineStr">
        <is>
          <t>Middle Relief</t>
        </is>
      </c>
      <c r="J386" s="17" t="inlineStr">
        <is>
          <t>Opening Day</t>
        </is>
      </c>
      <c r="K386" s="11">
        <f>IFERROR(INDEX(Roles!$B$17:$B$20,MATCH(J386,Roles!$A$17:$A$20,0)),1)</f>
        <v/>
      </c>
      <c r="L386" s="18" t="n">
        <v>1</v>
      </c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3">
        <f>SUMPRODUCT(M386:X386,$M$2:$X$2)*$K386*$L386</f>
        <v/>
      </c>
      <c r="Z386" s="14">
        <f>SUM(M386:X386)</f>
        <v/>
      </c>
      <c r="AA386" s="13">
        <f>SUMPRODUCT(M386:X386,$M$3:$X$3)*$K386*$L386</f>
        <v/>
      </c>
      <c r="AB386" s="13">
        <f>SUMPRODUCT(M386:X386,$M$4:$X$4)*$K386*$L386</f>
        <v/>
      </c>
      <c r="AC386" s="15">
        <f>SUMPRODUCT(M386:X386,$M$5:$X$5)*$K386*$L386</f>
        <v/>
      </c>
      <c r="AD386" s="15">
        <f>SUMPRODUCT(M386:X386,$M$6:$X$6)*$K386*$L386</f>
        <v/>
      </c>
      <c r="AE386" s="19" t="n"/>
    </row>
    <row r="387">
      <c r="A387" s="9" t="n">
        <v>681810</v>
      </c>
      <c r="B387" s="9" t="inlineStr">
        <is>
          <t>Austin Warren</t>
        </is>
      </c>
      <c r="C387" s="9" t="inlineStr">
        <is>
          <t>NYM</t>
        </is>
      </c>
      <c r="D387" s="9" t="n">
        <v>31</v>
      </c>
      <c r="E387" s="17" t="inlineStr">
        <is>
          <t>R</t>
        </is>
      </c>
      <c r="F387" s="17" t="n"/>
      <c r="G387" s="9" t="n">
        <v>199</v>
      </c>
      <c r="H387" s="9" t="n">
        <v>351</v>
      </c>
      <c r="I387" s="9" t="inlineStr">
        <is>
          <t>Bullpen Depth Arm</t>
        </is>
      </c>
      <c r="J387" s="17" t="inlineStr">
        <is>
          <t>Opening Day</t>
        </is>
      </c>
      <c r="K387" s="11">
        <f>IFERROR(INDEX(Roles!$B$17:$B$20,MATCH(J387,Roles!$A$17:$A$20,0)),1)</f>
        <v/>
      </c>
      <c r="L387" s="18" t="n">
        <v>1</v>
      </c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3">
        <f>SUMPRODUCT(M387:X387,$M$2:$X$2)*$K387*$L387</f>
        <v/>
      </c>
      <c r="Z387" s="14">
        <f>SUM(M387:X387)</f>
        <v/>
      </c>
      <c r="AA387" s="13">
        <f>SUMPRODUCT(M387:X387,$M$3:$X$3)*$K387*$L387</f>
        <v/>
      </c>
      <c r="AB387" s="13">
        <f>SUMPRODUCT(M387:X387,$M$4:$X$4)*$K387*$L387</f>
        <v/>
      </c>
      <c r="AC387" s="15">
        <f>SUMPRODUCT(M387:X387,$M$5:$X$5)*$K387*$L387</f>
        <v/>
      </c>
      <c r="AD387" s="15">
        <f>SUMPRODUCT(M387:X387,$M$6:$X$6)*$K387*$L387</f>
        <v/>
      </c>
      <c r="AE387" s="19" t="n"/>
    </row>
    <row r="388">
      <c r="A388" s="9" t="n">
        <v>669395</v>
      </c>
      <c r="B388" s="9" t="inlineStr">
        <is>
          <t>Dylan Coleman</t>
        </is>
      </c>
      <c r="C388" s="9" t="inlineStr">
        <is>
          <t>KC</t>
        </is>
      </c>
      <c r="D388" s="9" t="n">
        <v>30</v>
      </c>
      <c r="E388" s="17" t="inlineStr">
        <is>
          <t>R</t>
        </is>
      </c>
      <c r="F388" s="17" t="n"/>
      <c r="G388" s="9" t="n">
        <v>4</v>
      </c>
      <c r="H388" s="9" t="n">
        <v>389</v>
      </c>
      <c r="I388" s="9" t="inlineStr">
        <is>
          <t>Depth (no MLB IP)</t>
        </is>
      </c>
      <c r="J388" s="17" t="inlineStr">
        <is>
          <t>Opening Day</t>
        </is>
      </c>
      <c r="K388" s="11">
        <f>IFERROR(INDEX(Roles!$B$17:$B$20,MATCH(J388,Roles!$A$17:$A$20,0)),1)</f>
        <v/>
      </c>
      <c r="L388" s="18" t="n">
        <v>1</v>
      </c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3">
        <f>SUMPRODUCT(M388:X388,$M$2:$X$2)*$K388*$L388</f>
        <v/>
      </c>
      <c r="Z388" s="14">
        <f>SUM(M388:X388)</f>
        <v/>
      </c>
      <c r="AA388" s="13">
        <f>SUMPRODUCT(M388:X388,$M$3:$X$3)*$K388*$L388</f>
        <v/>
      </c>
      <c r="AB388" s="13">
        <f>SUMPRODUCT(M388:X388,$M$4:$X$4)*$K388*$L388</f>
        <v/>
      </c>
      <c r="AC388" s="15">
        <f>SUMPRODUCT(M388:X388,$M$5:$X$5)*$K388*$L388</f>
        <v/>
      </c>
      <c r="AD388" s="15">
        <f>SUMPRODUCT(M388:X388,$M$6:$X$6)*$K388*$L388</f>
        <v/>
      </c>
      <c r="AE388" s="19" t="n"/>
    </row>
    <row r="389">
      <c r="A389" s="9" t="n">
        <v>641627</v>
      </c>
      <c r="B389" s="9" t="inlineStr">
        <is>
          <t>Trevor Gott</t>
        </is>
      </c>
      <c r="C389" s="9" t="inlineStr">
        <is>
          <t>NYM</t>
        </is>
      </c>
      <c r="D389" s="9" t="n">
        <v>34</v>
      </c>
      <c r="E389" s="17" t="inlineStr">
        <is>
          <t>R</t>
        </is>
      </c>
      <c r="F389" s="17" t="n"/>
      <c r="G389" s="9" t="n">
        <v>261</v>
      </c>
      <c r="H389" s="9" t="n">
        <v>447</v>
      </c>
      <c r="I389" s="9" t="inlineStr">
        <is>
          <t>Depth (no MLB IP)</t>
        </is>
      </c>
      <c r="J389" s="17" t="inlineStr">
        <is>
          <t>Opening Day</t>
        </is>
      </c>
      <c r="K389" s="11">
        <f>IFERROR(INDEX(Roles!$B$17:$B$20,MATCH(J389,Roles!$A$17:$A$20,0)),1)</f>
        <v/>
      </c>
      <c r="L389" s="18" t="n">
        <v>1</v>
      </c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3">
        <f>SUMPRODUCT(M389:X389,$M$2:$X$2)*$K389*$L389</f>
        <v/>
      </c>
      <c r="Z389" s="14">
        <f>SUM(M389:X389)</f>
        <v/>
      </c>
      <c r="AA389" s="13">
        <f>SUMPRODUCT(M389:X389,$M$3:$X$3)*$K389*$L389</f>
        <v/>
      </c>
      <c r="AB389" s="13">
        <f>SUMPRODUCT(M389:X389,$M$4:$X$4)*$K389*$L389</f>
        <v/>
      </c>
      <c r="AC389" s="15">
        <f>SUMPRODUCT(M389:X389,$M$5:$X$5)*$K389*$L389</f>
        <v/>
      </c>
      <c r="AD389" s="15">
        <f>SUMPRODUCT(M389:X389,$M$6:$X$6)*$K389*$L389</f>
        <v/>
      </c>
      <c r="AE389" s="19" t="n"/>
    </row>
    <row r="390">
      <c r="A390" s="9" t="n">
        <v>664744</v>
      </c>
      <c r="B390" s="9" t="inlineStr">
        <is>
          <t>Jose Espada</t>
        </is>
      </c>
      <c r="C390" s="9" t="inlineStr"/>
      <c r="D390" s="9" t="n">
        <v>30</v>
      </c>
      <c r="E390" s="17" t="inlineStr">
        <is>
          <t>R</t>
        </is>
      </c>
      <c r="F390" s="17" t="n"/>
      <c r="G390" s="9" t="n">
        <v>4</v>
      </c>
      <c r="H390" s="9" t="n">
        <v>18</v>
      </c>
      <c r="I390" s="9" t="inlineStr">
        <is>
          <t>Depth (no MLB IP)</t>
        </is>
      </c>
      <c r="J390" s="17" t="inlineStr">
        <is>
          <t>Opening Day</t>
        </is>
      </c>
      <c r="K390" s="11">
        <f>IFERROR(INDEX(Roles!$B$17:$B$20,MATCH(J390,Roles!$A$17:$A$20,0)),1)</f>
        <v/>
      </c>
      <c r="L390" s="18" t="n">
        <v>1</v>
      </c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3">
        <f>SUMPRODUCT(M390:X390,$M$2:$X$2)*$K390*$L390</f>
        <v/>
      </c>
      <c r="Z390" s="14">
        <f>SUM(M390:X390)</f>
        <v/>
      </c>
      <c r="AA390" s="13">
        <f>SUMPRODUCT(M390:X390,$M$3:$X$3)*$K390*$L390</f>
        <v/>
      </c>
      <c r="AB390" s="13">
        <f>SUMPRODUCT(M390:X390,$M$4:$X$4)*$K390*$L390</f>
        <v/>
      </c>
      <c r="AC390" s="15">
        <f>SUMPRODUCT(M390:X390,$M$5:$X$5)*$K390*$L390</f>
        <v/>
      </c>
      <c r="AD390" s="15">
        <f>SUMPRODUCT(M390:X390,$M$6:$X$6)*$K390*$L390</f>
        <v/>
      </c>
      <c r="AE390" s="19" t="n"/>
    </row>
    <row r="391">
      <c r="A391" s="9" t="n">
        <v>641401</v>
      </c>
      <c r="B391" s="9" t="inlineStr">
        <is>
          <t>Connor Brogdon</t>
        </is>
      </c>
      <c r="C391" s="9" t="inlineStr">
        <is>
          <t>CLE</t>
        </is>
      </c>
      <c r="D391" s="9" t="n">
        <v>32</v>
      </c>
      <c r="E391" s="17" t="inlineStr">
        <is>
          <t>R</t>
        </is>
      </c>
      <c r="F391" s="17" t="n"/>
      <c r="G391" s="9" t="n">
        <v>70</v>
      </c>
      <c r="H391" s="9" t="n">
        <v>603</v>
      </c>
      <c r="I391" s="9" t="inlineStr">
        <is>
          <t>Bullpen Depth Arm</t>
        </is>
      </c>
      <c r="J391" s="17" t="inlineStr">
        <is>
          <t>Opening Day</t>
        </is>
      </c>
      <c r="K391" s="11">
        <f>IFERROR(INDEX(Roles!$B$17:$B$20,MATCH(J391,Roles!$A$17:$A$20,0)),1)</f>
        <v/>
      </c>
      <c r="L391" s="18" t="n">
        <v>1</v>
      </c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3">
        <f>SUMPRODUCT(M391:X391,$M$2:$X$2)*$K391*$L391</f>
        <v/>
      </c>
      <c r="Z391" s="14">
        <f>SUM(M391:X391)</f>
        <v/>
      </c>
      <c r="AA391" s="13">
        <f>SUMPRODUCT(M391:X391,$M$3:$X$3)*$K391*$L391</f>
        <v/>
      </c>
      <c r="AB391" s="13">
        <f>SUMPRODUCT(M391:X391,$M$4:$X$4)*$K391*$L391</f>
        <v/>
      </c>
      <c r="AC391" s="15">
        <f>SUMPRODUCT(M391:X391,$M$5:$X$5)*$K391*$L391</f>
        <v/>
      </c>
      <c r="AD391" s="15">
        <f>SUMPRODUCT(M391:X391,$M$6:$X$6)*$K391*$L391</f>
        <v/>
      </c>
      <c r="AE391" s="19" t="n"/>
    </row>
    <row r="392">
      <c r="A392" s="9" t="n">
        <v>681343</v>
      </c>
      <c r="B392" s="9" t="inlineStr">
        <is>
          <t>Shane Smith</t>
        </is>
      </c>
      <c r="C392" s="9" t="inlineStr">
        <is>
          <t>CWS</t>
        </is>
      </c>
      <c r="D392" s="9" t="n">
        <v>27</v>
      </c>
      <c r="E392" s="17" t="inlineStr">
        <is>
          <t>R</t>
        </is>
      </c>
      <c r="F392" s="17" t="n"/>
      <c r="G392" s="9" t="n">
        <v>49</v>
      </c>
      <c r="H392" s="9" t="n">
        <v>665</v>
      </c>
      <c r="I392" s="9" t="inlineStr">
        <is>
          <t>End-of-Rotation Starter (SP4-5)</t>
        </is>
      </c>
      <c r="J392" s="17" t="inlineStr">
        <is>
          <t>Opening Day</t>
        </is>
      </c>
      <c r="K392" s="11">
        <f>IFERROR(INDEX(Roles!$B$17:$B$20,MATCH(J392,Roles!$A$17:$A$20,0)),1)</f>
        <v/>
      </c>
      <c r="L392" s="18" t="n">
        <v>1</v>
      </c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3">
        <f>SUMPRODUCT(M392:X392,$M$2:$X$2)*$K392*$L392</f>
        <v/>
      </c>
      <c r="Z392" s="14">
        <f>SUM(M392:X392)</f>
        <v/>
      </c>
      <c r="AA392" s="13">
        <f>SUMPRODUCT(M392:X392,$M$3:$X$3)*$K392*$L392</f>
        <v/>
      </c>
      <c r="AB392" s="13">
        <f>SUMPRODUCT(M392:X392,$M$4:$X$4)*$K392*$L392</f>
        <v/>
      </c>
      <c r="AC392" s="15">
        <f>SUMPRODUCT(M392:X392,$M$5:$X$5)*$K392*$L392</f>
        <v/>
      </c>
      <c r="AD392" s="15">
        <f>SUMPRODUCT(M392:X392,$M$6:$X$6)*$K392*$L392</f>
        <v/>
      </c>
      <c r="AE392" s="19" t="n"/>
    </row>
    <row r="393">
      <c r="A393" s="9" t="n">
        <v>684974</v>
      </c>
      <c r="B393" s="9" t="inlineStr">
        <is>
          <t>Craig Yoho</t>
        </is>
      </c>
      <c r="C393" s="9" t="inlineStr">
        <is>
          <t>CLE</t>
        </is>
      </c>
      <c r="D393" s="9" t="n">
        <v>27</v>
      </c>
      <c r="E393" s="17" t="inlineStr">
        <is>
          <t>R</t>
        </is>
      </c>
      <c r="F393" s="17" t="n"/>
      <c r="G393" s="9" t="n">
        <v>158</v>
      </c>
      <c r="H393" s="9" t="n">
        <v>199</v>
      </c>
      <c r="I393" s="9" t="inlineStr">
        <is>
          <t>Bullpen Depth Arm</t>
        </is>
      </c>
      <c r="J393" s="17" t="inlineStr">
        <is>
          <t>Opening Day</t>
        </is>
      </c>
      <c r="K393" s="11">
        <f>IFERROR(INDEX(Roles!$B$17:$B$20,MATCH(J393,Roles!$A$17:$A$20,0)),1)</f>
        <v/>
      </c>
      <c r="L393" s="18" t="n">
        <v>1</v>
      </c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3">
        <f>SUMPRODUCT(M393:X393,$M$2:$X$2)*$K393*$L393</f>
        <v/>
      </c>
      <c r="Z393" s="14">
        <f>SUM(M393:X393)</f>
        <v/>
      </c>
      <c r="AA393" s="13">
        <f>SUMPRODUCT(M393:X393,$M$3:$X$3)*$K393*$L393</f>
        <v/>
      </c>
      <c r="AB393" s="13">
        <f>SUMPRODUCT(M393:X393,$M$4:$X$4)*$K393*$L393</f>
        <v/>
      </c>
      <c r="AC393" s="15">
        <f>SUMPRODUCT(M393:X393,$M$5:$X$5)*$K393*$L393</f>
        <v/>
      </c>
      <c r="AD393" s="15">
        <f>SUMPRODUCT(M393:X393,$M$6:$X$6)*$K393*$L393</f>
        <v/>
      </c>
      <c r="AE393" s="19" t="n"/>
    </row>
    <row r="394">
      <c r="A394" s="9" t="n">
        <v>681882</v>
      </c>
      <c r="B394" s="9" t="inlineStr">
        <is>
          <t>Colin Selby</t>
        </is>
      </c>
      <c r="C394" s="9" t="inlineStr">
        <is>
          <t>BAL</t>
        </is>
      </c>
      <c r="D394" s="9" t="n">
        <v>29</v>
      </c>
      <c r="E394" s="17" t="inlineStr">
        <is>
          <t>R</t>
        </is>
      </c>
      <c r="F394" s="17" t="n"/>
      <c r="G394" s="9" t="n">
        <v>60</v>
      </c>
      <c r="H394" s="9" t="n">
        <v>202</v>
      </c>
      <c r="I394" s="9" t="inlineStr">
        <is>
          <t>Bullpen Depth Arm</t>
        </is>
      </c>
      <c r="J394" s="17" t="inlineStr">
        <is>
          <t>Opening Day</t>
        </is>
      </c>
      <c r="K394" s="11">
        <f>IFERROR(INDEX(Roles!$B$17:$B$20,MATCH(J394,Roles!$A$17:$A$20,0)),1)</f>
        <v/>
      </c>
      <c r="L394" s="18" t="n">
        <v>1</v>
      </c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3">
        <f>SUMPRODUCT(M394:X394,$M$2:$X$2)*$K394*$L394</f>
        <v/>
      </c>
      <c r="Z394" s="14">
        <f>SUM(M394:X394)</f>
        <v/>
      </c>
      <c r="AA394" s="13">
        <f>SUMPRODUCT(M394:X394,$M$3:$X$3)*$K394*$L394</f>
        <v/>
      </c>
      <c r="AB394" s="13">
        <f>SUMPRODUCT(M394:X394,$M$4:$X$4)*$K394*$L394</f>
        <v/>
      </c>
      <c r="AC394" s="15">
        <f>SUMPRODUCT(M394:X394,$M$5:$X$5)*$K394*$L394</f>
        <v/>
      </c>
      <c r="AD394" s="15">
        <f>SUMPRODUCT(M394:X394,$M$6:$X$6)*$K394*$L394</f>
        <v/>
      </c>
      <c r="AE394" s="19" t="n"/>
    </row>
    <row r="395">
      <c r="A395" s="9" t="n">
        <v>804926</v>
      </c>
      <c r="B395" s="9" t="inlineStr">
        <is>
          <t>Austin Peterson</t>
        </is>
      </c>
      <c r="C395" s="9" t="inlineStr"/>
      <c r="D395" s="9" t="n">
        <v>27</v>
      </c>
      <c r="E395" s="17" t="inlineStr">
        <is>
          <t>R</t>
        </is>
      </c>
      <c r="F395" s="17" t="n"/>
      <c r="G395" s="9" t="n">
        <v>8</v>
      </c>
      <c r="H395" s="9" t="n">
        <v>8</v>
      </c>
      <c r="I395" s="9" t="inlineStr">
        <is>
          <t>Depth (no MLB IP)</t>
        </is>
      </c>
      <c r="J395" s="17" t="inlineStr">
        <is>
          <t>Opening Day</t>
        </is>
      </c>
      <c r="K395" s="11">
        <f>IFERROR(INDEX(Roles!$B$17:$B$20,MATCH(J395,Roles!$A$17:$A$20,0)),1)</f>
        <v/>
      </c>
      <c r="L395" s="18" t="n">
        <v>1</v>
      </c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3">
        <f>SUMPRODUCT(M395:X395,$M$2:$X$2)*$K395*$L395</f>
        <v/>
      </c>
      <c r="Z395" s="14">
        <f>SUM(M395:X395)</f>
        <v/>
      </c>
      <c r="AA395" s="13">
        <f>SUMPRODUCT(M395:X395,$M$3:$X$3)*$K395*$L395</f>
        <v/>
      </c>
      <c r="AB395" s="13">
        <f>SUMPRODUCT(M395:X395,$M$4:$X$4)*$K395*$L395</f>
        <v/>
      </c>
      <c r="AC395" s="15">
        <f>SUMPRODUCT(M395:X395,$M$5:$X$5)*$K395*$L395</f>
        <v/>
      </c>
      <c r="AD395" s="15">
        <f>SUMPRODUCT(M395:X395,$M$6:$X$6)*$K395*$L395</f>
        <v/>
      </c>
      <c r="AE395" s="19" t="n"/>
    </row>
    <row r="396">
      <c r="A396" s="9" t="n">
        <v>693686</v>
      </c>
      <c r="B396" s="9" t="inlineStr">
        <is>
          <t>Spencer Miles</t>
        </is>
      </c>
      <c r="C396" s="9" t="inlineStr">
        <is>
          <t>TOR</t>
        </is>
      </c>
      <c r="D396" s="9" t="n">
        <v>26</v>
      </c>
      <c r="E396" s="17" t="inlineStr">
        <is>
          <t>R</t>
        </is>
      </c>
      <c r="F396" s="17" t="n"/>
      <c r="G396" s="9" t="n">
        <v>370</v>
      </c>
      <c r="H396" s="9" t="n">
        <v>370</v>
      </c>
      <c r="I396" s="9" t="inlineStr">
        <is>
          <t>Late Inning RP (Setup)</t>
        </is>
      </c>
      <c r="J396" s="17" t="inlineStr">
        <is>
          <t>Opening Day</t>
        </is>
      </c>
      <c r="K396" s="11">
        <f>IFERROR(INDEX(Roles!$B$17:$B$20,MATCH(J396,Roles!$A$17:$A$20,0)),1)</f>
        <v/>
      </c>
      <c r="L396" s="18" t="n">
        <v>1</v>
      </c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3">
        <f>SUMPRODUCT(M396:X396,$M$2:$X$2)*$K396*$L396</f>
        <v/>
      </c>
      <c r="Z396" s="14">
        <f>SUM(M396:X396)</f>
        <v/>
      </c>
      <c r="AA396" s="13">
        <f>SUMPRODUCT(M396:X396,$M$3:$X$3)*$K396*$L396</f>
        <v/>
      </c>
      <c r="AB396" s="13">
        <f>SUMPRODUCT(M396:X396,$M$4:$X$4)*$K396*$L396</f>
        <v/>
      </c>
      <c r="AC396" s="15">
        <f>SUMPRODUCT(M396:X396,$M$5:$X$5)*$K396*$L396</f>
        <v/>
      </c>
      <c r="AD396" s="15">
        <f>SUMPRODUCT(M396:X396,$M$6:$X$6)*$K396*$L396</f>
        <v/>
      </c>
      <c r="AE396" s="19" t="n"/>
    </row>
    <row r="397">
      <c r="A397" s="9" t="n">
        <v>663321</v>
      </c>
      <c r="B397" s="9" t="inlineStr">
        <is>
          <t>Nick Hernandez</t>
        </is>
      </c>
      <c r="C397" s="9" t="inlineStr">
        <is>
          <t>HOU</t>
        </is>
      </c>
      <c r="D397" s="9" t="n">
        <v>32</v>
      </c>
      <c r="E397" s="17" t="inlineStr">
        <is>
          <t>R</t>
        </is>
      </c>
      <c r="F397" s="17" t="n"/>
      <c r="G397" s="9" t="n">
        <v>52</v>
      </c>
      <c r="H397" s="9" t="n">
        <v>104</v>
      </c>
      <c r="I397" s="9" t="inlineStr">
        <is>
          <t>Bullpen Depth Arm</t>
        </is>
      </c>
      <c r="J397" s="17" t="inlineStr">
        <is>
          <t>Opening Day</t>
        </is>
      </c>
      <c r="K397" s="11">
        <f>IFERROR(INDEX(Roles!$B$17:$B$20,MATCH(J397,Roles!$A$17:$A$20,0)),1)</f>
        <v/>
      </c>
      <c r="L397" s="18" t="n">
        <v>1</v>
      </c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3">
        <f>SUMPRODUCT(M397:X397,$M$2:$X$2)*$K397*$L397</f>
        <v/>
      </c>
      <c r="Z397" s="14">
        <f>SUM(M397:X397)</f>
        <v/>
      </c>
      <c r="AA397" s="13">
        <f>SUMPRODUCT(M397:X397,$M$3:$X$3)*$K397*$L397</f>
        <v/>
      </c>
      <c r="AB397" s="13">
        <f>SUMPRODUCT(M397:X397,$M$4:$X$4)*$K397*$L397</f>
        <v/>
      </c>
      <c r="AC397" s="15">
        <f>SUMPRODUCT(M397:X397,$M$5:$X$5)*$K397*$L397</f>
        <v/>
      </c>
      <c r="AD397" s="15">
        <f>SUMPRODUCT(M397:X397,$M$6:$X$6)*$K397*$L397</f>
        <v/>
      </c>
      <c r="AE397" s="19" t="n"/>
    </row>
    <row r="398">
      <c r="A398" s="9" t="n">
        <v>660853</v>
      </c>
      <c r="B398" s="9" t="inlineStr">
        <is>
          <t>Enyel De Los Santos</t>
        </is>
      </c>
      <c r="C398" s="9" t="inlineStr">
        <is>
          <t>HOU</t>
        </is>
      </c>
      <c r="D398" s="9" t="n">
        <v>31</v>
      </c>
      <c r="E398" s="17" t="inlineStr">
        <is>
          <t>R</t>
        </is>
      </c>
      <c r="F398" s="17" t="n"/>
      <c r="G398" s="9" t="n">
        <v>293</v>
      </c>
      <c r="H398" s="9" t="n">
        <v>1328</v>
      </c>
      <c r="I398" s="9" t="inlineStr">
        <is>
          <t>Bullpen Depth Arm</t>
        </is>
      </c>
      <c r="J398" s="17" t="inlineStr">
        <is>
          <t>Opening Day</t>
        </is>
      </c>
      <c r="K398" s="11">
        <f>IFERROR(INDEX(Roles!$B$17:$B$20,MATCH(J398,Roles!$A$17:$A$20,0)),1)</f>
        <v/>
      </c>
      <c r="L398" s="18" t="n">
        <v>1</v>
      </c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3">
        <f>SUMPRODUCT(M398:X398,$M$2:$X$2)*$K398*$L398</f>
        <v/>
      </c>
      <c r="Z398" s="14">
        <f>SUM(M398:X398)</f>
        <v/>
      </c>
      <c r="AA398" s="13">
        <f>SUMPRODUCT(M398:X398,$M$3:$X$3)*$K398*$L398</f>
        <v/>
      </c>
      <c r="AB398" s="13">
        <f>SUMPRODUCT(M398:X398,$M$4:$X$4)*$K398*$L398</f>
        <v/>
      </c>
      <c r="AC398" s="15">
        <f>SUMPRODUCT(M398:X398,$M$5:$X$5)*$K398*$L398</f>
        <v/>
      </c>
      <c r="AD398" s="15">
        <f>SUMPRODUCT(M398:X398,$M$6:$X$6)*$K398*$L398</f>
        <v/>
      </c>
      <c r="AE398" s="19" t="n"/>
    </row>
    <row r="399">
      <c r="A399" s="9" t="n">
        <v>682052</v>
      </c>
      <c r="B399" s="9" t="inlineStr">
        <is>
          <t>Jacob Lopez</t>
        </is>
      </c>
      <c r="C399" s="9" t="inlineStr">
        <is>
          <t>OAK</t>
        </is>
      </c>
      <c r="D399" s="9" t="n">
        <v>29</v>
      </c>
      <c r="E399" s="17" t="inlineStr">
        <is>
          <t>L</t>
        </is>
      </c>
      <c r="F399" s="17" t="n"/>
      <c r="G399" s="9" t="n">
        <v>511</v>
      </c>
      <c r="H399" s="9" t="n">
        <v>1010</v>
      </c>
      <c r="I399" s="9" t="inlineStr">
        <is>
          <t>End-of-Rotation Starter (SP4-5)</t>
        </is>
      </c>
      <c r="J399" s="17" t="inlineStr">
        <is>
          <t>Opening Day</t>
        </is>
      </c>
      <c r="K399" s="11">
        <f>IFERROR(INDEX(Roles!$B$17:$B$20,MATCH(J399,Roles!$A$17:$A$20,0)),1)</f>
        <v/>
      </c>
      <c r="L399" s="18" t="n">
        <v>1</v>
      </c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3">
        <f>SUMPRODUCT(M399:X399,$M$2:$X$2)*$K399*$L399</f>
        <v/>
      </c>
      <c r="Z399" s="14">
        <f>SUM(M399:X399)</f>
        <v/>
      </c>
      <c r="AA399" s="13">
        <f>SUMPRODUCT(M399:X399,$M$3:$X$3)*$K399*$L399</f>
        <v/>
      </c>
      <c r="AB399" s="13">
        <f>SUMPRODUCT(M399:X399,$M$4:$X$4)*$K399*$L399</f>
        <v/>
      </c>
      <c r="AC399" s="15">
        <f>SUMPRODUCT(M399:X399,$M$5:$X$5)*$K399*$L399</f>
        <v/>
      </c>
      <c r="AD399" s="15">
        <f>SUMPRODUCT(M399:X399,$M$6:$X$6)*$K399*$L399</f>
        <v/>
      </c>
      <c r="AE399" s="19" t="n"/>
    </row>
    <row r="400">
      <c r="A400" s="9" t="n">
        <v>642016</v>
      </c>
      <c r="B400" s="9" t="inlineStr">
        <is>
          <t>Daniel Robert</t>
        </is>
      </c>
      <c r="C400" s="9" t="inlineStr">
        <is>
          <t>PHI</t>
        </is>
      </c>
      <c r="D400" s="9" t="n">
        <v>32</v>
      </c>
      <c r="E400" s="17" t="inlineStr">
        <is>
          <t>R</t>
        </is>
      </c>
      <c r="F400" s="17" t="n"/>
      <c r="G400" s="9" t="n">
        <v>59</v>
      </c>
      <c r="H400" s="9" t="n">
        <v>85</v>
      </c>
      <c r="I400" s="9" t="inlineStr">
        <is>
          <t>Bullpen Depth Arm</t>
        </is>
      </c>
      <c r="J400" s="17" t="inlineStr">
        <is>
          <t>Opening Day</t>
        </is>
      </c>
      <c r="K400" s="11">
        <f>IFERROR(INDEX(Roles!$B$17:$B$20,MATCH(J400,Roles!$A$17:$A$20,0)),1)</f>
        <v/>
      </c>
      <c r="L400" s="18" t="n">
        <v>1</v>
      </c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3">
        <f>SUMPRODUCT(M400:X400,$M$2:$X$2)*$K400*$L400</f>
        <v/>
      </c>
      <c r="Z400" s="14">
        <f>SUM(M400:X400)</f>
        <v/>
      </c>
      <c r="AA400" s="13">
        <f>SUMPRODUCT(M400:X400,$M$3:$X$3)*$K400*$L400</f>
        <v/>
      </c>
      <c r="AB400" s="13">
        <f>SUMPRODUCT(M400:X400,$M$4:$X$4)*$K400*$L400</f>
        <v/>
      </c>
      <c r="AC400" s="15">
        <f>SUMPRODUCT(M400:X400,$M$5:$X$5)*$K400*$L400</f>
        <v/>
      </c>
      <c r="AD400" s="15">
        <f>SUMPRODUCT(M400:X400,$M$6:$X$6)*$K400*$L400</f>
        <v/>
      </c>
      <c r="AE400" s="19" t="n"/>
    </row>
    <row r="401">
      <c r="A401" s="9" t="n">
        <v>687075</v>
      </c>
      <c r="B401" s="9" t="inlineStr">
        <is>
          <t>Brandon Sproat</t>
        </is>
      </c>
      <c r="C401" s="9" t="inlineStr">
        <is>
          <t>MIL</t>
        </is>
      </c>
      <c r="D401" s="9" t="n">
        <v>26</v>
      </c>
      <c r="E401" s="17" t="inlineStr">
        <is>
          <t>R</t>
        </is>
      </c>
      <c r="F401" s="17" t="n"/>
      <c r="G401" s="9" t="n">
        <v>422</v>
      </c>
      <c r="H401" s="9" t="n">
        <v>506</v>
      </c>
      <c r="I401" s="9" t="inlineStr">
        <is>
          <t>End-of-Rotation Starter (SP4-5)</t>
        </is>
      </c>
      <c r="J401" s="17" t="inlineStr">
        <is>
          <t>Opening Day</t>
        </is>
      </c>
      <c r="K401" s="11">
        <f>IFERROR(INDEX(Roles!$B$17:$B$20,MATCH(J401,Roles!$A$17:$A$20,0)),1)</f>
        <v/>
      </c>
      <c r="L401" s="18" t="n">
        <v>1</v>
      </c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3">
        <f>SUMPRODUCT(M401:X401,$M$2:$X$2)*$K401*$L401</f>
        <v/>
      </c>
      <c r="Z401" s="14">
        <f>SUM(M401:X401)</f>
        <v/>
      </c>
      <c r="AA401" s="13">
        <f>SUMPRODUCT(M401:X401,$M$3:$X$3)*$K401*$L401</f>
        <v/>
      </c>
      <c r="AB401" s="13">
        <f>SUMPRODUCT(M401:X401,$M$4:$X$4)*$K401*$L401</f>
        <v/>
      </c>
      <c r="AC401" s="15">
        <f>SUMPRODUCT(M401:X401,$M$5:$X$5)*$K401*$L401</f>
        <v/>
      </c>
      <c r="AD401" s="15">
        <f>SUMPRODUCT(M401:X401,$M$6:$X$6)*$K401*$L401</f>
        <v/>
      </c>
      <c r="AE401" s="19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7" t="inlineStr">
        <is>
          <t>R</t>
        </is>
      </c>
      <c r="F402" s="17" t="n"/>
      <c r="G402" s="9" t="n">
        <v>208</v>
      </c>
      <c r="H402" s="9" t="n">
        <v>828</v>
      </c>
      <c r="I402" s="9" t="inlineStr">
        <is>
          <t>Bullpen Depth Arm</t>
        </is>
      </c>
      <c r="J402" s="17" t="inlineStr">
        <is>
          <t>Opening Day</t>
        </is>
      </c>
      <c r="K402" s="11">
        <f>IFERROR(INDEX(Roles!$B$17:$B$20,MATCH(J402,Roles!$A$17:$A$20,0)),1)</f>
        <v/>
      </c>
      <c r="L402" s="18" t="n">
        <v>1</v>
      </c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3">
        <f>SUMPRODUCT(M402:X402,$M$2:$X$2)*$K402*$L402</f>
        <v/>
      </c>
      <c r="Z402" s="14">
        <f>SUM(M402:X402)</f>
        <v/>
      </c>
      <c r="AA402" s="13">
        <f>SUMPRODUCT(M402:X402,$M$3:$X$3)*$K402*$L402</f>
        <v/>
      </c>
      <c r="AB402" s="13">
        <f>SUMPRODUCT(M402:X402,$M$4:$X$4)*$K402*$L402</f>
        <v/>
      </c>
      <c r="AC402" s="15">
        <f>SUMPRODUCT(M402:X402,$M$5:$X$5)*$K402*$L402</f>
        <v/>
      </c>
      <c r="AD402" s="15">
        <f>SUMPRODUCT(M402:X402,$M$6:$X$6)*$K402*$L402</f>
        <v/>
      </c>
      <c r="AE402" s="19" t="n"/>
    </row>
    <row r="403">
      <c r="A403" s="9" t="n">
        <v>677020</v>
      </c>
      <c r="B403" s="9" t="inlineStr">
        <is>
          <t>Josh Walker</t>
        </is>
      </c>
      <c r="C403" s="9" t="inlineStr">
        <is>
          <t>BAL</t>
        </is>
      </c>
      <c r="D403" s="9" t="n">
        <v>32</v>
      </c>
      <c r="E403" s="17" t="inlineStr">
        <is>
          <t>L</t>
        </is>
      </c>
      <c r="F403" s="17" t="n"/>
      <c r="G403" s="9" t="n">
        <v>113</v>
      </c>
      <c r="H403" s="9" t="n">
        <v>241</v>
      </c>
      <c r="I403" s="9" t="inlineStr">
        <is>
          <t>Bullpen Depth Arm</t>
        </is>
      </c>
      <c r="J403" s="17" t="inlineStr">
        <is>
          <t>Opening Day</t>
        </is>
      </c>
      <c r="K403" s="11">
        <f>IFERROR(INDEX(Roles!$B$17:$B$20,MATCH(J403,Roles!$A$17:$A$20,0)),1)</f>
        <v/>
      </c>
      <c r="L403" s="18" t="n">
        <v>1</v>
      </c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3">
        <f>SUMPRODUCT(M403:X403,$M$2:$X$2)*$K403*$L403</f>
        <v/>
      </c>
      <c r="Z403" s="14">
        <f>SUM(M403:X403)</f>
        <v/>
      </c>
      <c r="AA403" s="13">
        <f>SUMPRODUCT(M403:X403,$M$3:$X$3)*$K403*$L403</f>
        <v/>
      </c>
      <c r="AB403" s="13">
        <f>SUMPRODUCT(M403:X403,$M$4:$X$4)*$K403*$L403</f>
        <v/>
      </c>
      <c r="AC403" s="15">
        <f>SUMPRODUCT(M403:X403,$M$5:$X$5)*$K403*$L403</f>
        <v/>
      </c>
      <c r="AD403" s="15">
        <f>SUMPRODUCT(M403:X403,$M$6:$X$6)*$K403*$L403</f>
        <v/>
      </c>
      <c r="AE403" s="19" t="n"/>
    </row>
    <row r="404">
      <c r="A404" s="9" t="n">
        <v>668873</v>
      </c>
      <c r="B404" s="9" t="inlineStr">
        <is>
          <t>Caleb Kilian</t>
        </is>
      </c>
      <c r="C404" s="9" t="inlineStr">
        <is>
          <t>PHI</t>
        </is>
      </c>
      <c r="D404" s="9" t="n">
        <v>30</v>
      </c>
      <c r="E404" s="17" t="inlineStr">
        <is>
          <t>R</t>
        </is>
      </c>
      <c r="F404" s="17" t="n"/>
      <c r="G404" s="9" t="n">
        <v>209</v>
      </c>
      <c r="H404" s="9" t="n">
        <v>346</v>
      </c>
      <c r="I404" s="9" t="inlineStr">
        <is>
          <t>Bullpen Depth Arm</t>
        </is>
      </c>
      <c r="J404" s="17" t="inlineStr">
        <is>
          <t>Opening Day</t>
        </is>
      </c>
      <c r="K404" s="11">
        <f>IFERROR(INDEX(Roles!$B$17:$B$20,MATCH(J404,Roles!$A$17:$A$20,0)),1)</f>
        <v/>
      </c>
      <c r="L404" s="18" t="n">
        <v>1</v>
      </c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3">
        <f>SUMPRODUCT(M404:X404,$M$2:$X$2)*$K404*$L404</f>
        <v/>
      </c>
      <c r="Z404" s="14">
        <f>SUM(M404:X404)</f>
        <v/>
      </c>
      <c r="AA404" s="13">
        <f>SUMPRODUCT(M404:X404,$M$3:$X$3)*$K404*$L404</f>
        <v/>
      </c>
      <c r="AB404" s="13">
        <f>SUMPRODUCT(M404:X404,$M$4:$X$4)*$K404*$L404</f>
        <v/>
      </c>
      <c r="AC404" s="15">
        <f>SUMPRODUCT(M404:X404,$M$5:$X$5)*$K404*$L404</f>
        <v/>
      </c>
      <c r="AD404" s="15">
        <f>SUMPRODUCT(M404:X404,$M$6:$X$6)*$K404*$L404</f>
        <v/>
      </c>
      <c r="AE404" s="19" t="n"/>
    </row>
    <row r="405">
      <c r="A405" s="9" t="n">
        <v>683000</v>
      </c>
      <c r="B405" s="9" t="inlineStr">
        <is>
          <t>Riley Cornelio</t>
        </is>
      </c>
      <c r="C405" s="9" t="inlineStr">
        <is>
          <t>WSH</t>
        </is>
      </c>
      <c r="D405" s="9" t="n">
        <v>27</v>
      </c>
      <c r="E405" s="17" t="inlineStr">
        <is>
          <t>R</t>
        </is>
      </c>
      <c r="F405" s="17" t="n"/>
      <c r="G405" s="9" t="n">
        <v>134</v>
      </c>
      <c r="H405" s="9" t="n">
        <v>134</v>
      </c>
      <c r="I405" s="9" t="inlineStr">
        <is>
          <t>Bullpen Depth Arm</t>
        </is>
      </c>
      <c r="J405" s="17" t="inlineStr">
        <is>
          <t>Opening Day</t>
        </is>
      </c>
      <c r="K405" s="11">
        <f>IFERROR(INDEX(Roles!$B$17:$B$20,MATCH(J405,Roles!$A$17:$A$20,0)),1)</f>
        <v/>
      </c>
      <c r="L405" s="18" t="n">
        <v>1</v>
      </c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3">
        <f>SUMPRODUCT(M405:X405,$M$2:$X$2)*$K405*$L405</f>
        <v/>
      </c>
      <c r="Z405" s="14">
        <f>SUM(M405:X405)</f>
        <v/>
      </c>
      <c r="AA405" s="13">
        <f>SUMPRODUCT(M405:X405,$M$3:$X$3)*$K405*$L405</f>
        <v/>
      </c>
      <c r="AB405" s="13">
        <f>SUMPRODUCT(M405:X405,$M$4:$X$4)*$K405*$L405</f>
        <v/>
      </c>
      <c r="AC405" s="15">
        <f>SUMPRODUCT(M405:X405,$M$5:$X$5)*$K405*$L405</f>
        <v/>
      </c>
      <c r="AD405" s="15">
        <f>SUMPRODUCT(M405:X405,$M$6:$X$6)*$K405*$L405</f>
        <v/>
      </c>
      <c r="AE405" s="19" t="n"/>
    </row>
    <row r="406">
      <c r="A406" s="9" t="n">
        <v>696062</v>
      </c>
      <c r="B406" s="9" t="inlineStr">
        <is>
          <t>Wilber Dotel</t>
        </is>
      </c>
      <c r="C406" s="9" t="inlineStr">
        <is>
          <t>PIT</t>
        </is>
      </c>
      <c r="D406" s="9" t="n">
        <v>24</v>
      </c>
      <c r="E406" s="17" t="inlineStr">
        <is>
          <t>R</t>
        </is>
      </c>
      <c r="F406" s="17" t="n"/>
      <c r="G406" s="9" t="n">
        <v>160</v>
      </c>
      <c r="H406" s="9" t="n">
        <v>160</v>
      </c>
      <c r="I406" s="9" t="inlineStr">
        <is>
          <t>Middle Relief</t>
        </is>
      </c>
      <c r="J406" s="17" t="inlineStr">
        <is>
          <t>Opening Day</t>
        </is>
      </c>
      <c r="K406" s="11">
        <f>IFERROR(INDEX(Roles!$B$17:$B$20,MATCH(J406,Roles!$A$17:$A$20,0)),1)</f>
        <v/>
      </c>
      <c r="L406" s="18" t="n">
        <v>1</v>
      </c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3">
        <f>SUMPRODUCT(M406:X406,$M$2:$X$2)*$K406*$L406</f>
        <v/>
      </c>
      <c r="Z406" s="14">
        <f>SUM(M406:X406)</f>
        <v/>
      </c>
      <c r="AA406" s="13">
        <f>SUMPRODUCT(M406:X406,$M$3:$X$3)*$K406*$L406</f>
        <v/>
      </c>
      <c r="AB406" s="13">
        <f>SUMPRODUCT(M406:X406,$M$4:$X$4)*$K406*$L406</f>
        <v/>
      </c>
      <c r="AC406" s="15">
        <f>SUMPRODUCT(M406:X406,$M$5:$X$5)*$K406*$L406</f>
        <v/>
      </c>
      <c r="AD406" s="15">
        <f>SUMPRODUCT(M406:X406,$M$6:$X$6)*$K406*$L406</f>
        <v/>
      </c>
      <c r="AE406" s="19" t="n"/>
    </row>
    <row r="407">
      <c r="A407" s="9" t="n">
        <v>690440</v>
      </c>
      <c r="B407" s="9" t="inlineStr">
        <is>
          <t>Bradley Hanner</t>
        </is>
      </c>
      <c r="C407" s="9" t="inlineStr">
        <is>
          <t>NYY</t>
        </is>
      </c>
      <c r="D407" s="9" t="n">
        <v>28</v>
      </c>
      <c r="E407" s="17" t="inlineStr">
        <is>
          <t>R</t>
        </is>
      </c>
      <c r="F407" s="17" t="n"/>
      <c r="G407" s="9" t="n">
        <v>26</v>
      </c>
      <c r="H407" s="9" t="n">
        <v>26</v>
      </c>
      <c r="I407" s="9" t="inlineStr">
        <is>
          <t>Bullpen Depth Arm</t>
        </is>
      </c>
      <c r="J407" s="17" t="inlineStr">
        <is>
          <t>Opening Day</t>
        </is>
      </c>
      <c r="K407" s="11">
        <f>IFERROR(INDEX(Roles!$B$17:$B$20,MATCH(J407,Roles!$A$17:$A$20,0)),1)</f>
        <v/>
      </c>
      <c r="L407" s="18" t="n">
        <v>1</v>
      </c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3">
        <f>SUMPRODUCT(M407:X407,$M$2:$X$2)*$K407*$L407</f>
        <v/>
      </c>
      <c r="Z407" s="14">
        <f>SUM(M407:X407)</f>
        <v/>
      </c>
      <c r="AA407" s="13">
        <f>SUMPRODUCT(M407:X407,$M$3:$X$3)*$K407*$L407</f>
        <v/>
      </c>
      <c r="AB407" s="13">
        <f>SUMPRODUCT(M407:X407,$M$4:$X$4)*$K407*$L407</f>
        <v/>
      </c>
      <c r="AC407" s="15">
        <f>SUMPRODUCT(M407:X407,$M$5:$X$5)*$K407*$L407</f>
        <v/>
      </c>
      <c r="AD407" s="15">
        <f>SUMPRODUCT(M407:X407,$M$6:$X$6)*$K407*$L407</f>
        <v/>
      </c>
      <c r="AE407" s="19" t="n"/>
    </row>
    <row r="408">
      <c r="A408" s="9" t="n">
        <v>667652</v>
      </c>
      <c r="B408" s="9" t="inlineStr">
        <is>
          <t>Jack Ralston</t>
        </is>
      </c>
      <c r="C408" s="9" t="inlineStr">
        <is>
          <t>MIA</t>
        </is>
      </c>
      <c r="D408" s="9" t="n">
        <v>29</v>
      </c>
      <c r="E408" s="17" t="inlineStr">
        <is>
          <t>R</t>
        </is>
      </c>
      <c r="F408" s="17" t="n"/>
      <c r="G408" s="9" t="n">
        <v>52</v>
      </c>
      <c r="H408" s="9" t="n">
        <v>52</v>
      </c>
      <c r="I408" s="9" t="inlineStr">
        <is>
          <t>Middle Relief</t>
        </is>
      </c>
      <c r="J408" s="17" t="inlineStr">
        <is>
          <t>Opening Day</t>
        </is>
      </c>
      <c r="K408" s="11">
        <f>IFERROR(INDEX(Roles!$B$17:$B$20,MATCH(J408,Roles!$A$17:$A$20,0)),1)</f>
        <v/>
      </c>
      <c r="L408" s="18" t="n">
        <v>1</v>
      </c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3">
        <f>SUMPRODUCT(M408:X408,$M$2:$X$2)*$K408*$L408</f>
        <v/>
      </c>
      <c r="Z408" s="14">
        <f>SUM(M408:X408)</f>
        <v/>
      </c>
      <c r="AA408" s="13">
        <f>SUMPRODUCT(M408:X408,$M$3:$X$3)*$K408*$L408</f>
        <v/>
      </c>
      <c r="AB408" s="13">
        <f>SUMPRODUCT(M408:X408,$M$4:$X$4)*$K408*$L408</f>
        <v/>
      </c>
      <c r="AC408" s="15">
        <f>SUMPRODUCT(M408:X408,$M$5:$X$5)*$K408*$L408</f>
        <v/>
      </c>
      <c r="AD408" s="15">
        <f>SUMPRODUCT(M408:X408,$M$6:$X$6)*$K408*$L408</f>
        <v/>
      </c>
      <c r="AE408" s="19" t="n"/>
    </row>
    <row r="409">
      <c r="A409" s="9" t="n">
        <v>679525</v>
      </c>
      <c r="B409" s="9" t="inlineStr">
        <is>
          <t>Alec Marsh</t>
        </is>
      </c>
      <c r="C409" s="9" t="inlineStr">
        <is>
          <t>KC</t>
        </is>
      </c>
      <c r="D409" s="9" t="n">
        <v>29</v>
      </c>
      <c r="E409" s="17" t="inlineStr">
        <is>
          <t>R</t>
        </is>
      </c>
      <c r="F409" s="17" t="n"/>
      <c r="G409" s="9" t="n">
        <v>548</v>
      </c>
      <c r="H409" s="9" t="n">
        <v>890</v>
      </c>
      <c r="I409" s="9" t="inlineStr">
        <is>
          <t>Depth (no MLB IP)</t>
        </is>
      </c>
      <c r="J409" s="17" t="inlineStr">
        <is>
          <t>Opening Day</t>
        </is>
      </c>
      <c r="K409" s="11">
        <f>IFERROR(INDEX(Roles!$B$17:$B$20,MATCH(J409,Roles!$A$17:$A$20,0)),1)</f>
        <v/>
      </c>
      <c r="L409" s="18" t="n">
        <v>1</v>
      </c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3">
        <f>SUMPRODUCT(M409:X409,$M$2:$X$2)*$K409*$L409</f>
        <v/>
      </c>
      <c r="Z409" s="14">
        <f>SUM(M409:X409)</f>
        <v/>
      </c>
      <c r="AA409" s="13">
        <f>SUMPRODUCT(M409:X409,$M$3:$X$3)*$K409*$L409</f>
        <v/>
      </c>
      <c r="AB409" s="13">
        <f>SUMPRODUCT(M409:X409,$M$4:$X$4)*$K409*$L409</f>
        <v/>
      </c>
      <c r="AC409" s="15">
        <f>SUMPRODUCT(M409:X409,$M$5:$X$5)*$K409*$L409</f>
        <v/>
      </c>
      <c r="AD409" s="15">
        <f>SUMPRODUCT(M409:X409,$M$6:$X$6)*$K409*$L409</f>
        <v/>
      </c>
      <c r="AE409" s="19" t="n"/>
    </row>
    <row r="410">
      <c r="A410" s="9" t="n">
        <v>592741</v>
      </c>
      <c r="B410" s="9" t="inlineStr">
        <is>
          <t>Chasen Shreve</t>
        </is>
      </c>
      <c r="C410" s="9" t="inlineStr">
        <is>
          <t>CIN</t>
        </is>
      </c>
      <c r="D410" s="9" t="n">
        <v>36</v>
      </c>
      <c r="E410" s="17" t="inlineStr">
        <is>
          <t>L</t>
        </is>
      </c>
      <c r="F410" s="17" t="n"/>
      <c r="G410" s="9" t="n">
        <v>4</v>
      </c>
      <c r="H410" s="9" t="n">
        <v>311</v>
      </c>
      <c r="I410" s="9" t="inlineStr">
        <is>
          <t>Depth (no MLB IP)</t>
        </is>
      </c>
      <c r="J410" s="17" t="inlineStr">
        <is>
          <t>Opening Day</t>
        </is>
      </c>
      <c r="K410" s="11">
        <f>IFERROR(INDEX(Roles!$B$17:$B$20,MATCH(J410,Roles!$A$17:$A$20,0)),1)</f>
        <v/>
      </c>
      <c r="L410" s="18" t="n">
        <v>1</v>
      </c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3">
        <f>SUMPRODUCT(M410:X410,$M$2:$X$2)*$K410*$L410</f>
        <v/>
      </c>
      <c r="Z410" s="14">
        <f>SUM(M410:X410)</f>
        <v/>
      </c>
      <c r="AA410" s="13">
        <f>SUMPRODUCT(M410:X410,$M$3:$X$3)*$K410*$L410</f>
        <v/>
      </c>
      <c r="AB410" s="13">
        <f>SUMPRODUCT(M410:X410,$M$4:$X$4)*$K410*$L410</f>
        <v/>
      </c>
      <c r="AC410" s="15">
        <f>SUMPRODUCT(M410:X410,$M$5:$X$5)*$K410*$L410</f>
        <v/>
      </c>
      <c r="AD410" s="15">
        <f>SUMPRODUCT(M410:X410,$M$6:$X$6)*$K410*$L410</f>
        <v/>
      </c>
      <c r="AE410" s="19" t="n"/>
    </row>
    <row r="411">
      <c r="A411" s="9" t="n">
        <v>675627</v>
      </c>
      <c r="B411" s="9" t="inlineStr">
        <is>
          <t>Michael Grove</t>
        </is>
      </c>
      <c r="C411" s="9" t="inlineStr">
        <is>
          <t>TB</t>
        </is>
      </c>
      <c r="D411" s="9" t="n">
        <v>30</v>
      </c>
      <c r="E411" s="17" t="inlineStr">
        <is>
          <t>R</t>
        </is>
      </c>
      <c r="F411" s="17" t="n"/>
      <c r="G411" s="9" t="n">
        <v>28</v>
      </c>
      <c r="H411" s="9" t="n">
        <v>679</v>
      </c>
      <c r="I411" s="9" t="inlineStr">
        <is>
          <t>Bullpen Depth Arm</t>
        </is>
      </c>
      <c r="J411" s="17" t="inlineStr">
        <is>
          <t>Opening Day</t>
        </is>
      </c>
      <c r="K411" s="11">
        <f>IFERROR(INDEX(Roles!$B$17:$B$20,MATCH(J411,Roles!$A$17:$A$20,0)),1)</f>
        <v/>
      </c>
      <c r="L411" s="18" t="n">
        <v>1</v>
      </c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3">
        <f>SUMPRODUCT(M411:X411,$M$2:$X$2)*$K411*$L411</f>
        <v/>
      </c>
      <c r="Z411" s="14">
        <f>SUM(M411:X411)</f>
        <v/>
      </c>
      <c r="AA411" s="13">
        <f>SUMPRODUCT(M411:X411,$M$3:$X$3)*$K411*$L411</f>
        <v/>
      </c>
      <c r="AB411" s="13">
        <f>SUMPRODUCT(M411:X411,$M$4:$X$4)*$K411*$L411</f>
        <v/>
      </c>
      <c r="AC411" s="15">
        <f>SUMPRODUCT(M411:X411,$M$5:$X$5)*$K411*$L411</f>
        <v/>
      </c>
      <c r="AD411" s="15">
        <f>SUMPRODUCT(M411:X411,$M$6:$X$6)*$K411*$L411</f>
        <v/>
      </c>
      <c r="AE411" s="19" t="n"/>
    </row>
    <row r="412">
      <c r="A412" s="9" t="n">
        <v>445926</v>
      </c>
      <c r="B412" s="9" t="inlineStr">
        <is>
          <t>Jesse Chavez</t>
        </is>
      </c>
      <c r="C412" s="9" t="inlineStr">
        <is>
          <t>ATL</t>
        </is>
      </c>
      <c r="D412" s="9" t="n">
        <v>43</v>
      </c>
      <c r="E412" s="17" t="inlineStr">
        <is>
          <t>R</t>
        </is>
      </c>
      <c r="F412" s="17" t="n"/>
      <c r="G412" s="9" t="n">
        <v>43</v>
      </c>
      <c r="H412" s="9" t="n">
        <v>743</v>
      </c>
      <c r="I412" s="9" t="inlineStr">
        <is>
          <t>Bullpen Depth Arm</t>
        </is>
      </c>
      <c r="J412" s="17" t="inlineStr">
        <is>
          <t>Opening Day</t>
        </is>
      </c>
      <c r="K412" s="11">
        <f>IFERROR(INDEX(Roles!$B$17:$B$20,MATCH(J412,Roles!$A$17:$A$20,0)),1)</f>
        <v/>
      </c>
      <c r="L412" s="18" t="n">
        <v>1</v>
      </c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3">
        <f>SUMPRODUCT(M412:X412,$M$2:$X$2)*$K412*$L412</f>
        <v/>
      </c>
      <c r="Z412" s="14">
        <f>SUM(M412:X412)</f>
        <v/>
      </c>
      <c r="AA412" s="13">
        <f>SUMPRODUCT(M412:X412,$M$3:$X$3)*$K412*$L412</f>
        <v/>
      </c>
      <c r="AB412" s="13">
        <f>SUMPRODUCT(M412:X412,$M$4:$X$4)*$K412*$L412</f>
        <v/>
      </c>
      <c r="AC412" s="15">
        <f>SUMPRODUCT(M412:X412,$M$5:$X$5)*$K412*$L412</f>
        <v/>
      </c>
      <c r="AD412" s="15">
        <f>SUMPRODUCT(M412:X412,$M$6:$X$6)*$K412*$L412</f>
        <v/>
      </c>
      <c r="AE412" s="19" t="n"/>
    </row>
    <row r="413">
      <c r="A413" s="9" t="n">
        <v>687014</v>
      </c>
      <c r="B413" s="9" t="inlineStr">
        <is>
          <t>Nick Avila</t>
        </is>
      </c>
      <c r="C413" s="9" t="inlineStr">
        <is>
          <t>SF</t>
        </is>
      </c>
      <c r="D413" s="9" t="n">
        <v>29</v>
      </c>
      <c r="E413" s="17" t="inlineStr">
        <is>
          <t>R</t>
        </is>
      </c>
      <c r="F413" s="17" t="n"/>
      <c r="G413" s="9" t="n">
        <v>55</v>
      </c>
      <c r="H413" s="9" t="n">
        <v>55</v>
      </c>
      <c r="I413" s="9" t="inlineStr">
        <is>
          <t>Depth (no MLB IP)</t>
        </is>
      </c>
      <c r="J413" s="17" t="inlineStr">
        <is>
          <t>Opening Day</t>
        </is>
      </c>
      <c r="K413" s="11">
        <f>IFERROR(INDEX(Roles!$B$17:$B$20,MATCH(J413,Roles!$A$17:$A$20,0)),1)</f>
        <v/>
      </c>
      <c r="L413" s="18" t="n">
        <v>1</v>
      </c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3">
        <f>SUMPRODUCT(M413:X413,$M$2:$X$2)*$K413*$L413</f>
        <v/>
      </c>
      <c r="Z413" s="14">
        <f>SUM(M413:X413)</f>
        <v/>
      </c>
      <c r="AA413" s="13">
        <f>SUMPRODUCT(M413:X413,$M$3:$X$3)*$K413*$L413</f>
        <v/>
      </c>
      <c r="AB413" s="13">
        <f>SUMPRODUCT(M413:X413,$M$4:$X$4)*$K413*$L413</f>
        <v/>
      </c>
      <c r="AC413" s="15">
        <f>SUMPRODUCT(M413:X413,$M$5:$X$5)*$K413*$L413</f>
        <v/>
      </c>
      <c r="AD413" s="15">
        <f>SUMPRODUCT(M413:X413,$M$6:$X$6)*$K413*$L413</f>
        <v/>
      </c>
      <c r="AE413" s="19" t="n"/>
    </row>
    <row r="414">
      <c r="A414" s="9" t="n">
        <v>681252</v>
      </c>
      <c r="B414" s="9" t="inlineStr">
        <is>
          <t>Jack Anderson</t>
        </is>
      </c>
      <c r="C414" s="9" t="inlineStr">
        <is>
          <t>MIN</t>
        </is>
      </c>
      <c r="D414" s="9" t="n">
        <v>27</v>
      </c>
      <c r="E414" s="17" t="inlineStr">
        <is>
          <t>R</t>
        </is>
      </c>
      <c r="F414" s="17" t="n"/>
      <c r="G414" s="9" t="n">
        <v>48</v>
      </c>
      <c r="H414" s="9" t="n">
        <v>48</v>
      </c>
      <c r="I414" s="9" t="inlineStr">
        <is>
          <t>Bullpen Depth Arm</t>
        </is>
      </c>
      <c r="J414" s="17" t="inlineStr">
        <is>
          <t>Opening Day</t>
        </is>
      </c>
      <c r="K414" s="11">
        <f>IFERROR(INDEX(Roles!$B$17:$B$20,MATCH(J414,Roles!$A$17:$A$20,0)),1)</f>
        <v/>
      </c>
      <c r="L414" s="18" t="n">
        <v>1</v>
      </c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3">
        <f>SUMPRODUCT(M414:X414,$M$2:$X$2)*$K414*$L414</f>
        <v/>
      </c>
      <c r="Z414" s="14">
        <f>SUM(M414:X414)</f>
        <v/>
      </c>
      <c r="AA414" s="13">
        <f>SUMPRODUCT(M414:X414,$M$3:$X$3)*$K414*$L414</f>
        <v/>
      </c>
      <c r="AB414" s="13">
        <f>SUMPRODUCT(M414:X414,$M$4:$X$4)*$K414*$L414</f>
        <v/>
      </c>
      <c r="AC414" s="15">
        <f>SUMPRODUCT(M414:X414,$M$5:$X$5)*$K414*$L414</f>
        <v/>
      </c>
      <c r="AD414" s="15">
        <f>SUMPRODUCT(M414:X414,$M$6:$X$6)*$K414*$L414</f>
        <v/>
      </c>
      <c r="AE414" s="19" t="n"/>
    </row>
    <row r="415">
      <c r="A415" s="9" t="n">
        <v>691172</v>
      </c>
      <c r="B415" s="9" t="inlineStr">
        <is>
          <t>Yosver Zulueta</t>
        </is>
      </c>
      <c r="C415" s="9" t="inlineStr">
        <is>
          <t>CIN</t>
        </is>
      </c>
      <c r="D415" s="9" t="n">
        <v>29</v>
      </c>
      <c r="E415" s="17" t="inlineStr">
        <is>
          <t>R</t>
        </is>
      </c>
      <c r="F415" s="17" t="n"/>
      <c r="G415" s="9" t="n">
        <v>32</v>
      </c>
      <c r="H415" s="9" t="n">
        <v>101</v>
      </c>
      <c r="I415" s="9" t="inlineStr">
        <is>
          <t>Middle Relief</t>
        </is>
      </c>
      <c r="J415" s="17" t="inlineStr">
        <is>
          <t>Opening Day</t>
        </is>
      </c>
      <c r="K415" s="11">
        <f>IFERROR(INDEX(Roles!$B$17:$B$20,MATCH(J415,Roles!$A$17:$A$20,0)),1)</f>
        <v/>
      </c>
      <c r="L415" s="18" t="n">
        <v>1</v>
      </c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3">
        <f>SUMPRODUCT(M415:X415,$M$2:$X$2)*$K415*$L415</f>
        <v/>
      </c>
      <c r="Z415" s="14">
        <f>SUM(M415:X415)</f>
        <v/>
      </c>
      <c r="AA415" s="13">
        <f>SUMPRODUCT(M415:X415,$M$3:$X$3)*$K415*$L415</f>
        <v/>
      </c>
      <c r="AB415" s="13">
        <f>SUMPRODUCT(M415:X415,$M$4:$X$4)*$K415*$L415</f>
        <v/>
      </c>
      <c r="AC415" s="15">
        <f>SUMPRODUCT(M415:X415,$M$5:$X$5)*$K415*$L415</f>
        <v/>
      </c>
      <c r="AD415" s="15">
        <f>SUMPRODUCT(M415:X415,$M$6:$X$6)*$K415*$L415</f>
        <v/>
      </c>
      <c r="AE415" s="19" t="n"/>
    </row>
    <row r="416">
      <c r="A416" s="9" t="n">
        <v>623211</v>
      </c>
      <c r="B416" s="9" t="inlineStr">
        <is>
          <t>Huascar Brazobán</t>
        </is>
      </c>
      <c r="C416" s="9" t="inlineStr">
        <is>
          <t>CWS</t>
        </is>
      </c>
      <c r="D416" s="9" t="n">
        <v>37</v>
      </c>
      <c r="E416" s="17" t="inlineStr">
        <is>
          <t>R</t>
        </is>
      </c>
      <c r="F416" s="17" t="n"/>
      <c r="G416" s="9" t="n">
        <v>252</v>
      </c>
      <c r="H416" s="9" t="n">
        <v>1129</v>
      </c>
      <c r="I416" s="9" t="inlineStr">
        <is>
          <t>Middle Relief</t>
        </is>
      </c>
      <c r="J416" s="17" t="inlineStr">
        <is>
          <t>Opening Day</t>
        </is>
      </c>
      <c r="K416" s="11">
        <f>IFERROR(INDEX(Roles!$B$17:$B$20,MATCH(J416,Roles!$A$17:$A$20,0)),1)</f>
        <v/>
      </c>
      <c r="L416" s="18" t="n">
        <v>1</v>
      </c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3">
        <f>SUMPRODUCT(M416:X416,$M$2:$X$2)*$K416*$L416</f>
        <v/>
      </c>
      <c r="Z416" s="14">
        <f>SUM(M416:X416)</f>
        <v/>
      </c>
      <c r="AA416" s="13">
        <f>SUMPRODUCT(M416:X416,$M$3:$X$3)*$K416*$L416</f>
        <v/>
      </c>
      <c r="AB416" s="13">
        <f>SUMPRODUCT(M416:X416,$M$4:$X$4)*$K416*$L416</f>
        <v/>
      </c>
      <c r="AC416" s="15">
        <f>SUMPRODUCT(M416:X416,$M$5:$X$5)*$K416*$L416</f>
        <v/>
      </c>
      <c r="AD416" s="15">
        <f>SUMPRODUCT(M416:X416,$M$6:$X$6)*$K416*$L416</f>
        <v/>
      </c>
      <c r="AE416" s="19" t="n"/>
    </row>
    <row r="417">
      <c r="A417" s="9" t="n">
        <v>657140</v>
      </c>
      <c r="B417" s="9" t="inlineStr">
        <is>
          <t>Kyle Wright</t>
        </is>
      </c>
      <c r="C417" s="9" t="inlineStr">
        <is>
          <t>ATL</t>
        </is>
      </c>
      <c r="D417" s="9" t="n">
        <v>31</v>
      </c>
      <c r="E417" s="17" t="inlineStr">
        <is>
          <t>R</t>
        </is>
      </c>
      <c r="F417" s="17" t="n"/>
      <c r="G417" s="9" t="n">
        <v>155</v>
      </c>
      <c r="H417" s="9" t="n">
        <v>893</v>
      </c>
      <c r="I417" s="9" t="inlineStr">
        <is>
          <t>Depth (no MLB IP)</t>
        </is>
      </c>
      <c r="J417" s="17" t="inlineStr">
        <is>
          <t>Opening Day</t>
        </is>
      </c>
      <c r="K417" s="11">
        <f>IFERROR(INDEX(Roles!$B$17:$B$20,MATCH(J417,Roles!$A$17:$A$20,0)),1)</f>
        <v/>
      </c>
      <c r="L417" s="18" t="n">
        <v>1</v>
      </c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3">
        <f>SUMPRODUCT(M417:X417,$M$2:$X$2)*$K417*$L417</f>
        <v/>
      </c>
      <c r="Z417" s="14">
        <f>SUM(M417:X417)</f>
        <v/>
      </c>
      <c r="AA417" s="13">
        <f>SUMPRODUCT(M417:X417,$M$3:$X$3)*$K417*$L417</f>
        <v/>
      </c>
      <c r="AB417" s="13">
        <f>SUMPRODUCT(M417:X417,$M$4:$X$4)*$K417*$L417</f>
        <v/>
      </c>
      <c r="AC417" s="15">
        <f>SUMPRODUCT(M417:X417,$M$5:$X$5)*$K417*$L417</f>
        <v/>
      </c>
      <c r="AD417" s="15">
        <f>SUMPRODUCT(M417:X417,$M$6:$X$6)*$K417*$L417</f>
        <v/>
      </c>
      <c r="AE417" s="19" t="n"/>
    </row>
    <row r="418">
      <c r="A418" s="9" t="n">
        <v>606160</v>
      </c>
      <c r="B418" s="9" t="inlineStr">
        <is>
          <t>Rafael Montero</t>
        </is>
      </c>
      <c r="C418" s="9" t="inlineStr">
        <is>
          <t>DET</t>
        </is>
      </c>
      <c r="D418" s="9" t="n">
        <v>36</v>
      </c>
      <c r="E418" s="17" t="inlineStr">
        <is>
          <t>R</t>
        </is>
      </c>
      <c r="F418" s="17" t="n"/>
      <c r="G418" s="9" t="n">
        <v>253</v>
      </c>
      <c r="H418" s="9" t="n">
        <v>985</v>
      </c>
      <c r="I418" s="9" t="inlineStr">
        <is>
          <t>Bullpen Depth Arm</t>
        </is>
      </c>
      <c r="J418" s="17" t="inlineStr">
        <is>
          <t>Opening Day</t>
        </is>
      </c>
      <c r="K418" s="11">
        <f>IFERROR(INDEX(Roles!$B$17:$B$20,MATCH(J418,Roles!$A$17:$A$20,0)),1)</f>
        <v/>
      </c>
      <c r="L418" s="18" t="n">
        <v>1</v>
      </c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3">
        <f>SUMPRODUCT(M418:X418,$M$2:$X$2)*$K418*$L418</f>
        <v/>
      </c>
      <c r="Z418" s="14">
        <f>SUM(M418:X418)</f>
        <v/>
      </c>
      <c r="AA418" s="13">
        <f>SUMPRODUCT(M418:X418,$M$3:$X$3)*$K418*$L418</f>
        <v/>
      </c>
      <c r="AB418" s="13">
        <f>SUMPRODUCT(M418:X418,$M$4:$X$4)*$K418*$L418</f>
        <v/>
      </c>
      <c r="AC418" s="15">
        <f>SUMPRODUCT(M418:X418,$M$5:$X$5)*$K418*$L418</f>
        <v/>
      </c>
      <c r="AD418" s="15">
        <f>SUMPRODUCT(M418:X418,$M$6:$X$6)*$K418*$L418</f>
        <v/>
      </c>
      <c r="AE418" s="19" t="n"/>
    </row>
    <row r="419">
      <c r="A419" s="9" t="n">
        <v>676130</v>
      </c>
      <c r="B419" s="9" t="inlineStr">
        <is>
          <t>José Buttó</t>
        </is>
      </c>
      <c r="C419" s="9" t="inlineStr">
        <is>
          <t>SF</t>
        </is>
      </c>
      <c r="D419" s="9" t="n">
        <v>29</v>
      </c>
      <c r="E419" s="17" t="inlineStr">
        <is>
          <t>R</t>
        </is>
      </c>
      <c r="F419" s="17" t="n"/>
      <c r="G419" s="9" t="n">
        <v>16</v>
      </c>
      <c r="H419" s="9" t="n">
        <v>796</v>
      </c>
      <c r="I419" s="9" t="inlineStr">
        <is>
          <t>Bullpen Depth Arm</t>
        </is>
      </c>
      <c r="J419" s="17" t="inlineStr">
        <is>
          <t>Opening Day</t>
        </is>
      </c>
      <c r="K419" s="11">
        <f>IFERROR(INDEX(Roles!$B$17:$B$20,MATCH(J419,Roles!$A$17:$A$20,0)),1)</f>
        <v/>
      </c>
      <c r="L419" s="18" t="n">
        <v>1</v>
      </c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3">
        <f>SUMPRODUCT(M419:X419,$M$2:$X$2)*$K419*$L419</f>
        <v/>
      </c>
      <c r="Z419" s="14">
        <f>SUM(M419:X419)</f>
        <v/>
      </c>
      <c r="AA419" s="13">
        <f>SUMPRODUCT(M419:X419,$M$3:$X$3)*$K419*$L419</f>
        <v/>
      </c>
      <c r="AB419" s="13">
        <f>SUMPRODUCT(M419:X419,$M$4:$X$4)*$K419*$L419</f>
        <v/>
      </c>
      <c r="AC419" s="15">
        <f>SUMPRODUCT(M419:X419,$M$5:$X$5)*$K419*$L419</f>
        <v/>
      </c>
      <c r="AD419" s="15">
        <f>SUMPRODUCT(M419:X419,$M$6:$X$6)*$K419*$L419</f>
        <v/>
      </c>
      <c r="AE419" s="19" t="n"/>
    </row>
    <row r="420">
      <c r="A420" s="9" t="n">
        <v>666208</v>
      </c>
      <c r="B420" s="9" t="inlineStr">
        <is>
          <t>Alex Speas</t>
        </is>
      </c>
      <c r="C420" s="9" t="inlineStr"/>
      <c r="D420" s="9" t="n">
        <v>29</v>
      </c>
      <c r="E420" s="17" t="inlineStr">
        <is>
          <t>R</t>
        </is>
      </c>
      <c r="F420" s="17" t="n"/>
      <c r="G420" s="9" t="n">
        <v>8</v>
      </c>
      <c r="H420" s="9" t="n">
        <v>20</v>
      </c>
      <c r="I420" s="9" t="inlineStr">
        <is>
          <t>Depth (no MLB IP)</t>
        </is>
      </c>
      <c r="J420" s="17" t="inlineStr">
        <is>
          <t>Opening Day</t>
        </is>
      </c>
      <c r="K420" s="11">
        <f>IFERROR(INDEX(Roles!$B$17:$B$20,MATCH(J420,Roles!$A$17:$A$20,0)),1)</f>
        <v/>
      </c>
      <c r="L420" s="18" t="n">
        <v>1</v>
      </c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3">
        <f>SUMPRODUCT(M420:X420,$M$2:$X$2)*$K420*$L420</f>
        <v/>
      </c>
      <c r="Z420" s="14">
        <f>SUM(M420:X420)</f>
        <v/>
      </c>
      <c r="AA420" s="13">
        <f>SUMPRODUCT(M420:X420,$M$3:$X$3)*$K420*$L420</f>
        <v/>
      </c>
      <c r="AB420" s="13">
        <f>SUMPRODUCT(M420:X420,$M$4:$X$4)*$K420*$L420</f>
        <v/>
      </c>
      <c r="AC420" s="15">
        <f>SUMPRODUCT(M420:X420,$M$5:$X$5)*$K420*$L420</f>
        <v/>
      </c>
      <c r="AD420" s="15">
        <f>SUMPRODUCT(M420:X420,$M$6:$X$6)*$K420*$L420</f>
        <v/>
      </c>
      <c r="AE420" s="19" t="n"/>
    </row>
    <row r="421">
      <c r="A421" s="9" t="n">
        <v>605121</v>
      </c>
      <c r="B421" s="9" t="inlineStr">
        <is>
          <t>Justin Anderson</t>
        </is>
      </c>
      <c r="C421" s="9" t="inlineStr">
        <is>
          <t>CWS</t>
        </is>
      </c>
      <c r="D421" s="9" t="n">
        <v>34</v>
      </c>
      <c r="E421" s="17" t="inlineStr">
        <is>
          <t>R</t>
        </is>
      </c>
      <c r="F421" s="17" t="n"/>
      <c r="G421" s="9" t="n">
        <v>242</v>
      </c>
      <c r="H421" s="9" t="n">
        <v>242</v>
      </c>
      <c r="I421" s="9" t="inlineStr">
        <is>
          <t>Depth (no MLB IP)</t>
        </is>
      </c>
      <c r="J421" s="17" t="inlineStr">
        <is>
          <t>Opening Day</t>
        </is>
      </c>
      <c r="K421" s="11">
        <f>IFERROR(INDEX(Roles!$B$17:$B$20,MATCH(J421,Roles!$A$17:$A$20,0)),1)</f>
        <v/>
      </c>
      <c r="L421" s="18" t="n">
        <v>1</v>
      </c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3">
        <f>SUMPRODUCT(M421:X421,$M$2:$X$2)*$K421*$L421</f>
        <v/>
      </c>
      <c r="Z421" s="14">
        <f>SUM(M421:X421)</f>
        <v/>
      </c>
      <c r="AA421" s="13">
        <f>SUMPRODUCT(M421:X421,$M$3:$X$3)*$K421*$L421</f>
        <v/>
      </c>
      <c r="AB421" s="13">
        <f>SUMPRODUCT(M421:X421,$M$4:$X$4)*$K421*$L421</f>
        <v/>
      </c>
      <c r="AC421" s="15">
        <f>SUMPRODUCT(M421:X421,$M$5:$X$5)*$K421*$L421</f>
        <v/>
      </c>
      <c r="AD421" s="15">
        <f>SUMPRODUCT(M421:X421,$M$6:$X$6)*$K421*$L421</f>
        <v/>
      </c>
      <c r="AE421" s="19" t="n"/>
    </row>
    <row r="422">
      <c r="A422" s="9" t="n">
        <v>666129</v>
      </c>
      <c r="B422" s="9" t="inlineStr">
        <is>
          <t>Braxton Garrett</t>
        </is>
      </c>
      <c r="C422" s="9" t="inlineStr">
        <is>
          <t>MIA</t>
        </is>
      </c>
      <c r="D422" s="9" t="n">
        <v>29</v>
      </c>
      <c r="E422" s="17" t="inlineStr">
        <is>
          <t>L</t>
        </is>
      </c>
      <c r="F422" s="17" t="n"/>
      <c r="G422" s="9" t="n">
        <v>28</v>
      </c>
      <c r="H422" s="9" t="n">
        <v>1221</v>
      </c>
      <c r="I422" s="9" t="inlineStr">
        <is>
          <t>End-of-Rotation Starter (SP4-5)</t>
        </is>
      </c>
      <c r="J422" s="17" t="inlineStr">
        <is>
          <t>Opening Day</t>
        </is>
      </c>
      <c r="K422" s="11">
        <f>IFERROR(INDEX(Roles!$B$17:$B$20,MATCH(J422,Roles!$A$17:$A$20,0)),1)</f>
        <v/>
      </c>
      <c r="L422" s="18" t="n">
        <v>1</v>
      </c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3">
        <f>SUMPRODUCT(M422:X422,$M$2:$X$2)*$K422*$L422</f>
        <v/>
      </c>
      <c r="Z422" s="14">
        <f>SUM(M422:X422)</f>
        <v/>
      </c>
      <c r="AA422" s="13">
        <f>SUMPRODUCT(M422:X422,$M$3:$X$3)*$K422*$L422</f>
        <v/>
      </c>
      <c r="AB422" s="13">
        <f>SUMPRODUCT(M422:X422,$M$4:$X$4)*$K422*$L422</f>
        <v/>
      </c>
      <c r="AC422" s="15">
        <f>SUMPRODUCT(M422:X422,$M$5:$X$5)*$K422*$L422</f>
        <v/>
      </c>
      <c r="AD422" s="15">
        <f>SUMPRODUCT(M422:X422,$M$6:$X$6)*$K422*$L422</f>
        <v/>
      </c>
      <c r="AE422" s="19" t="n"/>
    </row>
    <row r="423">
      <c r="A423" s="9" t="n">
        <v>689520</v>
      </c>
      <c r="B423" s="9" t="inlineStr">
        <is>
          <t>Cody Laweryson</t>
        </is>
      </c>
      <c r="C423" s="9" t="inlineStr">
        <is>
          <t>MIN</t>
        </is>
      </c>
      <c r="D423" s="9" t="n">
        <v>29</v>
      </c>
      <c r="E423" s="17" t="inlineStr">
        <is>
          <t>R</t>
        </is>
      </c>
      <c r="F423" s="17" t="n"/>
      <c r="G423" s="9" t="n">
        <v>78</v>
      </c>
      <c r="H423" s="9" t="n">
        <v>104</v>
      </c>
      <c r="I423" s="9" t="inlineStr">
        <is>
          <t>Middle Relief</t>
        </is>
      </c>
      <c r="J423" s="17" t="inlineStr">
        <is>
          <t>Opening Day</t>
        </is>
      </c>
      <c r="K423" s="11">
        <f>IFERROR(INDEX(Roles!$B$17:$B$20,MATCH(J423,Roles!$A$17:$A$20,0)),1)</f>
        <v/>
      </c>
      <c r="L423" s="18" t="n">
        <v>1</v>
      </c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3">
        <f>SUMPRODUCT(M423:X423,$M$2:$X$2)*$K423*$L423</f>
        <v/>
      </c>
      <c r="Z423" s="14">
        <f>SUM(M423:X423)</f>
        <v/>
      </c>
      <c r="AA423" s="13">
        <f>SUMPRODUCT(M423:X423,$M$3:$X$3)*$K423*$L423</f>
        <v/>
      </c>
      <c r="AB423" s="13">
        <f>SUMPRODUCT(M423:X423,$M$4:$X$4)*$K423*$L423</f>
        <v/>
      </c>
      <c r="AC423" s="15">
        <f>SUMPRODUCT(M423:X423,$M$5:$X$5)*$K423*$L423</f>
        <v/>
      </c>
      <c r="AD423" s="15">
        <f>SUMPRODUCT(M423:X423,$M$6:$X$6)*$K423*$L423</f>
        <v/>
      </c>
      <c r="AE423" s="19" t="n"/>
    </row>
    <row r="424">
      <c r="A424" s="9" t="n">
        <v>702752</v>
      </c>
      <c r="B424" s="9" t="inlineStr">
        <is>
          <t>Jonathan Pintaro</t>
        </is>
      </c>
      <c r="C424" s="9" t="inlineStr">
        <is>
          <t>NYM</t>
        </is>
      </c>
      <c r="D424" s="9" t="n">
        <v>29</v>
      </c>
      <c r="E424" s="17" t="inlineStr">
        <is>
          <t>R</t>
        </is>
      </c>
      <c r="F424" s="17" t="n"/>
      <c r="G424" s="9" t="n">
        <v>125</v>
      </c>
      <c r="H424" s="9" t="n">
        <v>131</v>
      </c>
      <c r="I424" s="9" t="inlineStr">
        <is>
          <t>Bullpen Depth Arm</t>
        </is>
      </c>
      <c r="J424" s="17" t="inlineStr">
        <is>
          <t>Opening Day</t>
        </is>
      </c>
      <c r="K424" s="11">
        <f>IFERROR(INDEX(Roles!$B$17:$B$20,MATCH(J424,Roles!$A$17:$A$20,0)),1)</f>
        <v/>
      </c>
      <c r="L424" s="18" t="n">
        <v>1</v>
      </c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3">
        <f>SUMPRODUCT(M424:X424,$M$2:$X$2)*$K424*$L424</f>
        <v/>
      </c>
      <c r="Z424" s="14">
        <f>SUM(M424:X424)</f>
        <v/>
      </c>
      <c r="AA424" s="13">
        <f>SUMPRODUCT(M424:X424,$M$3:$X$3)*$K424*$L424</f>
        <v/>
      </c>
      <c r="AB424" s="13">
        <f>SUMPRODUCT(M424:X424,$M$4:$X$4)*$K424*$L424</f>
        <v/>
      </c>
      <c r="AC424" s="15">
        <f>SUMPRODUCT(M424:X424,$M$5:$X$5)*$K424*$L424</f>
        <v/>
      </c>
      <c r="AD424" s="15">
        <f>SUMPRODUCT(M424:X424,$M$6:$X$6)*$K424*$L424</f>
        <v/>
      </c>
      <c r="AE424" s="19" t="n"/>
    </row>
    <row r="425">
      <c r="A425" s="9" t="n">
        <v>657571</v>
      </c>
      <c r="B425" s="9" t="inlineStr">
        <is>
          <t>Caleb Ferguson</t>
        </is>
      </c>
      <c r="C425" s="9" t="inlineStr">
        <is>
          <t>STL</t>
        </is>
      </c>
      <c r="D425" s="9" t="n">
        <v>30</v>
      </c>
      <c r="E425" s="17" t="inlineStr">
        <is>
          <t>L</t>
        </is>
      </c>
      <c r="F425" s="17" t="n"/>
      <c r="G425" s="9" t="n">
        <v>150</v>
      </c>
      <c r="H425" s="9" t="n">
        <v>1081</v>
      </c>
      <c r="I425" s="9" t="inlineStr">
        <is>
          <t>Closer</t>
        </is>
      </c>
      <c r="J425" s="17" t="inlineStr">
        <is>
          <t>Opening Day</t>
        </is>
      </c>
      <c r="K425" s="11">
        <f>IFERROR(INDEX(Roles!$B$17:$B$20,MATCH(J425,Roles!$A$17:$A$20,0)),1)</f>
        <v/>
      </c>
      <c r="L425" s="18" t="n">
        <v>1</v>
      </c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3">
        <f>SUMPRODUCT(M425:X425,$M$2:$X$2)*$K425*$L425</f>
        <v/>
      </c>
      <c r="Z425" s="14">
        <f>SUM(M425:X425)</f>
        <v/>
      </c>
      <c r="AA425" s="13">
        <f>SUMPRODUCT(M425:X425,$M$3:$X$3)*$K425*$L425</f>
        <v/>
      </c>
      <c r="AB425" s="13">
        <f>SUMPRODUCT(M425:X425,$M$4:$X$4)*$K425*$L425</f>
        <v/>
      </c>
      <c r="AC425" s="15">
        <f>SUMPRODUCT(M425:X425,$M$5:$X$5)*$K425*$L425</f>
        <v/>
      </c>
      <c r="AD425" s="15">
        <f>SUMPRODUCT(M425:X425,$M$6:$X$6)*$K425*$L425</f>
        <v/>
      </c>
      <c r="AE425" s="19" t="n"/>
    </row>
    <row r="426">
      <c r="A426" s="9" t="n">
        <v>543859</v>
      </c>
      <c r="B426" s="9" t="inlineStr">
        <is>
          <t>Michael Tonkin</t>
        </is>
      </c>
      <c r="C426" s="9" t="inlineStr">
        <is>
          <t>MIN</t>
        </is>
      </c>
      <c r="D426" s="9" t="n">
        <v>37</v>
      </c>
      <c r="E426" s="17" t="inlineStr">
        <is>
          <t>R</t>
        </is>
      </c>
      <c r="F426" s="17" t="n"/>
      <c r="G426" s="9" t="n">
        <v>103</v>
      </c>
      <c r="H426" s="9" t="n">
        <v>768</v>
      </c>
      <c r="I426" s="9" t="inlineStr">
        <is>
          <t>Bullpen Depth Arm</t>
        </is>
      </c>
      <c r="J426" s="17" t="inlineStr">
        <is>
          <t>Opening Day</t>
        </is>
      </c>
      <c r="K426" s="11">
        <f>IFERROR(INDEX(Roles!$B$17:$B$20,MATCH(J426,Roles!$A$17:$A$20,0)),1)</f>
        <v/>
      </c>
      <c r="L426" s="18" t="n">
        <v>1</v>
      </c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3">
        <f>SUMPRODUCT(M426:X426,$M$2:$X$2)*$K426*$L426</f>
        <v/>
      </c>
      <c r="Z426" s="14">
        <f>SUM(M426:X426)</f>
        <v/>
      </c>
      <c r="AA426" s="13">
        <f>SUMPRODUCT(M426:X426,$M$3:$X$3)*$K426*$L426</f>
        <v/>
      </c>
      <c r="AB426" s="13">
        <f>SUMPRODUCT(M426:X426,$M$4:$X$4)*$K426*$L426</f>
        <v/>
      </c>
      <c r="AC426" s="15">
        <f>SUMPRODUCT(M426:X426,$M$5:$X$5)*$K426*$L426</f>
        <v/>
      </c>
      <c r="AD426" s="15">
        <f>SUMPRODUCT(M426:X426,$M$6:$X$6)*$K426*$L426</f>
        <v/>
      </c>
      <c r="AE426" s="19" t="n"/>
    </row>
    <row r="427">
      <c r="A427" s="9" t="n">
        <v>606303</v>
      </c>
      <c r="B427" s="9" t="inlineStr">
        <is>
          <t>Joel Payamps</t>
        </is>
      </c>
      <c r="C427" s="9" t="inlineStr">
        <is>
          <t>ATL</t>
        </is>
      </c>
      <c r="D427" s="9" t="n">
        <v>33</v>
      </c>
      <c r="E427" s="17" t="inlineStr">
        <is>
          <t>R</t>
        </is>
      </c>
      <c r="F427" s="17" t="n"/>
      <c r="G427" s="9" t="n">
        <v>36</v>
      </c>
      <c r="H427" s="9" t="n">
        <v>916</v>
      </c>
      <c r="I427" s="9" t="inlineStr">
        <is>
          <t>Bullpen Depth Arm</t>
        </is>
      </c>
      <c r="J427" s="17" t="inlineStr">
        <is>
          <t>Opening Day</t>
        </is>
      </c>
      <c r="K427" s="11">
        <f>IFERROR(INDEX(Roles!$B$17:$B$20,MATCH(J427,Roles!$A$17:$A$20,0)),1)</f>
        <v/>
      </c>
      <c r="L427" s="18" t="n">
        <v>1</v>
      </c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3">
        <f>SUMPRODUCT(M427:X427,$M$2:$X$2)*$K427*$L427</f>
        <v/>
      </c>
      <c r="Z427" s="14">
        <f>SUM(M427:X427)</f>
        <v/>
      </c>
      <c r="AA427" s="13">
        <f>SUMPRODUCT(M427:X427,$M$3:$X$3)*$K427*$L427</f>
        <v/>
      </c>
      <c r="AB427" s="13">
        <f>SUMPRODUCT(M427:X427,$M$4:$X$4)*$K427*$L427</f>
        <v/>
      </c>
      <c r="AC427" s="15">
        <f>SUMPRODUCT(M427:X427,$M$5:$X$5)*$K427*$L427</f>
        <v/>
      </c>
      <c r="AD427" s="15">
        <f>SUMPRODUCT(M427:X427,$M$6:$X$6)*$K427*$L427</f>
        <v/>
      </c>
      <c r="AE427" s="19" t="n"/>
    </row>
    <row r="428">
      <c r="A428" s="9" t="n">
        <v>672021</v>
      </c>
      <c r="B428" s="9" t="inlineStr">
        <is>
          <t>Eric Cerantola</t>
        </is>
      </c>
      <c r="C428" s="9" t="inlineStr">
        <is>
          <t>KC</t>
        </is>
      </c>
      <c r="D428" s="9" t="n">
        <v>27</v>
      </c>
      <c r="E428" s="17" t="inlineStr">
        <is>
          <t>R</t>
        </is>
      </c>
      <c r="F428" s="17" t="n"/>
      <c r="G428" s="9" t="n">
        <v>27</v>
      </c>
      <c r="H428" s="9" t="n">
        <v>27</v>
      </c>
      <c r="I428" s="9" t="inlineStr">
        <is>
          <t>Bullpen Depth Arm</t>
        </is>
      </c>
      <c r="J428" s="17" t="inlineStr">
        <is>
          <t>Opening Day</t>
        </is>
      </c>
      <c r="K428" s="11">
        <f>IFERROR(INDEX(Roles!$B$17:$B$20,MATCH(J428,Roles!$A$17:$A$20,0)),1)</f>
        <v/>
      </c>
      <c r="L428" s="18" t="n">
        <v>1</v>
      </c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3">
        <f>SUMPRODUCT(M428:X428,$M$2:$X$2)*$K428*$L428</f>
        <v/>
      </c>
      <c r="Z428" s="14">
        <f>SUM(M428:X428)</f>
        <v/>
      </c>
      <c r="AA428" s="13">
        <f>SUMPRODUCT(M428:X428,$M$3:$X$3)*$K428*$L428</f>
        <v/>
      </c>
      <c r="AB428" s="13">
        <f>SUMPRODUCT(M428:X428,$M$4:$X$4)*$K428*$L428</f>
        <v/>
      </c>
      <c r="AC428" s="15">
        <f>SUMPRODUCT(M428:X428,$M$5:$X$5)*$K428*$L428</f>
        <v/>
      </c>
      <c r="AD428" s="15">
        <f>SUMPRODUCT(M428:X428,$M$6:$X$6)*$K428*$L428</f>
        <v/>
      </c>
      <c r="AE428" s="19" t="n"/>
    </row>
    <row r="429">
      <c r="A429" s="9" t="n">
        <v>608032</v>
      </c>
      <c r="B429" s="9" t="inlineStr">
        <is>
          <t>Carlos Estévez</t>
        </is>
      </c>
      <c r="C429" s="9" t="inlineStr">
        <is>
          <t>KC</t>
        </is>
      </c>
      <c r="D429" s="9" t="n">
        <v>34</v>
      </c>
      <c r="E429" s="17" t="inlineStr">
        <is>
          <t>R</t>
        </is>
      </c>
      <c r="F429" s="17" t="n"/>
      <c r="G429" s="9" t="n">
        <v>7</v>
      </c>
      <c r="H429" s="9" t="n">
        <v>1004</v>
      </c>
      <c r="I429" s="9" t="inlineStr">
        <is>
          <t>Bullpen Depth Arm</t>
        </is>
      </c>
      <c r="J429" s="17" t="inlineStr">
        <is>
          <t>Opening Day</t>
        </is>
      </c>
      <c r="K429" s="11">
        <f>IFERROR(INDEX(Roles!$B$17:$B$20,MATCH(J429,Roles!$A$17:$A$20,0)),1)</f>
        <v/>
      </c>
      <c r="L429" s="18" t="n">
        <v>1</v>
      </c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3">
        <f>SUMPRODUCT(M429:X429,$M$2:$X$2)*$K429*$L429</f>
        <v/>
      </c>
      <c r="Z429" s="14">
        <f>SUM(M429:X429)</f>
        <v/>
      </c>
      <c r="AA429" s="13">
        <f>SUMPRODUCT(M429:X429,$M$3:$X$3)*$K429*$L429</f>
        <v/>
      </c>
      <c r="AB429" s="13">
        <f>SUMPRODUCT(M429:X429,$M$4:$X$4)*$K429*$L429</f>
        <v/>
      </c>
      <c r="AC429" s="15">
        <f>SUMPRODUCT(M429:X429,$M$5:$X$5)*$K429*$L429</f>
        <v/>
      </c>
      <c r="AD429" s="15">
        <f>SUMPRODUCT(M429:X429,$M$6:$X$6)*$K429*$L429</f>
        <v/>
      </c>
      <c r="AE429" s="19" t="n"/>
    </row>
    <row r="430">
      <c r="A430" s="9" t="n">
        <v>804636</v>
      </c>
      <c r="B430" s="9" t="inlineStr">
        <is>
          <t>Jonah Tong</t>
        </is>
      </c>
      <c r="C430" s="9" t="inlineStr">
        <is>
          <t>NYM</t>
        </is>
      </c>
      <c r="D430" s="9" t="n">
        <v>24</v>
      </c>
      <c r="E430" s="17" t="inlineStr">
        <is>
          <t>R</t>
        </is>
      </c>
      <c r="F430" s="17" t="n"/>
      <c r="G430" s="9" t="n">
        <v>91</v>
      </c>
      <c r="H430" s="9" t="n">
        <v>178</v>
      </c>
      <c r="I430" s="9" t="inlineStr">
        <is>
          <t>End-of-Rotation Starter (SP4-5)</t>
        </is>
      </c>
      <c r="J430" s="17" t="inlineStr">
        <is>
          <t>Opening Day</t>
        </is>
      </c>
      <c r="K430" s="11">
        <f>IFERROR(INDEX(Roles!$B$17:$B$20,MATCH(J430,Roles!$A$17:$A$20,0)),1)</f>
        <v/>
      </c>
      <c r="L430" s="18" t="n">
        <v>1</v>
      </c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3">
        <f>SUMPRODUCT(M430:X430,$M$2:$X$2)*$K430*$L430</f>
        <v/>
      </c>
      <c r="Z430" s="14">
        <f>SUM(M430:X430)</f>
        <v/>
      </c>
      <c r="AA430" s="13">
        <f>SUMPRODUCT(M430:X430,$M$3:$X$3)*$K430*$L430</f>
        <v/>
      </c>
      <c r="AB430" s="13">
        <f>SUMPRODUCT(M430:X430,$M$4:$X$4)*$K430*$L430</f>
        <v/>
      </c>
      <c r="AC430" s="15">
        <f>SUMPRODUCT(M430:X430,$M$5:$X$5)*$K430*$L430</f>
        <v/>
      </c>
      <c r="AD430" s="15">
        <f>SUMPRODUCT(M430:X430,$M$6:$X$6)*$K430*$L430</f>
        <v/>
      </c>
      <c r="AE430" s="19" t="n"/>
    </row>
    <row r="431">
      <c r="A431" s="9" t="n">
        <v>690953</v>
      </c>
      <c r="B431" s="9" t="inlineStr">
        <is>
          <t>Mick Abel</t>
        </is>
      </c>
      <c r="C431" s="9" t="inlineStr">
        <is>
          <t>MIN</t>
        </is>
      </c>
      <c r="D431" s="9" t="n">
        <v>25</v>
      </c>
      <c r="E431" s="17" t="inlineStr">
        <is>
          <t>R</t>
        </is>
      </c>
      <c r="F431" s="17" t="n"/>
      <c r="G431" s="9" t="n">
        <v>93</v>
      </c>
      <c r="H431" s="9" t="n">
        <v>267</v>
      </c>
      <c r="I431" s="9" t="inlineStr">
        <is>
          <t>End-of-Rotation Starter (SP4-5)</t>
        </is>
      </c>
      <c r="J431" s="17" t="inlineStr">
        <is>
          <t>Opening Day</t>
        </is>
      </c>
      <c r="K431" s="11">
        <f>IFERROR(INDEX(Roles!$B$17:$B$20,MATCH(J431,Roles!$A$17:$A$20,0)),1)</f>
        <v/>
      </c>
      <c r="L431" s="18" t="n">
        <v>1</v>
      </c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3">
        <f>SUMPRODUCT(M431:X431,$M$2:$X$2)*$K431*$L431</f>
        <v/>
      </c>
      <c r="Z431" s="14">
        <f>SUM(M431:X431)</f>
        <v/>
      </c>
      <c r="AA431" s="13">
        <f>SUMPRODUCT(M431:X431,$M$3:$X$3)*$K431*$L431</f>
        <v/>
      </c>
      <c r="AB431" s="13">
        <f>SUMPRODUCT(M431:X431,$M$4:$X$4)*$K431*$L431</f>
        <v/>
      </c>
      <c r="AC431" s="15">
        <f>SUMPRODUCT(M431:X431,$M$5:$X$5)*$K431*$L431</f>
        <v/>
      </c>
      <c r="AD431" s="15">
        <f>SUMPRODUCT(M431:X431,$M$6:$X$6)*$K431*$L431</f>
        <v/>
      </c>
      <c r="AE431" s="19" t="n"/>
    </row>
    <row r="432">
      <c r="A432" s="9" t="n">
        <v>656266</v>
      </c>
      <c r="B432" s="9" t="inlineStr">
        <is>
          <t>J.B. Bukauskas</t>
        </is>
      </c>
      <c r="C432" s="9" t="inlineStr">
        <is>
          <t>MIL</t>
        </is>
      </c>
      <c r="D432" s="9" t="n">
        <v>30</v>
      </c>
      <c r="E432" s="17" t="inlineStr">
        <is>
          <t>R</t>
        </is>
      </c>
      <c r="F432" s="17" t="n"/>
      <c r="G432" s="9" t="n">
        <v>22</v>
      </c>
      <c r="H432" s="9" t="n">
        <v>52</v>
      </c>
      <c r="I432" s="9" t="inlineStr">
        <is>
          <t>Depth (no MLB IP)</t>
        </is>
      </c>
      <c r="J432" s="17" t="inlineStr">
        <is>
          <t>Opening Day</t>
        </is>
      </c>
      <c r="K432" s="11">
        <f>IFERROR(INDEX(Roles!$B$17:$B$20,MATCH(J432,Roles!$A$17:$A$20,0)),1)</f>
        <v/>
      </c>
      <c r="L432" s="18" t="n">
        <v>1</v>
      </c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3">
        <f>SUMPRODUCT(M432:X432,$M$2:$X$2)*$K432*$L432</f>
        <v/>
      </c>
      <c r="Z432" s="14">
        <f>SUM(M432:X432)</f>
        <v/>
      </c>
      <c r="AA432" s="13">
        <f>SUMPRODUCT(M432:X432,$M$3:$X$3)*$K432*$L432</f>
        <v/>
      </c>
      <c r="AB432" s="13">
        <f>SUMPRODUCT(M432:X432,$M$4:$X$4)*$K432*$L432</f>
        <v/>
      </c>
      <c r="AC432" s="15">
        <f>SUMPRODUCT(M432:X432,$M$5:$X$5)*$K432*$L432</f>
        <v/>
      </c>
      <c r="AD432" s="15">
        <f>SUMPRODUCT(M432:X432,$M$6:$X$6)*$K432*$L432</f>
        <v/>
      </c>
      <c r="AE432" s="19" t="n"/>
    </row>
    <row r="433">
      <c r="A433" s="9" t="n">
        <v>542882</v>
      </c>
      <c r="B433" s="9" t="inlineStr">
        <is>
          <t>Matt Andriese</t>
        </is>
      </c>
      <c r="C433" s="9" t="inlineStr">
        <is>
          <t>MIA</t>
        </is>
      </c>
      <c r="D433" s="9" t="n">
        <v>37</v>
      </c>
      <c r="E433" s="17" t="inlineStr">
        <is>
          <t>R</t>
        </is>
      </c>
      <c r="F433" s="17" t="n"/>
      <c r="G433" s="9" t="n">
        <v>26</v>
      </c>
      <c r="H433" s="9" t="n">
        <v>26</v>
      </c>
      <c r="I433" s="9" t="inlineStr">
        <is>
          <t>Depth (no MLB IP)</t>
        </is>
      </c>
      <c r="J433" s="17" t="inlineStr">
        <is>
          <t>Opening Day</t>
        </is>
      </c>
      <c r="K433" s="11">
        <f>IFERROR(INDEX(Roles!$B$17:$B$20,MATCH(J433,Roles!$A$17:$A$20,0)),1)</f>
        <v/>
      </c>
      <c r="L433" s="18" t="n">
        <v>1</v>
      </c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3">
        <f>SUMPRODUCT(M433:X433,$M$2:$X$2)*$K433*$L433</f>
        <v/>
      </c>
      <c r="Z433" s="14">
        <f>SUM(M433:X433)</f>
        <v/>
      </c>
      <c r="AA433" s="13">
        <f>SUMPRODUCT(M433:X433,$M$3:$X$3)*$K433*$L433</f>
        <v/>
      </c>
      <c r="AB433" s="13">
        <f>SUMPRODUCT(M433:X433,$M$4:$X$4)*$K433*$L433</f>
        <v/>
      </c>
      <c r="AC433" s="15">
        <f>SUMPRODUCT(M433:X433,$M$5:$X$5)*$K433*$L433</f>
        <v/>
      </c>
      <c r="AD433" s="15">
        <f>SUMPRODUCT(M433:X433,$M$6:$X$6)*$K433*$L433</f>
        <v/>
      </c>
      <c r="AE433" s="19" t="n"/>
    </row>
    <row r="434">
      <c r="A434" s="9" t="n">
        <v>678316</v>
      </c>
      <c r="B434" s="9" t="inlineStr">
        <is>
          <t>Omar Cruz</t>
        </is>
      </c>
      <c r="C434" s="9" t="inlineStr"/>
      <c r="D434" s="9" t="n">
        <v>28</v>
      </c>
      <c r="E434" s="17" t="inlineStr">
        <is>
          <t>L</t>
        </is>
      </c>
      <c r="F434" s="17" t="n"/>
      <c r="G434" s="9" t="n">
        <v>18</v>
      </c>
      <c r="H434" s="9" t="n">
        <v>18</v>
      </c>
      <c r="I434" s="9" t="inlineStr">
        <is>
          <t>Depth (no MLB IP)</t>
        </is>
      </c>
      <c r="J434" s="17" t="inlineStr">
        <is>
          <t>Opening Day</t>
        </is>
      </c>
      <c r="K434" s="11">
        <f>IFERROR(INDEX(Roles!$B$17:$B$20,MATCH(J434,Roles!$A$17:$A$20,0)),1)</f>
        <v/>
      </c>
      <c r="L434" s="18" t="n">
        <v>1</v>
      </c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3">
        <f>SUMPRODUCT(M434:X434,$M$2:$X$2)*$K434*$L434</f>
        <v/>
      </c>
      <c r="Z434" s="14">
        <f>SUM(M434:X434)</f>
        <v/>
      </c>
      <c r="AA434" s="13">
        <f>SUMPRODUCT(M434:X434,$M$3:$X$3)*$K434*$L434</f>
        <v/>
      </c>
      <c r="AB434" s="13">
        <f>SUMPRODUCT(M434:X434,$M$4:$X$4)*$K434*$L434</f>
        <v/>
      </c>
      <c r="AC434" s="15">
        <f>SUMPRODUCT(M434:X434,$M$5:$X$5)*$K434*$L434</f>
        <v/>
      </c>
      <c r="AD434" s="15">
        <f>SUMPRODUCT(M434:X434,$M$6:$X$6)*$K434*$L434</f>
        <v/>
      </c>
      <c r="AE434" s="19" t="n"/>
    </row>
    <row r="435">
      <c r="A435" s="9" t="n">
        <v>663671</v>
      </c>
      <c r="B435" s="9" t="inlineStr">
        <is>
          <t>Nic Enright</t>
        </is>
      </c>
      <c r="C435" s="9" t="inlineStr">
        <is>
          <t>CLE</t>
        </is>
      </c>
      <c r="D435" s="9" t="n">
        <v>30</v>
      </c>
      <c r="E435" s="17" t="inlineStr">
        <is>
          <t>R</t>
        </is>
      </c>
      <c r="F435" s="17" t="n"/>
      <c r="G435" s="9" t="n">
        <v>127</v>
      </c>
      <c r="H435" s="9" t="n">
        <v>127</v>
      </c>
      <c r="I435" s="9" t="inlineStr">
        <is>
          <t>Bullpen Depth Arm</t>
        </is>
      </c>
      <c r="J435" s="17" t="inlineStr">
        <is>
          <t>Opening Day</t>
        </is>
      </c>
      <c r="K435" s="11">
        <f>IFERROR(INDEX(Roles!$B$17:$B$20,MATCH(J435,Roles!$A$17:$A$20,0)),1)</f>
        <v/>
      </c>
      <c r="L435" s="18" t="n">
        <v>1</v>
      </c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3">
        <f>SUMPRODUCT(M435:X435,$M$2:$X$2)*$K435*$L435</f>
        <v/>
      </c>
      <c r="Z435" s="14">
        <f>SUM(M435:X435)</f>
        <v/>
      </c>
      <c r="AA435" s="13">
        <f>SUMPRODUCT(M435:X435,$M$3:$X$3)*$K435*$L435</f>
        <v/>
      </c>
      <c r="AB435" s="13">
        <f>SUMPRODUCT(M435:X435,$M$4:$X$4)*$K435*$L435</f>
        <v/>
      </c>
      <c r="AC435" s="15">
        <f>SUMPRODUCT(M435:X435,$M$5:$X$5)*$K435*$L435</f>
        <v/>
      </c>
      <c r="AD435" s="15">
        <f>SUMPRODUCT(M435:X435,$M$6:$X$6)*$K435*$L435</f>
        <v/>
      </c>
      <c r="AE435" s="19" t="n"/>
    </row>
    <row r="436">
      <c r="A436" s="9" t="n">
        <v>664074</v>
      </c>
      <c r="B436" s="9" t="inlineStr">
        <is>
          <t>Cody Ponce</t>
        </is>
      </c>
      <c r="C436" s="9" t="inlineStr"/>
      <c r="D436" s="9" t="n">
        <v>33</v>
      </c>
      <c r="E436" s="17" t="inlineStr">
        <is>
          <t>R</t>
        </is>
      </c>
      <c r="F436" s="17" t="n"/>
      <c r="G436" s="9" t="n">
        <v>10</v>
      </c>
      <c r="H436" s="9" t="n">
        <v>10</v>
      </c>
      <c r="I436" s="9" t="inlineStr">
        <is>
          <t>Depth (no MLB IP)</t>
        </is>
      </c>
      <c r="J436" s="17" t="inlineStr">
        <is>
          <t>Opening Day</t>
        </is>
      </c>
      <c r="K436" s="11">
        <f>IFERROR(INDEX(Roles!$B$17:$B$20,MATCH(J436,Roles!$A$17:$A$20,0)),1)</f>
        <v/>
      </c>
      <c r="L436" s="18" t="n">
        <v>1</v>
      </c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3">
        <f>SUMPRODUCT(M436:X436,$M$2:$X$2)*$K436*$L436</f>
        <v/>
      </c>
      <c r="Z436" s="14">
        <f>SUM(M436:X436)</f>
        <v/>
      </c>
      <c r="AA436" s="13">
        <f>SUMPRODUCT(M436:X436,$M$3:$X$3)*$K436*$L436</f>
        <v/>
      </c>
      <c r="AB436" s="13">
        <f>SUMPRODUCT(M436:X436,$M$4:$X$4)*$K436*$L436</f>
        <v/>
      </c>
      <c r="AC436" s="15">
        <f>SUMPRODUCT(M436:X436,$M$5:$X$5)*$K436*$L436</f>
        <v/>
      </c>
      <c r="AD436" s="15">
        <f>SUMPRODUCT(M436:X436,$M$6:$X$6)*$K436*$L436</f>
        <v/>
      </c>
      <c r="AE436" s="19" t="n"/>
    </row>
    <row r="437">
      <c r="A437" s="9" t="n">
        <v>666207</v>
      </c>
      <c r="B437" s="9" t="inlineStr">
        <is>
          <t>Riley Pint</t>
        </is>
      </c>
      <c r="C437" s="9" t="inlineStr"/>
      <c r="D437" s="9" t="n">
        <v>29</v>
      </c>
      <c r="E437" s="17" t="inlineStr">
        <is>
          <t>R</t>
        </is>
      </c>
      <c r="F437" s="17" t="n"/>
      <c r="G437" s="9" t="n">
        <v>22</v>
      </c>
      <c r="H437" s="9" t="n">
        <v>27</v>
      </c>
      <c r="I437" s="9" t="inlineStr">
        <is>
          <t>Depth (no MLB IP)</t>
        </is>
      </c>
      <c r="J437" s="17" t="inlineStr">
        <is>
          <t>Opening Day</t>
        </is>
      </c>
      <c r="K437" s="11">
        <f>IFERROR(INDEX(Roles!$B$17:$B$20,MATCH(J437,Roles!$A$17:$A$20,0)),1)</f>
        <v/>
      </c>
      <c r="L437" s="18" t="n">
        <v>1</v>
      </c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3">
        <f>SUMPRODUCT(M437:X437,$M$2:$X$2)*$K437*$L437</f>
        <v/>
      </c>
      <c r="Z437" s="14">
        <f>SUM(M437:X437)</f>
        <v/>
      </c>
      <c r="AA437" s="13">
        <f>SUMPRODUCT(M437:X437,$M$3:$X$3)*$K437*$L437</f>
        <v/>
      </c>
      <c r="AB437" s="13">
        <f>SUMPRODUCT(M437:X437,$M$4:$X$4)*$K437*$L437</f>
        <v/>
      </c>
      <c r="AC437" s="15">
        <f>SUMPRODUCT(M437:X437,$M$5:$X$5)*$K437*$L437</f>
        <v/>
      </c>
      <c r="AD437" s="15">
        <f>SUMPRODUCT(M437:X437,$M$6:$X$6)*$K437*$L437</f>
        <v/>
      </c>
      <c r="AE437" s="19" t="n"/>
    </row>
    <row r="438">
      <c r="A438" s="9" t="n">
        <v>458681</v>
      </c>
      <c r="B438" s="9" t="inlineStr">
        <is>
          <t>Lance Lynn</t>
        </is>
      </c>
      <c r="C438" s="9" t="inlineStr">
        <is>
          <t>STL</t>
        </is>
      </c>
      <c r="D438" s="9" t="n">
        <v>40</v>
      </c>
      <c r="E438" s="17" t="inlineStr">
        <is>
          <t>R</t>
        </is>
      </c>
      <c r="F438" s="17" t="n"/>
      <c r="G438" s="9" t="n">
        <v>511</v>
      </c>
      <c r="H438" s="9" t="n">
        <v>1831</v>
      </c>
      <c r="I438" s="9" t="inlineStr">
        <is>
          <t>Depth (no MLB IP)</t>
        </is>
      </c>
      <c r="J438" s="17" t="inlineStr">
        <is>
          <t>Opening Day</t>
        </is>
      </c>
      <c r="K438" s="11">
        <f>IFERROR(INDEX(Roles!$B$17:$B$20,MATCH(J438,Roles!$A$17:$A$20,0)),1)</f>
        <v/>
      </c>
      <c r="L438" s="18" t="n">
        <v>1</v>
      </c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3">
        <f>SUMPRODUCT(M438:X438,$M$2:$X$2)*$K438*$L438</f>
        <v/>
      </c>
      <c r="Z438" s="14">
        <f>SUM(M438:X438)</f>
        <v/>
      </c>
      <c r="AA438" s="13">
        <f>SUMPRODUCT(M438:X438,$M$3:$X$3)*$K438*$L438</f>
        <v/>
      </c>
      <c r="AB438" s="13">
        <f>SUMPRODUCT(M438:X438,$M$4:$X$4)*$K438*$L438</f>
        <v/>
      </c>
      <c r="AC438" s="15">
        <f>SUMPRODUCT(M438:X438,$M$5:$X$5)*$K438*$L438</f>
        <v/>
      </c>
      <c r="AD438" s="15">
        <f>SUMPRODUCT(M438:X438,$M$6:$X$6)*$K438*$L438</f>
        <v/>
      </c>
      <c r="AE438" s="19" t="n"/>
    </row>
    <row r="439">
      <c r="A439" s="9" t="n">
        <v>691441</v>
      </c>
      <c r="B439" s="9" t="inlineStr">
        <is>
          <t>Cristian Mena</t>
        </is>
      </c>
      <c r="C439" s="9" t="inlineStr">
        <is>
          <t>ARI</t>
        </is>
      </c>
      <c r="D439" s="9" t="n">
        <v>24</v>
      </c>
      <c r="E439" s="17" t="inlineStr">
        <is>
          <t>R</t>
        </is>
      </c>
      <c r="F439" s="17" t="n"/>
      <c r="G439" s="9" t="n">
        <v>26</v>
      </c>
      <c r="H439" s="9" t="n">
        <v>41</v>
      </c>
      <c r="I439" s="9" t="inlineStr">
        <is>
          <t>Bullpen Depth Arm</t>
        </is>
      </c>
      <c r="J439" s="17" t="inlineStr">
        <is>
          <t>Opening Day</t>
        </is>
      </c>
      <c r="K439" s="11">
        <f>IFERROR(INDEX(Roles!$B$17:$B$20,MATCH(J439,Roles!$A$17:$A$20,0)),1)</f>
        <v/>
      </c>
      <c r="L439" s="18" t="n">
        <v>1</v>
      </c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3">
        <f>SUMPRODUCT(M439:X439,$M$2:$X$2)*$K439*$L439</f>
        <v/>
      </c>
      <c r="Z439" s="14">
        <f>SUM(M439:X439)</f>
        <v/>
      </c>
      <c r="AA439" s="13">
        <f>SUMPRODUCT(M439:X439,$M$3:$X$3)*$K439*$L439</f>
        <v/>
      </c>
      <c r="AB439" s="13">
        <f>SUMPRODUCT(M439:X439,$M$4:$X$4)*$K439*$L439</f>
        <v/>
      </c>
      <c r="AC439" s="15">
        <f>SUMPRODUCT(M439:X439,$M$5:$X$5)*$K439*$L439</f>
        <v/>
      </c>
      <c r="AD439" s="15">
        <f>SUMPRODUCT(M439:X439,$M$6:$X$6)*$K439*$L439</f>
        <v/>
      </c>
      <c r="AE439" s="19" t="n"/>
    </row>
    <row r="440">
      <c r="A440" s="9" t="n">
        <v>476595</v>
      </c>
      <c r="B440" s="9" t="inlineStr">
        <is>
          <t>Lucas Luetge</t>
        </is>
      </c>
      <c r="C440" s="9" t="inlineStr">
        <is>
          <t>ATL</t>
        </is>
      </c>
      <c r="D440" s="9" t="n">
        <v>40</v>
      </c>
      <c r="E440" s="17" t="inlineStr">
        <is>
          <t>L</t>
        </is>
      </c>
      <c r="F440" s="17" t="n"/>
      <c r="G440" s="9" t="n">
        <v>65</v>
      </c>
      <c r="H440" s="9" t="n">
        <v>316</v>
      </c>
      <c r="I440" s="9" t="inlineStr">
        <is>
          <t>Depth (no MLB IP)</t>
        </is>
      </c>
      <c r="J440" s="17" t="inlineStr">
        <is>
          <t>Opening Day</t>
        </is>
      </c>
      <c r="K440" s="11">
        <f>IFERROR(INDEX(Roles!$B$17:$B$20,MATCH(J440,Roles!$A$17:$A$20,0)),1)</f>
        <v/>
      </c>
      <c r="L440" s="18" t="n">
        <v>1</v>
      </c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3">
        <f>SUMPRODUCT(M440:X440,$M$2:$X$2)*$K440*$L440</f>
        <v/>
      </c>
      <c r="Z440" s="14">
        <f>SUM(M440:X440)</f>
        <v/>
      </c>
      <c r="AA440" s="13">
        <f>SUMPRODUCT(M440:X440,$M$3:$X$3)*$K440*$L440</f>
        <v/>
      </c>
      <c r="AB440" s="13">
        <f>SUMPRODUCT(M440:X440,$M$4:$X$4)*$K440*$L440</f>
        <v/>
      </c>
      <c r="AC440" s="15">
        <f>SUMPRODUCT(M440:X440,$M$5:$X$5)*$K440*$L440</f>
        <v/>
      </c>
      <c r="AD440" s="15">
        <f>SUMPRODUCT(M440:X440,$M$6:$X$6)*$K440*$L440</f>
        <v/>
      </c>
      <c r="AE440" s="19" t="n"/>
    </row>
    <row r="441">
      <c r="A441" s="9" t="n">
        <v>680702</v>
      </c>
      <c r="B441" s="9" t="inlineStr">
        <is>
          <t>Joey Gerber</t>
        </is>
      </c>
      <c r="C441" s="9" t="inlineStr">
        <is>
          <t>NYM</t>
        </is>
      </c>
      <c r="D441" s="9" t="n">
        <v>30</v>
      </c>
      <c r="E441" s="17" t="inlineStr">
        <is>
          <t>R</t>
        </is>
      </c>
      <c r="F441" s="17" t="n"/>
      <c r="G441" s="9" t="n">
        <v>34</v>
      </c>
      <c r="H441" s="9" t="n">
        <v>49</v>
      </c>
      <c r="I441" s="9" t="inlineStr">
        <is>
          <t>Bullpen Depth Arm</t>
        </is>
      </c>
      <c r="J441" s="17" t="inlineStr">
        <is>
          <t>Opening Day</t>
        </is>
      </c>
      <c r="K441" s="11">
        <f>IFERROR(INDEX(Roles!$B$17:$B$20,MATCH(J441,Roles!$A$17:$A$20,0)),1)</f>
        <v/>
      </c>
      <c r="L441" s="18" t="n">
        <v>1</v>
      </c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3">
        <f>SUMPRODUCT(M441:X441,$M$2:$X$2)*$K441*$L441</f>
        <v/>
      </c>
      <c r="Z441" s="14">
        <f>SUM(M441:X441)</f>
        <v/>
      </c>
      <c r="AA441" s="13">
        <f>SUMPRODUCT(M441:X441,$M$3:$X$3)*$K441*$L441</f>
        <v/>
      </c>
      <c r="AB441" s="13">
        <f>SUMPRODUCT(M441:X441,$M$4:$X$4)*$K441*$L441</f>
        <v/>
      </c>
      <c r="AC441" s="15">
        <f>SUMPRODUCT(M441:X441,$M$5:$X$5)*$K441*$L441</f>
        <v/>
      </c>
      <c r="AD441" s="15">
        <f>SUMPRODUCT(M441:X441,$M$6:$X$6)*$K441*$L441</f>
        <v/>
      </c>
      <c r="AE441" s="19" t="n"/>
    </row>
    <row r="442">
      <c r="A442" s="9" t="n">
        <v>669330</v>
      </c>
      <c r="B442" s="9" t="inlineStr">
        <is>
          <t>Tyler Wells</t>
        </is>
      </c>
      <c r="C442" s="9" t="inlineStr">
        <is>
          <t>TB</t>
        </is>
      </c>
      <c r="D442" s="9" t="n">
        <v>32</v>
      </c>
      <c r="E442" s="17" t="inlineStr">
        <is>
          <t>R</t>
        </is>
      </c>
      <c r="F442" s="17" t="n"/>
      <c r="G442" s="9" t="n">
        <v>277</v>
      </c>
      <c r="H442" s="9" t="n">
        <v>1319</v>
      </c>
      <c r="I442" s="9" t="inlineStr">
        <is>
          <t>Bullpen Depth Arm</t>
        </is>
      </c>
      <c r="J442" s="17" t="inlineStr">
        <is>
          <t>Opening Day</t>
        </is>
      </c>
      <c r="K442" s="11">
        <f>IFERROR(INDEX(Roles!$B$17:$B$20,MATCH(J442,Roles!$A$17:$A$20,0)),1)</f>
        <v/>
      </c>
      <c r="L442" s="18" t="n">
        <v>1</v>
      </c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3">
        <f>SUMPRODUCT(M442:X442,$M$2:$X$2)*$K442*$L442</f>
        <v/>
      </c>
      <c r="Z442" s="14">
        <f>SUM(M442:X442)</f>
        <v/>
      </c>
      <c r="AA442" s="13">
        <f>SUMPRODUCT(M442:X442,$M$3:$X$3)*$K442*$L442</f>
        <v/>
      </c>
      <c r="AB442" s="13">
        <f>SUMPRODUCT(M442:X442,$M$4:$X$4)*$K442*$L442</f>
        <v/>
      </c>
      <c r="AC442" s="15">
        <f>SUMPRODUCT(M442:X442,$M$5:$X$5)*$K442*$L442</f>
        <v/>
      </c>
      <c r="AD442" s="15">
        <f>SUMPRODUCT(M442:X442,$M$6:$X$6)*$K442*$L442</f>
        <v/>
      </c>
      <c r="AE442" s="19" t="n"/>
    </row>
    <row r="443">
      <c r="A443" s="9" t="n">
        <v>660261</v>
      </c>
      <c r="B443" s="9" t="inlineStr">
        <is>
          <t>Shintaro Fujinami</t>
        </is>
      </c>
      <c r="C443" s="9" t="inlineStr">
        <is>
          <t>BAL</t>
        </is>
      </c>
      <c r="D443" s="9" t="n">
        <v>33</v>
      </c>
      <c r="E443" s="17" t="inlineStr">
        <is>
          <t>R</t>
        </is>
      </c>
      <c r="F443" s="17" t="n"/>
      <c r="G443" s="9" t="n">
        <v>357</v>
      </c>
      <c r="H443" s="9" t="n">
        <v>357</v>
      </c>
      <c r="I443" s="9" t="inlineStr">
        <is>
          <t>Depth (no MLB IP)</t>
        </is>
      </c>
      <c r="J443" s="17" t="inlineStr">
        <is>
          <t>Opening Day</t>
        </is>
      </c>
      <c r="K443" s="11">
        <f>IFERROR(INDEX(Roles!$B$17:$B$20,MATCH(J443,Roles!$A$17:$A$20,0)),1)</f>
        <v/>
      </c>
      <c r="L443" s="18" t="n">
        <v>1</v>
      </c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3">
        <f>SUMPRODUCT(M443:X443,$M$2:$X$2)*$K443*$L443</f>
        <v/>
      </c>
      <c r="Z443" s="14">
        <f>SUM(M443:X443)</f>
        <v/>
      </c>
      <c r="AA443" s="13">
        <f>SUMPRODUCT(M443:X443,$M$3:$X$3)*$K443*$L443</f>
        <v/>
      </c>
      <c r="AB443" s="13">
        <f>SUMPRODUCT(M443:X443,$M$4:$X$4)*$K443*$L443</f>
        <v/>
      </c>
      <c r="AC443" s="15">
        <f>SUMPRODUCT(M443:X443,$M$5:$X$5)*$K443*$L443</f>
        <v/>
      </c>
      <c r="AD443" s="15">
        <f>SUMPRODUCT(M443:X443,$M$6:$X$6)*$K443*$L443</f>
        <v/>
      </c>
      <c r="AE443" s="19" t="n"/>
    </row>
    <row r="444">
      <c r="A444" s="9" t="n">
        <v>656354</v>
      </c>
      <c r="B444" s="9" t="inlineStr">
        <is>
          <t>Austin Davis</t>
        </is>
      </c>
      <c r="C444" s="9" t="inlineStr">
        <is>
          <t>SD</t>
        </is>
      </c>
      <c r="D444" s="9" t="n">
        <v>34</v>
      </c>
      <c r="E444" s="17" t="inlineStr">
        <is>
          <t>L</t>
        </is>
      </c>
      <c r="F444" s="17" t="n"/>
      <c r="G444" s="9" t="n">
        <v>33</v>
      </c>
      <c r="H444" s="9" t="n">
        <v>297</v>
      </c>
      <c r="I444" s="9" t="inlineStr">
        <is>
          <t>Depth (no MLB IP)</t>
        </is>
      </c>
      <c r="J444" s="17" t="inlineStr">
        <is>
          <t>Opening Day</t>
        </is>
      </c>
      <c r="K444" s="11">
        <f>IFERROR(INDEX(Roles!$B$17:$B$20,MATCH(J444,Roles!$A$17:$A$20,0)),1)</f>
        <v/>
      </c>
      <c r="L444" s="18" t="n">
        <v>1</v>
      </c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3">
        <f>SUMPRODUCT(M444:X444,$M$2:$X$2)*$K444*$L444</f>
        <v/>
      </c>
      <c r="Z444" s="14">
        <f>SUM(M444:X444)</f>
        <v/>
      </c>
      <c r="AA444" s="13">
        <f>SUMPRODUCT(M444:X444,$M$3:$X$3)*$K444*$L444</f>
        <v/>
      </c>
      <c r="AB444" s="13">
        <f>SUMPRODUCT(M444:X444,$M$4:$X$4)*$K444*$L444</f>
        <v/>
      </c>
      <c r="AC444" s="15">
        <f>SUMPRODUCT(M444:X444,$M$5:$X$5)*$K444*$L444</f>
        <v/>
      </c>
      <c r="AD444" s="15">
        <f>SUMPRODUCT(M444:X444,$M$6:$X$6)*$K444*$L444</f>
        <v/>
      </c>
      <c r="AE444" s="19" t="n"/>
    </row>
    <row r="445">
      <c r="A445" s="9" t="n">
        <v>663855</v>
      </c>
      <c r="B445" s="9" t="inlineStr">
        <is>
          <t>Jordan Hicks</t>
        </is>
      </c>
      <c r="C445" s="9" t="inlineStr">
        <is>
          <t>CWS</t>
        </is>
      </c>
      <c r="D445" s="9" t="n">
        <v>30</v>
      </c>
      <c r="E445" s="17" t="inlineStr">
        <is>
          <t>R</t>
        </is>
      </c>
      <c r="F445" s="17" t="n"/>
      <c r="G445" s="9" t="n">
        <v>201</v>
      </c>
      <c r="H445" s="9" t="n">
        <v>1544</v>
      </c>
      <c r="I445" s="9" t="inlineStr">
        <is>
          <t>Bullpen Depth Arm</t>
        </is>
      </c>
      <c r="J445" s="17" t="inlineStr">
        <is>
          <t>Opening Day</t>
        </is>
      </c>
      <c r="K445" s="11">
        <f>IFERROR(INDEX(Roles!$B$17:$B$20,MATCH(J445,Roles!$A$17:$A$20,0)),1)</f>
        <v/>
      </c>
      <c r="L445" s="18" t="n">
        <v>1</v>
      </c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3">
        <f>SUMPRODUCT(M445:X445,$M$2:$X$2)*$K445*$L445</f>
        <v/>
      </c>
      <c r="Z445" s="14">
        <f>SUM(M445:X445)</f>
        <v/>
      </c>
      <c r="AA445" s="13">
        <f>SUMPRODUCT(M445:X445,$M$3:$X$3)*$K445*$L445</f>
        <v/>
      </c>
      <c r="AB445" s="13">
        <f>SUMPRODUCT(M445:X445,$M$4:$X$4)*$K445*$L445</f>
        <v/>
      </c>
      <c r="AC445" s="15">
        <f>SUMPRODUCT(M445:X445,$M$5:$X$5)*$K445*$L445</f>
        <v/>
      </c>
      <c r="AD445" s="15">
        <f>SUMPRODUCT(M445:X445,$M$6:$X$6)*$K445*$L445</f>
        <v/>
      </c>
      <c r="AE445" s="19" t="n"/>
    </row>
    <row r="446">
      <c r="A446" s="9" t="n">
        <v>681982</v>
      </c>
      <c r="B446" s="9" t="inlineStr">
        <is>
          <t>Grant Anderson</t>
        </is>
      </c>
      <c r="C446" s="9" t="inlineStr">
        <is>
          <t>MIL</t>
        </is>
      </c>
      <c r="D446" s="9" t="n">
        <v>30</v>
      </c>
      <c r="E446" s="17" t="inlineStr">
        <is>
          <t>R</t>
        </is>
      </c>
      <c r="F446" s="17" t="n"/>
      <c r="G446" s="9" t="n">
        <v>235</v>
      </c>
      <c r="H446" s="9" t="n">
        <v>808</v>
      </c>
      <c r="I446" s="9" t="inlineStr">
        <is>
          <t>Bullpen Depth Arm</t>
        </is>
      </c>
      <c r="J446" s="17" t="inlineStr">
        <is>
          <t>Opening Day</t>
        </is>
      </c>
      <c r="K446" s="11">
        <f>IFERROR(INDEX(Roles!$B$17:$B$20,MATCH(J446,Roles!$A$17:$A$20,0)),1)</f>
        <v/>
      </c>
      <c r="L446" s="18" t="n">
        <v>1</v>
      </c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3">
        <f>SUMPRODUCT(M446:X446,$M$2:$X$2)*$K446*$L446</f>
        <v/>
      </c>
      <c r="Z446" s="14">
        <f>SUM(M446:X446)</f>
        <v/>
      </c>
      <c r="AA446" s="13">
        <f>SUMPRODUCT(M446:X446,$M$3:$X$3)*$K446*$L446</f>
        <v/>
      </c>
      <c r="AB446" s="13">
        <f>SUMPRODUCT(M446:X446,$M$4:$X$4)*$K446*$L446</f>
        <v/>
      </c>
      <c r="AC446" s="15">
        <f>SUMPRODUCT(M446:X446,$M$5:$X$5)*$K446*$L446</f>
        <v/>
      </c>
      <c r="AD446" s="15">
        <f>SUMPRODUCT(M446:X446,$M$6:$X$6)*$K446*$L446</f>
        <v/>
      </c>
      <c r="AE446" s="19" t="n"/>
    </row>
    <row r="447">
      <c r="A447" s="9" t="n">
        <v>815081</v>
      </c>
      <c r="B447" s="9" t="inlineStr">
        <is>
          <t>Mark Manfredi</t>
        </is>
      </c>
      <c r="C447" s="9" t="inlineStr">
        <is>
          <t>COL</t>
        </is>
      </c>
      <c r="D447" s="9" t="n">
        <v>27</v>
      </c>
      <c r="E447" s="17" t="inlineStr">
        <is>
          <t>L</t>
        </is>
      </c>
      <c r="F447" s="17" t="n"/>
      <c r="G447" s="9" t="n">
        <v>54</v>
      </c>
      <c r="H447" s="9" t="n">
        <v>54</v>
      </c>
      <c r="I447" s="9" t="inlineStr">
        <is>
          <t>Bullpen Depth Arm</t>
        </is>
      </c>
      <c r="J447" s="17" t="inlineStr">
        <is>
          <t>Opening Day</t>
        </is>
      </c>
      <c r="K447" s="11">
        <f>IFERROR(INDEX(Roles!$B$17:$B$20,MATCH(J447,Roles!$A$17:$A$20,0)),1)</f>
        <v/>
      </c>
      <c r="L447" s="18" t="n">
        <v>1</v>
      </c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3">
        <f>SUMPRODUCT(M447:X447,$M$2:$X$2)*$K447*$L447</f>
        <v/>
      </c>
      <c r="Z447" s="14">
        <f>SUM(M447:X447)</f>
        <v/>
      </c>
      <c r="AA447" s="13">
        <f>SUMPRODUCT(M447:X447,$M$3:$X$3)*$K447*$L447</f>
        <v/>
      </c>
      <c r="AB447" s="13">
        <f>SUMPRODUCT(M447:X447,$M$4:$X$4)*$K447*$L447</f>
        <v/>
      </c>
      <c r="AC447" s="15">
        <f>SUMPRODUCT(M447:X447,$M$5:$X$5)*$K447*$L447</f>
        <v/>
      </c>
      <c r="AD447" s="15">
        <f>SUMPRODUCT(M447:X447,$M$6:$X$6)*$K447*$L447</f>
        <v/>
      </c>
      <c r="AE447" s="19" t="n"/>
    </row>
    <row r="448">
      <c r="A448" s="9" t="n">
        <v>690978</v>
      </c>
      <c r="B448" s="9" t="inlineStr">
        <is>
          <t>Dax Fulton</t>
        </is>
      </c>
      <c r="C448" s="9" t="inlineStr">
        <is>
          <t>MIA</t>
        </is>
      </c>
      <c r="D448" s="9" t="n">
        <v>25</v>
      </c>
      <c r="E448" s="17" t="inlineStr">
        <is>
          <t>L</t>
        </is>
      </c>
      <c r="F448" s="17" t="n"/>
      <c r="G448" s="9" t="n">
        <v>102</v>
      </c>
      <c r="H448" s="9" t="n">
        <v>102</v>
      </c>
      <c r="I448" s="9" t="inlineStr">
        <is>
          <t>Bullpen Depth Arm</t>
        </is>
      </c>
      <c r="J448" s="17" t="inlineStr">
        <is>
          <t>Opening Day</t>
        </is>
      </c>
      <c r="K448" s="11">
        <f>IFERROR(INDEX(Roles!$B$17:$B$20,MATCH(J448,Roles!$A$17:$A$20,0)),1)</f>
        <v/>
      </c>
      <c r="L448" s="18" t="n">
        <v>1</v>
      </c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3">
        <f>SUMPRODUCT(M448:X448,$M$2:$X$2)*$K448*$L448</f>
        <v/>
      </c>
      <c r="Z448" s="14">
        <f>SUM(M448:X448)</f>
        <v/>
      </c>
      <c r="AA448" s="13">
        <f>SUMPRODUCT(M448:X448,$M$3:$X$3)*$K448*$L448</f>
        <v/>
      </c>
      <c r="AB448" s="13">
        <f>SUMPRODUCT(M448:X448,$M$4:$X$4)*$K448*$L448</f>
        <v/>
      </c>
      <c r="AC448" s="15">
        <f>SUMPRODUCT(M448:X448,$M$5:$X$5)*$K448*$L448</f>
        <v/>
      </c>
      <c r="AD448" s="15">
        <f>SUMPRODUCT(M448:X448,$M$6:$X$6)*$K448*$L448</f>
        <v/>
      </c>
      <c r="AE448" s="19" t="n"/>
    </row>
    <row r="449">
      <c r="A449" s="9" t="n">
        <v>687830</v>
      </c>
      <c r="B449" s="9" t="inlineStr">
        <is>
          <t>Sawyer Gipson-Long</t>
        </is>
      </c>
      <c r="C449" s="9" t="inlineStr">
        <is>
          <t>DET</t>
        </is>
      </c>
      <c r="D449" s="9" t="n">
        <v>29</v>
      </c>
      <c r="E449" s="17" t="inlineStr">
        <is>
          <t>R</t>
        </is>
      </c>
      <c r="F449" s="17" t="n"/>
      <c r="G449" s="9" t="n">
        <v>133</v>
      </c>
      <c r="H449" s="9" t="n">
        <v>215</v>
      </c>
      <c r="I449" s="9" t="inlineStr">
        <is>
          <t>End-of-Rotation Starter (SP4-5)</t>
        </is>
      </c>
      <c r="J449" s="17" t="inlineStr">
        <is>
          <t>Opening Day</t>
        </is>
      </c>
      <c r="K449" s="11">
        <f>IFERROR(INDEX(Roles!$B$17:$B$20,MATCH(J449,Roles!$A$17:$A$20,0)),1)</f>
        <v/>
      </c>
      <c r="L449" s="18" t="n">
        <v>1</v>
      </c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3">
        <f>SUMPRODUCT(M449:X449,$M$2:$X$2)*$K449*$L449</f>
        <v/>
      </c>
      <c r="Z449" s="14">
        <f>SUM(M449:X449)</f>
        <v/>
      </c>
      <c r="AA449" s="13">
        <f>SUMPRODUCT(M449:X449,$M$3:$X$3)*$K449*$L449</f>
        <v/>
      </c>
      <c r="AB449" s="13">
        <f>SUMPRODUCT(M449:X449,$M$4:$X$4)*$K449*$L449</f>
        <v/>
      </c>
      <c r="AC449" s="15">
        <f>SUMPRODUCT(M449:X449,$M$5:$X$5)*$K449*$L449</f>
        <v/>
      </c>
      <c r="AD449" s="15">
        <f>SUMPRODUCT(M449:X449,$M$6:$X$6)*$K449*$L449</f>
        <v/>
      </c>
      <c r="AE449" s="19" t="n"/>
    </row>
    <row r="450">
      <c r="A450" s="9" t="n">
        <v>656671</v>
      </c>
      <c r="B450" s="9" t="inlineStr">
        <is>
          <t>Josh Maciejewski</t>
        </is>
      </c>
      <c r="C450" s="9" t="inlineStr">
        <is>
          <t>NYY</t>
        </is>
      </c>
      <c r="D450" s="9" t="n">
        <v>31</v>
      </c>
      <c r="E450" s="17" t="inlineStr">
        <is>
          <t>L</t>
        </is>
      </c>
      <c r="F450" s="17" t="n"/>
      <c r="G450" s="9" t="n">
        <v>27</v>
      </c>
      <c r="H450" s="9" t="n">
        <v>27</v>
      </c>
      <c r="I450" s="9" t="inlineStr">
        <is>
          <t>Depth (no MLB IP)</t>
        </is>
      </c>
      <c r="J450" s="17" t="inlineStr">
        <is>
          <t>Opening Day</t>
        </is>
      </c>
      <c r="K450" s="11">
        <f>IFERROR(INDEX(Roles!$B$17:$B$20,MATCH(J450,Roles!$A$17:$A$20,0)),1)</f>
        <v/>
      </c>
      <c r="L450" s="18" t="n">
        <v>1</v>
      </c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3">
        <f>SUMPRODUCT(M450:X450,$M$2:$X$2)*$K450*$L450</f>
        <v/>
      </c>
      <c r="Z450" s="14">
        <f>SUM(M450:X450)</f>
        <v/>
      </c>
      <c r="AA450" s="13">
        <f>SUMPRODUCT(M450:X450,$M$3:$X$3)*$K450*$L450</f>
        <v/>
      </c>
      <c r="AB450" s="13">
        <f>SUMPRODUCT(M450:X450,$M$4:$X$4)*$K450*$L450</f>
        <v/>
      </c>
      <c r="AC450" s="15">
        <f>SUMPRODUCT(M450:X450,$M$5:$X$5)*$K450*$L450</f>
        <v/>
      </c>
      <c r="AD450" s="15">
        <f>SUMPRODUCT(M450:X450,$M$6:$X$6)*$K450*$L450</f>
        <v/>
      </c>
      <c r="AE450" s="19" t="n"/>
    </row>
    <row r="451">
      <c r="A451" s="9" t="n">
        <v>664351</v>
      </c>
      <c r="B451" s="9" t="inlineStr">
        <is>
          <t>Luis Contreras</t>
        </is>
      </c>
      <c r="C451" s="9" t="inlineStr">
        <is>
          <t>HOU</t>
        </is>
      </c>
      <c r="D451" s="9" t="n">
        <v>31</v>
      </c>
      <c r="E451" s="17" t="inlineStr">
        <is>
          <t>R</t>
        </is>
      </c>
      <c r="F451" s="17" t="n"/>
      <c r="G451" s="9" t="n">
        <v>54</v>
      </c>
      <c r="H451" s="9" t="n">
        <v>80</v>
      </c>
      <c r="I451" s="9" t="inlineStr">
        <is>
          <t>Bullpen Depth Arm</t>
        </is>
      </c>
      <c r="J451" s="17" t="inlineStr">
        <is>
          <t>Opening Day</t>
        </is>
      </c>
      <c r="K451" s="11">
        <f>IFERROR(INDEX(Roles!$B$17:$B$20,MATCH(J451,Roles!$A$17:$A$20,0)),1)</f>
        <v/>
      </c>
      <c r="L451" s="18" t="n">
        <v>1</v>
      </c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3">
        <f>SUMPRODUCT(M451:X451,$M$2:$X$2)*$K451*$L451</f>
        <v/>
      </c>
      <c r="Z451" s="14">
        <f>SUM(M451:X451)</f>
        <v/>
      </c>
      <c r="AA451" s="13">
        <f>SUMPRODUCT(M451:X451,$M$3:$X$3)*$K451*$L451</f>
        <v/>
      </c>
      <c r="AB451" s="13">
        <f>SUMPRODUCT(M451:X451,$M$4:$X$4)*$K451*$L451</f>
        <v/>
      </c>
      <c r="AC451" s="15">
        <f>SUMPRODUCT(M451:X451,$M$5:$X$5)*$K451*$L451</f>
        <v/>
      </c>
      <c r="AD451" s="15">
        <f>SUMPRODUCT(M451:X451,$M$6:$X$6)*$K451*$L451</f>
        <v/>
      </c>
      <c r="AE451" s="19" t="n"/>
    </row>
    <row r="452">
      <c r="A452" s="9" t="n">
        <v>680701</v>
      </c>
      <c r="B452" s="9" t="inlineStr">
        <is>
          <t>John Rooney</t>
        </is>
      </c>
      <c r="C452" s="9" t="inlineStr"/>
      <c r="D452" s="9" t="n">
        <v>30</v>
      </c>
      <c r="E452" s="17" t="inlineStr">
        <is>
          <t>L</t>
        </is>
      </c>
      <c r="F452" s="17" t="n"/>
      <c r="G452" s="9" t="n">
        <v>6</v>
      </c>
      <c r="H452" s="9" t="n">
        <v>6</v>
      </c>
      <c r="I452" s="9" t="inlineStr">
        <is>
          <t>Depth (no MLB IP)</t>
        </is>
      </c>
      <c r="J452" s="17" t="inlineStr">
        <is>
          <t>Opening Day</t>
        </is>
      </c>
      <c r="K452" s="11">
        <f>IFERROR(INDEX(Roles!$B$17:$B$20,MATCH(J452,Roles!$A$17:$A$20,0)),1)</f>
        <v/>
      </c>
      <c r="L452" s="18" t="n">
        <v>1</v>
      </c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3">
        <f>SUMPRODUCT(M452:X452,$M$2:$X$2)*$K452*$L452</f>
        <v/>
      </c>
      <c r="Z452" s="14">
        <f>SUM(M452:X452)</f>
        <v/>
      </c>
      <c r="AA452" s="13">
        <f>SUMPRODUCT(M452:X452,$M$3:$X$3)*$K452*$L452</f>
        <v/>
      </c>
      <c r="AB452" s="13">
        <f>SUMPRODUCT(M452:X452,$M$4:$X$4)*$K452*$L452</f>
        <v/>
      </c>
      <c r="AC452" s="15">
        <f>SUMPRODUCT(M452:X452,$M$5:$X$5)*$K452*$L452</f>
        <v/>
      </c>
      <c r="AD452" s="15">
        <f>SUMPRODUCT(M452:X452,$M$6:$X$6)*$K452*$L452</f>
        <v/>
      </c>
      <c r="AE452" s="19" t="n"/>
    </row>
    <row r="453">
      <c r="A453" s="9" t="n">
        <v>682144</v>
      </c>
      <c r="B453" s="9" t="inlineStr">
        <is>
          <t>Jayvien Sandridge</t>
        </is>
      </c>
      <c r="C453" s="9" t="inlineStr"/>
      <c r="D453" s="9" t="n">
        <v>28</v>
      </c>
      <c r="E453" s="17" t="inlineStr">
        <is>
          <t>L</t>
        </is>
      </c>
      <c r="F453" s="17" t="n"/>
      <c r="G453" s="9" t="n">
        <v>6</v>
      </c>
      <c r="H453" s="9" t="n">
        <v>6</v>
      </c>
      <c r="I453" s="9" t="inlineStr">
        <is>
          <t>Depth (no MLB IP)</t>
        </is>
      </c>
      <c r="J453" s="17" t="inlineStr">
        <is>
          <t>Opening Day</t>
        </is>
      </c>
      <c r="K453" s="11">
        <f>IFERROR(INDEX(Roles!$B$17:$B$20,MATCH(J453,Roles!$A$17:$A$20,0)),1)</f>
        <v/>
      </c>
      <c r="L453" s="18" t="n">
        <v>1</v>
      </c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3">
        <f>SUMPRODUCT(M453:X453,$M$2:$X$2)*$K453*$L453</f>
        <v/>
      </c>
      <c r="Z453" s="14">
        <f>SUM(M453:X453)</f>
        <v/>
      </c>
      <c r="AA453" s="13">
        <f>SUMPRODUCT(M453:X453,$M$3:$X$3)*$K453*$L453</f>
        <v/>
      </c>
      <c r="AB453" s="13">
        <f>SUMPRODUCT(M453:X453,$M$4:$X$4)*$K453*$L453</f>
        <v/>
      </c>
      <c r="AC453" s="15">
        <f>SUMPRODUCT(M453:X453,$M$5:$X$5)*$K453*$L453</f>
        <v/>
      </c>
      <c r="AD453" s="15">
        <f>SUMPRODUCT(M453:X453,$M$6:$X$6)*$K453*$L453</f>
        <v/>
      </c>
      <c r="AE453" s="19" t="n"/>
    </row>
    <row r="454">
      <c r="A454" s="9" t="n">
        <v>621051</v>
      </c>
      <c r="B454" s="9" t="inlineStr">
        <is>
          <t>Steven Wilson</t>
        </is>
      </c>
      <c r="C454" s="9" t="inlineStr">
        <is>
          <t>CWS</t>
        </is>
      </c>
      <c r="D454" s="9" t="n">
        <v>32</v>
      </c>
      <c r="E454" s="17" t="inlineStr">
        <is>
          <t>R</t>
        </is>
      </c>
      <c r="F454" s="17" t="n"/>
      <c r="G454" s="9" t="n">
        <v>241</v>
      </c>
      <c r="H454" s="9" t="n">
        <v>837</v>
      </c>
      <c r="I454" s="9" t="inlineStr">
        <is>
          <t>Bullpen Depth Arm</t>
        </is>
      </c>
      <c r="J454" s="17" t="inlineStr">
        <is>
          <t>Opening Day</t>
        </is>
      </c>
      <c r="K454" s="11">
        <f>IFERROR(INDEX(Roles!$B$17:$B$20,MATCH(J454,Roles!$A$17:$A$20,0)),1)</f>
        <v/>
      </c>
      <c r="L454" s="18" t="n">
        <v>1</v>
      </c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3">
        <f>SUMPRODUCT(M454:X454,$M$2:$X$2)*$K454*$L454</f>
        <v/>
      </c>
      <c r="Z454" s="14">
        <f>SUM(M454:X454)</f>
        <v/>
      </c>
      <c r="AA454" s="13">
        <f>SUMPRODUCT(M454:X454,$M$3:$X$3)*$K454*$L454</f>
        <v/>
      </c>
      <c r="AB454" s="13">
        <f>SUMPRODUCT(M454:X454,$M$4:$X$4)*$K454*$L454</f>
        <v/>
      </c>
      <c r="AC454" s="15">
        <f>SUMPRODUCT(M454:X454,$M$5:$X$5)*$K454*$L454</f>
        <v/>
      </c>
      <c r="AD454" s="15">
        <f>SUMPRODUCT(M454:X454,$M$6:$X$6)*$K454*$L454</f>
        <v/>
      </c>
      <c r="AE454" s="19" t="n"/>
    </row>
    <row r="455">
      <c r="A455" s="9" t="n">
        <v>680899</v>
      </c>
      <c r="B455" s="9" t="inlineStr">
        <is>
          <t>Erik Tolman</t>
        </is>
      </c>
      <c r="C455" s="9" t="inlineStr">
        <is>
          <t>WSH</t>
        </is>
      </c>
      <c r="D455" s="9" t="n">
        <v>28</v>
      </c>
      <c r="E455" s="17" t="inlineStr">
        <is>
          <t>L</t>
        </is>
      </c>
      <c r="F455" s="17" t="n"/>
      <c r="G455" s="9" t="n">
        <v>46</v>
      </c>
      <c r="H455" s="9" t="n">
        <v>46</v>
      </c>
      <c r="I455" s="9" t="inlineStr">
        <is>
          <t>Late Inning RP (Setup)</t>
        </is>
      </c>
      <c r="J455" s="17" t="inlineStr">
        <is>
          <t>Opening Day</t>
        </is>
      </c>
      <c r="K455" s="11">
        <f>IFERROR(INDEX(Roles!$B$17:$B$20,MATCH(J455,Roles!$A$17:$A$20,0)),1)</f>
        <v/>
      </c>
      <c r="L455" s="18" t="n">
        <v>1</v>
      </c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3">
        <f>SUMPRODUCT(M455:X455,$M$2:$X$2)*$K455*$L455</f>
        <v/>
      </c>
      <c r="Z455" s="14">
        <f>SUM(M455:X455)</f>
        <v/>
      </c>
      <c r="AA455" s="13">
        <f>SUMPRODUCT(M455:X455,$M$3:$X$3)*$K455*$L455</f>
        <v/>
      </c>
      <c r="AB455" s="13">
        <f>SUMPRODUCT(M455:X455,$M$4:$X$4)*$K455*$L455</f>
        <v/>
      </c>
      <c r="AC455" s="15">
        <f>SUMPRODUCT(M455:X455,$M$5:$X$5)*$K455*$L455</f>
        <v/>
      </c>
      <c r="AD455" s="15">
        <f>SUMPRODUCT(M455:X455,$M$6:$X$6)*$K455*$L455</f>
        <v/>
      </c>
      <c r="AE455" s="19" t="n"/>
    </row>
    <row r="456">
      <c r="A456" s="9" t="n">
        <v>662144</v>
      </c>
      <c r="B456" s="9" t="inlineStr">
        <is>
          <t>Brian Keller</t>
        </is>
      </c>
      <c r="C456" s="9" t="inlineStr"/>
      <c r="D456" s="9" t="n">
        <v>33</v>
      </c>
      <c r="E456" s="17" t="inlineStr">
        <is>
          <t>R</t>
        </is>
      </c>
      <c r="F456" s="17" t="n"/>
      <c r="G456" s="9" t="n">
        <v>11</v>
      </c>
      <c r="H456" s="9" t="n">
        <v>11</v>
      </c>
      <c r="I456" s="9" t="inlineStr">
        <is>
          <t>Depth (no MLB IP)</t>
        </is>
      </c>
      <c r="J456" s="17" t="inlineStr">
        <is>
          <t>Opening Day</t>
        </is>
      </c>
      <c r="K456" s="11">
        <f>IFERROR(INDEX(Roles!$B$17:$B$20,MATCH(J456,Roles!$A$17:$A$20,0)),1)</f>
        <v/>
      </c>
      <c r="L456" s="18" t="n">
        <v>1</v>
      </c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3">
        <f>SUMPRODUCT(M456:X456,$M$2:$X$2)*$K456*$L456</f>
        <v/>
      </c>
      <c r="Z456" s="14">
        <f>SUM(M456:X456)</f>
        <v/>
      </c>
      <c r="AA456" s="13">
        <f>SUMPRODUCT(M456:X456,$M$3:$X$3)*$K456*$L456</f>
        <v/>
      </c>
      <c r="AB456" s="13">
        <f>SUMPRODUCT(M456:X456,$M$4:$X$4)*$K456*$L456</f>
        <v/>
      </c>
      <c r="AC456" s="15">
        <f>SUMPRODUCT(M456:X456,$M$5:$X$5)*$K456*$L456</f>
        <v/>
      </c>
      <c r="AD456" s="15">
        <f>SUMPRODUCT(M456:X456,$M$6:$X$6)*$K456*$L456</f>
        <v/>
      </c>
      <c r="AE456" s="19" t="n"/>
    </row>
    <row r="457">
      <c r="A457" s="9" t="n">
        <v>663455</v>
      </c>
      <c r="B457" s="9" t="inlineStr">
        <is>
          <t>Konnor Pilkington</t>
        </is>
      </c>
      <c r="C457" s="9" t="inlineStr">
        <is>
          <t>WSH</t>
        </is>
      </c>
      <c r="D457" s="9" t="n">
        <v>29</v>
      </c>
      <c r="E457" s="17" t="inlineStr">
        <is>
          <t>L</t>
        </is>
      </c>
      <c r="F457" s="17" t="n"/>
      <c r="G457" s="9" t="n">
        <v>123</v>
      </c>
      <c r="H457" s="9" t="n">
        <v>389</v>
      </c>
      <c r="I457" s="9" t="inlineStr">
        <is>
          <t>Bullpen Depth Arm</t>
        </is>
      </c>
      <c r="J457" s="17" t="inlineStr">
        <is>
          <t>Opening Day</t>
        </is>
      </c>
      <c r="K457" s="11">
        <f>IFERROR(INDEX(Roles!$B$17:$B$20,MATCH(J457,Roles!$A$17:$A$20,0)),1)</f>
        <v/>
      </c>
      <c r="L457" s="18" t="n">
        <v>1</v>
      </c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3">
        <f>SUMPRODUCT(M457:X457,$M$2:$X$2)*$K457*$L457</f>
        <v/>
      </c>
      <c r="Z457" s="14">
        <f>SUM(M457:X457)</f>
        <v/>
      </c>
      <c r="AA457" s="13">
        <f>SUMPRODUCT(M457:X457,$M$3:$X$3)*$K457*$L457</f>
        <v/>
      </c>
      <c r="AB457" s="13">
        <f>SUMPRODUCT(M457:X457,$M$4:$X$4)*$K457*$L457</f>
        <v/>
      </c>
      <c r="AC457" s="15">
        <f>SUMPRODUCT(M457:X457,$M$5:$X$5)*$K457*$L457</f>
        <v/>
      </c>
      <c r="AD457" s="15">
        <f>SUMPRODUCT(M457:X457,$M$6:$X$6)*$K457*$L457</f>
        <v/>
      </c>
      <c r="AE457" s="19" t="n"/>
    </row>
    <row r="458">
      <c r="A458" s="9" t="n">
        <v>676617</v>
      </c>
      <c r="B458" s="9" t="inlineStr">
        <is>
          <t>Riley O'Brien</t>
        </is>
      </c>
      <c r="C458" s="9" t="inlineStr">
        <is>
          <t>STL</t>
        </is>
      </c>
      <c r="D458" s="9" t="n">
        <v>32</v>
      </c>
      <c r="E458" s="17" t="inlineStr">
        <is>
          <t>R</t>
        </is>
      </c>
      <c r="F458" s="17" t="n"/>
      <c r="G458" s="9" t="n">
        <v>269</v>
      </c>
      <c r="H458" s="9" t="n">
        <v>519</v>
      </c>
      <c r="I458" s="9" t="inlineStr">
        <is>
          <t>Bullpen Depth Arm</t>
        </is>
      </c>
      <c r="J458" s="17" t="inlineStr">
        <is>
          <t>Opening Day</t>
        </is>
      </c>
      <c r="K458" s="11">
        <f>IFERROR(INDEX(Roles!$B$17:$B$20,MATCH(J458,Roles!$A$17:$A$20,0)),1)</f>
        <v/>
      </c>
      <c r="L458" s="18" t="n">
        <v>1</v>
      </c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3">
        <f>SUMPRODUCT(M458:X458,$M$2:$X$2)*$K458*$L458</f>
        <v/>
      </c>
      <c r="Z458" s="14">
        <f>SUM(M458:X458)</f>
        <v/>
      </c>
      <c r="AA458" s="13">
        <f>SUMPRODUCT(M458:X458,$M$3:$X$3)*$K458*$L458</f>
        <v/>
      </c>
      <c r="AB458" s="13">
        <f>SUMPRODUCT(M458:X458,$M$4:$X$4)*$K458*$L458</f>
        <v/>
      </c>
      <c r="AC458" s="15">
        <f>SUMPRODUCT(M458:X458,$M$5:$X$5)*$K458*$L458</f>
        <v/>
      </c>
      <c r="AD458" s="15">
        <f>SUMPRODUCT(M458:X458,$M$6:$X$6)*$K458*$L458</f>
        <v/>
      </c>
      <c r="AE458" s="19" t="n"/>
    </row>
    <row r="459">
      <c r="A459" s="9" t="n">
        <v>543056</v>
      </c>
      <c r="B459" s="9" t="inlineStr">
        <is>
          <t>Danny Coulombe</t>
        </is>
      </c>
      <c r="C459" s="9" t="inlineStr">
        <is>
          <t>BOS</t>
        </is>
      </c>
      <c r="D459" s="9" t="n">
        <v>37</v>
      </c>
      <c r="E459" s="17" t="inlineStr">
        <is>
          <t>L</t>
        </is>
      </c>
      <c r="F459" s="17" t="n"/>
      <c r="G459" s="9" t="n">
        <v>96</v>
      </c>
      <c r="H459" s="9" t="n">
        <v>642</v>
      </c>
      <c r="I459" s="9" t="inlineStr">
        <is>
          <t>Bullpen Depth Arm</t>
        </is>
      </c>
      <c r="J459" s="17" t="inlineStr">
        <is>
          <t>Opening Day</t>
        </is>
      </c>
      <c r="K459" s="11">
        <f>IFERROR(INDEX(Roles!$B$17:$B$20,MATCH(J459,Roles!$A$17:$A$20,0)),1)</f>
        <v/>
      </c>
      <c r="L459" s="18" t="n">
        <v>1</v>
      </c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3">
        <f>SUMPRODUCT(M459:X459,$M$2:$X$2)*$K459*$L459</f>
        <v/>
      </c>
      <c r="Z459" s="14">
        <f>SUM(M459:X459)</f>
        <v/>
      </c>
      <c r="AA459" s="13">
        <f>SUMPRODUCT(M459:X459,$M$3:$X$3)*$K459*$L459</f>
        <v/>
      </c>
      <c r="AB459" s="13">
        <f>SUMPRODUCT(M459:X459,$M$4:$X$4)*$K459*$L459</f>
        <v/>
      </c>
      <c r="AC459" s="15">
        <f>SUMPRODUCT(M459:X459,$M$5:$X$5)*$K459*$L459</f>
        <v/>
      </c>
      <c r="AD459" s="15">
        <f>SUMPRODUCT(M459:X459,$M$6:$X$6)*$K459*$L459</f>
        <v/>
      </c>
      <c r="AE459" s="19" t="n"/>
    </row>
    <row r="460">
      <c r="A460" s="9" t="n">
        <v>477132</v>
      </c>
      <c r="B460" s="9" t="inlineStr">
        <is>
          <t>Clayton Kershaw</t>
        </is>
      </c>
      <c r="C460" s="9" t="inlineStr">
        <is>
          <t>LAD</t>
        </is>
      </c>
      <c r="D460" s="9" t="n">
        <v>39</v>
      </c>
      <c r="E460" s="17" t="inlineStr">
        <is>
          <t>L</t>
        </is>
      </c>
      <c r="F460" s="17" t="n"/>
      <c r="G460" s="9" t="n">
        <v>463</v>
      </c>
      <c r="H460" s="9" t="n">
        <v>1612</v>
      </c>
      <c r="I460" s="9" t="inlineStr">
        <is>
          <t>End-of-Rotation Starter (SP4-5)</t>
        </is>
      </c>
      <c r="J460" s="17" t="inlineStr">
        <is>
          <t>Opening Day</t>
        </is>
      </c>
      <c r="K460" s="11">
        <f>IFERROR(INDEX(Roles!$B$17:$B$20,MATCH(J460,Roles!$A$17:$A$20,0)),1)</f>
        <v/>
      </c>
      <c r="L460" s="18" t="n">
        <v>1</v>
      </c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3">
        <f>SUMPRODUCT(M460:X460,$M$2:$X$2)*$K460*$L460</f>
        <v/>
      </c>
      <c r="Z460" s="14">
        <f>SUM(M460:X460)</f>
        <v/>
      </c>
      <c r="AA460" s="13">
        <f>SUMPRODUCT(M460:X460,$M$3:$X$3)*$K460*$L460</f>
        <v/>
      </c>
      <c r="AB460" s="13">
        <f>SUMPRODUCT(M460:X460,$M$4:$X$4)*$K460*$L460</f>
        <v/>
      </c>
      <c r="AC460" s="15">
        <f>SUMPRODUCT(M460:X460,$M$5:$X$5)*$K460*$L460</f>
        <v/>
      </c>
      <c r="AD460" s="15">
        <f>SUMPRODUCT(M460:X460,$M$6:$X$6)*$K460*$L460</f>
        <v/>
      </c>
      <c r="AE460" s="19" t="n"/>
    </row>
    <row r="461">
      <c r="A461" s="9" t="n">
        <v>680891</v>
      </c>
      <c r="B461" s="9" t="inlineStr">
        <is>
          <t>Jack Neely</t>
        </is>
      </c>
      <c r="C461" s="9" t="inlineStr">
        <is>
          <t>CHC</t>
        </is>
      </c>
      <c r="D461" s="9" t="n">
        <v>27</v>
      </c>
      <c r="E461" s="17" t="inlineStr">
        <is>
          <t>R</t>
        </is>
      </c>
      <c r="F461" s="17" t="n"/>
      <c r="G461" s="9" t="n">
        <v>28</v>
      </c>
      <c r="H461" s="9" t="n">
        <v>28</v>
      </c>
      <c r="I461" s="9" t="inlineStr">
        <is>
          <t>Depth (no MLB IP)</t>
        </is>
      </c>
      <c r="J461" s="17" t="inlineStr">
        <is>
          <t>Opening Day</t>
        </is>
      </c>
      <c r="K461" s="11">
        <f>IFERROR(INDEX(Roles!$B$17:$B$20,MATCH(J461,Roles!$A$17:$A$20,0)),1)</f>
        <v/>
      </c>
      <c r="L461" s="18" t="n">
        <v>1</v>
      </c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3">
        <f>SUMPRODUCT(M461:X461,$M$2:$X$2)*$K461*$L461</f>
        <v/>
      </c>
      <c r="Z461" s="14">
        <f>SUM(M461:X461)</f>
        <v/>
      </c>
      <c r="AA461" s="13">
        <f>SUMPRODUCT(M461:X461,$M$3:$X$3)*$K461*$L461</f>
        <v/>
      </c>
      <c r="AB461" s="13">
        <f>SUMPRODUCT(M461:X461,$M$4:$X$4)*$K461*$L461</f>
        <v/>
      </c>
      <c r="AC461" s="15">
        <f>SUMPRODUCT(M461:X461,$M$5:$X$5)*$K461*$L461</f>
        <v/>
      </c>
      <c r="AD461" s="15">
        <f>SUMPRODUCT(M461:X461,$M$6:$X$6)*$K461*$L461</f>
        <v/>
      </c>
      <c r="AE461" s="19" t="n"/>
    </row>
    <row r="462">
      <c r="A462" s="9" t="n">
        <v>691548</v>
      </c>
      <c r="B462" s="9" t="inlineStr">
        <is>
          <t>Rolddy Muñoz</t>
        </is>
      </c>
      <c r="C462" s="9" t="inlineStr"/>
      <c r="D462" s="9" t="n">
        <v>27</v>
      </c>
      <c r="E462" s="17" t="inlineStr">
        <is>
          <t>R</t>
        </is>
      </c>
      <c r="F462" s="17" t="n"/>
      <c r="G462" s="9" t="n">
        <v>12</v>
      </c>
      <c r="H462" s="9" t="n">
        <v>33</v>
      </c>
      <c r="I462" s="9" t="inlineStr">
        <is>
          <t>Depth (no MLB IP)</t>
        </is>
      </c>
      <c r="J462" s="17" t="inlineStr">
        <is>
          <t>Opening Day</t>
        </is>
      </c>
      <c r="K462" s="11">
        <f>IFERROR(INDEX(Roles!$B$17:$B$20,MATCH(J462,Roles!$A$17:$A$20,0)),1)</f>
        <v/>
      </c>
      <c r="L462" s="18" t="n">
        <v>1</v>
      </c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3">
        <f>SUMPRODUCT(M462:X462,$M$2:$X$2)*$K462*$L462</f>
        <v/>
      </c>
      <c r="Z462" s="14">
        <f>SUM(M462:X462)</f>
        <v/>
      </c>
      <c r="AA462" s="13">
        <f>SUMPRODUCT(M462:X462,$M$3:$X$3)*$K462*$L462</f>
        <v/>
      </c>
      <c r="AB462" s="13">
        <f>SUMPRODUCT(M462:X462,$M$4:$X$4)*$K462*$L462</f>
        <v/>
      </c>
      <c r="AC462" s="15">
        <f>SUMPRODUCT(M462:X462,$M$5:$X$5)*$K462*$L462</f>
        <v/>
      </c>
      <c r="AD462" s="15">
        <f>SUMPRODUCT(M462:X462,$M$6:$X$6)*$K462*$L462</f>
        <v/>
      </c>
      <c r="AE462" s="19" t="n"/>
    </row>
    <row r="463">
      <c r="A463" s="9" t="n">
        <v>681857</v>
      </c>
      <c r="B463" s="9" t="inlineStr">
        <is>
          <t>Reese Olson</t>
        </is>
      </c>
      <c r="C463" s="9" t="inlineStr">
        <is>
          <t>DET</t>
        </is>
      </c>
      <c r="D463" s="9" t="n">
        <v>27</v>
      </c>
      <c r="E463" s="17" t="inlineStr">
        <is>
          <t>R</t>
        </is>
      </c>
      <c r="F463" s="17" t="n"/>
      <c r="G463" s="9" t="n">
        <v>285</v>
      </c>
      <c r="H463" s="9" t="n">
        <v>1172</v>
      </c>
      <c r="I463" s="9" t="inlineStr">
        <is>
          <t>Mid-Rotation Starter (SP2-3)</t>
        </is>
      </c>
      <c r="J463" s="17" t="inlineStr">
        <is>
          <t>Opening Day</t>
        </is>
      </c>
      <c r="K463" s="11">
        <f>IFERROR(INDEX(Roles!$B$17:$B$20,MATCH(J463,Roles!$A$17:$A$20,0)),1)</f>
        <v/>
      </c>
      <c r="L463" s="18" t="n">
        <v>1</v>
      </c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3">
        <f>SUMPRODUCT(M463:X463,$M$2:$X$2)*$K463*$L463</f>
        <v/>
      </c>
      <c r="Z463" s="14">
        <f>SUM(M463:X463)</f>
        <v/>
      </c>
      <c r="AA463" s="13">
        <f>SUMPRODUCT(M463:X463,$M$3:$X$3)*$K463*$L463</f>
        <v/>
      </c>
      <c r="AB463" s="13">
        <f>SUMPRODUCT(M463:X463,$M$4:$X$4)*$K463*$L463</f>
        <v/>
      </c>
      <c r="AC463" s="15">
        <f>SUMPRODUCT(M463:X463,$M$5:$X$5)*$K463*$L463</f>
        <v/>
      </c>
      <c r="AD463" s="15">
        <f>SUMPRODUCT(M463:X463,$M$6:$X$6)*$K463*$L463</f>
        <v/>
      </c>
      <c r="AE463" s="19" t="n"/>
    </row>
    <row r="464">
      <c r="A464" s="9" t="n">
        <v>621383</v>
      </c>
      <c r="B464" s="9" t="inlineStr">
        <is>
          <t>Tanner Banks</t>
        </is>
      </c>
      <c r="C464" s="9" t="inlineStr">
        <is>
          <t>PHI</t>
        </is>
      </c>
      <c r="D464" s="9" t="n">
        <v>35</v>
      </c>
      <c r="E464" s="17" t="inlineStr">
        <is>
          <t>L</t>
        </is>
      </c>
      <c r="F464" s="17" t="n"/>
      <c r="G464" s="9" t="n">
        <v>155</v>
      </c>
      <c r="H464" s="9" t="n">
        <v>1205</v>
      </c>
      <c r="I464" s="9" t="inlineStr">
        <is>
          <t>Middle Relief</t>
        </is>
      </c>
      <c r="J464" s="17" t="inlineStr">
        <is>
          <t>Opening Day</t>
        </is>
      </c>
      <c r="K464" s="11">
        <f>IFERROR(INDEX(Roles!$B$17:$B$20,MATCH(J464,Roles!$A$17:$A$20,0)),1)</f>
        <v/>
      </c>
      <c r="L464" s="18" t="n">
        <v>1</v>
      </c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3">
        <f>SUMPRODUCT(M464:X464,$M$2:$X$2)*$K464*$L464</f>
        <v/>
      </c>
      <c r="Z464" s="14">
        <f>SUM(M464:X464)</f>
        <v/>
      </c>
      <c r="AA464" s="13">
        <f>SUMPRODUCT(M464:X464,$M$3:$X$3)*$K464*$L464</f>
        <v/>
      </c>
      <c r="AB464" s="13">
        <f>SUMPRODUCT(M464:X464,$M$4:$X$4)*$K464*$L464</f>
        <v/>
      </c>
      <c r="AC464" s="15">
        <f>SUMPRODUCT(M464:X464,$M$5:$X$5)*$K464*$L464</f>
        <v/>
      </c>
      <c r="AD464" s="15">
        <f>SUMPRODUCT(M464:X464,$M$6:$X$6)*$K464*$L464</f>
        <v/>
      </c>
      <c r="AE464" s="19" t="n"/>
    </row>
    <row r="465">
      <c r="A465" s="9" t="n">
        <v>669923</v>
      </c>
      <c r="B465" s="9" t="inlineStr">
        <is>
          <t>George Kirby</t>
        </is>
      </c>
      <c r="C465" s="9" t="inlineStr">
        <is>
          <t>SEA</t>
        </is>
      </c>
      <c r="D465" s="9" t="n">
        <v>29</v>
      </c>
      <c r="E465" s="17" t="inlineStr">
        <is>
          <t>R</t>
        </is>
      </c>
      <c r="F465" s="17" t="n"/>
      <c r="G465" s="9" t="n">
        <v>718</v>
      </c>
      <c r="H465" s="9" t="n">
        <v>3319</v>
      </c>
      <c r="I465" s="9" t="inlineStr">
        <is>
          <t>Mid-Rotation Starter (SP2-3)</t>
        </is>
      </c>
      <c r="J465" s="17" t="inlineStr">
        <is>
          <t>Opening Day</t>
        </is>
      </c>
      <c r="K465" s="11">
        <f>IFERROR(INDEX(Roles!$B$17:$B$20,MATCH(J465,Roles!$A$17:$A$20,0)),1)</f>
        <v/>
      </c>
      <c r="L465" s="18" t="n">
        <v>1</v>
      </c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3">
        <f>SUMPRODUCT(M465:X465,$M$2:$X$2)*$K465*$L465</f>
        <v/>
      </c>
      <c r="Z465" s="14">
        <f>SUM(M465:X465)</f>
        <v/>
      </c>
      <c r="AA465" s="13">
        <f>SUMPRODUCT(M465:X465,$M$3:$X$3)*$K465*$L465</f>
        <v/>
      </c>
      <c r="AB465" s="13">
        <f>SUMPRODUCT(M465:X465,$M$4:$X$4)*$K465*$L465</f>
        <v/>
      </c>
      <c r="AC465" s="15">
        <f>SUMPRODUCT(M465:X465,$M$5:$X$5)*$K465*$L465</f>
        <v/>
      </c>
      <c r="AD465" s="15">
        <f>SUMPRODUCT(M465:X465,$M$6:$X$6)*$K465*$L465</f>
        <v/>
      </c>
      <c r="AE465" s="19" t="n"/>
    </row>
    <row r="466">
      <c r="A466" s="9" t="n">
        <v>606625</v>
      </c>
      <c r="B466" s="9" t="inlineStr">
        <is>
          <t>Reyes Moronta</t>
        </is>
      </c>
      <c r="C466" s="9" t="inlineStr">
        <is>
          <t>ARI</t>
        </is>
      </c>
      <c r="D466" s="9" t="n">
        <v>34</v>
      </c>
      <c r="E466" s="17" t="inlineStr">
        <is>
          <t>R</t>
        </is>
      </c>
      <c r="F466" s="17" t="n"/>
      <c r="G466" s="9" t="n">
        <v>11</v>
      </c>
      <c r="H466" s="9" t="n">
        <v>172</v>
      </c>
      <c r="I466" s="9" t="inlineStr">
        <is>
          <t>Depth (no MLB IP)</t>
        </is>
      </c>
      <c r="J466" s="17" t="inlineStr">
        <is>
          <t>Opening Day</t>
        </is>
      </c>
      <c r="K466" s="11">
        <f>IFERROR(INDEX(Roles!$B$17:$B$20,MATCH(J466,Roles!$A$17:$A$20,0)),1)</f>
        <v/>
      </c>
      <c r="L466" s="18" t="n">
        <v>1</v>
      </c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3">
        <f>SUMPRODUCT(M466:X466,$M$2:$X$2)*$K466*$L466</f>
        <v/>
      </c>
      <c r="Z466" s="14">
        <f>SUM(M466:X466)</f>
        <v/>
      </c>
      <c r="AA466" s="13">
        <f>SUMPRODUCT(M466:X466,$M$3:$X$3)*$K466*$L466</f>
        <v/>
      </c>
      <c r="AB466" s="13">
        <f>SUMPRODUCT(M466:X466,$M$4:$X$4)*$K466*$L466</f>
        <v/>
      </c>
      <c r="AC466" s="15">
        <f>SUMPRODUCT(M466:X466,$M$5:$X$5)*$K466*$L466</f>
        <v/>
      </c>
      <c r="AD466" s="15">
        <f>SUMPRODUCT(M466:X466,$M$6:$X$6)*$K466*$L466</f>
        <v/>
      </c>
      <c r="AE466" s="19" t="n"/>
    </row>
    <row r="467">
      <c r="A467" s="9" t="n">
        <v>656420</v>
      </c>
      <c r="B467" s="9" t="inlineStr">
        <is>
          <t>J.P. Feyereisen</t>
        </is>
      </c>
      <c r="C467" s="9" t="inlineStr">
        <is>
          <t>LAD</t>
        </is>
      </c>
      <c r="D467" s="9" t="n">
        <v>34</v>
      </c>
      <c r="E467" s="17" t="inlineStr">
        <is>
          <t>R</t>
        </is>
      </c>
      <c r="F467" s="17" t="n"/>
      <c r="G467" s="9" t="n">
        <v>23</v>
      </c>
      <c r="H467" s="9" t="n">
        <v>157</v>
      </c>
      <c r="I467" s="9" t="inlineStr">
        <is>
          <t>Depth (no MLB IP)</t>
        </is>
      </c>
      <c r="J467" s="17" t="inlineStr">
        <is>
          <t>Opening Day</t>
        </is>
      </c>
      <c r="K467" s="11">
        <f>IFERROR(INDEX(Roles!$B$17:$B$20,MATCH(J467,Roles!$A$17:$A$20,0)),1)</f>
        <v/>
      </c>
      <c r="L467" s="18" t="n">
        <v>1</v>
      </c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3">
        <f>SUMPRODUCT(M467:X467,$M$2:$X$2)*$K467*$L467</f>
        <v/>
      </c>
      <c r="Z467" s="14">
        <f>SUM(M467:X467)</f>
        <v/>
      </c>
      <c r="AA467" s="13">
        <f>SUMPRODUCT(M467:X467,$M$3:$X$3)*$K467*$L467</f>
        <v/>
      </c>
      <c r="AB467" s="13">
        <f>SUMPRODUCT(M467:X467,$M$4:$X$4)*$K467*$L467</f>
        <v/>
      </c>
      <c r="AC467" s="15">
        <f>SUMPRODUCT(M467:X467,$M$5:$X$5)*$K467*$L467</f>
        <v/>
      </c>
      <c r="AD467" s="15">
        <f>SUMPRODUCT(M467:X467,$M$6:$X$6)*$K467*$L467</f>
        <v/>
      </c>
      <c r="AE467" s="19" t="n"/>
    </row>
    <row r="468">
      <c r="A468" s="9" t="n">
        <v>669212</v>
      </c>
      <c r="B468" s="9" t="inlineStr">
        <is>
          <t>Eli Morgan</t>
        </is>
      </c>
      <c r="C468" s="9" t="inlineStr">
        <is>
          <t>KC</t>
        </is>
      </c>
      <c r="D468" s="9" t="n">
        <v>31</v>
      </c>
      <c r="E468" s="17" t="inlineStr">
        <is>
          <t>R</t>
        </is>
      </c>
      <c r="F468" s="17" t="n"/>
      <c r="G468" s="9" t="n">
        <v>91</v>
      </c>
      <c r="H468" s="9" t="n">
        <v>848</v>
      </c>
      <c r="I468" s="9" t="inlineStr">
        <is>
          <t>Middle Relief</t>
        </is>
      </c>
      <c r="J468" s="17" t="inlineStr">
        <is>
          <t>Opening Day</t>
        </is>
      </c>
      <c r="K468" s="11">
        <f>IFERROR(INDEX(Roles!$B$17:$B$20,MATCH(J468,Roles!$A$17:$A$20,0)),1)</f>
        <v/>
      </c>
      <c r="L468" s="18" t="n">
        <v>1</v>
      </c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3">
        <f>SUMPRODUCT(M468:X468,$M$2:$X$2)*$K468*$L468</f>
        <v/>
      </c>
      <c r="Z468" s="14">
        <f>SUM(M468:X468)</f>
        <v/>
      </c>
      <c r="AA468" s="13">
        <f>SUMPRODUCT(M468:X468,$M$3:$X$3)*$K468*$L468</f>
        <v/>
      </c>
      <c r="AB468" s="13">
        <f>SUMPRODUCT(M468:X468,$M$4:$X$4)*$K468*$L468</f>
        <v/>
      </c>
      <c r="AC468" s="15">
        <f>SUMPRODUCT(M468:X468,$M$5:$X$5)*$K468*$L468</f>
        <v/>
      </c>
      <c r="AD468" s="15">
        <f>SUMPRODUCT(M468:X468,$M$6:$X$6)*$K468*$L468</f>
        <v/>
      </c>
      <c r="AE468" s="19" t="n"/>
    </row>
    <row r="469">
      <c r="A469" s="9" t="n">
        <v>642231</v>
      </c>
      <c r="B469" s="9" t="inlineStr">
        <is>
          <t>Jimmy Yacabonis</t>
        </is>
      </c>
      <c r="C469" s="9" t="inlineStr">
        <is>
          <t>NYM</t>
        </is>
      </c>
      <c r="D469" s="9" t="n">
        <v>35</v>
      </c>
      <c r="E469" s="17" t="inlineStr">
        <is>
          <t>R</t>
        </is>
      </c>
      <c r="F469" s="17" t="n"/>
      <c r="G469" s="9" t="n">
        <v>62</v>
      </c>
      <c r="H469" s="9" t="n">
        <v>135</v>
      </c>
      <c r="I469" s="9" t="inlineStr">
        <is>
          <t>Depth (no MLB IP)</t>
        </is>
      </c>
      <c r="J469" s="17" t="inlineStr">
        <is>
          <t>Opening Day</t>
        </is>
      </c>
      <c r="K469" s="11">
        <f>IFERROR(INDEX(Roles!$B$17:$B$20,MATCH(J469,Roles!$A$17:$A$20,0)),1)</f>
        <v/>
      </c>
      <c r="L469" s="18" t="n">
        <v>1</v>
      </c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3">
        <f>SUMPRODUCT(M469:X469,$M$2:$X$2)*$K469*$L469</f>
        <v/>
      </c>
      <c r="Z469" s="14">
        <f>SUM(M469:X469)</f>
        <v/>
      </c>
      <c r="AA469" s="13">
        <f>SUMPRODUCT(M469:X469,$M$3:$X$3)*$K469*$L469</f>
        <v/>
      </c>
      <c r="AB469" s="13">
        <f>SUMPRODUCT(M469:X469,$M$4:$X$4)*$K469*$L469</f>
        <v/>
      </c>
      <c r="AC469" s="15">
        <f>SUMPRODUCT(M469:X469,$M$5:$X$5)*$K469*$L469</f>
        <v/>
      </c>
      <c r="AD469" s="15">
        <f>SUMPRODUCT(M469:X469,$M$6:$X$6)*$K469*$L469</f>
        <v/>
      </c>
      <c r="AE469" s="19" t="n"/>
    </row>
    <row r="470">
      <c r="A470" s="9" t="n">
        <v>669424</v>
      </c>
      <c r="B470" s="9" t="inlineStr">
        <is>
          <t>Jimmy Lambert</t>
        </is>
      </c>
      <c r="C470" s="9" t="inlineStr">
        <is>
          <t>CWS</t>
        </is>
      </c>
      <c r="D470" s="9" t="n">
        <v>32</v>
      </c>
      <c r="E470" s="17" t="inlineStr">
        <is>
          <t>R</t>
        </is>
      </c>
      <c r="F470" s="17" t="n"/>
      <c r="G470" s="9" t="n">
        <v>172</v>
      </c>
      <c r="H470" s="9" t="n">
        <v>376</v>
      </c>
      <c r="I470" s="9" t="inlineStr">
        <is>
          <t>Depth (no MLB IP)</t>
        </is>
      </c>
      <c r="J470" s="17" t="inlineStr">
        <is>
          <t>Opening Day</t>
        </is>
      </c>
      <c r="K470" s="11">
        <f>IFERROR(INDEX(Roles!$B$17:$B$20,MATCH(J470,Roles!$A$17:$A$20,0)),1)</f>
        <v/>
      </c>
      <c r="L470" s="18" t="n">
        <v>1</v>
      </c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3">
        <f>SUMPRODUCT(M470:X470,$M$2:$X$2)*$K470*$L470</f>
        <v/>
      </c>
      <c r="Z470" s="14">
        <f>SUM(M470:X470)</f>
        <v/>
      </c>
      <c r="AA470" s="13">
        <f>SUMPRODUCT(M470:X470,$M$3:$X$3)*$K470*$L470</f>
        <v/>
      </c>
      <c r="AB470" s="13">
        <f>SUMPRODUCT(M470:X470,$M$4:$X$4)*$K470*$L470</f>
        <v/>
      </c>
      <c r="AC470" s="15">
        <f>SUMPRODUCT(M470:X470,$M$5:$X$5)*$K470*$L470</f>
        <v/>
      </c>
      <c r="AD470" s="15">
        <f>SUMPRODUCT(M470:X470,$M$6:$X$6)*$K470*$L470</f>
        <v/>
      </c>
      <c r="AE470" s="19" t="n"/>
    </row>
    <row r="471">
      <c r="A471" s="9" t="n">
        <v>624522</v>
      </c>
      <c r="B471" s="9" t="inlineStr">
        <is>
          <t>Keegan Thompson</t>
        </is>
      </c>
      <c r="C471" s="9" t="inlineStr">
        <is>
          <t>COL</t>
        </is>
      </c>
      <c r="D471" s="9" t="n">
        <v>32</v>
      </c>
      <c r="E471" s="17" t="inlineStr">
        <is>
          <t>R</t>
        </is>
      </c>
      <c r="F471" s="17" t="n"/>
      <c r="G471" s="9" t="n">
        <v>57</v>
      </c>
      <c r="H471" s="9" t="n">
        <v>794</v>
      </c>
      <c r="I471" s="9" t="inlineStr">
        <is>
          <t>Bullpen Depth Arm</t>
        </is>
      </c>
      <c r="J471" s="17" t="inlineStr">
        <is>
          <t>Opening Day</t>
        </is>
      </c>
      <c r="K471" s="11">
        <f>IFERROR(INDEX(Roles!$B$17:$B$20,MATCH(J471,Roles!$A$17:$A$20,0)),1)</f>
        <v/>
      </c>
      <c r="L471" s="18" t="n">
        <v>1</v>
      </c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3">
        <f>SUMPRODUCT(M471:X471,$M$2:$X$2)*$K471*$L471</f>
        <v/>
      </c>
      <c r="Z471" s="14">
        <f>SUM(M471:X471)</f>
        <v/>
      </c>
      <c r="AA471" s="13">
        <f>SUMPRODUCT(M471:X471,$M$3:$X$3)*$K471*$L471</f>
        <v/>
      </c>
      <c r="AB471" s="13">
        <f>SUMPRODUCT(M471:X471,$M$4:$X$4)*$K471*$L471</f>
        <v/>
      </c>
      <c r="AC471" s="15">
        <f>SUMPRODUCT(M471:X471,$M$5:$X$5)*$K471*$L471</f>
        <v/>
      </c>
      <c r="AD471" s="15">
        <f>SUMPRODUCT(M471:X471,$M$6:$X$6)*$K471*$L471</f>
        <v/>
      </c>
      <c r="AE471" s="19" t="n"/>
    </row>
    <row r="472">
      <c r="A472" s="9" t="n">
        <v>678906</v>
      </c>
      <c r="B472" s="9" t="inlineStr">
        <is>
          <t>Kai-Wei Teng</t>
        </is>
      </c>
      <c r="C472" s="9" t="inlineStr">
        <is>
          <t>HOU</t>
        </is>
      </c>
      <c r="D472" s="9" t="n">
        <v>28</v>
      </c>
      <c r="E472" s="17" t="inlineStr">
        <is>
          <t>R</t>
        </is>
      </c>
      <c r="F472" s="17" t="n"/>
      <c r="G472" s="9" t="n">
        <v>329</v>
      </c>
      <c r="H472" s="9" t="n">
        <v>523</v>
      </c>
      <c r="I472" s="9" t="inlineStr">
        <is>
          <t>Bullpen Depth Arm</t>
        </is>
      </c>
      <c r="J472" s="17" t="inlineStr">
        <is>
          <t>Opening Day</t>
        </is>
      </c>
      <c r="K472" s="11">
        <f>IFERROR(INDEX(Roles!$B$17:$B$20,MATCH(J472,Roles!$A$17:$A$20,0)),1)</f>
        <v/>
      </c>
      <c r="L472" s="18" t="n">
        <v>1</v>
      </c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3">
        <f>SUMPRODUCT(M472:X472,$M$2:$X$2)*$K472*$L472</f>
        <v/>
      </c>
      <c r="Z472" s="14">
        <f>SUM(M472:X472)</f>
        <v/>
      </c>
      <c r="AA472" s="13">
        <f>SUMPRODUCT(M472:X472,$M$3:$X$3)*$K472*$L472</f>
        <v/>
      </c>
      <c r="AB472" s="13">
        <f>SUMPRODUCT(M472:X472,$M$4:$X$4)*$K472*$L472</f>
        <v/>
      </c>
      <c r="AC472" s="15">
        <f>SUMPRODUCT(M472:X472,$M$5:$X$5)*$K472*$L472</f>
        <v/>
      </c>
      <c r="AD472" s="15">
        <f>SUMPRODUCT(M472:X472,$M$6:$X$6)*$K472*$L472</f>
        <v/>
      </c>
      <c r="AE472" s="19" t="n"/>
    </row>
    <row r="473">
      <c r="A473" s="9" t="n">
        <v>675848</v>
      </c>
      <c r="B473" s="9" t="inlineStr">
        <is>
          <t>Juan Mejia</t>
        </is>
      </c>
      <c r="C473" s="9" t="inlineStr">
        <is>
          <t>COL</t>
        </is>
      </c>
      <c r="D473" s="9" t="n">
        <v>26</v>
      </c>
      <c r="E473" s="17" t="inlineStr">
        <is>
          <t>R</t>
        </is>
      </c>
      <c r="F473" s="17" t="n"/>
      <c r="G473" s="9" t="n">
        <v>303</v>
      </c>
      <c r="H473" s="9" t="n">
        <v>564</v>
      </c>
      <c r="I473" s="9" t="inlineStr">
        <is>
          <t>Middle Relief</t>
        </is>
      </c>
      <c r="J473" s="17" t="inlineStr">
        <is>
          <t>Opening Day</t>
        </is>
      </c>
      <c r="K473" s="11">
        <f>IFERROR(INDEX(Roles!$B$17:$B$20,MATCH(J473,Roles!$A$17:$A$20,0)),1)</f>
        <v/>
      </c>
      <c r="L473" s="18" t="n">
        <v>1</v>
      </c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3">
        <f>SUMPRODUCT(M473:X473,$M$2:$X$2)*$K473*$L473</f>
        <v/>
      </c>
      <c r="Z473" s="14">
        <f>SUM(M473:X473)</f>
        <v/>
      </c>
      <c r="AA473" s="13">
        <f>SUMPRODUCT(M473:X473,$M$3:$X$3)*$K473*$L473</f>
        <v/>
      </c>
      <c r="AB473" s="13">
        <f>SUMPRODUCT(M473:X473,$M$4:$X$4)*$K473*$L473</f>
        <v/>
      </c>
      <c r="AC473" s="15">
        <f>SUMPRODUCT(M473:X473,$M$5:$X$5)*$K473*$L473</f>
        <v/>
      </c>
      <c r="AD473" s="15">
        <f>SUMPRODUCT(M473:X473,$M$6:$X$6)*$K473*$L473</f>
        <v/>
      </c>
      <c r="AE473" s="19" t="n"/>
    </row>
    <row r="474">
      <c r="A474" s="9" t="n">
        <v>663752</v>
      </c>
      <c r="B474" s="9" t="inlineStr">
        <is>
          <t>Cody Morris</t>
        </is>
      </c>
      <c r="C474" s="9" t="inlineStr">
        <is>
          <t>CLE</t>
        </is>
      </c>
      <c r="D474" s="9" t="n">
        <v>30</v>
      </c>
      <c r="E474" s="17" t="inlineStr">
        <is>
          <t>R</t>
        </is>
      </c>
      <c r="F474" s="17" t="n"/>
      <c r="G474" s="9" t="n">
        <v>38</v>
      </c>
      <c r="H474" s="9" t="n">
        <v>138</v>
      </c>
      <c r="I474" s="9" t="inlineStr">
        <is>
          <t>Depth (no MLB IP)</t>
        </is>
      </c>
      <c r="J474" s="17" t="inlineStr">
        <is>
          <t>Opening Day</t>
        </is>
      </c>
      <c r="K474" s="11">
        <f>IFERROR(INDEX(Roles!$B$17:$B$20,MATCH(J474,Roles!$A$17:$A$20,0)),1)</f>
        <v/>
      </c>
      <c r="L474" s="18" t="n">
        <v>1</v>
      </c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3">
        <f>SUMPRODUCT(M474:X474,$M$2:$X$2)*$K474*$L474</f>
        <v/>
      </c>
      <c r="Z474" s="14">
        <f>SUM(M474:X474)</f>
        <v/>
      </c>
      <c r="AA474" s="13">
        <f>SUMPRODUCT(M474:X474,$M$3:$X$3)*$K474*$L474</f>
        <v/>
      </c>
      <c r="AB474" s="13">
        <f>SUMPRODUCT(M474:X474,$M$4:$X$4)*$K474*$L474</f>
        <v/>
      </c>
      <c r="AC474" s="15">
        <f>SUMPRODUCT(M474:X474,$M$5:$X$5)*$K474*$L474</f>
        <v/>
      </c>
      <c r="AD474" s="15">
        <f>SUMPRODUCT(M474:X474,$M$6:$X$6)*$K474*$L474</f>
        <v/>
      </c>
      <c r="AE474" s="19" t="n"/>
    </row>
    <row r="475">
      <c r="A475" s="9" t="n">
        <v>592426</v>
      </c>
      <c r="B475" s="9" t="inlineStr">
        <is>
          <t>Luke Jackson</t>
        </is>
      </c>
      <c r="C475" s="9" t="inlineStr">
        <is>
          <t>SEA</t>
        </is>
      </c>
      <c r="D475" s="9" t="n">
        <v>35</v>
      </c>
      <c r="E475" s="17" t="inlineStr">
        <is>
          <t>R</t>
        </is>
      </c>
      <c r="F475" s="17" t="n"/>
      <c r="G475" s="9" t="n">
        <v>219</v>
      </c>
      <c r="H475" s="9" t="n">
        <v>597</v>
      </c>
      <c r="I475" s="9" t="inlineStr">
        <is>
          <t>Bullpen Depth Arm</t>
        </is>
      </c>
      <c r="J475" s="17" t="inlineStr">
        <is>
          <t>Opening Day</t>
        </is>
      </c>
      <c r="K475" s="11">
        <f>IFERROR(INDEX(Roles!$B$17:$B$20,MATCH(J475,Roles!$A$17:$A$20,0)),1)</f>
        <v/>
      </c>
      <c r="L475" s="18" t="n">
        <v>1</v>
      </c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3">
        <f>SUMPRODUCT(M475:X475,$M$2:$X$2)*$K475*$L475</f>
        <v/>
      </c>
      <c r="Z475" s="14">
        <f>SUM(M475:X475)</f>
        <v/>
      </c>
      <c r="AA475" s="13">
        <f>SUMPRODUCT(M475:X475,$M$3:$X$3)*$K475*$L475</f>
        <v/>
      </c>
      <c r="AB475" s="13">
        <f>SUMPRODUCT(M475:X475,$M$4:$X$4)*$K475*$L475</f>
        <v/>
      </c>
      <c r="AC475" s="15">
        <f>SUMPRODUCT(M475:X475,$M$5:$X$5)*$K475*$L475</f>
        <v/>
      </c>
      <c r="AD475" s="15">
        <f>SUMPRODUCT(M475:X475,$M$6:$X$6)*$K475*$L475</f>
        <v/>
      </c>
      <c r="AE475" s="19" t="n"/>
    </row>
    <row r="476">
      <c r="A476" s="9" t="n">
        <v>693308</v>
      </c>
      <c r="B476" s="9" t="inlineStr">
        <is>
          <t>Nick Frasso</t>
        </is>
      </c>
      <c r="C476" s="9" t="inlineStr">
        <is>
          <t>COL</t>
        </is>
      </c>
      <c r="D476" s="9" t="n">
        <v>28</v>
      </c>
      <c r="E476" s="17" t="inlineStr">
        <is>
          <t>R</t>
        </is>
      </c>
      <c r="F476" s="17" t="n"/>
      <c r="G476" s="9" t="n">
        <v>82</v>
      </c>
      <c r="H476" s="9" t="n">
        <v>82</v>
      </c>
      <c r="I476" s="9" t="inlineStr">
        <is>
          <t>Bullpen Depth Arm</t>
        </is>
      </c>
      <c r="J476" s="17" t="inlineStr">
        <is>
          <t>Opening Day</t>
        </is>
      </c>
      <c r="K476" s="11">
        <f>IFERROR(INDEX(Roles!$B$17:$B$20,MATCH(J476,Roles!$A$17:$A$20,0)),1)</f>
        <v/>
      </c>
      <c r="L476" s="18" t="n">
        <v>1</v>
      </c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3">
        <f>SUMPRODUCT(M476:X476,$M$2:$X$2)*$K476*$L476</f>
        <v/>
      </c>
      <c r="Z476" s="14">
        <f>SUM(M476:X476)</f>
        <v/>
      </c>
      <c r="AA476" s="13">
        <f>SUMPRODUCT(M476:X476,$M$3:$X$3)*$K476*$L476</f>
        <v/>
      </c>
      <c r="AB476" s="13">
        <f>SUMPRODUCT(M476:X476,$M$4:$X$4)*$K476*$L476</f>
        <v/>
      </c>
      <c r="AC476" s="15">
        <f>SUMPRODUCT(M476:X476,$M$5:$X$5)*$K476*$L476</f>
        <v/>
      </c>
      <c r="AD476" s="15">
        <f>SUMPRODUCT(M476:X476,$M$6:$X$6)*$K476*$L476</f>
        <v/>
      </c>
      <c r="AE476" s="19" t="n"/>
    </row>
    <row r="477">
      <c r="A477" s="9" t="n">
        <v>681808</v>
      </c>
      <c r="B477" s="9" t="inlineStr">
        <is>
          <t>Chris Vallimont</t>
        </is>
      </c>
      <c r="C477" s="9" t="inlineStr"/>
      <c r="D477" s="9" t="n">
        <v>30</v>
      </c>
      <c r="E477" s="17" t="inlineStr">
        <is>
          <t>R</t>
        </is>
      </c>
      <c r="F477" s="17" t="n"/>
      <c r="G477" s="9" t="n">
        <v>2</v>
      </c>
      <c r="H477" s="9" t="n">
        <v>2</v>
      </c>
      <c r="I477" s="9" t="inlineStr">
        <is>
          <t>Depth (no MLB IP)</t>
        </is>
      </c>
      <c r="J477" s="17" t="inlineStr">
        <is>
          <t>Opening Day</t>
        </is>
      </c>
      <c r="K477" s="11">
        <f>IFERROR(INDEX(Roles!$B$17:$B$20,MATCH(J477,Roles!$A$17:$A$20,0)),1)</f>
        <v/>
      </c>
      <c r="L477" s="18" t="n">
        <v>1</v>
      </c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3">
        <f>SUMPRODUCT(M477:X477,$M$2:$X$2)*$K477*$L477</f>
        <v/>
      </c>
      <c r="Z477" s="14">
        <f>SUM(M477:X477)</f>
        <v/>
      </c>
      <c r="AA477" s="13">
        <f>SUMPRODUCT(M477:X477,$M$3:$X$3)*$K477*$L477</f>
        <v/>
      </c>
      <c r="AB477" s="13">
        <f>SUMPRODUCT(M477:X477,$M$4:$X$4)*$K477*$L477</f>
        <v/>
      </c>
      <c r="AC477" s="15">
        <f>SUMPRODUCT(M477:X477,$M$5:$X$5)*$K477*$L477</f>
        <v/>
      </c>
      <c r="AD477" s="15">
        <f>SUMPRODUCT(M477:X477,$M$6:$X$6)*$K477*$L477</f>
        <v/>
      </c>
      <c r="AE477" s="19" t="n"/>
    </row>
    <row r="478">
      <c r="A478" s="9" t="n">
        <v>689818</v>
      </c>
      <c r="B478" s="9" t="inlineStr">
        <is>
          <t>David Sandlin</t>
        </is>
      </c>
      <c r="C478" s="9" t="inlineStr">
        <is>
          <t>CWS</t>
        </is>
      </c>
      <c r="D478" s="9" t="n">
        <v>26</v>
      </c>
      <c r="E478" s="17" t="inlineStr">
        <is>
          <t>R</t>
        </is>
      </c>
      <c r="F478" s="17" t="n"/>
      <c r="G478" s="9" t="n">
        <v>126</v>
      </c>
      <c r="H478" s="9" t="n">
        <v>126</v>
      </c>
      <c r="I478" s="9" t="inlineStr">
        <is>
          <t>Mid-Rotation Starter (SP2-3)</t>
        </is>
      </c>
      <c r="J478" s="17" t="inlineStr">
        <is>
          <t>Opening Day</t>
        </is>
      </c>
      <c r="K478" s="11">
        <f>IFERROR(INDEX(Roles!$B$17:$B$20,MATCH(J478,Roles!$A$17:$A$20,0)),1)</f>
        <v/>
      </c>
      <c r="L478" s="18" t="n">
        <v>1</v>
      </c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3">
        <f>SUMPRODUCT(M478:X478,$M$2:$X$2)*$K478*$L478</f>
        <v/>
      </c>
      <c r="Z478" s="14">
        <f>SUM(M478:X478)</f>
        <v/>
      </c>
      <c r="AA478" s="13">
        <f>SUMPRODUCT(M478:X478,$M$3:$X$3)*$K478*$L478</f>
        <v/>
      </c>
      <c r="AB478" s="13">
        <f>SUMPRODUCT(M478:X478,$M$4:$X$4)*$K478*$L478</f>
        <v/>
      </c>
      <c r="AC478" s="15">
        <f>SUMPRODUCT(M478:X478,$M$5:$X$5)*$K478*$L478</f>
        <v/>
      </c>
      <c r="AD478" s="15">
        <f>SUMPRODUCT(M478:X478,$M$6:$X$6)*$K478*$L478</f>
        <v/>
      </c>
      <c r="AE478" s="19" t="n"/>
    </row>
    <row r="479">
      <c r="A479" s="9" t="n">
        <v>622259</v>
      </c>
      <c r="B479" s="9" t="inlineStr">
        <is>
          <t>Trey Wingenter</t>
        </is>
      </c>
      <c r="C479" s="9" t="inlineStr">
        <is>
          <t>CHC</t>
        </is>
      </c>
      <c r="D479" s="9" t="n">
        <v>33</v>
      </c>
      <c r="E479" s="17" t="inlineStr">
        <is>
          <t>R</t>
        </is>
      </c>
      <c r="F479" s="17" t="n"/>
      <c r="G479" s="9" t="n">
        <v>42</v>
      </c>
      <c r="H479" s="9" t="n">
        <v>118</v>
      </c>
      <c r="I479" s="9" t="inlineStr">
        <is>
          <t>Depth (no MLB IP)</t>
        </is>
      </c>
      <c r="J479" s="17" t="inlineStr">
        <is>
          <t>Opening Day</t>
        </is>
      </c>
      <c r="K479" s="11">
        <f>IFERROR(INDEX(Roles!$B$17:$B$20,MATCH(J479,Roles!$A$17:$A$20,0)),1)</f>
        <v/>
      </c>
      <c r="L479" s="18" t="n">
        <v>1</v>
      </c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3">
        <f>SUMPRODUCT(M479:X479,$M$2:$X$2)*$K479*$L479</f>
        <v/>
      </c>
      <c r="Z479" s="14">
        <f>SUM(M479:X479)</f>
        <v/>
      </c>
      <c r="AA479" s="13">
        <f>SUMPRODUCT(M479:X479,$M$3:$X$3)*$K479*$L479</f>
        <v/>
      </c>
      <c r="AB479" s="13">
        <f>SUMPRODUCT(M479:X479,$M$4:$X$4)*$K479*$L479</f>
        <v/>
      </c>
      <c r="AC479" s="15">
        <f>SUMPRODUCT(M479:X479,$M$5:$X$5)*$K479*$L479</f>
        <v/>
      </c>
      <c r="AD479" s="15">
        <f>SUMPRODUCT(M479:X479,$M$6:$X$6)*$K479*$L479</f>
        <v/>
      </c>
      <c r="AE479" s="19" t="n"/>
    </row>
    <row r="480">
      <c r="A480" s="9" t="n">
        <v>664875</v>
      </c>
      <c r="B480" s="9" t="inlineStr">
        <is>
          <t>Justin Lawrence</t>
        </is>
      </c>
      <c r="C480" s="9" t="inlineStr">
        <is>
          <t>WSH</t>
        </is>
      </c>
      <c r="D480" s="9" t="n">
        <v>32</v>
      </c>
      <c r="E480" s="17" t="inlineStr">
        <is>
          <t>R</t>
        </is>
      </c>
      <c r="F480" s="17" t="n"/>
      <c r="G480" s="9" t="n">
        <v>177</v>
      </c>
      <c r="H480" s="9" t="n">
        <v>1042</v>
      </c>
      <c r="I480" s="9" t="inlineStr">
        <is>
          <t>Bullpen Depth Arm</t>
        </is>
      </c>
      <c r="J480" s="17" t="inlineStr">
        <is>
          <t>Opening Day</t>
        </is>
      </c>
      <c r="K480" s="11">
        <f>IFERROR(INDEX(Roles!$B$17:$B$20,MATCH(J480,Roles!$A$17:$A$20,0)),1)</f>
        <v/>
      </c>
      <c r="L480" s="18" t="n">
        <v>1</v>
      </c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3">
        <f>SUMPRODUCT(M480:X480,$M$2:$X$2)*$K480*$L480</f>
        <v/>
      </c>
      <c r="Z480" s="14">
        <f>SUM(M480:X480)</f>
        <v/>
      </c>
      <c r="AA480" s="13">
        <f>SUMPRODUCT(M480:X480,$M$3:$X$3)*$K480*$L480</f>
        <v/>
      </c>
      <c r="AB480" s="13">
        <f>SUMPRODUCT(M480:X480,$M$4:$X$4)*$K480*$L480</f>
        <v/>
      </c>
      <c r="AC480" s="15">
        <f>SUMPRODUCT(M480:X480,$M$5:$X$5)*$K480*$L480</f>
        <v/>
      </c>
      <c r="AD480" s="15">
        <f>SUMPRODUCT(M480:X480,$M$6:$X$6)*$K480*$L480</f>
        <v/>
      </c>
      <c r="AE480" s="19" t="n"/>
    </row>
    <row r="481">
      <c r="A481" s="9" t="n">
        <v>664731</v>
      </c>
      <c r="B481" s="9" t="inlineStr">
        <is>
          <t>P.J. Higgins</t>
        </is>
      </c>
      <c r="C481" s="9" t="inlineStr"/>
      <c r="D481" s="9" t="n">
        <v>34</v>
      </c>
      <c r="E481" s="17" t="inlineStr">
        <is>
          <t>R</t>
        </is>
      </c>
      <c r="F481" s="17" t="n"/>
      <c r="G481" s="9" t="n">
        <v>3</v>
      </c>
      <c r="H481" s="9" t="n">
        <v>3</v>
      </c>
      <c r="I481" s="9" t="inlineStr">
        <is>
          <t>Depth (no MLB IP)</t>
        </is>
      </c>
      <c r="J481" s="17" t="inlineStr">
        <is>
          <t>Opening Day</t>
        </is>
      </c>
      <c r="K481" s="11">
        <f>IFERROR(INDEX(Roles!$B$17:$B$20,MATCH(J481,Roles!$A$17:$A$20,0)),1)</f>
        <v/>
      </c>
      <c r="L481" s="18" t="n">
        <v>1</v>
      </c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3">
        <f>SUMPRODUCT(M481:X481,$M$2:$X$2)*$K481*$L481</f>
        <v/>
      </c>
      <c r="Z481" s="14">
        <f>SUM(M481:X481)</f>
        <v/>
      </c>
      <c r="AA481" s="13">
        <f>SUMPRODUCT(M481:X481,$M$3:$X$3)*$K481*$L481</f>
        <v/>
      </c>
      <c r="AB481" s="13">
        <f>SUMPRODUCT(M481:X481,$M$4:$X$4)*$K481*$L481</f>
        <v/>
      </c>
      <c r="AC481" s="15">
        <f>SUMPRODUCT(M481:X481,$M$5:$X$5)*$K481*$L481</f>
        <v/>
      </c>
      <c r="AD481" s="15">
        <f>SUMPRODUCT(M481:X481,$M$6:$X$6)*$K481*$L481</f>
        <v/>
      </c>
      <c r="AE481" s="19" t="n"/>
    </row>
    <row r="482">
      <c r="A482" s="9" t="n">
        <v>687721</v>
      </c>
      <c r="B482" s="9" t="inlineStr">
        <is>
          <t>Cameron Weston</t>
        </is>
      </c>
      <c r="C482" s="9" t="inlineStr"/>
      <c r="D482" s="9" t="n">
        <v>26</v>
      </c>
      <c r="E482" s="17" t="inlineStr">
        <is>
          <t>R</t>
        </is>
      </c>
      <c r="F482" s="17" t="n"/>
      <c r="G482" s="9" t="n">
        <v>3</v>
      </c>
      <c r="H482" s="9" t="n">
        <v>3</v>
      </c>
      <c r="I482" s="9" t="inlineStr">
        <is>
          <t>Depth (no MLB IP)</t>
        </is>
      </c>
      <c r="J482" s="17" t="inlineStr">
        <is>
          <t>Opening Day</t>
        </is>
      </c>
      <c r="K482" s="11">
        <f>IFERROR(INDEX(Roles!$B$17:$B$20,MATCH(J482,Roles!$A$17:$A$20,0)),1)</f>
        <v/>
      </c>
      <c r="L482" s="18" t="n">
        <v>1</v>
      </c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3">
        <f>SUMPRODUCT(M482:X482,$M$2:$X$2)*$K482*$L482</f>
        <v/>
      </c>
      <c r="Z482" s="14">
        <f>SUM(M482:X482)</f>
        <v/>
      </c>
      <c r="AA482" s="13">
        <f>SUMPRODUCT(M482:X482,$M$3:$X$3)*$K482*$L482</f>
        <v/>
      </c>
      <c r="AB482" s="13">
        <f>SUMPRODUCT(M482:X482,$M$4:$X$4)*$K482*$L482</f>
        <v/>
      </c>
      <c r="AC482" s="15">
        <f>SUMPRODUCT(M482:X482,$M$5:$X$5)*$K482*$L482</f>
        <v/>
      </c>
      <c r="AD482" s="15">
        <f>SUMPRODUCT(M482:X482,$M$6:$X$6)*$K482*$L482</f>
        <v/>
      </c>
      <c r="AE482" s="19" t="n"/>
    </row>
    <row r="483">
      <c r="A483" s="9" t="n">
        <v>666974</v>
      </c>
      <c r="B483" s="9" t="inlineStr">
        <is>
          <t>Yennier Cano</t>
        </is>
      </c>
      <c r="C483" s="9" t="inlineStr">
        <is>
          <t>BAL</t>
        </is>
      </c>
      <c r="D483" s="9" t="n">
        <v>33</v>
      </c>
      <c r="E483" s="17" t="inlineStr">
        <is>
          <t>R</t>
        </is>
      </c>
      <c r="F483" s="17" t="n"/>
      <c r="G483" s="9" t="n">
        <v>194</v>
      </c>
      <c r="H483" s="9" t="n">
        <v>1074</v>
      </c>
      <c r="I483" s="9" t="inlineStr">
        <is>
          <t>Bullpen Depth Arm</t>
        </is>
      </c>
      <c r="J483" s="17" t="inlineStr">
        <is>
          <t>Opening Day</t>
        </is>
      </c>
      <c r="K483" s="11">
        <f>IFERROR(INDEX(Roles!$B$17:$B$20,MATCH(J483,Roles!$A$17:$A$20,0)),1)</f>
        <v/>
      </c>
      <c r="L483" s="18" t="n">
        <v>1</v>
      </c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3">
        <f>SUMPRODUCT(M483:X483,$M$2:$X$2)*$K483*$L483</f>
        <v/>
      </c>
      <c r="Z483" s="14">
        <f>SUM(M483:X483)</f>
        <v/>
      </c>
      <c r="AA483" s="13">
        <f>SUMPRODUCT(M483:X483,$M$3:$X$3)*$K483*$L483</f>
        <v/>
      </c>
      <c r="AB483" s="13">
        <f>SUMPRODUCT(M483:X483,$M$4:$X$4)*$K483*$L483</f>
        <v/>
      </c>
      <c r="AC483" s="15">
        <f>SUMPRODUCT(M483:X483,$M$5:$X$5)*$K483*$L483</f>
        <v/>
      </c>
      <c r="AD483" s="15">
        <f>SUMPRODUCT(M483:X483,$M$6:$X$6)*$K483*$L483</f>
        <v/>
      </c>
      <c r="AE483" s="19" t="n"/>
    </row>
    <row r="484">
      <c r="A484" s="9" t="n">
        <v>691384</v>
      </c>
      <c r="B484" s="9" t="inlineStr">
        <is>
          <t>Luis Perales</t>
        </is>
      </c>
      <c r="C484" s="9" t="inlineStr">
        <is>
          <t>WSH</t>
        </is>
      </c>
      <c r="D484" s="9" t="n">
        <v>24</v>
      </c>
      <c r="E484" s="17" t="inlineStr">
        <is>
          <t>R</t>
        </is>
      </c>
      <c r="F484" s="17" t="n"/>
      <c r="G484" s="9" t="n">
        <v>47</v>
      </c>
      <c r="H484" s="9" t="n">
        <v>47</v>
      </c>
      <c r="I484" s="9" t="inlineStr">
        <is>
          <t>Bullpen Depth Arm</t>
        </is>
      </c>
      <c r="J484" s="17" t="inlineStr">
        <is>
          <t>Opening Day</t>
        </is>
      </c>
      <c r="K484" s="11">
        <f>IFERROR(INDEX(Roles!$B$17:$B$20,MATCH(J484,Roles!$A$17:$A$20,0)),1)</f>
        <v/>
      </c>
      <c r="L484" s="18" t="n">
        <v>1</v>
      </c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3">
        <f>SUMPRODUCT(M484:X484,$M$2:$X$2)*$K484*$L484</f>
        <v/>
      </c>
      <c r="Z484" s="14">
        <f>SUM(M484:X484)</f>
        <v/>
      </c>
      <c r="AA484" s="13">
        <f>SUMPRODUCT(M484:X484,$M$3:$X$3)*$K484*$L484</f>
        <v/>
      </c>
      <c r="AB484" s="13">
        <f>SUMPRODUCT(M484:X484,$M$4:$X$4)*$K484*$L484</f>
        <v/>
      </c>
      <c r="AC484" s="15">
        <f>SUMPRODUCT(M484:X484,$M$5:$X$5)*$K484*$L484</f>
        <v/>
      </c>
      <c r="AD484" s="15">
        <f>SUMPRODUCT(M484:X484,$M$6:$X$6)*$K484*$L484</f>
        <v/>
      </c>
      <c r="AE484" s="19" t="n"/>
    </row>
    <row r="485">
      <c r="A485" s="9" t="n">
        <v>677960</v>
      </c>
      <c r="B485" s="9" t="inlineStr">
        <is>
          <t>Ryan Weathers</t>
        </is>
      </c>
      <c r="C485" s="9" t="inlineStr">
        <is>
          <t>NYY</t>
        </is>
      </c>
      <c r="D485" s="9" t="n">
        <v>27</v>
      </c>
      <c r="E485" s="17" t="inlineStr">
        <is>
          <t>L</t>
        </is>
      </c>
      <c r="F485" s="17" t="n"/>
      <c r="G485" s="9" t="n">
        <v>568</v>
      </c>
      <c r="H485" s="9" t="n">
        <v>1379</v>
      </c>
      <c r="I485" s="9" t="inlineStr">
        <is>
          <t>Mid-Rotation Starter (SP2-3)</t>
        </is>
      </c>
      <c r="J485" s="17" t="inlineStr">
        <is>
          <t>Opening Day</t>
        </is>
      </c>
      <c r="K485" s="11">
        <f>IFERROR(INDEX(Roles!$B$17:$B$20,MATCH(J485,Roles!$A$17:$A$20,0)),1)</f>
        <v/>
      </c>
      <c r="L485" s="18" t="n">
        <v>1</v>
      </c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3">
        <f>SUMPRODUCT(M485:X485,$M$2:$X$2)*$K485*$L485</f>
        <v/>
      </c>
      <c r="Z485" s="14">
        <f>SUM(M485:X485)</f>
        <v/>
      </c>
      <c r="AA485" s="13">
        <f>SUMPRODUCT(M485:X485,$M$3:$X$3)*$K485*$L485</f>
        <v/>
      </c>
      <c r="AB485" s="13">
        <f>SUMPRODUCT(M485:X485,$M$4:$X$4)*$K485*$L485</f>
        <v/>
      </c>
      <c r="AC485" s="15">
        <f>SUMPRODUCT(M485:X485,$M$5:$X$5)*$K485*$L485</f>
        <v/>
      </c>
      <c r="AD485" s="15">
        <f>SUMPRODUCT(M485:X485,$M$6:$X$6)*$K485*$L485</f>
        <v/>
      </c>
      <c r="AE485" s="19" t="n"/>
    </row>
    <row r="486">
      <c r="A486" s="9" t="n">
        <v>670062</v>
      </c>
      <c r="B486" s="9" t="inlineStr">
        <is>
          <t>Julian Garcia</t>
        </is>
      </c>
      <c r="C486" s="9" t="inlineStr">
        <is>
          <t>CIN</t>
        </is>
      </c>
      <c r="D486" s="9" t="n">
        <v>32</v>
      </c>
      <c r="E486" s="17" t="inlineStr">
        <is>
          <t>R</t>
        </is>
      </c>
      <c r="F486" s="17" t="n"/>
      <c r="G486" s="9" t="n">
        <v>179</v>
      </c>
      <c r="H486" s="9" t="n">
        <v>179</v>
      </c>
      <c r="I486" s="9" t="inlineStr">
        <is>
          <t>Bullpen Depth Arm</t>
        </is>
      </c>
      <c r="J486" s="17" t="inlineStr">
        <is>
          <t>Opening Day</t>
        </is>
      </c>
      <c r="K486" s="11">
        <f>IFERROR(INDEX(Roles!$B$17:$B$20,MATCH(J486,Roles!$A$17:$A$20,0)),1)</f>
        <v/>
      </c>
      <c r="L486" s="18" t="n">
        <v>1</v>
      </c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3">
        <f>SUMPRODUCT(M486:X486,$M$2:$X$2)*$K486*$L486</f>
        <v/>
      </c>
      <c r="Z486" s="14">
        <f>SUM(M486:X486)</f>
        <v/>
      </c>
      <c r="AA486" s="13">
        <f>SUMPRODUCT(M486:X486,$M$3:$X$3)*$K486*$L486</f>
        <v/>
      </c>
      <c r="AB486" s="13">
        <f>SUMPRODUCT(M486:X486,$M$4:$X$4)*$K486*$L486</f>
        <v/>
      </c>
      <c r="AC486" s="15">
        <f>SUMPRODUCT(M486:X486,$M$5:$X$5)*$K486*$L486</f>
        <v/>
      </c>
      <c r="AD486" s="15">
        <f>SUMPRODUCT(M486:X486,$M$6:$X$6)*$K486*$L486</f>
        <v/>
      </c>
      <c r="AE486" s="19" t="n"/>
    </row>
    <row r="487">
      <c r="A487" s="9" t="n">
        <v>628317</v>
      </c>
      <c r="B487" s="9" t="inlineStr">
        <is>
          <t>Kenta Maeda</t>
        </is>
      </c>
      <c r="C487" s="9" t="inlineStr">
        <is>
          <t>DET</t>
        </is>
      </c>
      <c r="D487" s="9" t="n">
        <v>39</v>
      </c>
      <c r="E487" s="17" t="inlineStr">
        <is>
          <t>R</t>
        </is>
      </c>
      <c r="F487" s="17" t="n"/>
      <c r="G487" s="9" t="n">
        <v>43</v>
      </c>
      <c r="H487" s="9" t="n">
        <v>956</v>
      </c>
      <c r="I487" s="9" t="inlineStr">
        <is>
          <t>End-of-Rotation Starter (SP4-5)</t>
        </is>
      </c>
      <c r="J487" s="17" t="inlineStr">
        <is>
          <t>Opening Day</t>
        </is>
      </c>
      <c r="K487" s="11">
        <f>IFERROR(INDEX(Roles!$B$17:$B$20,MATCH(J487,Roles!$A$17:$A$20,0)),1)</f>
        <v/>
      </c>
      <c r="L487" s="18" t="n">
        <v>1</v>
      </c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3">
        <f>SUMPRODUCT(M487:X487,$M$2:$X$2)*$K487*$L487</f>
        <v/>
      </c>
      <c r="Z487" s="14">
        <f>SUM(M487:X487)</f>
        <v/>
      </c>
      <c r="AA487" s="13">
        <f>SUMPRODUCT(M487:X487,$M$3:$X$3)*$K487*$L487</f>
        <v/>
      </c>
      <c r="AB487" s="13">
        <f>SUMPRODUCT(M487:X487,$M$4:$X$4)*$K487*$L487</f>
        <v/>
      </c>
      <c r="AC487" s="15">
        <f>SUMPRODUCT(M487:X487,$M$5:$X$5)*$K487*$L487</f>
        <v/>
      </c>
      <c r="AD487" s="15">
        <f>SUMPRODUCT(M487:X487,$M$6:$X$6)*$K487*$L487</f>
        <v/>
      </c>
      <c r="AE487" s="19" t="n"/>
    </row>
    <row r="488">
      <c r="A488" s="9" t="n">
        <v>656793</v>
      </c>
      <c r="B488" s="9" t="inlineStr">
        <is>
          <t>Nick Nelson</t>
        </is>
      </c>
      <c r="C488" s="9" t="inlineStr">
        <is>
          <t>PHI</t>
        </is>
      </c>
      <c r="D488" s="9" t="n">
        <v>31</v>
      </c>
      <c r="E488" s="17" t="inlineStr">
        <is>
          <t>R</t>
        </is>
      </c>
      <c r="F488" s="17" t="n"/>
      <c r="G488" s="9" t="n">
        <v>26</v>
      </c>
      <c r="H488" s="9" t="n">
        <v>352</v>
      </c>
      <c r="I488" s="9" t="inlineStr">
        <is>
          <t>Depth (no MLB IP)</t>
        </is>
      </c>
      <c r="J488" s="17" t="inlineStr">
        <is>
          <t>Opening Day</t>
        </is>
      </c>
      <c r="K488" s="11">
        <f>IFERROR(INDEX(Roles!$B$17:$B$20,MATCH(J488,Roles!$A$17:$A$20,0)),1)</f>
        <v/>
      </c>
      <c r="L488" s="18" t="n">
        <v>1</v>
      </c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3">
        <f>SUMPRODUCT(M488:X488,$M$2:$X$2)*$K488*$L488</f>
        <v/>
      </c>
      <c r="Z488" s="14">
        <f>SUM(M488:X488)</f>
        <v/>
      </c>
      <c r="AA488" s="13">
        <f>SUMPRODUCT(M488:X488,$M$3:$X$3)*$K488*$L488</f>
        <v/>
      </c>
      <c r="AB488" s="13">
        <f>SUMPRODUCT(M488:X488,$M$4:$X$4)*$K488*$L488</f>
        <v/>
      </c>
      <c r="AC488" s="15">
        <f>SUMPRODUCT(M488:X488,$M$5:$X$5)*$K488*$L488</f>
        <v/>
      </c>
      <c r="AD488" s="15">
        <f>SUMPRODUCT(M488:X488,$M$6:$X$6)*$K488*$L488</f>
        <v/>
      </c>
      <c r="AE488" s="19" t="n"/>
    </row>
    <row r="489">
      <c r="A489" s="9" t="n">
        <v>641420</v>
      </c>
      <c r="B489" s="9" t="inlineStr">
        <is>
          <t>Zack Burdi</t>
        </is>
      </c>
      <c r="C489" s="9" t="inlineStr"/>
      <c r="D489" s="9" t="n">
        <v>32</v>
      </c>
      <c r="E489" s="17" t="inlineStr">
        <is>
          <t>R</t>
        </is>
      </c>
      <c r="F489" s="17" t="n"/>
      <c r="G489" s="9" t="n">
        <v>20</v>
      </c>
      <c r="H489" s="9" t="n">
        <v>20</v>
      </c>
      <c r="I489" s="9" t="inlineStr">
        <is>
          <t>Depth (no MLB IP)</t>
        </is>
      </c>
      <c r="J489" s="17" t="inlineStr">
        <is>
          <t>Opening Day</t>
        </is>
      </c>
      <c r="K489" s="11">
        <f>IFERROR(INDEX(Roles!$B$17:$B$20,MATCH(J489,Roles!$A$17:$A$20,0)),1)</f>
        <v/>
      </c>
      <c r="L489" s="18" t="n">
        <v>1</v>
      </c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3">
        <f>SUMPRODUCT(M489:X489,$M$2:$X$2)*$K489*$L489</f>
        <v/>
      </c>
      <c r="Z489" s="14">
        <f>SUM(M489:X489)</f>
        <v/>
      </c>
      <c r="AA489" s="13">
        <f>SUMPRODUCT(M489:X489,$M$3:$X$3)*$K489*$L489</f>
        <v/>
      </c>
      <c r="AB489" s="13">
        <f>SUMPRODUCT(M489:X489,$M$4:$X$4)*$K489*$L489</f>
        <v/>
      </c>
      <c r="AC489" s="15">
        <f>SUMPRODUCT(M489:X489,$M$5:$X$5)*$K489*$L489</f>
        <v/>
      </c>
      <c r="AD489" s="15">
        <f>SUMPRODUCT(M489:X489,$M$6:$X$6)*$K489*$L489</f>
        <v/>
      </c>
      <c r="AE489" s="19" t="n"/>
    </row>
    <row r="490">
      <c r="A490" s="9" t="n">
        <v>669722</v>
      </c>
      <c r="B490" s="9" t="inlineStr">
        <is>
          <t>Logan Davidson</t>
        </is>
      </c>
      <c r="C490" s="9" t="inlineStr"/>
      <c r="D490" s="9" t="n">
        <v>29</v>
      </c>
      <c r="E490" s="17" t="inlineStr">
        <is>
          <t>R</t>
        </is>
      </c>
      <c r="F490" s="17" t="n"/>
      <c r="G490" s="9" t="n">
        <v>3</v>
      </c>
      <c r="H490" s="9" t="n">
        <v>3</v>
      </c>
      <c r="I490" s="9" t="inlineStr">
        <is>
          <t>Depth (no MLB IP)</t>
        </is>
      </c>
      <c r="J490" s="17" t="inlineStr">
        <is>
          <t>Opening Day</t>
        </is>
      </c>
      <c r="K490" s="11">
        <f>IFERROR(INDEX(Roles!$B$17:$B$20,MATCH(J490,Roles!$A$17:$A$20,0)),1)</f>
        <v/>
      </c>
      <c r="L490" s="18" t="n">
        <v>1</v>
      </c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3">
        <f>SUMPRODUCT(M490:X490,$M$2:$X$2)*$K490*$L490</f>
        <v/>
      </c>
      <c r="Z490" s="14">
        <f>SUM(M490:X490)</f>
        <v/>
      </c>
      <c r="AA490" s="13">
        <f>SUMPRODUCT(M490:X490,$M$3:$X$3)*$K490*$L490</f>
        <v/>
      </c>
      <c r="AB490" s="13">
        <f>SUMPRODUCT(M490:X490,$M$4:$X$4)*$K490*$L490</f>
        <v/>
      </c>
      <c r="AC490" s="15">
        <f>SUMPRODUCT(M490:X490,$M$5:$X$5)*$K490*$L490</f>
        <v/>
      </c>
      <c r="AD490" s="15">
        <f>SUMPRODUCT(M490:X490,$M$6:$X$6)*$K490*$L490</f>
        <v/>
      </c>
      <c r="AE490" s="19" t="n"/>
    </row>
    <row r="491">
      <c r="A491" s="9" t="n">
        <v>593833</v>
      </c>
      <c r="B491" s="9" t="inlineStr">
        <is>
          <t>Wander Suero</t>
        </is>
      </c>
      <c r="C491" s="9" t="inlineStr">
        <is>
          <t>ATL</t>
        </is>
      </c>
      <c r="D491" s="9" t="n">
        <v>35</v>
      </c>
      <c r="E491" s="17" t="inlineStr">
        <is>
          <t>R</t>
        </is>
      </c>
      <c r="F491" s="17" t="n"/>
      <c r="G491" s="9" t="n">
        <v>32</v>
      </c>
      <c r="H491" s="9" t="n">
        <v>68</v>
      </c>
      <c r="I491" s="9" t="inlineStr">
        <is>
          <t>Bullpen Depth Arm</t>
        </is>
      </c>
      <c r="J491" s="17" t="inlineStr">
        <is>
          <t>Opening Day</t>
        </is>
      </c>
      <c r="K491" s="11">
        <f>IFERROR(INDEX(Roles!$B$17:$B$20,MATCH(J491,Roles!$A$17:$A$20,0)),1)</f>
        <v/>
      </c>
      <c r="L491" s="18" t="n">
        <v>1</v>
      </c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3">
        <f>SUMPRODUCT(M491:X491,$M$2:$X$2)*$K491*$L491</f>
        <v/>
      </c>
      <c r="Z491" s="14">
        <f>SUM(M491:X491)</f>
        <v/>
      </c>
      <c r="AA491" s="13">
        <f>SUMPRODUCT(M491:X491,$M$3:$X$3)*$K491*$L491</f>
        <v/>
      </c>
      <c r="AB491" s="13">
        <f>SUMPRODUCT(M491:X491,$M$4:$X$4)*$K491*$L491</f>
        <v/>
      </c>
      <c r="AC491" s="15">
        <f>SUMPRODUCT(M491:X491,$M$5:$X$5)*$K491*$L491</f>
        <v/>
      </c>
      <c r="AD491" s="15">
        <f>SUMPRODUCT(M491:X491,$M$6:$X$6)*$K491*$L491</f>
        <v/>
      </c>
      <c r="AE491" s="19" t="n"/>
    </row>
    <row r="492">
      <c r="A492" s="9" t="n">
        <v>680802</v>
      </c>
      <c r="B492" s="9" t="inlineStr">
        <is>
          <t>Ryan Weiss</t>
        </is>
      </c>
      <c r="C492" s="9" t="inlineStr">
        <is>
          <t>HOU</t>
        </is>
      </c>
      <c r="D492" s="9" t="n">
        <v>30</v>
      </c>
      <c r="E492" s="17" t="inlineStr">
        <is>
          <t>R</t>
        </is>
      </c>
      <c r="F492" s="17" t="n"/>
      <c r="G492" s="9" t="n">
        <v>131</v>
      </c>
      <c r="H492" s="9" t="n">
        <v>131</v>
      </c>
      <c r="I492" s="9" t="inlineStr">
        <is>
          <t>Bullpen Depth Arm</t>
        </is>
      </c>
      <c r="J492" s="17" t="inlineStr">
        <is>
          <t>Opening Day</t>
        </is>
      </c>
      <c r="K492" s="11">
        <f>IFERROR(INDEX(Roles!$B$17:$B$20,MATCH(J492,Roles!$A$17:$A$20,0)),1)</f>
        <v/>
      </c>
      <c r="L492" s="18" t="n">
        <v>1</v>
      </c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3">
        <f>SUMPRODUCT(M492:X492,$M$2:$X$2)*$K492*$L492</f>
        <v/>
      </c>
      <c r="Z492" s="14">
        <f>SUM(M492:X492)</f>
        <v/>
      </c>
      <c r="AA492" s="13">
        <f>SUMPRODUCT(M492:X492,$M$3:$X$3)*$K492*$L492</f>
        <v/>
      </c>
      <c r="AB492" s="13">
        <f>SUMPRODUCT(M492:X492,$M$4:$X$4)*$K492*$L492</f>
        <v/>
      </c>
      <c r="AC492" s="15">
        <f>SUMPRODUCT(M492:X492,$M$5:$X$5)*$K492*$L492</f>
        <v/>
      </c>
      <c r="AD492" s="15">
        <f>SUMPRODUCT(M492:X492,$M$6:$X$6)*$K492*$L492</f>
        <v/>
      </c>
      <c r="AE492" s="19" t="n"/>
    </row>
    <row r="493">
      <c r="A493" s="9" t="n">
        <v>682243</v>
      </c>
      <c r="B493" s="9" t="inlineStr">
        <is>
          <t>Bryce Miller</t>
        </is>
      </c>
      <c r="C493" s="9" t="inlineStr">
        <is>
          <t>SEA</t>
        </is>
      </c>
      <c r="D493" s="9" t="n">
        <v>28</v>
      </c>
      <c r="E493" s="17" t="inlineStr">
        <is>
          <t>R</t>
        </is>
      </c>
      <c r="F493" s="17" t="n"/>
      <c r="G493" s="9" t="n">
        <v>437</v>
      </c>
      <c r="H493" s="9" t="n">
        <v>2070</v>
      </c>
      <c r="I493" s="9" t="inlineStr">
        <is>
          <t>Mid-Rotation Starter (SP2-3)</t>
        </is>
      </c>
      <c r="J493" s="17" t="inlineStr">
        <is>
          <t>Opening Day</t>
        </is>
      </c>
      <c r="K493" s="11">
        <f>IFERROR(INDEX(Roles!$B$17:$B$20,MATCH(J493,Roles!$A$17:$A$20,0)),1)</f>
        <v/>
      </c>
      <c r="L493" s="18" t="n">
        <v>1</v>
      </c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3">
        <f>SUMPRODUCT(M493:X493,$M$2:$X$2)*$K493*$L493</f>
        <v/>
      </c>
      <c r="Z493" s="14">
        <f>SUM(M493:X493)</f>
        <v/>
      </c>
      <c r="AA493" s="13">
        <f>SUMPRODUCT(M493:X493,$M$3:$X$3)*$K493*$L493</f>
        <v/>
      </c>
      <c r="AB493" s="13">
        <f>SUMPRODUCT(M493:X493,$M$4:$X$4)*$K493*$L493</f>
        <v/>
      </c>
      <c r="AC493" s="15">
        <f>SUMPRODUCT(M493:X493,$M$5:$X$5)*$K493*$L493</f>
        <v/>
      </c>
      <c r="AD493" s="15">
        <f>SUMPRODUCT(M493:X493,$M$6:$X$6)*$K493*$L493</f>
        <v/>
      </c>
      <c r="AE493" s="19" t="n"/>
    </row>
    <row r="494">
      <c r="A494" s="9" t="n">
        <v>518489</v>
      </c>
      <c r="B494" s="9" t="inlineStr">
        <is>
          <t>Ryan Brasier</t>
        </is>
      </c>
      <c r="C494" s="9" t="inlineStr">
        <is>
          <t>CHC</t>
        </is>
      </c>
      <c r="D494" s="9" t="n">
        <v>39</v>
      </c>
      <c r="E494" s="17" t="inlineStr">
        <is>
          <t>R</t>
        </is>
      </c>
      <c r="F494" s="17" t="n"/>
      <c r="G494" s="9" t="n">
        <v>105</v>
      </c>
      <c r="H494" s="9" t="n">
        <v>716</v>
      </c>
      <c r="I494" s="9" t="inlineStr">
        <is>
          <t>Late Inning RP (Setup)</t>
        </is>
      </c>
      <c r="J494" s="17" t="inlineStr">
        <is>
          <t>Opening Day</t>
        </is>
      </c>
      <c r="K494" s="11">
        <f>IFERROR(INDEX(Roles!$B$17:$B$20,MATCH(J494,Roles!$A$17:$A$20,0)),1)</f>
        <v/>
      </c>
      <c r="L494" s="18" t="n">
        <v>1</v>
      </c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3">
        <f>SUMPRODUCT(M494:X494,$M$2:$X$2)*$K494*$L494</f>
        <v/>
      </c>
      <c r="Z494" s="14">
        <f>SUM(M494:X494)</f>
        <v/>
      </c>
      <c r="AA494" s="13">
        <f>SUMPRODUCT(M494:X494,$M$3:$X$3)*$K494*$L494</f>
        <v/>
      </c>
      <c r="AB494" s="13">
        <f>SUMPRODUCT(M494:X494,$M$4:$X$4)*$K494*$L494</f>
        <v/>
      </c>
      <c r="AC494" s="15">
        <f>SUMPRODUCT(M494:X494,$M$5:$X$5)*$K494*$L494</f>
        <v/>
      </c>
      <c r="AD494" s="15">
        <f>SUMPRODUCT(M494:X494,$M$6:$X$6)*$K494*$L494</f>
        <v/>
      </c>
      <c r="AE494" s="19" t="n"/>
    </row>
    <row r="495">
      <c r="A495" s="9" t="n">
        <v>663629</v>
      </c>
      <c r="B495" s="9" t="inlineStr">
        <is>
          <t>Ethan Small</t>
        </is>
      </c>
      <c r="C495" s="9" t="inlineStr">
        <is>
          <t>MIL</t>
        </is>
      </c>
      <c r="D495" s="9" t="n">
        <v>30</v>
      </c>
      <c r="E495" s="17" t="inlineStr">
        <is>
          <t>L</t>
        </is>
      </c>
      <c r="F495" s="17" t="n"/>
      <c r="G495" s="9" t="n">
        <v>23</v>
      </c>
      <c r="H495" s="9" t="n">
        <v>56</v>
      </c>
      <c r="I495" s="9" t="inlineStr">
        <is>
          <t>Depth (no MLB IP)</t>
        </is>
      </c>
      <c r="J495" s="17" t="inlineStr">
        <is>
          <t>Opening Day</t>
        </is>
      </c>
      <c r="K495" s="11">
        <f>IFERROR(INDEX(Roles!$B$17:$B$20,MATCH(J495,Roles!$A$17:$A$20,0)),1)</f>
        <v/>
      </c>
      <c r="L495" s="18" t="n">
        <v>1</v>
      </c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3">
        <f>SUMPRODUCT(M495:X495,$M$2:$X$2)*$K495*$L495</f>
        <v/>
      </c>
      <c r="Z495" s="14">
        <f>SUM(M495:X495)</f>
        <v/>
      </c>
      <c r="AA495" s="13">
        <f>SUMPRODUCT(M495:X495,$M$3:$X$3)*$K495*$L495</f>
        <v/>
      </c>
      <c r="AB495" s="13">
        <f>SUMPRODUCT(M495:X495,$M$4:$X$4)*$K495*$L495</f>
        <v/>
      </c>
      <c r="AC495" s="15">
        <f>SUMPRODUCT(M495:X495,$M$5:$X$5)*$K495*$L495</f>
        <v/>
      </c>
      <c r="AD495" s="15">
        <f>SUMPRODUCT(M495:X495,$M$6:$X$6)*$K495*$L495</f>
        <v/>
      </c>
      <c r="AE495" s="19" t="n"/>
    </row>
    <row r="496">
      <c r="A496" s="9" t="n">
        <v>622251</v>
      </c>
      <c r="B496" s="9" t="inlineStr">
        <is>
          <t>Josh Staumont</t>
        </is>
      </c>
      <c r="C496" s="9" t="inlineStr">
        <is>
          <t>MIN</t>
        </is>
      </c>
      <c r="D496" s="9" t="n">
        <v>33</v>
      </c>
      <c r="E496" s="17" t="inlineStr">
        <is>
          <t>R</t>
        </is>
      </c>
      <c r="F496" s="17" t="n"/>
      <c r="G496" s="9" t="n">
        <v>102</v>
      </c>
      <c r="H496" s="9" t="n">
        <v>367</v>
      </c>
      <c r="I496" s="9" t="inlineStr">
        <is>
          <t>Depth (no MLB IP)</t>
        </is>
      </c>
      <c r="J496" s="17" t="inlineStr">
        <is>
          <t>Opening Day</t>
        </is>
      </c>
      <c r="K496" s="11">
        <f>IFERROR(INDEX(Roles!$B$17:$B$20,MATCH(J496,Roles!$A$17:$A$20,0)),1)</f>
        <v/>
      </c>
      <c r="L496" s="18" t="n">
        <v>1</v>
      </c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3">
        <f>SUMPRODUCT(M496:X496,$M$2:$X$2)*$K496*$L496</f>
        <v/>
      </c>
      <c r="Z496" s="14">
        <f>SUM(M496:X496)</f>
        <v/>
      </c>
      <c r="AA496" s="13">
        <f>SUMPRODUCT(M496:X496,$M$3:$X$3)*$K496*$L496</f>
        <v/>
      </c>
      <c r="AB496" s="13">
        <f>SUMPRODUCT(M496:X496,$M$4:$X$4)*$K496*$L496</f>
        <v/>
      </c>
      <c r="AC496" s="15">
        <f>SUMPRODUCT(M496:X496,$M$5:$X$5)*$K496*$L496</f>
        <v/>
      </c>
      <c r="AD496" s="15">
        <f>SUMPRODUCT(M496:X496,$M$6:$X$6)*$K496*$L496</f>
        <v/>
      </c>
      <c r="AE496" s="19" t="n"/>
    </row>
    <row r="497">
      <c r="A497" s="9" t="n">
        <v>674841</v>
      </c>
      <c r="B497" s="9" t="inlineStr">
        <is>
          <t>Andrew Alvarez</t>
        </is>
      </c>
      <c r="C497" s="9" t="inlineStr">
        <is>
          <t>WSH</t>
        </is>
      </c>
      <c r="D497" s="9" t="n">
        <v>28</v>
      </c>
      <c r="E497" s="17" t="inlineStr">
        <is>
          <t>L</t>
        </is>
      </c>
      <c r="F497" s="17" t="n"/>
      <c r="G497" s="9" t="n">
        <v>427</v>
      </c>
      <c r="H497" s="9" t="n">
        <v>525</v>
      </c>
      <c r="I497" s="9" t="inlineStr">
        <is>
          <t>End-of-Rotation Starter (SP4-5)</t>
        </is>
      </c>
      <c r="J497" s="17" t="inlineStr">
        <is>
          <t>Opening Day</t>
        </is>
      </c>
      <c r="K497" s="11">
        <f>IFERROR(INDEX(Roles!$B$17:$B$20,MATCH(J497,Roles!$A$17:$A$20,0)),1)</f>
        <v/>
      </c>
      <c r="L497" s="18" t="n">
        <v>1</v>
      </c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3">
        <f>SUMPRODUCT(M497:X497,$M$2:$X$2)*$K497*$L497</f>
        <v/>
      </c>
      <c r="Z497" s="14">
        <f>SUM(M497:X497)</f>
        <v/>
      </c>
      <c r="AA497" s="13">
        <f>SUMPRODUCT(M497:X497,$M$3:$X$3)*$K497*$L497</f>
        <v/>
      </c>
      <c r="AB497" s="13">
        <f>SUMPRODUCT(M497:X497,$M$4:$X$4)*$K497*$L497</f>
        <v/>
      </c>
      <c r="AC497" s="15">
        <f>SUMPRODUCT(M497:X497,$M$5:$X$5)*$K497*$L497</f>
        <v/>
      </c>
      <c r="AD497" s="15">
        <f>SUMPRODUCT(M497:X497,$M$6:$X$6)*$K497*$L497</f>
        <v/>
      </c>
      <c r="AE497" s="19" t="n"/>
    </row>
    <row r="498">
      <c r="A498" s="9" t="n">
        <v>608650</v>
      </c>
      <c r="B498" s="9" t="inlineStr">
        <is>
          <t>Dietrich Enns</t>
        </is>
      </c>
      <c r="C498" s="9" t="inlineStr">
        <is>
          <t>BAL</t>
        </is>
      </c>
      <c r="D498" s="9" t="n">
        <v>36</v>
      </c>
      <c r="E498" s="17" t="inlineStr">
        <is>
          <t>L</t>
        </is>
      </c>
      <c r="F498" s="17" t="n"/>
      <c r="G498" s="9" t="n">
        <v>70</v>
      </c>
      <c r="H498" s="9" t="n">
        <v>270</v>
      </c>
      <c r="I498" s="9" t="inlineStr">
        <is>
          <t>Bullpen Depth Arm</t>
        </is>
      </c>
      <c r="J498" s="17" t="inlineStr">
        <is>
          <t>Opening Day</t>
        </is>
      </c>
      <c r="K498" s="11">
        <f>IFERROR(INDEX(Roles!$B$17:$B$20,MATCH(J498,Roles!$A$17:$A$20,0)),1)</f>
        <v/>
      </c>
      <c r="L498" s="18" t="n">
        <v>1</v>
      </c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3">
        <f>SUMPRODUCT(M498:X498,$M$2:$X$2)*$K498*$L498</f>
        <v/>
      </c>
      <c r="Z498" s="14">
        <f>SUM(M498:X498)</f>
        <v/>
      </c>
      <c r="AA498" s="13">
        <f>SUMPRODUCT(M498:X498,$M$3:$X$3)*$K498*$L498</f>
        <v/>
      </c>
      <c r="AB498" s="13">
        <f>SUMPRODUCT(M498:X498,$M$4:$X$4)*$K498*$L498</f>
        <v/>
      </c>
      <c r="AC498" s="15">
        <f>SUMPRODUCT(M498:X498,$M$5:$X$5)*$K498*$L498</f>
        <v/>
      </c>
      <c r="AD498" s="15">
        <f>SUMPRODUCT(M498:X498,$M$6:$X$6)*$K498*$L498</f>
        <v/>
      </c>
      <c r="AE498" s="19" t="n"/>
    </row>
    <row r="499">
      <c r="A499" s="9" t="n">
        <v>676050</v>
      </c>
      <c r="B499" s="9" t="inlineStr">
        <is>
          <t>Packy Naughton</t>
        </is>
      </c>
      <c r="C499" s="9" t="inlineStr">
        <is>
          <t>STL</t>
        </is>
      </c>
      <c r="D499" s="9" t="n">
        <v>31</v>
      </c>
      <c r="E499" s="17" t="inlineStr">
        <is>
          <t>L</t>
        </is>
      </c>
      <c r="F499" s="17" t="n"/>
      <c r="G499" s="9" t="n">
        <v>17</v>
      </c>
      <c r="H499" s="9" t="n">
        <v>158</v>
      </c>
      <c r="I499" s="9" t="inlineStr">
        <is>
          <t>Depth (no MLB IP)</t>
        </is>
      </c>
      <c r="J499" s="17" t="inlineStr">
        <is>
          <t>Opening Day</t>
        </is>
      </c>
      <c r="K499" s="11">
        <f>IFERROR(INDEX(Roles!$B$17:$B$20,MATCH(J499,Roles!$A$17:$A$20,0)),1)</f>
        <v/>
      </c>
      <c r="L499" s="18" t="n">
        <v>1</v>
      </c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3">
        <f>SUMPRODUCT(M499:X499,$M$2:$X$2)*$K499*$L499</f>
        <v/>
      </c>
      <c r="Z499" s="14">
        <f>SUM(M499:X499)</f>
        <v/>
      </c>
      <c r="AA499" s="13">
        <f>SUMPRODUCT(M499:X499,$M$3:$X$3)*$K499*$L499</f>
        <v/>
      </c>
      <c r="AB499" s="13">
        <f>SUMPRODUCT(M499:X499,$M$4:$X$4)*$K499*$L499</f>
        <v/>
      </c>
      <c r="AC499" s="15">
        <f>SUMPRODUCT(M499:X499,$M$5:$X$5)*$K499*$L499</f>
        <v/>
      </c>
      <c r="AD499" s="15">
        <f>SUMPRODUCT(M499:X499,$M$6:$X$6)*$K499*$L499</f>
        <v/>
      </c>
      <c r="AE499" s="19" t="n"/>
    </row>
    <row r="500">
      <c r="A500" s="9" t="n">
        <v>689017</v>
      </c>
      <c r="B500" s="9" t="inlineStr">
        <is>
          <t>Landon Knack</t>
        </is>
      </c>
      <c r="C500" s="9" t="inlineStr">
        <is>
          <t>LAD</t>
        </is>
      </c>
      <c r="D500" s="9" t="n">
        <v>29</v>
      </c>
      <c r="E500" s="17" t="inlineStr">
        <is>
          <t>R</t>
        </is>
      </c>
      <c r="F500" s="17" t="n"/>
      <c r="G500" s="9" t="n">
        <v>39</v>
      </c>
      <c r="H500" s="9" t="n">
        <v>510</v>
      </c>
      <c r="I500" s="9" t="inlineStr">
        <is>
          <t>End-of-Rotation Starter (SP4-5)</t>
        </is>
      </c>
      <c r="J500" s="17" t="inlineStr">
        <is>
          <t>Opening Day</t>
        </is>
      </c>
      <c r="K500" s="11">
        <f>IFERROR(INDEX(Roles!$B$17:$B$20,MATCH(J500,Roles!$A$17:$A$20,0)),1)</f>
        <v/>
      </c>
      <c r="L500" s="18" t="n">
        <v>1</v>
      </c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3">
        <f>SUMPRODUCT(M500:X500,$M$2:$X$2)*$K500*$L500</f>
        <v/>
      </c>
      <c r="Z500" s="14">
        <f>SUM(M500:X500)</f>
        <v/>
      </c>
      <c r="AA500" s="13">
        <f>SUMPRODUCT(M500:X500,$M$3:$X$3)*$K500*$L500</f>
        <v/>
      </c>
      <c r="AB500" s="13">
        <f>SUMPRODUCT(M500:X500,$M$4:$X$4)*$K500*$L500</f>
        <v/>
      </c>
      <c r="AC500" s="15">
        <f>SUMPRODUCT(M500:X500,$M$5:$X$5)*$K500*$L500</f>
        <v/>
      </c>
      <c r="AD500" s="15">
        <f>SUMPRODUCT(M500:X500,$M$6:$X$6)*$K500*$L500</f>
        <v/>
      </c>
      <c r="AE500" s="19" t="n"/>
    </row>
    <row r="501">
      <c r="A501" s="9" t="n">
        <v>605441</v>
      </c>
      <c r="B501" s="9" t="inlineStr">
        <is>
          <t>Yacksel Ríos</t>
        </is>
      </c>
      <c r="C501" s="9" t="inlineStr"/>
      <c r="D501" s="9" t="n">
        <v>34</v>
      </c>
      <c r="E501" s="17" t="inlineStr">
        <is>
          <t>R</t>
        </is>
      </c>
      <c r="F501" s="17" t="n"/>
      <c r="G501" s="9" t="n">
        <v>5</v>
      </c>
      <c r="H501" s="9" t="n">
        <v>19</v>
      </c>
      <c r="I501" s="9" t="inlineStr">
        <is>
          <t>Depth (no MLB IP)</t>
        </is>
      </c>
      <c r="J501" s="17" t="inlineStr">
        <is>
          <t>Opening Day</t>
        </is>
      </c>
      <c r="K501" s="11">
        <f>IFERROR(INDEX(Roles!$B$17:$B$20,MATCH(J501,Roles!$A$17:$A$20,0)),1)</f>
        <v/>
      </c>
      <c r="L501" s="18" t="n">
        <v>1</v>
      </c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3">
        <f>SUMPRODUCT(M501:X501,$M$2:$X$2)*$K501*$L501</f>
        <v/>
      </c>
      <c r="Z501" s="14">
        <f>SUM(M501:X501)</f>
        <v/>
      </c>
      <c r="AA501" s="13">
        <f>SUMPRODUCT(M501:X501,$M$3:$X$3)*$K501*$L501</f>
        <v/>
      </c>
      <c r="AB501" s="13">
        <f>SUMPRODUCT(M501:X501,$M$4:$X$4)*$K501*$L501</f>
        <v/>
      </c>
      <c r="AC501" s="15">
        <f>SUMPRODUCT(M501:X501,$M$5:$X$5)*$K501*$L501</f>
        <v/>
      </c>
      <c r="AD501" s="15">
        <f>SUMPRODUCT(M501:X501,$M$6:$X$6)*$K501*$L501</f>
        <v/>
      </c>
      <c r="AE501" s="19" t="n"/>
    </row>
    <row r="502">
      <c r="A502" s="9" t="n">
        <v>686678</v>
      </c>
      <c r="B502" s="9" t="inlineStr">
        <is>
          <t>Chase Solesky</t>
        </is>
      </c>
      <c r="C502" s="9" t="inlineStr"/>
      <c r="D502" s="9" t="n">
        <v>29</v>
      </c>
      <c r="E502" s="17" t="inlineStr">
        <is>
          <t>R</t>
        </is>
      </c>
      <c r="F502" s="17" t="n"/>
      <c r="G502" s="9" t="n">
        <v>17</v>
      </c>
      <c r="H502" s="9" t="n">
        <v>17</v>
      </c>
      <c r="I502" s="9" t="inlineStr">
        <is>
          <t>Depth (no MLB IP)</t>
        </is>
      </c>
      <c r="J502" s="17" t="inlineStr">
        <is>
          <t>Opening Day</t>
        </is>
      </c>
      <c r="K502" s="11">
        <f>IFERROR(INDEX(Roles!$B$17:$B$20,MATCH(J502,Roles!$A$17:$A$20,0)),1)</f>
        <v/>
      </c>
      <c r="L502" s="18" t="n">
        <v>1</v>
      </c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3">
        <f>SUMPRODUCT(M502:X502,$M$2:$X$2)*$K502*$L502</f>
        <v/>
      </c>
      <c r="Z502" s="14">
        <f>SUM(M502:X502)</f>
        <v/>
      </c>
      <c r="AA502" s="13">
        <f>SUMPRODUCT(M502:X502,$M$3:$X$3)*$K502*$L502</f>
        <v/>
      </c>
      <c r="AB502" s="13">
        <f>SUMPRODUCT(M502:X502,$M$4:$X$4)*$K502*$L502</f>
        <v/>
      </c>
      <c r="AC502" s="15">
        <f>SUMPRODUCT(M502:X502,$M$5:$X$5)*$K502*$L502</f>
        <v/>
      </c>
      <c r="AD502" s="15">
        <f>SUMPRODUCT(M502:X502,$M$6:$X$6)*$K502*$L502</f>
        <v/>
      </c>
      <c r="AE502" s="19" t="n"/>
    </row>
    <row r="503">
      <c r="A503" s="9" t="n">
        <v>684665</v>
      </c>
      <c r="B503" s="9" t="inlineStr">
        <is>
          <t>Luke Murphy</t>
        </is>
      </c>
      <c r="C503" s="9" t="inlineStr">
        <is>
          <t>LAA</t>
        </is>
      </c>
      <c r="D503" s="9" t="n">
        <v>27</v>
      </c>
      <c r="E503" s="17" t="inlineStr">
        <is>
          <t>R</t>
        </is>
      </c>
      <c r="F503" s="17" t="n"/>
      <c r="G503" s="9" t="n">
        <v>70</v>
      </c>
      <c r="H503" s="9" t="n">
        <v>70</v>
      </c>
      <c r="I503" s="9" t="inlineStr">
        <is>
          <t>Bullpen Depth Arm</t>
        </is>
      </c>
      <c r="J503" s="17" t="inlineStr">
        <is>
          <t>Opening Day</t>
        </is>
      </c>
      <c r="K503" s="11">
        <f>IFERROR(INDEX(Roles!$B$17:$B$20,MATCH(J503,Roles!$A$17:$A$20,0)),1)</f>
        <v/>
      </c>
      <c r="L503" s="18" t="n">
        <v>1</v>
      </c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3">
        <f>SUMPRODUCT(M503:X503,$M$2:$X$2)*$K503*$L503</f>
        <v/>
      </c>
      <c r="Z503" s="14">
        <f>SUM(M503:X503)</f>
        <v/>
      </c>
      <c r="AA503" s="13">
        <f>SUMPRODUCT(M503:X503,$M$3:$X$3)*$K503*$L503</f>
        <v/>
      </c>
      <c r="AB503" s="13">
        <f>SUMPRODUCT(M503:X503,$M$4:$X$4)*$K503*$L503</f>
        <v/>
      </c>
      <c r="AC503" s="15">
        <f>SUMPRODUCT(M503:X503,$M$5:$X$5)*$K503*$L503</f>
        <v/>
      </c>
      <c r="AD503" s="15">
        <f>SUMPRODUCT(M503:X503,$M$6:$X$6)*$K503*$L503</f>
        <v/>
      </c>
      <c r="AE503" s="19" t="n"/>
    </row>
    <row r="504">
      <c r="A504" s="9" t="n">
        <v>690279</v>
      </c>
      <c r="B504" s="9" t="inlineStr">
        <is>
          <t>Mason Adams</t>
        </is>
      </c>
      <c r="C504" s="9" t="inlineStr">
        <is>
          <t>COL</t>
        </is>
      </c>
      <c r="D504" s="9" t="n">
        <v>27</v>
      </c>
      <c r="E504" s="17" t="inlineStr">
        <is>
          <t>R</t>
        </is>
      </c>
      <c r="F504" s="17" t="n"/>
      <c r="G504" s="9" t="n">
        <v>101</v>
      </c>
      <c r="H504" s="9" t="n">
        <v>101</v>
      </c>
      <c r="I504" s="9" t="inlineStr">
        <is>
          <t>End-of-Rotation Starter (SP4-5)</t>
        </is>
      </c>
      <c r="J504" s="17" t="inlineStr">
        <is>
          <t>Opening Day</t>
        </is>
      </c>
      <c r="K504" s="11">
        <f>IFERROR(INDEX(Roles!$B$17:$B$20,MATCH(J504,Roles!$A$17:$A$20,0)),1)</f>
        <v/>
      </c>
      <c r="L504" s="18" t="n">
        <v>1</v>
      </c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3">
        <f>SUMPRODUCT(M504:X504,$M$2:$X$2)*$K504*$L504</f>
        <v/>
      </c>
      <c r="Z504" s="14">
        <f>SUM(M504:X504)</f>
        <v/>
      </c>
      <c r="AA504" s="13">
        <f>SUMPRODUCT(M504:X504,$M$3:$X$3)*$K504*$L504</f>
        <v/>
      </c>
      <c r="AB504" s="13">
        <f>SUMPRODUCT(M504:X504,$M$4:$X$4)*$K504*$L504</f>
        <v/>
      </c>
      <c r="AC504" s="15">
        <f>SUMPRODUCT(M504:X504,$M$5:$X$5)*$K504*$L504</f>
        <v/>
      </c>
      <c r="AD504" s="15">
        <f>SUMPRODUCT(M504:X504,$M$6:$X$6)*$K504*$L504</f>
        <v/>
      </c>
      <c r="AE504" s="19" t="n"/>
    </row>
    <row r="505">
      <c r="A505" s="9" t="n">
        <v>688427</v>
      </c>
      <c r="B505" s="9" t="inlineStr">
        <is>
          <t>Kolton Ingram</t>
        </is>
      </c>
      <c r="C505" s="9" t="inlineStr">
        <is>
          <t>LAA</t>
        </is>
      </c>
      <c r="D505" s="9" t="n">
        <v>30</v>
      </c>
      <c r="E505" s="17" t="inlineStr">
        <is>
          <t>L</t>
        </is>
      </c>
      <c r="F505" s="17" t="n"/>
      <c r="G505" s="9" t="n">
        <v>30</v>
      </c>
      <c r="H505" s="9" t="n">
        <v>30</v>
      </c>
      <c r="I505" s="9" t="inlineStr">
        <is>
          <t>Depth (no MLB IP)</t>
        </is>
      </c>
      <c r="J505" s="17" t="inlineStr">
        <is>
          <t>Opening Day</t>
        </is>
      </c>
      <c r="K505" s="11">
        <f>IFERROR(INDEX(Roles!$B$17:$B$20,MATCH(J505,Roles!$A$17:$A$20,0)),1)</f>
        <v/>
      </c>
      <c r="L505" s="18" t="n">
        <v>1</v>
      </c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3">
        <f>SUMPRODUCT(M505:X505,$M$2:$X$2)*$K505*$L505</f>
        <v/>
      </c>
      <c r="Z505" s="14">
        <f>SUM(M505:X505)</f>
        <v/>
      </c>
      <c r="AA505" s="13">
        <f>SUMPRODUCT(M505:X505,$M$3:$X$3)*$K505*$L505</f>
        <v/>
      </c>
      <c r="AB505" s="13">
        <f>SUMPRODUCT(M505:X505,$M$4:$X$4)*$K505*$L505</f>
        <v/>
      </c>
      <c r="AC505" s="15">
        <f>SUMPRODUCT(M505:X505,$M$5:$X$5)*$K505*$L505</f>
        <v/>
      </c>
      <c r="AD505" s="15">
        <f>SUMPRODUCT(M505:X505,$M$6:$X$6)*$K505*$L505</f>
        <v/>
      </c>
      <c r="AE505" s="19" t="n"/>
    </row>
    <row r="506">
      <c r="A506" s="9" t="n">
        <v>642629</v>
      </c>
      <c r="B506" s="9" t="inlineStr">
        <is>
          <t>Emmanuel Ramirez</t>
        </is>
      </c>
      <c r="C506" s="9" t="inlineStr">
        <is>
          <t>MIA</t>
        </is>
      </c>
      <c r="D506" s="9" t="n">
        <v>32</v>
      </c>
      <c r="E506" s="17" t="inlineStr">
        <is>
          <t>R</t>
        </is>
      </c>
      <c r="F506" s="17" t="n"/>
      <c r="G506" s="9" t="n">
        <v>92</v>
      </c>
      <c r="H506" s="9" t="n">
        <v>92</v>
      </c>
      <c r="I506" s="9" t="inlineStr">
        <is>
          <t>Depth (no MLB IP)</t>
        </is>
      </c>
      <c r="J506" s="17" t="inlineStr">
        <is>
          <t>Opening Day</t>
        </is>
      </c>
      <c r="K506" s="11">
        <f>IFERROR(INDEX(Roles!$B$17:$B$20,MATCH(J506,Roles!$A$17:$A$20,0)),1)</f>
        <v/>
      </c>
      <c r="L506" s="18" t="n">
        <v>1</v>
      </c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3">
        <f>SUMPRODUCT(M506:X506,$M$2:$X$2)*$K506*$L506</f>
        <v/>
      </c>
      <c r="Z506" s="14">
        <f>SUM(M506:X506)</f>
        <v/>
      </c>
      <c r="AA506" s="13">
        <f>SUMPRODUCT(M506:X506,$M$3:$X$3)*$K506*$L506</f>
        <v/>
      </c>
      <c r="AB506" s="13">
        <f>SUMPRODUCT(M506:X506,$M$4:$X$4)*$K506*$L506</f>
        <v/>
      </c>
      <c r="AC506" s="15">
        <f>SUMPRODUCT(M506:X506,$M$5:$X$5)*$K506*$L506</f>
        <v/>
      </c>
      <c r="AD506" s="15">
        <f>SUMPRODUCT(M506:X506,$M$6:$X$6)*$K506*$L506</f>
        <v/>
      </c>
      <c r="AE506" s="19" t="n"/>
    </row>
    <row r="507">
      <c r="A507" s="9" t="n">
        <v>670183</v>
      </c>
      <c r="B507" s="9" t="inlineStr">
        <is>
          <t>Garrett Acton</t>
        </is>
      </c>
      <c r="C507" s="9" t="inlineStr">
        <is>
          <t>MIN</t>
        </is>
      </c>
      <c r="D507" s="9" t="n">
        <v>29</v>
      </c>
      <c r="E507" s="17" t="inlineStr">
        <is>
          <t>R</t>
        </is>
      </c>
      <c r="F507" s="17" t="n"/>
      <c r="G507" s="9" t="n">
        <v>51</v>
      </c>
      <c r="H507" s="9" t="n">
        <v>88</v>
      </c>
      <c r="I507" s="9" t="inlineStr">
        <is>
          <t>Bullpen Depth Arm</t>
        </is>
      </c>
      <c r="J507" s="17" t="inlineStr">
        <is>
          <t>Opening Day</t>
        </is>
      </c>
      <c r="K507" s="11">
        <f>IFERROR(INDEX(Roles!$B$17:$B$20,MATCH(J507,Roles!$A$17:$A$20,0)),1)</f>
        <v/>
      </c>
      <c r="L507" s="18" t="n">
        <v>1</v>
      </c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3">
        <f>SUMPRODUCT(M507:X507,$M$2:$X$2)*$K507*$L507</f>
        <v/>
      </c>
      <c r="Z507" s="14">
        <f>SUM(M507:X507)</f>
        <v/>
      </c>
      <c r="AA507" s="13">
        <f>SUMPRODUCT(M507:X507,$M$3:$X$3)*$K507*$L507</f>
        <v/>
      </c>
      <c r="AB507" s="13">
        <f>SUMPRODUCT(M507:X507,$M$4:$X$4)*$K507*$L507</f>
        <v/>
      </c>
      <c r="AC507" s="15">
        <f>SUMPRODUCT(M507:X507,$M$5:$X$5)*$K507*$L507</f>
        <v/>
      </c>
      <c r="AD507" s="15">
        <f>SUMPRODUCT(M507:X507,$M$6:$X$6)*$K507*$L507</f>
        <v/>
      </c>
      <c r="AE507" s="19" t="n"/>
    </row>
    <row r="508">
      <c r="A508" s="9" t="n">
        <v>679346</v>
      </c>
      <c r="B508" s="9" t="inlineStr">
        <is>
          <t>Edgar Navarro</t>
        </is>
      </c>
      <c r="C508" s="9" t="inlineStr">
        <is>
          <t>CWS</t>
        </is>
      </c>
      <c r="D508" s="9" t="n">
        <v>29</v>
      </c>
      <c r="E508" s="17" t="inlineStr">
        <is>
          <t>R</t>
        </is>
      </c>
      <c r="F508" s="17" t="n"/>
      <c r="G508" s="9" t="n">
        <v>39</v>
      </c>
      <c r="H508" s="9" t="n">
        <v>39</v>
      </c>
      <c r="I508" s="9" t="inlineStr">
        <is>
          <t>Depth (no MLB IP)</t>
        </is>
      </c>
      <c r="J508" s="17" t="inlineStr">
        <is>
          <t>Opening Day</t>
        </is>
      </c>
      <c r="K508" s="11">
        <f>IFERROR(INDEX(Roles!$B$17:$B$20,MATCH(J508,Roles!$A$17:$A$20,0)),1)</f>
        <v/>
      </c>
      <c r="L508" s="18" t="n">
        <v>1</v>
      </c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3">
        <f>SUMPRODUCT(M508:X508,$M$2:$X$2)*$K508*$L508</f>
        <v/>
      </c>
      <c r="Z508" s="14">
        <f>SUM(M508:X508)</f>
        <v/>
      </c>
      <c r="AA508" s="13">
        <f>SUMPRODUCT(M508:X508,$M$3:$X$3)*$K508*$L508</f>
        <v/>
      </c>
      <c r="AB508" s="13">
        <f>SUMPRODUCT(M508:X508,$M$4:$X$4)*$K508*$L508</f>
        <v/>
      </c>
      <c r="AC508" s="15">
        <f>SUMPRODUCT(M508:X508,$M$5:$X$5)*$K508*$L508</f>
        <v/>
      </c>
      <c r="AD508" s="15">
        <f>SUMPRODUCT(M508:X508,$M$6:$X$6)*$K508*$L508</f>
        <v/>
      </c>
      <c r="AE508" s="19" t="n"/>
    </row>
    <row r="509">
      <c r="A509" s="9" t="n">
        <v>681520</v>
      </c>
      <c r="B509" s="9" t="inlineStr">
        <is>
          <t>Antoine Kelly</t>
        </is>
      </c>
      <c r="C509" s="9" t="inlineStr"/>
      <c r="D509" s="9" t="n">
        <v>27</v>
      </c>
      <c r="E509" s="17" t="inlineStr">
        <is>
          <t>L</t>
        </is>
      </c>
      <c r="F509" s="17" t="n"/>
      <c r="G509" s="9" t="n">
        <v>4</v>
      </c>
      <c r="H509" s="9" t="n">
        <v>4</v>
      </c>
      <c r="I509" s="9" t="inlineStr">
        <is>
          <t>Depth (no MLB IP)</t>
        </is>
      </c>
      <c r="J509" s="17" t="inlineStr">
        <is>
          <t>Opening Day</t>
        </is>
      </c>
      <c r="K509" s="11">
        <f>IFERROR(INDEX(Roles!$B$17:$B$20,MATCH(J509,Roles!$A$17:$A$20,0)),1)</f>
        <v/>
      </c>
      <c r="L509" s="18" t="n">
        <v>1</v>
      </c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3">
        <f>SUMPRODUCT(M509:X509,$M$2:$X$2)*$K509*$L509</f>
        <v/>
      </c>
      <c r="Z509" s="14">
        <f>SUM(M509:X509)</f>
        <v/>
      </c>
      <c r="AA509" s="13">
        <f>SUMPRODUCT(M509:X509,$M$3:$X$3)*$K509*$L509</f>
        <v/>
      </c>
      <c r="AB509" s="13">
        <f>SUMPRODUCT(M509:X509,$M$4:$X$4)*$K509*$L509</f>
        <v/>
      </c>
      <c r="AC509" s="15">
        <f>SUMPRODUCT(M509:X509,$M$5:$X$5)*$K509*$L509</f>
        <v/>
      </c>
      <c r="AD509" s="15">
        <f>SUMPRODUCT(M509:X509,$M$6:$X$6)*$K509*$L509</f>
        <v/>
      </c>
      <c r="AE509" s="19" t="n"/>
    </row>
    <row r="510">
      <c r="A510" s="9" t="n">
        <v>593334</v>
      </c>
      <c r="B510" s="9" t="inlineStr">
        <is>
          <t>Domingo Germán</t>
        </is>
      </c>
      <c r="C510" s="9" t="inlineStr">
        <is>
          <t>PIT</t>
        </is>
      </c>
      <c r="D510" s="9" t="n">
        <v>34</v>
      </c>
      <c r="E510" s="17" t="inlineStr">
        <is>
          <t>R</t>
        </is>
      </c>
      <c r="F510" s="17" t="n"/>
      <c r="G510" s="9" t="n">
        <v>100</v>
      </c>
      <c r="H510" s="9" t="n">
        <v>842</v>
      </c>
      <c r="I510" s="9" t="inlineStr">
        <is>
          <t>Depth (no MLB IP)</t>
        </is>
      </c>
      <c r="J510" s="17" t="inlineStr">
        <is>
          <t>Opening Day</t>
        </is>
      </c>
      <c r="K510" s="11">
        <f>IFERROR(INDEX(Roles!$B$17:$B$20,MATCH(J510,Roles!$A$17:$A$20,0)),1)</f>
        <v/>
      </c>
      <c r="L510" s="18" t="n">
        <v>1</v>
      </c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3">
        <f>SUMPRODUCT(M510:X510,$M$2:$X$2)*$K510*$L510</f>
        <v/>
      </c>
      <c r="Z510" s="14">
        <f>SUM(M510:X510)</f>
        <v/>
      </c>
      <c r="AA510" s="13">
        <f>SUMPRODUCT(M510:X510,$M$3:$X$3)*$K510*$L510</f>
        <v/>
      </c>
      <c r="AB510" s="13">
        <f>SUMPRODUCT(M510:X510,$M$4:$X$4)*$K510*$L510</f>
        <v/>
      </c>
      <c r="AC510" s="15">
        <f>SUMPRODUCT(M510:X510,$M$5:$X$5)*$K510*$L510</f>
        <v/>
      </c>
      <c r="AD510" s="15">
        <f>SUMPRODUCT(M510:X510,$M$6:$X$6)*$K510*$L510</f>
        <v/>
      </c>
      <c r="AE510" s="19" t="n"/>
    </row>
    <row r="511">
      <c r="A511" s="9" t="n">
        <v>663767</v>
      </c>
      <c r="B511" s="9" t="inlineStr">
        <is>
          <t>Chase Shugart</t>
        </is>
      </c>
      <c r="C511" s="9" t="inlineStr">
        <is>
          <t>PHI</t>
        </is>
      </c>
      <c r="D511" s="9" t="n">
        <v>30</v>
      </c>
      <c r="E511" s="17" t="inlineStr">
        <is>
          <t>R</t>
        </is>
      </c>
      <c r="F511" s="17" t="n"/>
      <c r="G511" s="9" t="n">
        <v>205</v>
      </c>
      <c r="H511" s="9" t="n">
        <v>422</v>
      </c>
      <c r="I511" s="9" t="inlineStr">
        <is>
          <t>Bullpen Depth Arm</t>
        </is>
      </c>
      <c r="J511" s="17" t="inlineStr">
        <is>
          <t>Opening Day</t>
        </is>
      </c>
      <c r="K511" s="11">
        <f>IFERROR(INDEX(Roles!$B$17:$B$20,MATCH(J511,Roles!$A$17:$A$20,0)),1)</f>
        <v/>
      </c>
      <c r="L511" s="18" t="n">
        <v>1</v>
      </c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3">
        <f>SUMPRODUCT(M511:X511,$M$2:$X$2)*$K511*$L511</f>
        <v/>
      </c>
      <c r="Z511" s="14">
        <f>SUM(M511:X511)</f>
        <v/>
      </c>
      <c r="AA511" s="13">
        <f>SUMPRODUCT(M511:X511,$M$3:$X$3)*$K511*$L511</f>
        <v/>
      </c>
      <c r="AB511" s="13">
        <f>SUMPRODUCT(M511:X511,$M$4:$X$4)*$K511*$L511</f>
        <v/>
      </c>
      <c r="AC511" s="15">
        <f>SUMPRODUCT(M511:X511,$M$5:$X$5)*$K511*$L511</f>
        <v/>
      </c>
      <c r="AD511" s="15">
        <f>SUMPRODUCT(M511:X511,$M$6:$X$6)*$K511*$L511</f>
        <v/>
      </c>
      <c r="AE511" s="19" t="n"/>
    </row>
    <row r="512">
      <c r="A512" s="9" t="n">
        <v>668941</v>
      </c>
      <c r="B512" s="9" t="inlineStr">
        <is>
          <t>JoJo Romero</t>
        </is>
      </c>
      <c r="C512" s="9" t="inlineStr">
        <is>
          <t>MIL</t>
        </is>
      </c>
      <c r="D512" s="9" t="n">
        <v>30</v>
      </c>
      <c r="E512" s="17" t="inlineStr">
        <is>
          <t>L</t>
        </is>
      </c>
      <c r="F512" s="17" t="n"/>
      <c r="G512" s="9" t="n">
        <v>222</v>
      </c>
      <c r="H512" s="9" t="n">
        <v>934</v>
      </c>
      <c r="I512" s="9" t="inlineStr">
        <is>
          <t>Bullpen Depth Arm</t>
        </is>
      </c>
      <c r="J512" s="17" t="inlineStr">
        <is>
          <t>Opening Day</t>
        </is>
      </c>
      <c r="K512" s="11">
        <f>IFERROR(INDEX(Roles!$B$17:$B$20,MATCH(J512,Roles!$A$17:$A$20,0)),1)</f>
        <v/>
      </c>
      <c r="L512" s="18" t="n">
        <v>1</v>
      </c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3">
        <f>SUMPRODUCT(M512:X512,$M$2:$X$2)*$K512*$L512</f>
        <v/>
      </c>
      <c r="Z512" s="14">
        <f>SUM(M512:X512)</f>
        <v/>
      </c>
      <c r="AA512" s="13">
        <f>SUMPRODUCT(M512:X512,$M$3:$X$3)*$K512*$L512</f>
        <v/>
      </c>
      <c r="AB512" s="13">
        <f>SUMPRODUCT(M512:X512,$M$4:$X$4)*$K512*$L512</f>
        <v/>
      </c>
      <c r="AC512" s="15">
        <f>SUMPRODUCT(M512:X512,$M$5:$X$5)*$K512*$L512</f>
        <v/>
      </c>
      <c r="AD512" s="15">
        <f>SUMPRODUCT(M512:X512,$M$6:$X$6)*$K512*$L512</f>
        <v/>
      </c>
      <c r="AE512" s="19" t="n"/>
    </row>
    <row r="513">
      <c r="A513" s="9" t="n">
        <v>687606</v>
      </c>
      <c r="B513" s="9" t="inlineStr">
        <is>
          <t>Paxton Schultz</t>
        </is>
      </c>
      <c r="C513" s="9" t="inlineStr">
        <is>
          <t>WSH</t>
        </is>
      </c>
      <c r="D513" s="9" t="n">
        <v>29</v>
      </c>
      <c r="E513" s="17" t="inlineStr">
        <is>
          <t>R</t>
        </is>
      </c>
      <c r="F513" s="17" t="n"/>
      <c r="G513" s="9" t="n">
        <v>153</v>
      </c>
      <c r="H513" s="9" t="n">
        <v>263</v>
      </c>
      <c r="I513" s="9" t="inlineStr">
        <is>
          <t>Closer</t>
        </is>
      </c>
      <c r="J513" s="17" t="inlineStr">
        <is>
          <t>Opening Day</t>
        </is>
      </c>
      <c r="K513" s="11">
        <f>IFERROR(INDEX(Roles!$B$17:$B$20,MATCH(J513,Roles!$A$17:$A$20,0)),1)</f>
        <v/>
      </c>
      <c r="L513" s="18" t="n">
        <v>1</v>
      </c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3">
        <f>SUMPRODUCT(M513:X513,$M$2:$X$2)*$K513*$L513</f>
        <v/>
      </c>
      <c r="Z513" s="14">
        <f>SUM(M513:X513)</f>
        <v/>
      </c>
      <c r="AA513" s="13">
        <f>SUMPRODUCT(M513:X513,$M$3:$X$3)*$K513*$L513</f>
        <v/>
      </c>
      <c r="AB513" s="13">
        <f>SUMPRODUCT(M513:X513,$M$4:$X$4)*$K513*$L513</f>
        <v/>
      </c>
      <c r="AC513" s="15">
        <f>SUMPRODUCT(M513:X513,$M$5:$X$5)*$K513*$L513</f>
        <v/>
      </c>
      <c r="AD513" s="15">
        <f>SUMPRODUCT(M513:X513,$M$6:$X$6)*$K513*$L513</f>
        <v/>
      </c>
      <c r="AE513" s="19" t="n"/>
    </row>
    <row r="514">
      <c r="A514" s="9" t="n">
        <v>688883</v>
      </c>
      <c r="B514" s="9" t="inlineStr">
        <is>
          <t>Peyton Pallette</t>
        </is>
      </c>
      <c r="C514" s="9" t="inlineStr">
        <is>
          <t>CLE</t>
        </is>
      </c>
      <c r="D514" s="9" t="n">
        <v>26</v>
      </c>
      <c r="E514" s="17" t="inlineStr">
        <is>
          <t>R</t>
        </is>
      </c>
      <c r="F514" s="17" t="n"/>
      <c r="G514" s="9" t="n">
        <v>97</v>
      </c>
      <c r="H514" s="9" t="n">
        <v>97</v>
      </c>
      <c r="I514" s="9" t="inlineStr">
        <is>
          <t>Bullpen Depth Arm</t>
        </is>
      </c>
      <c r="J514" s="17" t="inlineStr">
        <is>
          <t>Opening Day</t>
        </is>
      </c>
      <c r="K514" s="11">
        <f>IFERROR(INDEX(Roles!$B$17:$B$20,MATCH(J514,Roles!$A$17:$A$20,0)),1)</f>
        <v/>
      </c>
      <c r="L514" s="18" t="n">
        <v>1</v>
      </c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3">
        <f>SUMPRODUCT(M514:X514,$M$2:$X$2)*$K514*$L514</f>
        <v/>
      </c>
      <c r="Z514" s="14">
        <f>SUM(M514:X514)</f>
        <v/>
      </c>
      <c r="AA514" s="13">
        <f>SUMPRODUCT(M514:X514,$M$3:$X$3)*$K514*$L514</f>
        <v/>
      </c>
      <c r="AB514" s="13">
        <f>SUMPRODUCT(M514:X514,$M$4:$X$4)*$K514*$L514</f>
        <v/>
      </c>
      <c r="AC514" s="15">
        <f>SUMPRODUCT(M514:X514,$M$5:$X$5)*$K514*$L514</f>
        <v/>
      </c>
      <c r="AD514" s="15">
        <f>SUMPRODUCT(M514:X514,$M$6:$X$6)*$K514*$L514</f>
        <v/>
      </c>
      <c r="AE514" s="19" t="n"/>
    </row>
    <row r="515">
      <c r="A515" s="9" t="n">
        <v>668472</v>
      </c>
      <c r="B515" s="9" t="inlineStr">
        <is>
          <t>Nick Pratto</t>
        </is>
      </c>
      <c r="C515" s="9" t="inlineStr"/>
      <c r="D515" s="9" t="n">
        <v>28</v>
      </c>
      <c r="E515" s="17" t="inlineStr">
        <is>
          <t>L</t>
        </is>
      </c>
      <c r="F515" s="17" t="n"/>
      <c r="G515" s="9" t="n">
        <v>4</v>
      </c>
      <c r="H515" s="9" t="n">
        <v>4</v>
      </c>
      <c r="I515" s="9" t="inlineStr">
        <is>
          <t>Depth (no MLB IP)</t>
        </is>
      </c>
      <c r="J515" s="17" t="inlineStr">
        <is>
          <t>Opening Day</t>
        </is>
      </c>
      <c r="K515" s="11">
        <f>IFERROR(INDEX(Roles!$B$17:$B$20,MATCH(J515,Roles!$A$17:$A$20,0)),1)</f>
        <v/>
      </c>
      <c r="L515" s="18" t="n">
        <v>1</v>
      </c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3">
        <f>SUMPRODUCT(M515:X515,$M$2:$X$2)*$K515*$L515</f>
        <v/>
      </c>
      <c r="Z515" s="14">
        <f>SUM(M515:X515)</f>
        <v/>
      </c>
      <c r="AA515" s="13">
        <f>SUMPRODUCT(M515:X515,$M$3:$X$3)*$K515*$L515</f>
        <v/>
      </c>
      <c r="AB515" s="13">
        <f>SUMPRODUCT(M515:X515,$M$4:$X$4)*$K515*$L515</f>
        <v/>
      </c>
      <c r="AC515" s="15">
        <f>SUMPRODUCT(M515:X515,$M$5:$X$5)*$K515*$L515</f>
        <v/>
      </c>
      <c r="AD515" s="15">
        <f>SUMPRODUCT(M515:X515,$M$6:$X$6)*$K515*$L515</f>
        <v/>
      </c>
      <c r="AE515" s="19" t="n"/>
    </row>
    <row r="516">
      <c r="A516" s="9" t="n">
        <v>594027</v>
      </c>
      <c r="B516" s="9" t="inlineStr">
        <is>
          <t>Tyron Guerrero</t>
        </is>
      </c>
      <c r="C516" s="9" t="inlineStr">
        <is>
          <t>BOS</t>
        </is>
      </c>
      <c r="D516" s="9" t="n">
        <v>36</v>
      </c>
      <c r="E516" s="17" t="inlineStr">
        <is>
          <t>R</t>
        </is>
      </c>
      <c r="F516" s="17" t="n"/>
      <c r="G516" s="9" t="n">
        <v>159</v>
      </c>
      <c r="H516" s="9" t="n">
        <v>159</v>
      </c>
      <c r="I516" s="9" t="inlineStr">
        <is>
          <t>Late Inning RP (Setup)</t>
        </is>
      </c>
      <c r="J516" s="17" t="inlineStr">
        <is>
          <t>Opening Day</t>
        </is>
      </c>
      <c r="K516" s="11">
        <f>IFERROR(INDEX(Roles!$B$17:$B$20,MATCH(J516,Roles!$A$17:$A$20,0)),1)</f>
        <v/>
      </c>
      <c r="L516" s="18" t="n">
        <v>1</v>
      </c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3">
        <f>SUMPRODUCT(M516:X516,$M$2:$X$2)*$K516*$L516</f>
        <v/>
      </c>
      <c r="Z516" s="14">
        <f>SUM(M516:X516)</f>
        <v/>
      </c>
      <c r="AA516" s="13">
        <f>SUMPRODUCT(M516:X516,$M$3:$X$3)*$K516*$L516</f>
        <v/>
      </c>
      <c r="AB516" s="13">
        <f>SUMPRODUCT(M516:X516,$M$4:$X$4)*$K516*$L516</f>
        <v/>
      </c>
      <c r="AC516" s="15">
        <f>SUMPRODUCT(M516:X516,$M$5:$X$5)*$K516*$L516</f>
        <v/>
      </c>
      <c r="AD516" s="15">
        <f>SUMPRODUCT(M516:X516,$M$6:$X$6)*$K516*$L516</f>
        <v/>
      </c>
      <c r="AE516" s="19" t="n"/>
    </row>
    <row r="517">
      <c r="A517" s="9" t="n">
        <v>700842</v>
      </c>
      <c r="B517" s="9" t="inlineStr">
        <is>
          <t>Eduardo Rivera</t>
        </is>
      </c>
      <c r="C517" s="9" t="inlineStr">
        <is>
          <t>BOS</t>
        </is>
      </c>
      <c r="D517" s="9" t="n">
        <v>24</v>
      </c>
      <c r="E517" s="17" t="inlineStr">
        <is>
          <t>L</t>
        </is>
      </c>
      <c r="F517" s="17" t="n"/>
      <c r="G517" s="9" t="n">
        <v>44</v>
      </c>
      <c r="H517" s="9" t="n">
        <v>44</v>
      </c>
      <c r="I517" s="9" t="inlineStr">
        <is>
          <t>Bullpen Depth Arm</t>
        </is>
      </c>
      <c r="J517" s="17" t="inlineStr">
        <is>
          <t>Opening Day</t>
        </is>
      </c>
      <c r="K517" s="11">
        <f>IFERROR(INDEX(Roles!$B$17:$B$20,MATCH(J517,Roles!$A$17:$A$20,0)),1)</f>
        <v/>
      </c>
      <c r="L517" s="18" t="n">
        <v>1</v>
      </c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3">
        <f>SUMPRODUCT(M517:X517,$M$2:$X$2)*$K517*$L517</f>
        <v/>
      </c>
      <c r="Z517" s="14">
        <f>SUM(M517:X517)</f>
        <v/>
      </c>
      <c r="AA517" s="13">
        <f>SUMPRODUCT(M517:X517,$M$3:$X$3)*$K517*$L517</f>
        <v/>
      </c>
      <c r="AB517" s="13">
        <f>SUMPRODUCT(M517:X517,$M$4:$X$4)*$K517*$L517</f>
        <v/>
      </c>
      <c r="AC517" s="15">
        <f>SUMPRODUCT(M517:X517,$M$5:$X$5)*$K517*$L517</f>
        <v/>
      </c>
      <c r="AD517" s="15">
        <f>SUMPRODUCT(M517:X517,$M$6:$X$6)*$K517*$L517</f>
        <v/>
      </c>
      <c r="AE517" s="19" t="n"/>
    </row>
    <row r="518">
      <c r="A518" s="9" t="n">
        <v>686701</v>
      </c>
      <c r="B518" s="9" t="inlineStr">
        <is>
          <t>Ryan Bergert</t>
        </is>
      </c>
      <c r="C518" s="9" t="inlineStr">
        <is>
          <t>KC</t>
        </is>
      </c>
      <c r="D518" s="9" t="n">
        <v>27</v>
      </c>
      <c r="E518" s="17" t="inlineStr">
        <is>
          <t>R</t>
        </is>
      </c>
      <c r="F518" s="17" t="n"/>
      <c r="G518" s="9" t="n">
        <v>323</v>
      </c>
      <c r="H518" s="9" t="n">
        <v>323</v>
      </c>
      <c r="I518" s="9" t="inlineStr">
        <is>
          <t>End-of-Rotation Starter (SP4-5)</t>
        </is>
      </c>
      <c r="J518" s="17" t="inlineStr">
        <is>
          <t>Opening Day</t>
        </is>
      </c>
      <c r="K518" s="11">
        <f>IFERROR(INDEX(Roles!$B$17:$B$20,MATCH(J518,Roles!$A$17:$A$20,0)),1)</f>
        <v/>
      </c>
      <c r="L518" s="18" t="n">
        <v>1</v>
      </c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3">
        <f>SUMPRODUCT(M518:X518,$M$2:$X$2)*$K518*$L518</f>
        <v/>
      </c>
      <c r="Z518" s="14">
        <f>SUM(M518:X518)</f>
        <v/>
      </c>
      <c r="AA518" s="13">
        <f>SUMPRODUCT(M518:X518,$M$3:$X$3)*$K518*$L518</f>
        <v/>
      </c>
      <c r="AB518" s="13">
        <f>SUMPRODUCT(M518:X518,$M$4:$X$4)*$K518*$L518</f>
        <v/>
      </c>
      <c r="AC518" s="15">
        <f>SUMPRODUCT(M518:X518,$M$5:$X$5)*$K518*$L518</f>
        <v/>
      </c>
      <c r="AD518" s="15">
        <f>SUMPRODUCT(M518:X518,$M$6:$X$6)*$K518*$L518</f>
        <v/>
      </c>
      <c r="AE518" s="19" t="n"/>
    </row>
    <row r="519">
      <c r="A519" s="9" t="n">
        <v>695378</v>
      </c>
      <c r="B519" s="9" t="inlineStr">
        <is>
          <t>Jack Sinclair</t>
        </is>
      </c>
      <c r="C519" s="9" t="inlineStr"/>
      <c r="D519" s="9" t="n">
        <v>28</v>
      </c>
      <c r="E519" s="17" t="inlineStr">
        <is>
          <t>R</t>
        </is>
      </c>
      <c r="F519" s="17" t="n"/>
      <c r="G519" s="9" t="n">
        <v>22</v>
      </c>
      <c r="H519" s="9" t="n">
        <v>22</v>
      </c>
      <c r="I519" s="9" t="inlineStr">
        <is>
          <t>Depth (no MLB IP)</t>
        </is>
      </c>
      <c r="J519" s="17" t="inlineStr">
        <is>
          <t>Opening Day</t>
        </is>
      </c>
      <c r="K519" s="11">
        <f>IFERROR(INDEX(Roles!$B$17:$B$20,MATCH(J519,Roles!$A$17:$A$20,0)),1)</f>
        <v/>
      </c>
      <c r="L519" s="18" t="n">
        <v>1</v>
      </c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3">
        <f>SUMPRODUCT(M519:X519,$M$2:$X$2)*$K519*$L519</f>
        <v/>
      </c>
      <c r="Z519" s="14">
        <f>SUM(M519:X519)</f>
        <v/>
      </c>
      <c r="AA519" s="13">
        <f>SUMPRODUCT(M519:X519,$M$3:$X$3)*$K519*$L519</f>
        <v/>
      </c>
      <c r="AB519" s="13">
        <f>SUMPRODUCT(M519:X519,$M$4:$X$4)*$K519*$L519</f>
        <v/>
      </c>
      <c r="AC519" s="15">
        <f>SUMPRODUCT(M519:X519,$M$5:$X$5)*$K519*$L519</f>
        <v/>
      </c>
      <c r="AD519" s="15">
        <f>SUMPRODUCT(M519:X519,$M$6:$X$6)*$K519*$L519</f>
        <v/>
      </c>
      <c r="AE519" s="19" t="n"/>
    </row>
    <row r="520">
      <c r="A520" s="9" t="n">
        <v>808970</v>
      </c>
      <c r="B520" s="9" t="inlineStr">
        <is>
          <t>Woo-Suk Go</t>
        </is>
      </c>
      <c r="C520" s="9" t="inlineStr"/>
      <c r="D520" s="9" t="n">
        <v>28</v>
      </c>
      <c r="E520" s="17" t="inlineStr">
        <is>
          <t>R</t>
        </is>
      </c>
      <c r="F520" s="17" t="n"/>
      <c r="G520" s="9" t="n">
        <v>22</v>
      </c>
      <c r="H520" s="9" t="n">
        <v>22</v>
      </c>
      <c r="I520" s="9" t="inlineStr">
        <is>
          <t>Depth (no MLB IP)</t>
        </is>
      </c>
      <c r="J520" s="17" t="inlineStr">
        <is>
          <t>Opening Day</t>
        </is>
      </c>
      <c r="K520" s="11">
        <f>IFERROR(INDEX(Roles!$B$17:$B$20,MATCH(J520,Roles!$A$17:$A$20,0)),1)</f>
        <v/>
      </c>
      <c r="L520" s="18" t="n">
        <v>1</v>
      </c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3">
        <f>SUMPRODUCT(M520:X520,$M$2:$X$2)*$K520*$L520</f>
        <v/>
      </c>
      <c r="Z520" s="14">
        <f>SUM(M520:X520)</f>
        <v/>
      </c>
      <c r="AA520" s="13">
        <f>SUMPRODUCT(M520:X520,$M$3:$X$3)*$K520*$L520</f>
        <v/>
      </c>
      <c r="AB520" s="13">
        <f>SUMPRODUCT(M520:X520,$M$4:$X$4)*$K520*$L520</f>
        <v/>
      </c>
      <c r="AC520" s="15">
        <f>SUMPRODUCT(M520:X520,$M$5:$X$5)*$K520*$L520</f>
        <v/>
      </c>
      <c r="AD520" s="15">
        <f>SUMPRODUCT(M520:X520,$M$6:$X$6)*$K520*$L520</f>
        <v/>
      </c>
      <c r="AE520" s="19" t="n"/>
    </row>
    <row r="521">
      <c r="A521" s="9" t="n">
        <v>700712</v>
      </c>
      <c r="B521" s="9" t="inlineStr">
        <is>
          <t>Walbert Ureña</t>
        </is>
      </c>
      <c r="C521" s="9" t="inlineStr">
        <is>
          <t>LAA</t>
        </is>
      </c>
      <c r="D521" s="9" t="n">
        <v>23</v>
      </c>
      <c r="E521" s="17" t="inlineStr">
        <is>
          <t>R</t>
        </is>
      </c>
      <c r="F521" s="17" t="n"/>
      <c r="G521" s="9" t="n">
        <v>580</v>
      </c>
      <c r="H521" s="9" t="n">
        <v>580</v>
      </c>
      <c r="I521" s="9" t="inlineStr">
        <is>
          <t>Mid-Rotation Starter (SP2-3)</t>
        </is>
      </c>
      <c r="J521" s="17" t="inlineStr">
        <is>
          <t>Opening Day</t>
        </is>
      </c>
      <c r="K521" s="11">
        <f>IFERROR(INDEX(Roles!$B$17:$B$20,MATCH(J521,Roles!$A$17:$A$20,0)),1)</f>
        <v/>
      </c>
      <c r="L521" s="18" t="n">
        <v>1</v>
      </c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3">
        <f>SUMPRODUCT(M521:X521,$M$2:$X$2)*$K521*$L521</f>
        <v/>
      </c>
      <c r="Z521" s="14">
        <f>SUM(M521:X521)</f>
        <v/>
      </c>
      <c r="AA521" s="13">
        <f>SUMPRODUCT(M521:X521,$M$3:$X$3)*$K521*$L521</f>
        <v/>
      </c>
      <c r="AB521" s="13">
        <f>SUMPRODUCT(M521:X521,$M$4:$X$4)*$K521*$L521</f>
        <v/>
      </c>
      <c r="AC521" s="15">
        <f>SUMPRODUCT(M521:X521,$M$5:$X$5)*$K521*$L521</f>
        <v/>
      </c>
      <c r="AD521" s="15">
        <f>SUMPRODUCT(M521:X521,$M$6:$X$6)*$K521*$L521</f>
        <v/>
      </c>
      <c r="AE521" s="19" t="n"/>
    </row>
    <row r="522">
      <c r="A522" s="9" t="n">
        <v>543272</v>
      </c>
      <c r="B522" s="9" t="inlineStr">
        <is>
          <t>Brad Hand</t>
        </is>
      </c>
      <c r="C522" s="9" t="inlineStr">
        <is>
          <t>ATL</t>
        </is>
      </c>
      <c r="D522" s="9" t="n">
        <v>37</v>
      </c>
      <c r="E522" s="17" t="inlineStr">
        <is>
          <t>L</t>
        </is>
      </c>
      <c r="F522" s="17" t="n"/>
      <c r="G522" s="9" t="n">
        <v>236</v>
      </c>
      <c r="H522" s="9" t="n">
        <v>434</v>
      </c>
      <c r="I522" s="9" t="inlineStr">
        <is>
          <t>Depth (no MLB IP)</t>
        </is>
      </c>
      <c r="J522" s="17" t="inlineStr">
        <is>
          <t>Opening Day</t>
        </is>
      </c>
      <c r="K522" s="11">
        <f>IFERROR(INDEX(Roles!$B$17:$B$20,MATCH(J522,Roles!$A$17:$A$20,0)),1)</f>
        <v/>
      </c>
      <c r="L522" s="18" t="n">
        <v>1</v>
      </c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3">
        <f>SUMPRODUCT(M522:X522,$M$2:$X$2)*$K522*$L522</f>
        <v/>
      </c>
      <c r="Z522" s="14">
        <f>SUM(M522:X522)</f>
        <v/>
      </c>
      <c r="AA522" s="13">
        <f>SUMPRODUCT(M522:X522,$M$3:$X$3)*$K522*$L522</f>
        <v/>
      </c>
      <c r="AB522" s="13">
        <f>SUMPRODUCT(M522:X522,$M$4:$X$4)*$K522*$L522</f>
        <v/>
      </c>
      <c r="AC522" s="15">
        <f>SUMPRODUCT(M522:X522,$M$5:$X$5)*$K522*$L522</f>
        <v/>
      </c>
      <c r="AD522" s="15">
        <f>SUMPRODUCT(M522:X522,$M$6:$X$6)*$K522*$L522</f>
        <v/>
      </c>
      <c r="AE522" s="19" t="n"/>
    </row>
    <row r="523">
      <c r="A523" s="9" t="n">
        <v>690829</v>
      </c>
      <c r="B523" s="9" t="inlineStr">
        <is>
          <t>Ben Joyce</t>
        </is>
      </c>
      <c r="C523" s="9" t="inlineStr">
        <is>
          <t>LAA</t>
        </is>
      </c>
      <c r="D523" s="9" t="n">
        <v>26</v>
      </c>
      <c r="E523" s="17" t="inlineStr">
        <is>
          <t>R</t>
        </is>
      </c>
      <c r="F523" s="17" t="n"/>
      <c r="G523" s="9" t="n">
        <v>54</v>
      </c>
      <c r="H523" s="9" t="n">
        <v>264</v>
      </c>
      <c r="I523" s="9" t="inlineStr">
        <is>
          <t>Bullpen Depth Arm</t>
        </is>
      </c>
      <c r="J523" s="17" t="inlineStr">
        <is>
          <t>Opening Day</t>
        </is>
      </c>
      <c r="K523" s="11">
        <f>IFERROR(INDEX(Roles!$B$17:$B$20,MATCH(J523,Roles!$A$17:$A$20,0)),1)</f>
        <v/>
      </c>
      <c r="L523" s="18" t="n">
        <v>1</v>
      </c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3">
        <f>SUMPRODUCT(M523:X523,$M$2:$X$2)*$K523*$L523</f>
        <v/>
      </c>
      <c r="Z523" s="14">
        <f>SUM(M523:X523)</f>
        <v/>
      </c>
      <c r="AA523" s="13">
        <f>SUMPRODUCT(M523:X523,$M$3:$X$3)*$K523*$L523</f>
        <v/>
      </c>
      <c r="AB523" s="13">
        <f>SUMPRODUCT(M523:X523,$M$4:$X$4)*$K523*$L523</f>
        <v/>
      </c>
      <c r="AC523" s="15">
        <f>SUMPRODUCT(M523:X523,$M$5:$X$5)*$K523*$L523</f>
        <v/>
      </c>
      <c r="AD523" s="15">
        <f>SUMPRODUCT(M523:X523,$M$6:$X$6)*$K523*$L523</f>
        <v/>
      </c>
      <c r="AE523" s="19" t="n"/>
    </row>
    <row r="524">
      <c r="A524" s="9" t="n">
        <v>657053</v>
      </c>
      <c r="B524" s="9" t="inlineStr">
        <is>
          <t>Touki Toussaint</t>
        </is>
      </c>
      <c r="C524" s="9" t="inlineStr">
        <is>
          <t>CWS</t>
        </is>
      </c>
      <c r="D524" s="9" t="n">
        <v>31</v>
      </c>
      <c r="E524" s="17" t="inlineStr">
        <is>
          <t>R</t>
        </is>
      </c>
      <c r="F524" s="17" t="n"/>
      <c r="G524" s="9" t="n">
        <v>11</v>
      </c>
      <c r="H524" s="9" t="n">
        <v>620</v>
      </c>
      <c r="I524" s="9" t="inlineStr">
        <is>
          <t>Depth (no MLB IP)</t>
        </is>
      </c>
      <c r="J524" s="17" t="inlineStr">
        <is>
          <t>Opening Day</t>
        </is>
      </c>
      <c r="K524" s="11">
        <f>IFERROR(INDEX(Roles!$B$17:$B$20,MATCH(J524,Roles!$A$17:$A$20,0)),1)</f>
        <v/>
      </c>
      <c r="L524" s="18" t="n">
        <v>1</v>
      </c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3">
        <f>SUMPRODUCT(M524:X524,$M$2:$X$2)*$K524*$L524</f>
        <v/>
      </c>
      <c r="Z524" s="14">
        <f>SUM(M524:X524)</f>
        <v/>
      </c>
      <c r="AA524" s="13">
        <f>SUMPRODUCT(M524:X524,$M$3:$X$3)*$K524*$L524</f>
        <v/>
      </c>
      <c r="AB524" s="13">
        <f>SUMPRODUCT(M524:X524,$M$4:$X$4)*$K524*$L524</f>
        <v/>
      </c>
      <c r="AC524" s="15">
        <f>SUMPRODUCT(M524:X524,$M$5:$X$5)*$K524*$L524</f>
        <v/>
      </c>
      <c r="AD524" s="15">
        <f>SUMPRODUCT(M524:X524,$M$6:$X$6)*$K524*$L524</f>
        <v/>
      </c>
      <c r="AE524" s="19" t="n"/>
    </row>
    <row r="525">
      <c r="A525" s="9" t="n">
        <v>686539</v>
      </c>
      <c r="B525" s="9" t="inlineStr">
        <is>
          <t>Declan Cronin</t>
        </is>
      </c>
      <c r="C525" s="9" t="inlineStr">
        <is>
          <t>MIA</t>
        </is>
      </c>
      <c r="D525" s="9" t="n">
        <v>29</v>
      </c>
      <c r="E525" s="17" t="inlineStr">
        <is>
          <t>R</t>
        </is>
      </c>
      <c r="F525" s="17" t="n"/>
      <c r="G525" s="9" t="n">
        <v>306</v>
      </c>
      <c r="H525" s="9" t="n">
        <v>357</v>
      </c>
      <c r="I525" s="9" t="inlineStr">
        <is>
          <t>Depth (no MLB IP)</t>
        </is>
      </c>
      <c r="J525" s="17" t="inlineStr">
        <is>
          <t>Opening Day</t>
        </is>
      </c>
      <c r="K525" s="11">
        <f>IFERROR(INDEX(Roles!$B$17:$B$20,MATCH(J525,Roles!$A$17:$A$20,0)),1)</f>
        <v/>
      </c>
      <c r="L525" s="18" t="n">
        <v>1</v>
      </c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3">
        <f>SUMPRODUCT(M525:X525,$M$2:$X$2)*$K525*$L525</f>
        <v/>
      </c>
      <c r="Z525" s="14">
        <f>SUM(M525:X525)</f>
        <v/>
      </c>
      <c r="AA525" s="13">
        <f>SUMPRODUCT(M525:X525,$M$3:$X$3)*$K525*$L525</f>
        <v/>
      </c>
      <c r="AB525" s="13">
        <f>SUMPRODUCT(M525:X525,$M$4:$X$4)*$K525*$L525</f>
        <v/>
      </c>
      <c r="AC525" s="15">
        <f>SUMPRODUCT(M525:X525,$M$5:$X$5)*$K525*$L525</f>
        <v/>
      </c>
      <c r="AD525" s="15">
        <f>SUMPRODUCT(M525:X525,$M$6:$X$6)*$K525*$L525</f>
        <v/>
      </c>
      <c r="AE525" s="19" t="n"/>
    </row>
    <row r="526">
      <c r="A526" s="9" t="n">
        <v>801216</v>
      </c>
      <c r="B526" s="9" t="inlineStr">
        <is>
          <t>Christian Montes De Oca</t>
        </is>
      </c>
      <c r="C526" s="9" t="inlineStr"/>
      <c r="D526" s="9" t="n">
        <v>27</v>
      </c>
      <c r="E526" s="17" t="inlineStr">
        <is>
          <t>R</t>
        </is>
      </c>
      <c r="F526" s="17" t="n"/>
      <c r="G526" s="9" t="n">
        <v>9</v>
      </c>
      <c r="H526" s="9" t="n">
        <v>9</v>
      </c>
      <c r="I526" s="9" t="inlineStr">
        <is>
          <t>Depth (no MLB IP)</t>
        </is>
      </c>
      <c r="J526" s="17" t="inlineStr">
        <is>
          <t>Opening Day</t>
        </is>
      </c>
      <c r="K526" s="11">
        <f>IFERROR(INDEX(Roles!$B$17:$B$20,MATCH(J526,Roles!$A$17:$A$20,0)),1)</f>
        <v/>
      </c>
      <c r="L526" s="18" t="n">
        <v>1</v>
      </c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3">
        <f>SUMPRODUCT(M526:X526,$M$2:$X$2)*$K526*$L526</f>
        <v/>
      </c>
      <c r="Z526" s="14">
        <f>SUM(M526:X526)</f>
        <v/>
      </c>
      <c r="AA526" s="13">
        <f>SUMPRODUCT(M526:X526,$M$3:$X$3)*$K526*$L526</f>
        <v/>
      </c>
      <c r="AB526" s="13">
        <f>SUMPRODUCT(M526:X526,$M$4:$X$4)*$K526*$L526</f>
        <v/>
      </c>
      <c r="AC526" s="15">
        <f>SUMPRODUCT(M526:X526,$M$5:$X$5)*$K526*$L526</f>
        <v/>
      </c>
      <c r="AD526" s="15">
        <f>SUMPRODUCT(M526:X526,$M$6:$X$6)*$K526*$L526</f>
        <v/>
      </c>
      <c r="AE526" s="19" t="n"/>
    </row>
    <row r="527">
      <c r="A527" s="9" t="n">
        <v>656820</v>
      </c>
      <c r="B527" s="9" t="inlineStr">
        <is>
          <t>Nicholas Padilla</t>
        </is>
      </c>
      <c r="C527" s="9" t="inlineStr"/>
      <c r="D527" s="9" t="n">
        <v>30</v>
      </c>
      <c r="E527" s="17" t="inlineStr">
        <is>
          <t>R</t>
        </is>
      </c>
      <c r="F527" s="17" t="n"/>
      <c r="G527" s="9" t="n">
        <v>23</v>
      </c>
      <c r="H527" s="9" t="n">
        <v>32</v>
      </c>
      <c r="I527" s="9" t="inlineStr">
        <is>
          <t>Depth (no MLB IP)</t>
        </is>
      </c>
      <c r="J527" s="17" t="inlineStr">
        <is>
          <t>Opening Day</t>
        </is>
      </c>
      <c r="K527" s="11">
        <f>IFERROR(INDEX(Roles!$B$17:$B$20,MATCH(J527,Roles!$A$17:$A$20,0)),1)</f>
        <v/>
      </c>
      <c r="L527" s="18" t="n">
        <v>1</v>
      </c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3">
        <f>SUMPRODUCT(M527:X527,$M$2:$X$2)*$K527*$L527</f>
        <v/>
      </c>
      <c r="Z527" s="14">
        <f>SUM(M527:X527)</f>
        <v/>
      </c>
      <c r="AA527" s="13">
        <f>SUMPRODUCT(M527:X527,$M$3:$X$3)*$K527*$L527</f>
        <v/>
      </c>
      <c r="AB527" s="13">
        <f>SUMPRODUCT(M527:X527,$M$4:$X$4)*$K527*$L527</f>
        <v/>
      </c>
      <c r="AC527" s="15">
        <f>SUMPRODUCT(M527:X527,$M$5:$X$5)*$K527*$L527</f>
        <v/>
      </c>
      <c r="AD527" s="15">
        <f>SUMPRODUCT(M527:X527,$M$6:$X$6)*$K527*$L527</f>
        <v/>
      </c>
      <c r="AE527" s="19" t="n"/>
    </row>
    <row r="528">
      <c r="A528" s="9" t="n">
        <v>677161</v>
      </c>
      <c r="B528" s="9" t="inlineStr">
        <is>
          <t>Zack Kelly</t>
        </is>
      </c>
      <c r="C528" s="9" t="inlineStr">
        <is>
          <t>BOS</t>
        </is>
      </c>
      <c r="D528" s="9" t="n">
        <v>32</v>
      </c>
      <c r="E528" s="17" t="inlineStr">
        <is>
          <t>R</t>
        </is>
      </c>
      <c r="F528" s="17" t="n"/>
      <c r="G528" s="9" t="n">
        <v>71</v>
      </c>
      <c r="H528" s="9" t="n">
        <v>566</v>
      </c>
      <c r="I528" s="9" t="inlineStr">
        <is>
          <t>Bullpen Depth Arm</t>
        </is>
      </c>
      <c r="J528" s="17" t="inlineStr">
        <is>
          <t>Opening Day</t>
        </is>
      </c>
      <c r="K528" s="11">
        <f>IFERROR(INDEX(Roles!$B$17:$B$20,MATCH(J528,Roles!$A$17:$A$20,0)),1)</f>
        <v/>
      </c>
      <c r="L528" s="18" t="n">
        <v>1</v>
      </c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3">
        <f>SUMPRODUCT(M528:X528,$M$2:$X$2)*$K528*$L528</f>
        <v/>
      </c>
      <c r="Z528" s="14">
        <f>SUM(M528:X528)</f>
        <v/>
      </c>
      <c r="AA528" s="13">
        <f>SUMPRODUCT(M528:X528,$M$3:$X$3)*$K528*$L528</f>
        <v/>
      </c>
      <c r="AB528" s="13">
        <f>SUMPRODUCT(M528:X528,$M$4:$X$4)*$K528*$L528</f>
        <v/>
      </c>
      <c r="AC528" s="15">
        <f>SUMPRODUCT(M528:X528,$M$5:$X$5)*$K528*$L528</f>
        <v/>
      </c>
      <c r="AD528" s="15">
        <f>SUMPRODUCT(M528:X528,$M$6:$X$6)*$K528*$L528</f>
        <v/>
      </c>
      <c r="AE528" s="19" t="n"/>
    </row>
    <row r="529">
      <c r="A529" s="9" t="n">
        <v>656061</v>
      </c>
      <c r="B529" s="9" t="inlineStr">
        <is>
          <t>Albert Abreu</t>
        </is>
      </c>
      <c r="C529" s="9" t="inlineStr">
        <is>
          <t>NYY</t>
        </is>
      </c>
      <c r="D529" s="9" t="n">
        <v>31</v>
      </c>
      <c r="E529" s="17" t="inlineStr">
        <is>
          <t>R</t>
        </is>
      </c>
      <c r="F529" s="17" t="n"/>
      <c r="G529" s="9" t="n">
        <v>268</v>
      </c>
      <c r="H529" s="9" t="n">
        <v>440</v>
      </c>
      <c r="I529" s="9" t="inlineStr">
        <is>
          <t>Depth (no MLB IP)</t>
        </is>
      </c>
      <c r="J529" s="17" t="inlineStr">
        <is>
          <t>Opening Day</t>
        </is>
      </c>
      <c r="K529" s="11">
        <f>IFERROR(INDEX(Roles!$B$17:$B$20,MATCH(J529,Roles!$A$17:$A$20,0)),1)</f>
        <v/>
      </c>
      <c r="L529" s="18" t="n">
        <v>1</v>
      </c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3">
        <f>SUMPRODUCT(M529:X529,$M$2:$X$2)*$K529*$L529</f>
        <v/>
      </c>
      <c r="Z529" s="14">
        <f>SUM(M529:X529)</f>
        <v/>
      </c>
      <c r="AA529" s="13">
        <f>SUMPRODUCT(M529:X529,$M$3:$X$3)*$K529*$L529</f>
        <v/>
      </c>
      <c r="AB529" s="13">
        <f>SUMPRODUCT(M529:X529,$M$4:$X$4)*$K529*$L529</f>
        <v/>
      </c>
      <c r="AC529" s="15">
        <f>SUMPRODUCT(M529:X529,$M$5:$X$5)*$K529*$L529</f>
        <v/>
      </c>
      <c r="AD529" s="15">
        <f>SUMPRODUCT(M529:X529,$M$6:$X$6)*$K529*$L529</f>
        <v/>
      </c>
      <c r="AE529" s="19" t="n"/>
    </row>
    <row r="530">
      <c r="A530" s="9" t="n">
        <v>656686</v>
      </c>
      <c r="B530" s="9" t="inlineStr">
        <is>
          <t>Corbin Martin</t>
        </is>
      </c>
      <c r="C530" s="9" t="inlineStr">
        <is>
          <t>CHC</t>
        </is>
      </c>
      <c r="D530" s="9" t="n">
        <v>31</v>
      </c>
      <c r="E530" s="17" t="inlineStr">
        <is>
          <t>R</t>
        </is>
      </c>
      <c r="F530" s="17" t="n"/>
      <c r="G530" s="9" t="n">
        <v>25</v>
      </c>
      <c r="H530" s="9" t="n">
        <v>215</v>
      </c>
      <c r="I530" s="9" t="inlineStr">
        <is>
          <t>Bullpen Depth Arm</t>
        </is>
      </c>
      <c r="J530" s="17" t="inlineStr">
        <is>
          <t>Opening Day</t>
        </is>
      </c>
      <c r="K530" s="11">
        <f>IFERROR(INDEX(Roles!$B$17:$B$20,MATCH(J530,Roles!$A$17:$A$20,0)),1)</f>
        <v/>
      </c>
      <c r="L530" s="18" t="n">
        <v>1</v>
      </c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3">
        <f>SUMPRODUCT(M530:X530,$M$2:$X$2)*$K530*$L530</f>
        <v/>
      </c>
      <c r="Z530" s="14">
        <f>SUM(M530:X530)</f>
        <v/>
      </c>
      <c r="AA530" s="13">
        <f>SUMPRODUCT(M530:X530,$M$3:$X$3)*$K530*$L530</f>
        <v/>
      </c>
      <c r="AB530" s="13">
        <f>SUMPRODUCT(M530:X530,$M$4:$X$4)*$K530*$L530</f>
        <v/>
      </c>
      <c r="AC530" s="15">
        <f>SUMPRODUCT(M530:X530,$M$5:$X$5)*$K530*$L530</f>
        <v/>
      </c>
      <c r="AD530" s="15">
        <f>SUMPRODUCT(M530:X530,$M$6:$X$6)*$K530*$L530</f>
        <v/>
      </c>
      <c r="AE530" s="19" t="n"/>
    </row>
    <row r="531">
      <c r="A531" s="9" t="n">
        <v>664123</v>
      </c>
      <c r="B531" s="9" t="inlineStr">
        <is>
          <t>Scott Effross</t>
        </is>
      </c>
      <c r="C531" s="9" t="inlineStr">
        <is>
          <t>NYY</t>
        </is>
      </c>
      <c r="D531" s="9" t="n">
        <v>33</v>
      </c>
      <c r="E531" s="17" t="inlineStr">
        <is>
          <t>R</t>
        </is>
      </c>
      <c r="F531" s="17" t="n"/>
      <c r="G531" s="9" t="n">
        <v>51</v>
      </c>
      <c r="H531" s="9" t="n">
        <v>294</v>
      </c>
      <c r="I531" s="9" t="inlineStr">
        <is>
          <t>Bullpen Depth Arm</t>
        </is>
      </c>
      <c r="J531" s="17" t="inlineStr">
        <is>
          <t>Opening Day</t>
        </is>
      </c>
      <c r="K531" s="11">
        <f>IFERROR(INDEX(Roles!$B$17:$B$20,MATCH(J531,Roles!$A$17:$A$20,0)),1)</f>
        <v/>
      </c>
      <c r="L531" s="18" t="n">
        <v>1</v>
      </c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3">
        <f>SUMPRODUCT(M531:X531,$M$2:$X$2)*$K531*$L531</f>
        <v/>
      </c>
      <c r="Z531" s="14">
        <f>SUM(M531:X531)</f>
        <v/>
      </c>
      <c r="AA531" s="13">
        <f>SUMPRODUCT(M531:X531,$M$3:$X$3)*$K531*$L531</f>
        <v/>
      </c>
      <c r="AB531" s="13">
        <f>SUMPRODUCT(M531:X531,$M$4:$X$4)*$K531*$L531</f>
        <v/>
      </c>
      <c r="AC531" s="15">
        <f>SUMPRODUCT(M531:X531,$M$5:$X$5)*$K531*$L531</f>
        <v/>
      </c>
      <c r="AD531" s="15">
        <f>SUMPRODUCT(M531:X531,$M$6:$X$6)*$K531*$L531</f>
        <v/>
      </c>
      <c r="AE531" s="19" t="n"/>
    </row>
    <row r="532">
      <c r="A532" s="9" t="n">
        <v>669456</v>
      </c>
      <c r="B532" s="9" t="inlineStr">
        <is>
          <t>Shane Bieber</t>
        </is>
      </c>
      <c r="C532" s="9" t="inlineStr">
        <is>
          <t>TOR</t>
        </is>
      </c>
      <c r="D532" s="9" t="n">
        <v>32</v>
      </c>
      <c r="E532" s="17" t="inlineStr">
        <is>
          <t>R</t>
        </is>
      </c>
      <c r="F532" s="17" t="n"/>
      <c r="G532" s="9" t="n">
        <v>242</v>
      </c>
      <c r="H532" s="9" t="n">
        <v>1770</v>
      </c>
      <c r="I532" s="9" t="inlineStr">
        <is>
          <t>Mid-Rotation Starter (SP2-3)</t>
        </is>
      </c>
      <c r="J532" s="17" t="inlineStr">
        <is>
          <t>Opening Day</t>
        </is>
      </c>
      <c r="K532" s="11">
        <f>IFERROR(INDEX(Roles!$B$17:$B$20,MATCH(J532,Roles!$A$17:$A$20,0)),1)</f>
        <v/>
      </c>
      <c r="L532" s="18" t="n">
        <v>1</v>
      </c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3">
        <f>SUMPRODUCT(M532:X532,$M$2:$X$2)*$K532*$L532</f>
        <v/>
      </c>
      <c r="Z532" s="14">
        <f>SUM(M532:X532)</f>
        <v/>
      </c>
      <c r="AA532" s="13">
        <f>SUMPRODUCT(M532:X532,$M$3:$X$3)*$K532*$L532</f>
        <v/>
      </c>
      <c r="AB532" s="13">
        <f>SUMPRODUCT(M532:X532,$M$4:$X$4)*$K532*$L532</f>
        <v/>
      </c>
      <c r="AC532" s="15">
        <f>SUMPRODUCT(M532:X532,$M$5:$X$5)*$K532*$L532</f>
        <v/>
      </c>
      <c r="AD532" s="15">
        <f>SUMPRODUCT(M532:X532,$M$6:$X$6)*$K532*$L532</f>
        <v/>
      </c>
      <c r="AE532" s="19" t="n"/>
    </row>
    <row r="533">
      <c r="A533" s="9" t="n">
        <v>623507</v>
      </c>
      <c r="B533" s="9" t="inlineStr">
        <is>
          <t>Josh Lester</t>
        </is>
      </c>
      <c r="C533" s="9" t="inlineStr"/>
      <c r="D533" s="9" t="n">
        <v>32</v>
      </c>
      <c r="E533" s="17" t="inlineStr">
        <is>
          <t>R</t>
        </is>
      </c>
      <c r="F533" s="17" t="n"/>
      <c r="G533" s="9" t="n">
        <v>5</v>
      </c>
      <c r="H533" s="9" t="n">
        <v>5</v>
      </c>
      <c r="I533" s="9" t="inlineStr">
        <is>
          <t>Depth (no MLB IP)</t>
        </is>
      </c>
      <c r="J533" s="17" t="inlineStr">
        <is>
          <t>Opening Day</t>
        </is>
      </c>
      <c r="K533" s="11">
        <f>IFERROR(INDEX(Roles!$B$17:$B$20,MATCH(J533,Roles!$A$17:$A$20,0)),1)</f>
        <v/>
      </c>
      <c r="L533" s="18" t="n">
        <v>1</v>
      </c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3">
        <f>SUMPRODUCT(M533:X533,$M$2:$X$2)*$K533*$L533</f>
        <v/>
      </c>
      <c r="Z533" s="14">
        <f>SUM(M533:X533)</f>
        <v/>
      </c>
      <c r="AA533" s="13">
        <f>SUMPRODUCT(M533:X533,$M$3:$X$3)*$K533*$L533</f>
        <v/>
      </c>
      <c r="AB533" s="13">
        <f>SUMPRODUCT(M533:X533,$M$4:$X$4)*$K533*$L533</f>
        <v/>
      </c>
      <c r="AC533" s="15">
        <f>SUMPRODUCT(M533:X533,$M$5:$X$5)*$K533*$L533</f>
        <v/>
      </c>
      <c r="AD533" s="15">
        <f>SUMPRODUCT(M533:X533,$M$6:$X$6)*$K533*$L533</f>
        <v/>
      </c>
      <c r="AE533" s="19" t="n"/>
    </row>
    <row r="534">
      <c r="A534" s="9" t="n">
        <v>570731</v>
      </c>
      <c r="B534" s="9" t="inlineStr">
        <is>
          <t>Jonathan Schoop</t>
        </is>
      </c>
      <c r="C534" s="9" t="inlineStr"/>
      <c r="D534" s="9" t="n">
        <v>35</v>
      </c>
      <c r="E534" s="17" t="inlineStr">
        <is>
          <t>R</t>
        </is>
      </c>
      <c r="F534" s="17" t="n"/>
      <c r="G534" s="9" t="n">
        <v>5</v>
      </c>
      <c r="H534" s="9" t="n">
        <v>5</v>
      </c>
      <c r="I534" s="9" t="inlineStr">
        <is>
          <t>Depth (no MLB IP)</t>
        </is>
      </c>
      <c r="J534" s="17" t="inlineStr">
        <is>
          <t>Opening Day</t>
        </is>
      </c>
      <c r="K534" s="11">
        <f>IFERROR(INDEX(Roles!$B$17:$B$20,MATCH(J534,Roles!$A$17:$A$20,0)),1)</f>
        <v/>
      </c>
      <c r="L534" s="18" t="n">
        <v>1</v>
      </c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3">
        <f>SUMPRODUCT(M534:X534,$M$2:$X$2)*$K534*$L534</f>
        <v/>
      </c>
      <c r="Z534" s="14">
        <f>SUM(M534:X534)</f>
        <v/>
      </c>
      <c r="AA534" s="13">
        <f>SUMPRODUCT(M534:X534,$M$3:$X$3)*$K534*$L534</f>
        <v/>
      </c>
      <c r="AB534" s="13">
        <f>SUMPRODUCT(M534:X534,$M$4:$X$4)*$K534*$L534</f>
        <v/>
      </c>
      <c r="AC534" s="15">
        <f>SUMPRODUCT(M534:X534,$M$5:$X$5)*$K534*$L534</f>
        <v/>
      </c>
      <c r="AD534" s="15">
        <f>SUMPRODUCT(M534:X534,$M$6:$X$6)*$K534*$L534</f>
        <v/>
      </c>
      <c r="AE534" s="19" t="n"/>
    </row>
    <row r="535">
      <c r="A535" s="9" t="n">
        <v>691945</v>
      </c>
      <c r="B535" s="9" t="inlineStr">
        <is>
          <t>Carter Baumler</t>
        </is>
      </c>
      <c r="C535" s="9" t="inlineStr">
        <is>
          <t>TEX</t>
        </is>
      </c>
      <c r="D535" s="9" t="n">
        <v>25</v>
      </c>
      <c r="E535" s="17" t="inlineStr">
        <is>
          <t>R</t>
        </is>
      </c>
      <c r="F535" s="17" t="n"/>
      <c r="G535" s="9" t="n">
        <v>27</v>
      </c>
      <c r="H535" s="9" t="n">
        <v>27</v>
      </c>
      <c r="I535" s="9" t="inlineStr">
        <is>
          <t>Bullpen Depth Arm</t>
        </is>
      </c>
      <c r="J535" s="17" t="inlineStr">
        <is>
          <t>Opening Day</t>
        </is>
      </c>
      <c r="K535" s="11">
        <f>IFERROR(INDEX(Roles!$B$17:$B$20,MATCH(J535,Roles!$A$17:$A$20,0)),1)</f>
        <v/>
      </c>
      <c r="L535" s="18" t="n">
        <v>1</v>
      </c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3">
        <f>SUMPRODUCT(M535:X535,$M$2:$X$2)*$K535*$L535</f>
        <v/>
      </c>
      <c r="Z535" s="14">
        <f>SUM(M535:X535)</f>
        <v/>
      </c>
      <c r="AA535" s="13">
        <f>SUMPRODUCT(M535:X535,$M$3:$X$3)*$K535*$L535</f>
        <v/>
      </c>
      <c r="AB535" s="13">
        <f>SUMPRODUCT(M535:X535,$M$4:$X$4)*$K535*$L535</f>
        <v/>
      </c>
      <c r="AC535" s="15">
        <f>SUMPRODUCT(M535:X535,$M$5:$X$5)*$K535*$L535</f>
        <v/>
      </c>
      <c r="AD535" s="15">
        <f>SUMPRODUCT(M535:X535,$M$6:$X$6)*$K535*$L535</f>
        <v/>
      </c>
      <c r="AE535" s="19" t="n"/>
    </row>
    <row r="536">
      <c r="A536" s="9" t="n">
        <v>687847</v>
      </c>
      <c r="B536" s="9" t="inlineStr">
        <is>
          <t>Marc Church</t>
        </is>
      </c>
      <c r="C536" s="9" t="inlineStr"/>
      <c r="D536" s="9" t="n">
        <v>26</v>
      </c>
      <c r="E536" s="17" t="inlineStr">
        <is>
          <t>R</t>
        </is>
      </c>
      <c r="F536" s="17" t="n"/>
      <c r="G536" s="9" t="n">
        <v>23</v>
      </c>
      <c r="H536" s="9" t="n">
        <v>27</v>
      </c>
      <c r="I536" s="9" t="inlineStr">
        <is>
          <t>Depth (no MLB IP)</t>
        </is>
      </c>
      <c r="J536" s="17" t="inlineStr">
        <is>
          <t>Opening Day</t>
        </is>
      </c>
      <c r="K536" s="11">
        <f>IFERROR(INDEX(Roles!$B$17:$B$20,MATCH(J536,Roles!$A$17:$A$20,0)),1)</f>
        <v/>
      </c>
      <c r="L536" s="18" t="n">
        <v>1</v>
      </c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3">
        <f>SUMPRODUCT(M536:X536,$M$2:$X$2)*$K536*$L536</f>
        <v/>
      </c>
      <c r="Z536" s="14">
        <f>SUM(M536:X536)</f>
        <v/>
      </c>
      <c r="AA536" s="13">
        <f>SUMPRODUCT(M536:X536,$M$3:$X$3)*$K536*$L536</f>
        <v/>
      </c>
      <c r="AB536" s="13">
        <f>SUMPRODUCT(M536:X536,$M$4:$X$4)*$K536*$L536</f>
        <v/>
      </c>
      <c r="AC536" s="15">
        <f>SUMPRODUCT(M536:X536,$M$5:$X$5)*$K536*$L536</f>
        <v/>
      </c>
      <c r="AD536" s="15">
        <f>SUMPRODUCT(M536:X536,$M$6:$X$6)*$K536*$L536</f>
        <v/>
      </c>
      <c r="AE536" s="19" t="n"/>
    </row>
    <row r="537">
      <c r="A537" s="9" t="n">
        <v>657193</v>
      </c>
      <c r="B537" s="9" t="inlineStr">
        <is>
          <t>Eddy Alvarez</t>
        </is>
      </c>
      <c r="C537" s="9" t="inlineStr"/>
      <c r="D537" s="9" t="n">
        <v>37</v>
      </c>
      <c r="E537" s="17" t="inlineStr">
        <is>
          <t>R</t>
        </is>
      </c>
      <c r="F537" s="17" t="n"/>
      <c r="G537" s="9" t="n">
        <v>5</v>
      </c>
      <c r="H537" s="9" t="n">
        <v>5</v>
      </c>
      <c r="I537" s="9" t="inlineStr">
        <is>
          <t>Depth (no MLB IP)</t>
        </is>
      </c>
      <c r="J537" s="17" t="inlineStr">
        <is>
          <t>Opening Day</t>
        </is>
      </c>
      <c r="K537" s="11">
        <f>IFERROR(INDEX(Roles!$B$17:$B$20,MATCH(J537,Roles!$A$17:$A$20,0)),1)</f>
        <v/>
      </c>
      <c r="L537" s="18" t="n">
        <v>1</v>
      </c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3">
        <f>SUMPRODUCT(M537:X537,$M$2:$X$2)*$K537*$L537</f>
        <v/>
      </c>
      <c r="Z537" s="14">
        <f>SUM(M537:X537)</f>
        <v/>
      </c>
      <c r="AA537" s="13">
        <f>SUMPRODUCT(M537:X537,$M$3:$X$3)*$K537*$L537</f>
        <v/>
      </c>
      <c r="AB537" s="13">
        <f>SUMPRODUCT(M537:X537,$M$4:$X$4)*$K537*$L537</f>
        <v/>
      </c>
      <c r="AC537" s="15">
        <f>SUMPRODUCT(M537:X537,$M$5:$X$5)*$K537*$L537</f>
        <v/>
      </c>
      <c r="AD537" s="15">
        <f>SUMPRODUCT(M537:X537,$M$6:$X$6)*$K537*$L537</f>
        <v/>
      </c>
      <c r="AE537" s="19" t="n"/>
    </row>
    <row r="538">
      <c r="A538" s="9" t="n">
        <v>607188</v>
      </c>
      <c r="B538" s="9" t="inlineStr">
        <is>
          <t>Jake Faria</t>
        </is>
      </c>
      <c r="C538" s="9" t="inlineStr"/>
      <c r="D538" s="9" t="n">
        <v>33</v>
      </c>
      <c r="E538" s="17" t="inlineStr">
        <is>
          <t>R</t>
        </is>
      </c>
      <c r="F538" s="17" t="n"/>
      <c r="G538" s="9" t="n">
        <v>14</v>
      </c>
      <c r="H538" s="9" t="n">
        <v>14</v>
      </c>
      <c r="I538" s="9" t="inlineStr">
        <is>
          <t>Depth (no MLB IP)</t>
        </is>
      </c>
      <c r="J538" s="17" t="inlineStr">
        <is>
          <t>Opening Day</t>
        </is>
      </c>
      <c r="K538" s="11">
        <f>IFERROR(INDEX(Roles!$B$17:$B$20,MATCH(J538,Roles!$A$17:$A$20,0)),1)</f>
        <v/>
      </c>
      <c r="L538" s="18" t="n">
        <v>1</v>
      </c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3">
        <f>SUMPRODUCT(M538:X538,$M$2:$X$2)*$K538*$L538</f>
        <v/>
      </c>
      <c r="Z538" s="14">
        <f>SUM(M538:X538)</f>
        <v/>
      </c>
      <c r="AA538" s="13">
        <f>SUMPRODUCT(M538:X538,$M$3:$X$3)*$K538*$L538</f>
        <v/>
      </c>
      <c r="AB538" s="13">
        <f>SUMPRODUCT(M538:X538,$M$4:$X$4)*$K538*$L538</f>
        <v/>
      </c>
      <c r="AC538" s="15">
        <f>SUMPRODUCT(M538:X538,$M$5:$X$5)*$K538*$L538</f>
        <v/>
      </c>
      <c r="AD538" s="15">
        <f>SUMPRODUCT(M538:X538,$M$6:$X$6)*$K538*$L538</f>
        <v/>
      </c>
      <c r="AE538" s="19" t="n"/>
    </row>
    <row r="539">
      <c r="A539" s="9" t="n">
        <v>656794</v>
      </c>
      <c r="B539" s="9" t="inlineStr">
        <is>
          <t>Sean Newcomb</t>
        </is>
      </c>
      <c r="C539" s="9" t="inlineStr">
        <is>
          <t>CWS</t>
        </is>
      </c>
      <c r="D539" s="9" t="n">
        <v>34</v>
      </c>
      <c r="E539" s="17" t="inlineStr">
        <is>
          <t>L</t>
        </is>
      </c>
      <c r="F539" s="17" t="n"/>
      <c r="G539" s="9" t="n">
        <v>352</v>
      </c>
      <c r="H539" s="9" t="n">
        <v>983</v>
      </c>
      <c r="I539" s="9" t="inlineStr">
        <is>
          <t>Bullpen Depth Arm</t>
        </is>
      </c>
      <c r="J539" s="17" t="inlineStr">
        <is>
          <t>Opening Day</t>
        </is>
      </c>
      <c r="K539" s="11">
        <f>IFERROR(INDEX(Roles!$B$17:$B$20,MATCH(J539,Roles!$A$17:$A$20,0)),1)</f>
        <v/>
      </c>
      <c r="L539" s="18" t="n">
        <v>1</v>
      </c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3">
        <f>SUMPRODUCT(M539:X539,$M$2:$X$2)*$K539*$L539</f>
        <v/>
      </c>
      <c r="Z539" s="14">
        <f>SUM(M539:X539)</f>
        <v/>
      </c>
      <c r="AA539" s="13">
        <f>SUMPRODUCT(M539:X539,$M$3:$X$3)*$K539*$L539</f>
        <v/>
      </c>
      <c r="AB539" s="13">
        <f>SUMPRODUCT(M539:X539,$M$4:$X$4)*$K539*$L539</f>
        <v/>
      </c>
      <c r="AC539" s="15">
        <f>SUMPRODUCT(M539:X539,$M$5:$X$5)*$K539*$L539</f>
        <v/>
      </c>
      <c r="AD539" s="15">
        <f>SUMPRODUCT(M539:X539,$M$6:$X$6)*$K539*$L539</f>
        <v/>
      </c>
      <c r="AE539" s="19" t="n"/>
    </row>
    <row r="540">
      <c r="A540" s="9" t="n">
        <v>608648</v>
      </c>
      <c r="B540" s="9" t="inlineStr">
        <is>
          <t>Tyler Duffey</t>
        </is>
      </c>
      <c r="C540" s="9" t="inlineStr">
        <is>
          <t>KC</t>
        </is>
      </c>
      <c r="D540" s="9" t="n">
        <v>36</v>
      </c>
      <c r="E540" s="17" t="inlineStr">
        <is>
          <t>R</t>
        </is>
      </c>
      <c r="F540" s="17" t="n"/>
      <c r="G540" s="9" t="n">
        <v>42</v>
      </c>
      <c r="H540" s="9" t="n">
        <v>234</v>
      </c>
      <c r="I540" s="9" t="inlineStr">
        <is>
          <t>Depth (no MLB IP)</t>
        </is>
      </c>
      <c r="J540" s="17" t="inlineStr">
        <is>
          <t>Opening Day</t>
        </is>
      </c>
      <c r="K540" s="11">
        <f>IFERROR(INDEX(Roles!$B$17:$B$20,MATCH(J540,Roles!$A$17:$A$20,0)),1)</f>
        <v/>
      </c>
      <c r="L540" s="18" t="n">
        <v>1</v>
      </c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3">
        <f>SUMPRODUCT(M540:X540,$M$2:$X$2)*$K540*$L540</f>
        <v/>
      </c>
      <c r="Z540" s="14">
        <f>SUM(M540:X540)</f>
        <v/>
      </c>
      <c r="AA540" s="13">
        <f>SUMPRODUCT(M540:X540,$M$3:$X$3)*$K540*$L540</f>
        <v/>
      </c>
      <c r="AB540" s="13">
        <f>SUMPRODUCT(M540:X540,$M$4:$X$4)*$K540*$L540</f>
        <v/>
      </c>
      <c r="AC540" s="15">
        <f>SUMPRODUCT(M540:X540,$M$5:$X$5)*$K540*$L540</f>
        <v/>
      </c>
      <c r="AD540" s="15">
        <f>SUMPRODUCT(M540:X540,$M$6:$X$6)*$K540*$L540</f>
        <v/>
      </c>
      <c r="AE540" s="19" t="n"/>
    </row>
    <row r="541">
      <c r="A541" s="9" t="n">
        <v>670161</v>
      </c>
      <c r="B541" s="9" t="inlineStr">
        <is>
          <t>Parker Dunshee</t>
        </is>
      </c>
      <c r="C541" s="9" t="inlineStr"/>
      <c r="D541" s="9" t="n">
        <v>32</v>
      </c>
      <c r="E541" s="17" t="inlineStr">
        <is>
          <t>R</t>
        </is>
      </c>
      <c r="F541" s="17" t="n"/>
      <c r="G541" s="9" t="n">
        <v>14</v>
      </c>
      <c r="H541" s="9" t="n">
        <v>14</v>
      </c>
      <c r="I541" s="9" t="inlineStr">
        <is>
          <t>Depth (no MLB IP)</t>
        </is>
      </c>
      <c r="J541" s="17" t="inlineStr">
        <is>
          <t>Opening Day</t>
        </is>
      </c>
      <c r="K541" s="11">
        <f>IFERROR(INDEX(Roles!$B$17:$B$20,MATCH(J541,Roles!$A$17:$A$20,0)),1)</f>
        <v/>
      </c>
      <c r="L541" s="18" t="n">
        <v>1</v>
      </c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3">
        <f>SUMPRODUCT(M541:X541,$M$2:$X$2)*$K541*$L541</f>
        <v/>
      </c>
      <c r="Z541" s="14">
        <f>SUM(M541:X541)</f>
        <v/>
      </c>
      <c r="AA541" s="13">
        <f>SUMPRODUCT(M541:X541,$M$3:$X$3)*$K541*$L541</f>
        <v/>
      </c>
      <c r="AB541" s="13">
        <f>SUMPRODUCT(M541:X541,$M$4:$X$4)*$K541*$L541</f>
        <v/>
      </c>
      <c r="AC541" s="15">
        <f>SUMPRODUCT(M541:X541,$M$5:$X$5)*$K541*$L541</f>
        <v/>
      </c>
      <c r="AD541" s="15">
        <f>SUMPRODUCT(M541:X541,$M$6:$X$6)*$K541*$L541</f>
        <v/>
      </c>
      <c r="AE541" s="19" t="n"/>
    </row>
    <row r="542">
      <c r="A542" s="9" t="n">
        <v>680744</v>
      </c>
      <c r="B542" s="9" t="inlineStr">
        <is>
          <t>Ty Madden</t>
        </is>
      </c>
      <c r="C542" s="9" t="inlineStr">
        <is>
          <t>DET</t>
        </is>
      </c>
      <c r="D542" s="9" t="n">
        <v>27</v>
      </c>
      <c r="E542" s="17" t="inlineStr">
        <is>
          <t>R</t>
        </is>
      </c>
      <c r="F542" s="17" t="n"/>
      <c r="G542" s="9" t="n">
        <v>160</v>
      </c>
      <c r="H542" s="9" t="n">
        <v>261</v>
      </c>
      <c r="I542" s="9" t="inlineStr">
        <is>
          <t>Late Inning RP (Setup)</t>
        </is>
      </c>
      <c r="J542" s="17" t="inlineStr">
        <is>
          <t>Opening Day</t>
        </is>
      </c>
      <c r="K542" s="11">
        <f>IFERROR(INDEX(Roles!$B$17:$B$20,MATCH(J542,Roles!$A$17:$A$20,0)),1)</f>
        <v/>
      </c>
      <c r="L542" s="18" t="n">
        <v>1</v>
      </c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3">
        <f>SUMPRODUCT(M542:X542,$M$2:$X$2)*$K542*$L542</f>
        <v/>
      </c>
      <c r="Z542" s="14">
        <f>SUM(M542:X542)</f>
        <v/>
      </c>
      <c r="AA542" s="13">
        <f>SUMPRODUCT(M542:X542,$M$3:$X$3)*$K542*$L542</f>
        <v/>
      </c>
      <c r="AB542" s="13">
        <f>SUMPRODUCT(M542:X542,$M$4:$X$4)*$K542*$L542</f>
        <v/>
      </c>
      <c r="AC542" s="15">
        <f>SUMPRODUCT(M542:X542,$M$5:$X$5)*$K542*$L542</f>
        <v/>
      </c>
      <c r="AD542" s="15">
        <f>SUMPRODUCT(M542:X542,$M$6:$X$6)*$K542*$L542</f>
        <v/>
      </c>
      <c r="AE542" s="19" t="n"/>
    </row>
    <row r="543">
      <c r="A543" s="9" t="n">
        <v>686628</v>
      </c>
      <c r="B543" s="9" t="inlineStr">
        <is>
          <t>Blake Burkhalter</t>
        </is>
      </c>
      <c r="C543" s="9" t="inlineStr"/>
      <c r="D543" s="9" t="n">
        <v>26</v>
      </c>
      <c r="E543" s="17" t="inlineStr">
        <is>
          <t>R</t>
        </is>
      </c>
      <c r="F543" s="17" t="n"/>
      <c r="G543" s="9" t="n">
        <v>5</v>
      </c>
      <c r="H543" s="9" t="n">
        <v>5</v>
      </c>
      <c r="I543" s="9" t="inlineStr">
        <is>
          <t>Depth (no MLB IP)</t>
        </is>
      </c>
      <c r="J543" s="17" t="inlineStr">
        <is>
          <t>Opening Day</t>
        </is>
      </c>
      <c r="K543" s="11">
        <f>IFERROR(INDEX(Roles!$B$17:$B$20,MATCH(J543,Roles!$A$17:$A$20,0)),1)</f>
        <v/>
      </c>
      <c r="L543" s="18" t="n">
        <v>1</v>
      </c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3">
        <f>SUMPRODUCT(M543:X543,$M$2:$X$2)*$K543*$L543</f>
        <v/>
      </c>
      <c r="Z543" s="14">
        <f>SUM(M543:X543)</f>
        <v/>
      </c>
      <c r="AA543" s="13">
        <f>SUMPRODUCT(M543:X543,$M$3:$X$3)*$K543*$L543</f>
        <v/>
      </c>
      <c r="AB543" s="13">
        <f>SUMPRODUCT(M543:X543,$M$4:$X$4)*$K543*$L543</f>
        <v/>
      </c>
      <c r="AC543" s="15">
        <f>SUMPRODUCT(M543:X543,$M$5:$X$5)*$K543*$L543</f>
        <v/>
      </c>
      <c r="AD543" s="15">
        <f>SUMPRODUCT(M543:X543,$M$6:$X$6)*$K543*$L543</f>
        <v/>
      </c>
      <c r="AE543" s="19" t="n"/>
    </row>
    <row r="544">
      <c r="A544" s="9" t="n">
        <v>811315</v>
      </c>
      <c r="B544" s="9" t="inlineStr">
        <is>
          <t>Brody Hopkins</t>
        </is>
      </c>
      <c r="C544" s="9" t="inlineStr"/>
      <c r="D544" s="9" t="n">
        <v>25</v>
      </c>
      <c r="E544" s="17" t="inlineStr">
        <is>
          <t>R</t>
        </is>
      </c>
      <c r="F544" s="17" t="n"/>
      <c r="G544" s="9" t="n">
        <v>5</v>
      </c>
      <c r="H544" s="9" t="n">
        <v>5</v>
      </c>
      <c r="I544" s="9" t="inlineStr">
        <is>
          <t>Depth (no MLB IP)</t>
        </is>
      </c>
      <c r="J544" s="17" t="inlineStr">
        <is>
          <t>Opening Day</t>
        </is>
      </c>
      <c r="K544" s="11">
        <f>IFERROR(INDEX(Roles!$B$17:$B$20,MATCH(J544,Roles!$A$17:$A$20,0)),1)</f>
        <v/>
      </c>
      <c r="L544" s="18" t="n">
        <v>1</v>
      </c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3">
        <f>SUMPRODUCT(M544:X544,$M$2:$X$2)*$K544*$L544</f>
        <v/>
      </c>
      <c r="Z544" s="14">
        <f>SUM(M544:X544)</f>
        <v/>
      </c>
      <c r="AA544" s="13">
        <f>SUMPRODUCT(M544:X544,$M$3:$X$3)*$K544*$L544</f>
        <v/>
      </c>
      <c r="AB544" s="13">
        <f>SUMPRODUCT(M544:X544,$M$4:$X$4)*$K544*$L544</f>
        <v/>
      </c>
      <c r="AC544" s="15">
        <f>SUMPRODUCT(M544:X544,$M$5:$X$5)*$K544*$L544</f>
        <v/>
      </c>
      <c r="AD544" s="15">
        <f>SUMPRODUCT(M544:X544,$M$6:$X$6)*$K544*$L544</f>
        <v/>
      </c>
      <c r="AE544" s="19" t="n"/>
    </row>
    <row r="545">
      <c r="A545" s="9" t="n">
        <v>669711</v>
      </c>
      <c r="B545" s="9" t="inlineStr">
        <is>
          <t>Greg Weissert</t>
        </is>
      </c>
      <c r="C545" s="9" t="inlineStr">
        <is>
          <t>BOS</t>
        </is>
      </c>
      <c r="D545" s="9" t="n">
        <v>32</v>
      </c>
      <c r="E545" s="17" t="inlineStr">
        <is>
          <t>R</t>
        </is>
      </c>
      <c r="F545" s="17" t="n"/>
      <c r="G545" s="9" t="n">
        <v>241</v>
      </c>
      <c r="H545" s="9" t="n">
        <v>917</v>
      </c>
      <c r="I545" s="9" t="inlineStr">
        <is>
          <t>Middle Relief</t>
        </is>
      </c>
      <c r="J545" s="17" t="inlineStr">
        <is>
          <t>Opening Day</t>
        </is>
      </c>
      <c r="K545" s="11">
        <f>IFERROR(INDEX(Roles!$B$17:$B$20,MATCH(J545,Roles!$A$17:$A$20,0)),1)</f>
        <v/>
      </c>
      <c r="L545" s="18" t="n">
        <v>1</v>
      </c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3">
        <f>SUMPRODUCT(M545:X545,$M$2:$X$2)*$K545*$L545</f>
        <v/>
      </c>
      <c r="Z545" s="14">
        <f>SUM(M545:X545)</f>
        <v/>
      </c>
      <c r="AA545" s="13">
        <f>SUMPRODUCT(M545:X545,$M$3:$X$3)*$K545*$L545</f>
        <v/>
      </c>
      <c r="AB545" s="13">
        <f>SUMPRODUCT(M545:X545,$M$4:$X$4)*$K545*$L545</f>
        <v/>
      </c>
      <c r="AC545" s="15">
        <f>SUMPRODUCT(M545:X545,$M$5:$X$5)*$K545*$L545</f>
        <v/>
      </c>
      <c r="AD545" s="15">
        <f>SUMPRODUCT(M545:X545,$M$6:$X$6)*$K545*$L545</f>
        <v/>
      </c>
      <c r="AE545" s="19" t="n"/>
    </row>
    <row r="546">
      <c r="A546" s="9" t="n">
        <v>668470</v>
      </c>
      <c r="B546" s="9" t="inlineStr">
        <is>
          <t>Hagen Danner</t>
        </is>
      </c>
      <c r="C546" s="9" t="inlineStr"/>
      <c r="D546" s="9" t="n">
        <v>28</v>
      </c>
      <c r="E546" s="17" t="inlineStr">
        <is>
          <t>R</t>
        </is>
      </c>
      <c r="F546" s="17" t="n"/>
      <c r="G546" s="9" t="n">
        <v>1</v>
      </c>
      <c r="H546" s="9" t="n">
        <v>1</v>
      </c>
      <c r="I546" s="9" t="inlineStr">
        <is>
          <t>Depth (no MLB IP)</t>
        </is>
      </c>
      <c r="J546" s="17" t="inlineStr">
        <is>
          <t>Opening Day</t>
        </is>
      </c>
      <c r="K546" s="11">
        <f>IFERROR(INDEX(Roles!$B$17:$B$20,MATCH(J546,Roles!$A$17:$A$20,0)),1)</f>
        <v/>
      </c>
      <c r="L546" s="18" t="n">
        <v>1</v>
      </c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3">
        <f>SUMPRODUCT(M546:X546,$M$2:$X$2)*$K546*$L546</f>
        <v/>
      </c>
      <c r="Z546" s="14">
        <f>SUM(M546:X546)</f>
        <v/>
      </c>
      <c r="AA546" s="13">
        <f>SUMPRODUCT(M546:X546,$M$3:$X$3)*$K546*$L546</f>
        <v/>
      </c>
      <c r="AB546" s="13">
        <f>SUMPRODUCT(M546:X546,$M$4:$X$4)*$K546*$L546</f>
        <v/>
      </c>
      <c r="AC546" s="15">
        <f>SUMPRODUCT(M546:X546,$M$5:$X$5)*$K546*$L546</f>
        <v/>
      </c>
      <c r="AD546" s="15">
        <f>SUMPRODUCT(M546:X546,$M$6:$X$6)*$K546*$L546</f>
        <v/>
      </c>
      <c r="AE546" s="19" t="n"/>
    </row>
    <row r="547">
      <c r="A547" s="9" t="n">
        <v>695049</v>
      </c>
      <c r="B547" s="9" t="inlineStr">
        <is>
          <t>Brett Kerry</t>
        </is>
      </c>
      <c r="C547" s="9" t="inlineStr">
        <is>
          <t>LAA</t>
        </is>
      </c>
      <c r="D547" s="9" t="n">
        <v>28</v>
      </c>
      <c r="E547" s="17" t="inlineStr">
        <is>
          <t>R</t>
        </is>
      </c>
      <c r="F547" s="17" t="n"/>
      <c r="G547" s="9" t="n">
        <v>54</v>
      </c>
      <c r="H547" s="9" t="n">
        <v>54</v>
      </c>
      <c r="I547" s="9" t="inlineStr">
        <is>
          <t>End-of-Rotation Starter (SP4-5)</t>
        </is>
      </c>
      <c r="J547" s="17" t="inlineStr">
        <is>
          <t>Opening Day</t>
        </is>
      </c>
      <c r="K547" s="11">
        <f>IFERROR(INDEX(Roles!$B$17:$B$20,MATCH(J547,Roles!$A$17:$A$20,0)),1)</f>
        <v/>
      </c>
      <c r="L547" s="18" t="n">
        <v>1</v>
      </c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3">
        <f>SUMPRODUCT(M547:X547,$M$2:$X$2)*$K547*$L547</f>
        <v/>
      </c>
      <c r="Z547" s="14">
        <f>SUM(M547:X547)</f>
        <v/>
      </c>
      <c r="AA547" s="13">
        <f>SUMPRODUCT(M547:X547,$M$3:$X$3)*$K547*$L547</f>
        <v/>
      </c>
      <c r="AB547" s="13">
        <f>SUMPRODUCT(M547:X547,$M$4:$X$4)*$K547*$L547</f>
        <v/>
      </c>
      <c r="AC547" s="15">
        <f>SUMPRODUCT(M547:X547,$M$5:$X$5)*$K547*$L547</f>
        <v/>
      </c>
      <c r="AD547" s="15">
        <f>SUMPRODUCT(M547:X547,$M$6:$X$6)*$K547*$L547</f>
        <v/>
      </c>
      <c r="AE547" s="19" t="n"/>
    </row>
    <row r="548">
      <c r="A548" s="9" t="n">
        <v>683004</v>
      </c>
      <c r="B548" s="9" t="inlineStr">
        <is>
          <t>Jack Leiter</t>
        </is>
      </c>
      <c r="C548" s="9" t="inlineStr">
        <is>
          <t>TEX</t>
        </is>
      </c>
      <c r="D548" s="9" t="n">
        <v>27</v>
      </c>
      <c r="E548" s="17" t="inlineStr">
        <is>
          <t>R</t>
        </is>
      </c>
      <c r="F548" s="17" t="n"/>
      <c r="G548" s="9" t="n">
        <v>355</v>
      </c>
      <c r="H548" s="9" t="n">
        <v>1174</v>
      </c>
      <c r="I548" s="9" t="inlineStr">
        <is>
          <t>Mid-Rotation Starter (SP2-3)</t>
        </is>
      </c>
      <c r="J548" s="17" t="inlineStr">
        <is>
          <t>Opening Day</t>
        </is>
      </c>
      <c r="K548" s="11">
        <f>IFERROR(INDEX(Roles!$B$17:$B$20,MATCH(J548,Roles!$A$17:$A$20,0)),1)</f>
        <v/>
      </c>
      <c r="L548" s="18" t="n">
        <v>1</v>
      </c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3">
        <f>SUMPRODUCT(M548:X548,$M$2:$X$2)*$K548*$L548</f>
        <v/>
      </c>
      <c r="Z548" s="14">
        <f>SUM(M548:X548)</f>
        <v/>
      </c>
      <c r="AA548" s="13">
        <f>SUMPRODUCT(M548:X548,$M$3:$X$3)*$K548*$L548</f>
        <v/>
      </c>
      <c r="AB548" s="13">
        <f>SUMPRODUCT(M548:X548,$M$4:$X$4)*$K548*$L548</f>
        <v/>
      </c>
      <c r="AC548" s="15">
        <f>SUMPRODUCT(M548:X548,$M$5:$X$5)*$K548*$L548</f>
        <v/>
      </c>
      <c r="AD548" s="15">
        <f>SUMPRODUCT(M548:X548,$M$6:$X$6)*$K548*$L548</f>
        <v/>
      </c>
      <c r="AE548" s="19" t="n"/>
    </row>
    <row r="549">
      <c r="A549" s="9" t="n">
        <v>689981</v>
      </c>
      <c r="B549" s="9" t="inlineStr">
        <is>
          <t>River Ryan</t>
        </is>
      </c>
      <c r="C549" s="9" t="inlineStr">
        <is>
          <t>LAD</t>
        </is>
      </c>
      <c r="D549" s="9" t="n">
        <v>28</v>
      </c>
      <c r="E549" s="17" t="inlineStr">
        <is>
          <t>R</t>
        </is>
      </c>
      <c r="F549" s="17" t="n"/>
      <c r="G549" s="9" t="n">
        <v>81</v>
      </c>
      <c r="H549" s="9" t="n">
        <v>81</v>
      </c>
      <c r="I549" s="9" t="inlineStr">
        <is>
          <t>Depth (no MLB IP)</t>
        </is>
      </c>
      <c r="J549" s="17" t="inlineStr">
        <is>
          <t>Opening Day</t>
        </is>
      </c>
      <c r="K549" s="11">
        <f>IFERROR(INDEX(Roles!$B$17:$B$20,MATCH(J549,Roles!$A$17:$A$20,0)),1)</f>
        <v/>
      </c>
      <c r="L549" s="18" t="n">
        <v>1</v>
      </c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3">
        <f>SUMPRODUCT(M549:X549,$M$2:$X$2)*$K549*$L549</f>
        <v/>
      </c>
      <c r="Z549" s="14">
        <f>SUM(M549:X549)</f>
        <v/>
      </c>
      <c r="AA549" s="13">
        <f>SUMPRODUCT(M549:X549,$M$3:$X$3)*$K549*$L549</f>
        <v/>
      </c>
      <c r="AB549" s="13">
        <f>SUMPRODUCT(M549:X549,$M$4:$X$4)*$K549*$L549</f>
        <v/>
      </c>
      <c r="AC549" s="15">
        <f>SUMPRODUCT(M549:X549,$M$5:$X$5)*$K549*$L549</f>
        <v/>
      </c>
      <c r="AD549" s="15">
        <f>SUMPRODUCT(M549:X549,$M$6:$X$6)*$K549*$L549</f>
        <v/>
      </c>
      <c r="AE549" s="19" t="n"/>
    </row>
    <row r="550">
      <c r="A550" s="9" t="n">
        <v>673111</v>
      </c>
      <c r="B550" s="9" t="inlineStr">
        <is>
          <t>José Lopez</t>
        </is>
      </c>
      <c r="C550" s="9" t="inlineStr"/>
      <c r="D550" s="9" t="n">
        <v>28</v>
      </c>
      <c r="E550" s="17" t="inlineStr">
        <is>
          <t>L</t>
        </is>
      </c>
      <c r="F550" s="17" t="n"/>
      <c r="G550" s="9" t="n">
        <v>10</v>
      </c>
      <c r="H550" s="9" t="n">
        <v>10</v>
      </c>
      <c r="I550" s="9" t="inlineStr">
        <is>
          <t>Depth (no MLB IP)</t>
        </is>
      </c>
      <c r="J550" s="17" t="inlineStr">
        <is>
          <t>Opening Day</t>
        </is>
      </c>
      <c r="K550" s="11">
        <f>IFERROR(INDEX(Roles!$B$17:$B$20,MATCH(J550,Roles!$A$17:$A$20,0)),1)</f>
        <v/>
      </c>
      <c r="L550" s="18" t="n">
        <v>1</v>
      </c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3">
        <f>SUMPRODUCT(M550:X550,$M$2:$X$2)*$K550*$L550</f>
        <v/>
      </c>
      <c r="Z550" s="14">
        <f>SUM(M550:X550)</f>
        <v/>
      </c>
      <c r="AA550" s="13">
        <f>SUMPRODUCT(M550:X550,$M$3:$X$3)*$K550*$L550</f>
        <v/>
      </c>
      <c r="AB550" s="13">
        <f>SUMPRODUCT(M550:X550,$M$4:$X$4)*$K550*$L550</f>
        <v/>
      </c>
      <c r="AC550" s="15">
        <f>SUMPRODUCT(M550:X550,$M$5:$X$5)*$K550*$L550</f>
        <v/>
      </c>
      <c r="AD550" s="15">
        <f>SUMPRODUCT(M550:X550,$M$6:$X$6)*$K550*$L550</f>
        <v/>
      </c>
      <c r="AE550" s="19" t="n"/>
    </row>
    <row r="551">
      <c r="A551" s="9" t="n">
        <v>668678</v>
      </c>
      <c r="B551" s="9" t="inlineStr">
        <is>
          <t>Zac Gallen</t>
        </is>
      </c>
      <c r="C551" s="9" t="inlineStr">
        <is>
          <t>ARI</t>
        </is>
      </c>
      <c r="D551" s="9" t="n">
        <v>31</v>
      </c>
      <c r="E551" s="17" t="inlineStr">
        <is>
          <t>R</t>
        </is>
      </c>
      <c r="F551" s="17" t="n"/>
      <c r="G551" s="9" t="n">
        <v>455</v>
      </c>
      <c r="H551" s="9" t="n">
        <v>3449</v>
      </c>
      <c r="I551" s="9" t="inlineStr">
        <is>
          <t>Mid-Rotation Starter (SP2-3)</t>
        </is>
      </c>
      <c r="J551" s="17" t="inlineStr">
        <is>
          <t>Opening Day</t>
        </is>
      </c>
      <c r="K551" s="11">
        <f>IFERROR(INDEX(Roles!$B$17:$B$20,MATCH(J551,Roles!$A$17:$A$20,0)),1)</f>
        <v/>
      </c>
      <c r="L551" s="18" t="n">
        <v>1</v>
      </c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3">
        <f>SUMPRODUCT(M551:X551,$M$2:$X$2)*$K551*$L551</f>
        <v/>
      </c>
      <c r="Z551" s="14">
        <f>SUM(M551:X551)</f>
        <v/>
      </c>
      <c r="AA551" s="13">
        <f>SUMPRODUCT(M551:X551,$M$3:$X$3)*$K551*$L551</f>
        <v/>
      </c>
      <c r="AB551" s="13">
        <f>SUMPRODUCT(M551:X551,$M$4:$X$4)*$K551*$L551</f>
        <v/>
      </c>
      <c r="AC551" s="15">
        <f>SUMPRODUCT(M551:X551,$M$5:$X$5)*$K551*$L551</f>
        <v/>
      </c>
      <c r="AD551" s="15">
        <f>SUMPRODUCT(M551:X551,$M$6:$X$6)*$K551*$L551</f>
        <v/>
      </c>
      <c r="AE551" s="19" t="n"/>
    </row>
    <row r="552">
      <c r="A552" s="9" t="n">
        <v>593934</v>
      </c>
      <c r="B552" s="9" t="inlineStr">
        <is>
          <t>Miguel Sanó</t>
        </is>
      </c>
      <c r="C552" s="9" t="inlineStr"/>
      <c r="D552" s="9" t="n">
        <v>34</v>
      </c>
      <c r="E552" s="17" t="inlineStr">
        <is>
          <t>R</t>
        </is>
      </c>
      <c r="F552" s="17" t="n"/>
      <c r="G552" s="9" t="n">
        <v>1</v>
      </c>
      <c r="H552" s="9" t="n">
        <v>1</v>
      </c>
      <c r="I552" s="9" t="inlineStr">
        <is>
          <t>Depth (no MLB IP)</t>
        </is>
      </c>
      <c r="J552" s="17" t="inlineStr">
        <is>
          <t>Opening Day</t>
        </is>
      </c>
      <c r="K552" s="11">
        <f>IFERROR(INDEX(Roles!$B$17:$B$20,MATCH(J552,Roles!$A$17:$A$20,0)),1)</f>
        <v/>
      </c>
      <c r="L552" s="18" t="n">
        <v>1</v>
      </c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3">
        <f>SUMPRODUCT(M552:X552,$M$2:$X$2)*$K552*$L552</f>
        <v/>
      </c>
      <c r="Z552" s="14">
        <f>SUM(M552:X552)</f>
        <v/>
      </c>
      <c r="AA552" s="13">
        <f>SUMPRODUCT(M552:X552,$M$3:$X$3)*$K552*$L552</f>
        <v/>
      </c>
      <c r="AB552" s="13">
        <f>SUMPRODUCT(M552:X552,$M$4:$X$4)*$K552*$L552</f>
        <v/>
      </c>
      <c r="AC552" s="15">
        <f>SUMPRODUCT(M552:X552,$M$5:$X$5)*$K552*$L552</f>
        <v/>
      </c>
      <c r="AD552" s="15">
        <f>SUMPRODUCT(M552:X552,$M$6:$X$6)*$K552*$L552</f>
        <v/>
      </c>
      <c r="AE552" s="19" t="n"/>
    </row>
    <row r="553">
      <c r="A553" s="9" t="n">
        <v>681916</v>
      </c>
      <c r="B553" s="9" t="inlineStr">
        <is>
          <t>Dylan Smith</t>
        </is>
      </c>
      <c r="C553" s="9" t="inlineStr">
        <is>
          <t>SF</t>
        </is>
      </c>
      <c r="D553" s="9" t="n">
        <v>27</v>
      </c>
      <c r="E553" s="17" t="inlineStr">
        <is>
          <t>R</t>
        </is>
      </c>
      <c r="F553" s="17" t="n"/>
      <c r="G553" s="9" t="n">
        <v>162</v>
      </c>
      <c r="H553" s="9" t="n">
        <v>210</v>
      </c>
      <c r="I553" s="9" t="inlineStr">
        <is>
          <t>Bullpen Depth Arm</t>
        </is>
      </c>
      <c r="J553" s="17" t="inlineStr">
        <is>
          <t>Opening Day</t>
        </is>
      </c>
      <c r="K553" s="11">
        <f>IFERROR(INDEX(Roles!$B$17:$B$20,MATCH(J553,Roles!$A$17:$A$20,0)),1)</f>
        <v/>
      </c>
      <c r="L553" s="18" t="n">
        <v>1</v>
      </c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3">
        <f>SUMPRODUCT(M553:X553,$M$2:$X$2)*$K553*$L553</f>
        <v/>
      </c>
      <c r="Z553" s="14">
        <f>SUM(M553:X553)</f>
        <v/>
      </c>
      <c r="AA553" s="13">
        <f>SUMPRODUCT(M553:X553,$M$3:$X$3)*$K553*$L553</f>
        <v/>
      </c>
      <c r="AB553" s="13">
        <f>SUMPRODUCT(M553:X553,$M$4:$X$4)*$K553*$L553</f>
        <v/>
      </c>
      <c r="AC553" s="15">
        <f>SUMPRODUCT(M553:X553,$M$5:$X$5)*$K553*$L553</f>
        <v/>
      </c>
      <c r="AD553" s="15">
        <f>SUMPRODUCT(M553:X553,$M$6:$X$6)*$K553*$L553</f>
        <v/>
      </c>
      <c r="AE553" s="19" t="n"/>
    </row>
    <row r="554">
      <c r="A554" s="9" t="n">
        <v>683769</v>
      </c>
      <c r="B554" s="9" t="inlineStr">
        <is>
          <t>Hunter Gaddis</t>
        </is>
      </c>
      <c r="C554" s="9" t="inlineStr">
        <is>
          <t>CLE</t>
        </is>
      </c>
      <c r="D554" s="9" t="n">
        <v>29</v>
      </c>
      <c r="E554" s="17" t="inlineStr">
        <is>
          <t>R</t>
        </is>
      </c>
      <c r="F554" s="17" t="n"/>
      <c r="G554" s="9" t="n">
        <v>236</v>
      </c>
      <c r="H554" s="9" t="n">
        <v>1010</v>
      </c>
      <c r="I554" s="9" t="inlineStr">
        <is>
          <t>Bullpen Depth Arm</t>
        </is>
      </c>
      <c r="J554" s="17" t="inlineStr">
        <is>
          <t>Opening Day</t>
        </is>
      </c>
      <c r="K554" s="11">
        <f>IFERROR(INDEX(Roles!$B$17:$B$20,MATCH(J554,Roles!$A$17:$A$20,0)),1)</f>
        <v/>
      </c>
      <c r="L554" s="18" t="n">
        <v>1</v>
      </c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3">
        <f>SUMPRODUCT(M554:X554,$M$2:$X$2)*$K554*$L554</f>
        <v/>
      </c>
      <c r="Z554" s="14">
        <f>SUM(M554:X554)</f>
        <v/>
      </c>
      <c r="AA554" s="13">
        <f>SUMPRODUCT(M554:X554,$M$3:$X$3)*$K554*$L554</f>
        <v/>
      </c>
      <c r="AB554" s="13">
        <f>SUMPRODUCT(M554:X554,$M$4:$X$4)*$K554*$L554</f>
        <v/>
      </c>
      <c r="AC554" s="15">
        <f>SUMPRODUCT(M554:X554,$M$5:$X$5)*$K554*$L554</f>
        <v/>
      </c>
      <c r="AD554" s="15">
        <f>SUMPRODUCT(M554:X554,$M$6:$X$6)*$K554*$L554</f>
        <v/>
      </c>
      <c r="AE554" s="19" t="n"/>
    </row>
    <row r="555">
      <c r="A555" s="9" t="n">
        <v>614179</v>
      </c>
      <c r="B555" s="9" t="inlineStr">
        <is>
          <t>José Ruiz</t>
        </is>
      </c>
      <c r="C555" s="9" t="inlineStr">
        <is>
          <t>ATL</t>
        </is>
      </c>
      <c r="D555" s="9" t="n">
        <v>32</v>
      </c>
      <c r="E555" s="17" t="inlineStr">
        <is>
          <t>R</t>
        </is>
      </c>
      <c r="F555" s="17" t="n"/>
      <c r="G555" s="9" t="n">
        <v>79</v>
      </c>
      <c r="H555" s="9" t="n">
        <v>768</v>
      </c>
      <c r="I555" s="9" t="inlineStr">
        <is>
          <t>Bullpen Depth Arm</t>
        </is>
      </c>
      <c r="J555" s="17" t="inlineStr">
        <is>
          <t>Opening Day</t>
        </is>
      </c>
      <c r="K555" s="11">
        <f>IFERROR(INDEX(Roles!$B$17:$B$20,MATCH(J555,Roles!$A$17:$A$20,0)),1)</f>
        <v/>
      </c>
      <c r="L555" s="18" t="n">
        <v>1</v>
      </c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3">
        <f>SUMPRODUCT(M555:X555,$M$2:$X$2)*$K555*$L555</f>
        <v/>
      </c>
      <c r="Z555" s="14">
        <f>SUM(M555:X555)</f>
        <v/>
      </c>
      <c r="AA555" s="13">
        <f>SUMPRODUCT(M555:X555,$M$3:$X$3)*$K555*$L555</f>
        <v/>
      </c>
      <c r="AB555" s="13">
        <f>SUMPRODUCT(M555:X555,$M$4:$X$4)*$K555*$L555</f>
        <v/>
      </c>
      <c r="AC555" s="15">
        <f>SUMPRODUCT(M555:X555,$M$5:$X$5)*$K555*$L555</f>
        <v/>
      </c>
      <c r="AD555" s="15">
        <f>SUMPRODUCT(M555:X555,$M$6:$X$6)*$K555*$L555</f>
        <v/>
      </c>
      <c r="AE555" s="19" t="n"/>
    </row>
    <row r="556">
      <c r="A556" s="9" t="n">
        <v>621016</v>
      </c>
      <c r="B556" s="9" t="inlineStr">
        <is>
          <t>Jose Cuas</t>
        </is>
      </c>
      <c r="C556" s="9" t="inlineStr">
        <is>
          <t>KC</t>
        </is>
      </c>
      <c r="D556" s="9" t="n">
        <v>33</v>
      </c>
      <c r="E556" s="17" t="inlineStr">
        <is>
          <t>R</t>
        </is>
      </c>
      <c r="F556" s="17" t="n"/>
      <c r="G556" s="9" t="n">
        <v>89</v>
      </c>
      <c r="H556" s="9" t="n">
        <v>644</v>
      </c>
      <c r="I556" s="9" t="inlineStr">
        <is>
          <t>Bullpen Depth Arm</t>
        </is>
      </c>
      <c r="J556" s="17" t="inlineStr">
        <is>
          <t>Opening Day</t>
        </is>
      </c>
      <c r="K556" s="11">
        <f>IFERROR(INDEX(Roles!$B$17:$B$20,MATCH(J556,Roles!$A$17:$A$20,0)),1)</f>
        <v/>
      </c>
      <c r="L556" s="18" t="n">
        <v>1</v>
      </c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3">
        <f>SUMPRODUCT(M556:X556,$M$2:$X$2)*$K556*$L556</f>
        <v/>
      </c>
      <c r="Z556" s="14">
        <f>SUM(M556:X556)</f>
        <v/>
      </c>
      <c r="AA556" s="13">
        <f>SUMPRODUCT(M556:X556,$M$3:$X$3)*$K556*$L556</f>
        <v/>
      </c>
      <c r="AB556" s="13">
        <f>SUMPRODUCT(M556:X556,$M$4:$X$4)*$K556*$L556</f>
        <v/>
      </c>
      <c r="AC556" s="15">
        <f>SUMPRODUCT(M556:X556,$M$5:$X$5)*$K556*$L556</f>
        <v/>
      </c>
      <c r="AD556" s="15">
        <f>SUMPRODUCT(M556:X556,$M$6:$X$6)*$K556*$L556</f>
        <v/>
      </c>
      <c r="AE556" s="19" t="n"/>
    </row>
    <row r="557">
      <c r="A557" s="9" t="n">
        <v>605218</v>
      </c>
      <c r="B557" s="9" t="inlineStr">
        <is>
          <t>Carl Edwards Jr.</t>
        </is>
      </c>
      <c r="C557" s="9" t="inlineStr">
        <is>
          <t>NYM</t>
        </is>
      </c>
      <c r="D557" s="9" t="n">
        <v>35</v>
      </c>
      <c r="E557" s="17" t="inlineStr">
        <is>
          <t>R</t>
        </is>
      </c>
      <c r="F557" s="17" t="n"/>
      <c r="G557" s="9" t="n">
        <v>25</v>
      </c>
      <c r="H557" s="9" t="n">
        <v>450</v>
      </c>
      <c r="I557" s="9" t="inlineStr">
        <is>
          <t>Bullpen Depth Arm</t>
        </is>
      </c>
      <c r="J557" s="17" t="inlineStr">
        <is>
          <t>Opening Day</t>
        </is>
      </c>
      <c r="K557" s="11">
        <f>IFERROR(INDEX(Roles!$B$17:$B$20,MATCH(J557,Roles!$A$17:$A$20,0)),1)</f>
        <v/>
      </c>
      <c r="L557" s="18" t="n">
        <v>1</v>
      </c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3">
        <f>SUMPRODUCT(M557:X557,$M$2:$X$2)*$K557*$L557</f>
        <v/>
      </c>
      <c r="Z557" s="14">
        <f>SUM(M557:X557)</f>
        <v/>
      </c>
      <c r="AA557" s="13">
        <f>SUMPRODUCT(M557:X557,$M$3:$X$3)*$K557*$L557</f>
        <v/>
      </c>
      <c r="AB557" s="13">
        <f>SUMPRODUCT(M557:X557,$M$4:$X$4)*$K557*$L557</f>
        <v/>
      </c>
      <c r="AC557" s="15">
        <f>SUMPRODUCT(M557:X557,$M$5:$X$5)*$K557*$L557</f>
        <v/>
      </c>
      <c r="AD557" s="15">
        <f>SUMPRODUCT(M557:X557,$M$6:$X$6)*$K557*$L557</f>
        <v/>
      </c>
      <c r="AE557" s="19" t="n"/>
    </row>
    <row r="558">
      <c r="A558" s="9" t="n">
        <v>687209</v>
      </c>
      <c r="B558" s="9" t="inlineStr">
        <is>
          <t>Zach Maxwell</t>
        </is>
      </c>
      <c r="C558" s="9" t="inlineStr">
        <is>
          <t>CIN</t>
        </is>
      </c>
      <c r="D558" s="9" t="n">
        <v>26</v>
      </c>
      <c r="E558" s="17" t="inlineStr">
        <is>
          <t>R</t>
        </is>
      </c>
      <c r="F558" s="17" t="n"/>
      <c r="G558" s="9" t="n">
        <v>67</v>
      </c>
      <c r="H558" s="9" t="n">
        <v>110</v>
      </c>
      <c r="I558" s="9" t="inlineStr">
        <is>
          <t>Middle Relief</t>
        </is>
      </c>
      <c r="J558" s="17" t="inlineStr">
        <is>
          <t>Opening Day</t>
        </is>
      </c>
      <c r="K558" s="11">
        <f>IFERROR(INDEX(Roles!$B$17:$B$20,MATCH(J558,Roles!$A$17:$A$20,0)),1)</f>
        <v/>
      </c>
      <c r="L558" s="18" t="n">
        <v>1</v>
      </c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3">
        <f>SUMPRODUCT(M558:X558,$M$2:$X$2)*$K558*$L558</f>
        <v/>
      </c>
      <c r="Z558" s="14">
        <f>SUM(M558:X558)</f>
        <v/>
      </c>
      <c r="AA558" s="13">
        <f>SUMPRODUCT(M558:X558,$M$3:$X$3)*$K558*$L558</f>
        <v/>
      </c>
      <c r="AB558" s="13">
        <f>SUMPRODUCT(M558:X558,$M$4:$X$4)*$K558*$L558</f>
        <v/>
      </c>
      <c r="AC558" s="15">
        <f>SUMPRODUCT(M558:X558,$M$5:$X$5)*$K558*$L558</f>
        <v/>
      </c>
      <c r="AD558" s="15">
        <f>SUMPRODUCT(M558:X558,$M$6:$X$6)*$K558*$L558</f>
        <v/>
      </c>
      <c r="AE558" s="19" t="n"/>
    </row>
    <row r="559">
      <c r="A559" s="9" t="n">
        <v>661383</v>
      </c>
      <c r="B559" s="9" t="inlineStr">
        <is>
          <t>Oliver Ortega</t>
        </is>
      </c>
      <c r="C559" s="9" t="inlineStr">
        <is>
          <t>MIN</t>
        </is>
      </c>
      <c r="D559" s="9" t="n">
        <v>30</v>
      </c>
      <c r="E559" s="17" t="inlineStr">
        <is>
          <t>R</t>
        </is>
      </c>
      <c r="F559" s="17" t="n"/>
      <c r="G559" s="9" t="n">
        <v>63</v>
      </c>
      <c r="H559" s="9" t="n">
        <v>211</v>
      </c>
      <c r="I559" s="9" t="inlineStr">
        <is>
          <t>Depth (no MLB IP)</t>
        </is>
      </c>
      <c r="J559" s="17" t="inlineStr">
        <is>
          <t>Opening Day</t>
        </is>
      </c>
      <c r="K559" s="11">
        <f>IFERROR(INDEX(Roles!$B$17:$B$20,MATCH(J559,Roles!$A$17:$A$20,0)),1)</f>
        <v/>
      </c>
      <c r="L559" s="18" t="n">
        <v>1</v>
      </c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3">
        <f>SUMPRODUCT(M559:X559,$M$2:$X$2)*$K559*$L559</f>
        <v/>
      </c>
      <c r="Z559" s="14">
        <f>SUM(M559:X559)</f>
        <v/>
      </c>
      <c r="AA559" s="13">
        <f>SUMPRODUCT(M559:X559,$M$3:$X$3)*$K559*$L559</f>
        <v/>
      </c>
      <c r="AB559" s="13">
        <f>SUMPRODUCT(M559:X559,$M$4:$X$4)*$K559*$L559</f>
        <v/>
      </c>
      <c r="AC559" s="15">
        <f>SUMPRODUCT(M559:X559,$M$5:$X$5)*$K559*$L559</f>
        <v/>
      </c>
      <c r="AD559" s="15">
        <f>SUMPRODUCT(M559:X559,$M$6:$X$6)*$K559*$L559</f>
        <v/>
      </c>
      <c r="AE559" s="19" t="n"/>
    </row>
    <row r="560">
      <c r="A560" s="9" t="n">
        <v>666204</v>
      </c>
      <c r="B560" s="9" t="inlineStr">
        <is>
          <t>Dany Jiménez</t>
        </is>
      </c>
      <c r="C560" s="9" t="inlineStr">
        <is>
          <t>OAK</t>
        </is>
      </c>
      <c r="D560" s="9" t="n">
        <v>33</v>
      </c>
      <c r="E560" s="17" t="inlineStr">
        <is>
          <t>R</t>
        </is>
      </c>
      <c r="F560" s="17" t="n"/>
      <c r="G560" s="9" t="n">
        <v>117</v>
      </c>
      <c r="H560" s="9" t="n">
        <v>356</v>
      </c>
      <c r="I560" s="9" t="inlineStr">
        <is>
          <t>Depth (no MLB IP)</t>
        </is>
      </c>
      <c r="J560" s="17" t="inlineStr">
        <is>
          <t>Opening Day</t>
        </is>
      </c>
      <c r="K560" s="11">
        <f>IFERROR(INDEX(Roles!$B$17:$B$20,MATCH(J560,Roles!$A$17:$A$20,0)),1)</f>
        <v/>
      </c>
      <c r="L560" s="18" t="n">
        <v>1</v>
      </c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3">
        <f>SUMPRODUCT(M560:X560,$M$2:$X$2)*$K560*$L560</f>
        <v/>
      </c>
      <c r="Z560" s="14">
        <f>SUM(M560:X560)</f>
        <v/>
      </c>
      <c r="AA560" s="13">
        <f>SUMPRODUCT(M560:X560,$M$3:$X$3)*$K560*$L560</f>
        <v/>
      </c>
      <c r="AB560" s="13">
        <f>SUMPRODUCT(M560:X560,$M$4:$X$4)*$K560*$L560</f>
        <v/>
      </c>
      <c r="AC560" s="15">
        <f>SUMPRODUCT(M560:X560,$M$5:$X$5)*$K560*$L560</f>
        <v/>
      </c>
      <c r="AD560" s="15">
        <f>SUMPRODUCT(M560:X560,$M$6:$X$6)*$K560*$L560</f>
        <v/>
      </c>
      <c r="AE560" s="19" t="n"/>
    </row>
    <row r="561">
      <c r="A561" s="9" t="n">
        <v>657041</v>
      </c>
      <c r="B561" s="9" t="inlineStr">
        <is>
          <t>Lane Thomas</t>
        </is>
      </c>
      <c r="C561" s="9" t="inlineStr"/>
      <c r="D561" s="9" t="n">
        <v>31</v>
      </c>
      <c r="E561" s="17" t="inlineStr">
        <is>
          <t>R</t>
        </is>
      </c>
      <c r="F561" s="17" t="n"/>
      <c r="G561" s="9" t="n">
        <v>6</v>
      </c>
      <c r="H561" s="9" t="n">
        <v>6</v>
      </c>
      <c r="I561" s="9" t="inlineStr">
        <is>
          <t>Depth (no MLB IP)</t>
        </is>
      </c>
      <c r="J561" s="17" t="inlineStr">
        <is>
          <t>Opening Day</t>
        </is>
      </c>
      <c r="K561" s="11">
        <f>IFERROR(INDEX(Roles!$B$17:$B$20,MATCH(J561,Roles!$A$17:$A$20,0)),1)</f>
        <v/>
      </c>
      <c r="L561" s="18" t="n">
        <v>1</v>
      </c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3">
        <f>SUMPRODUCT(M561:X561,$M$2:$X$2)*$K561*$L561</f>
        <v/>
      </c>
      <c r="Z561" s="14">
        <f>SUM(M561:X561)</f>
        <v/>
      </c>
      <c r="AA561" s="13">
        <f>SUMPRODUCT(M561:X561,$M$3:$X$3)*$K561*$L561</f>
        <v/>
      </c>
      <c r="AB561" s="13">
        <f>SUMPRODUCT(M561:X561,$M$4:$X$4)*$K561*$L561</f>
        <v/>
      </c>
      <c r="AC561" s="15">
        <f>SUMPRODUCT(M561:X561,$M$5:$X$5)*$K561*$L561</f>
        <v/>
      </c>
      <c r="AD561" s="15">
        <f>SUMPRODUCT(M561:X561,$M$6:$X$6)*$K561*$L561</f>
        <v/>
      </c>
      <c r="AE561" s="19" t="n"/>
    </row>
    <row r="562">
      <c r="A562" s="9" t="n">
        <v>668716</v>
      </c>
      <c r="B562" s="9" t="inlineStr">
        <is>
          <t>Noah Murdock</t>
        </is>
      </c>
      <c r="C562" s="9" t="inlineStr">
        <is>
          <t>OAK</t>
        </is>
      </c>
      <c r="D562" s="9" t="n">
        <v>28</v>
      </c>
      <c r="E562" s="17" t="inlineStr">
        <is>
          <t>R</t>
        </is>
      </c>
      <c r="F562" s="17" t="n"/>
      <c r="G562" s="9" t="n">
        <v>15</v>
      </c>
      <c r="H562" s="9" t="n">
        <v>113</v>
      </c>
      <c r="I562" s="9" t="inlineStr">
        <is>
          <t>Bullpen Depth Arm</t>
        </is>
      </c>
      <c r="J562" s="17" t="inlineStr">
        <is>
          <t>Opening Day</t>
        </is>
      </c>
      <c r="K562" s="11">
        <f>IFERROR(INDEX(Roles!$B$17:$B$20,MATCH(J562,Roles!$A$17:$A$20,0)),1)</f>
        <v/>
      </c>
      <c r="L562" s="18" t="n">
        <v>1</v>
      </c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3">
        <f>SUMPRODUCT(M562:X562,$M$2:$X$2)*$K562*$L562</f>
        <v/>
      </c>
      <c r="Z562" s="14">
        <f>SUM(M562:X562)</f>
        <v/>
      </c>
      <c r="AA562" s="13">
        <f>SUMPRODUCT(M562:X562,$M$3:$X$3)*$K562*$L562</f>
        <v/>
      </c>
      <c r="AB562" s="13">
        <f>SUMPRODUCT(M562:X562,$M$4:$X$4)*$K562*$L562</f>
        <v/>
      </c>
      <c r="AC562" s="15">
        <f>SUMPRODUCT(M562:X562,$M$5:$X$5)*$K562*$L562</f>
        <v/>
      </c>
      <c r="AD562" s="15">
        <f>SUMPRODUCT(M562:X562,$M$6:$X$6)*$K562*$L562</f>
        <v/>
      </c>
      <c r="AE562" s="19" t="n"/>
    </row>
    <row r="563">
      <c r="A563" s="9" t="n">
        <v>592454</v>
      </c>
      <c r="B563" s="9" t="inlineStr">
        <is>
          <t>Tommy Kahnle</t>
        </is>
      </c>
      <c r="C563" s="9" t="inlineStr">
        <is>
          <t>BOS</t>
        </is>
      </c>
      <c r="D563" s="9" t="n">
        <v>37</v>
      </c>
      <c r="E563" s="17" t="inlineStr">
        <is>
          <t>R</t>
        </is>
      </c>
      <c r="F563" s="17" t="n"/>
      <c r="G563" s="9" t="n">
        <v>43</v>
      </c>
      <c r="H563" s="9" t="n">
        <v>700</v>
      </c>
      <c r="I563" s="9" t="inlineStr">
        <is>
          <t>Bullpen Depth Arm</t>
        </is>
      </c>
      <c r="J563" s="17" t="inlineStr">
        <is>
          <t>Opening Day</t>
        </is>
      </c>
      <c r="K563" s="11">
        <f>IFERROR(INDEX(Roles!$B$17:$B$20,MATCH(J563,Roles!$A$17:$A$20,0)),1)</f>
        <v/>
      </c>
      <c r="L563" s="18" t="n">
        <v>1</v>
      </c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3">
        <f>SUMPRODUCT(M563:X563,$M$2:$X$2)*$K563*$L563</f>
        <v/>
      </c>
      <c r="Z563" s="14">
        <f>SUM(M563:X563)</f>
        <v/>
      </c>
      <c r="AA563" s="13">
        <f>SUMPRODUCT(M563:X563,$M$3:$X$3)*$K563*$L563</f>
        <v/>
      </c>
      <c r="AB563" s="13">
        <f>SUMPRODUCT(M563:X563,$M$4:$X$4)*$K563*$L563</f>
        <v/>
      </c>
      <c r="AC563" s="15">
        <f>SUMPRODUCT(M563:X563,$M$5:$X$5)*$K563*$L563</f>
        <v/>
      </c>
      <c r="AD563" s="15">
        <f>SUMPRODUCT(M563:X563,$M$6:$X$6)*$K563*$L563</f>
        <v/>
      </c>
      <c r="AE563" s="19" t="n"/>
    </row>
    <row r="564">
      <c r="A564" s="9" t="n">
        <v>608678</v>
      </c>
      <c r="B564" s="9" t="inlineStr">
        <is>
          <t>Dominic Leone</t>
        </is>
      </c>
      <c r="C564" s="9" t="inlineStr">
        <is>
          <t>CWS</t>
        </is>
      </c>
      <c r="D564" s="9" t="n">
        <v>35</v>
      </c>
      <c r="E564" s="17" t="inlineStr">
        <is>
          <t>R</t>
        </is>
      </c>
      <c r="F564" s="17" t="n"/>
      <c r="G564" s="9" t="n">
        <v>89</v>
      </c>
      <c r="H564" s="9" t="n">
        <v>546</v>
      </c>
      <c r="I564" s="9" t="inlineStr">
        <is>
          <t>Depth (no MLB IP)</t>
        </is>
      </c>
      <c r="J564" s="17" t="inlineStr">
        <is>
          <t>Opening Day</t>
        </is>
      </c>
      <c r="K564" s="11">
        <f>IFERROR(INDEX(Roles!$B$17:$B$20,MATCH(J564,Roles!$A$17:$A$20,0)),1)</f>
        <v/>
      </c>
      <c r="L564" s="18" t="n">
        <v>1</v>
      </c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3">
        <f>SUMPRODUCT(M564:X564,$M$2:$X$2)*$K564*$L564</f>
        <v/>
      </c>
      <c r="Z564" s="14">
        <f>SUM(M564:X564)</f>
        <v/>
      </c>
      <c r="AA564" s="13">
        <f>SUMPRODUCT(M564:X564,$M$3:$X$3)*$K564*$L564</f>
        <v/>
      </c>
      <c r="AB564" s="13">
        <f>SUMPRODUCT(M564:X564,$M$4:$X$4)*$K564*$L564</f>
        <v/>
      </c>
      <c r="AC564" s="15">
        <f>SUMPRODUCT(M564:X564,$M$5:$X$5)*$K564*$L564</f>
        <v/>
      </c>
      <c r="AD564" s="15">
        <f>SUMPRODUCT(M564:X564,$M$6:$X$6)*$K564*$L564</f>
        <v/>
      </c>
      <c r="AE564" s="19" t="n"/>
    </row>
    <row r="565">
      <c r="A565" s="9" t="n">
        <v>686934</v>
      </c>
      <c r="B565" s="9" t="inlineStr">
        <is>
          <t>Alex McFarlane</t>
        </is>
      </c>
      <c r="C565" s="9" t="inlineStr">
        <is>
          <t>PHI</t>
        </is>
      </c>
      <c r="D565" s="9" t="n">
        <v>26</v>
      </c>
      <c r="E565" s="17" t="inlineStr">
        <is>
          <t>R</t>
        </is>
      </c>
      <c r="F565" s="17" t="n"/>
      <c r="G565" s="9" t="n">
        <v>59</v>
      </c>
      <c r="H565" s="9" t="n">
        <v>59</v>
      </c>
      <c r="I565" s="9" t="inlineStr">
        <is>
          <t>Bullpen Depth Arm</t>
        </is>
      </c>
      <c r="J565" s="17" t="inlineStr">
        <is>
          <t>Opening Day</t>
        </is>
      </c>
      <c r="K565" s="11">
        <f>IFERROR(INDEX(Roles!$B$17:$B$20,MATCH(J565,Roles!$A$17:$A$20,0)),1)</f>
        <v/>
      </c>
      <c r="L565" s="18" t="n">
        <v>1</v>
      </c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3">
        <f>SUMPRODUCT(M565:X565,$M$2:$X$2)*$K565*$L565</f>
        <v/>
      </c>
      <c r="Z565" s="14">
        <f>SUM(M565:X565)</f>
        <v/>
      </c>
      <c r="AA565" s="13">
        <f>SUMPRODUCT(M565:X565,$M$3:$X$3)*$K565*$L565</f>
        <v/>
      </c>
      <c r="AB565" s="13">
        <f>SUMPRODUCT(M565:X565,$M$4:$X$4)*$K565*$L565</f>
        <v/>
      </c>
      <c r="AC565" s="15">
        <f>SUMPRODUCT(M565:X565,$M$5:$X$5)*$K565*$L565</f>
        <v/>
      </c>
      <c r="AD565" s="15">
        <f>SUMPRODUCT(M565:X565,$M$6:$X$6)*$K565*$L565</f>
        <v/>
      </c>
      <c r="AE565" s="19" t="n"/>
    </row>
    <row r="566">
      <c r="A566" s="9" t="n">
        <v>669358</v>
      </c>
      <c r="B566" s="9" t="inlineStr">
        <is>
          <t>Shane Baz</t>
        </is>
      </c>
      <c r="C566" s="9" t="inlineStr">
        <is>
          <t>BAL</t>
        </is>
      </c>
      <c r="D566" s="9" t="n">
        <v>28</v>
      </c>
      <c r="E566" s="17" t="inlineStr">
        <is>
          <t>R</t>
        </is>
      </c>
      <c r="F566" s="17" t="n"/>
      <c r="G566" s="9" t="n">
        <v>742</v>
      </c>
      <c r="H566" s="9" t="n">
        <v>1889</v>
      </c>
      <c r="I566" s="9" t="inlineStr">
        <is>
          <t>Mid-Rotation Starter (SP2-3)</t>
        </is>
      </c>
      <c r="J566" s="17" t="inlineStr">
        <is>
          <t>Opening Day</t>
        </is>
      </c>
      <c r="K566" s="11">
        <f>IFERROR(INDEX(Roles!$B$17:$B$20,MATCH(J566,Roles!$A$17:$A$20,0)),1)</f>
        <v/>
      </c>
      <c r="L566" s="18" t="n">
        <v>1</v>
      </c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3">
        <f>SUMPRODUCT(M566:X566,$M$2:$X$2)*$K566*$L566</f>
        <v/>
      </c>
      <c r="Z566" s="14">
        <f>SUM(M566:X566)</f>
        <v/>
      </c>
      <c r="AA566" s="13">
        <f>SUMPRODUCT(M566:X566,$M$3:$X$3)*$K566*$L566</f>
        <v/>
      </c>
      <c r="AB566" s="13">
        <f>SUMPRODUCT(M566:X566,$M$4:$X$4)*$K566*$L566</f>
        <v/>
      </c>
      <c r="AC566" s="15">
        <f>SUMPRODUCT(M566:X566,$M$5:$X$5)*$K566*$L566</f>
        <v/>
      </c>
      <c r="AD566" s="15">
        <f>SUMPRODUCT(M566:X566,$M$6:$X$6)*$K566*$L566</f>
        <v/>
      </c>
      <c r="AE566" s="19" t="n"/>
    </row>
    <row r="567">
      <c r="A567" s="9" t="n">
        <v>607455</v>
      </c>
      <c r="B567" s="9" t="inlineStr">
        <is>
          <t>Anthony Banda</t>
        </is>
      </c>
      <c r="C567" s="9" t="inlineStr">
        <is>
          <t>MIN</t>
        </is>
      </c>
      <c r="D567" s="9" t="n">
        <v>33</v>
      </c>
      <c r="E567" s="17" t="inlineStr">
        <is>
          <t>L</t>
        </is>
      </c>
      <c r="F567" s="17" t="n"/>
      <c r="G567" s="9" t="n">
        <v>156</v>
      </c>
      <c r="H567" s="9" t="n">
        <v>803</v>
      </c>
      <c r="I567" s="9" t="inlineStr">
        <is>
          <t>Bullpen Depth Arm</t>
        </is>
      </c>
      <c r="J567" s="17" t="inlineStr">
        <is>
          <t>Opening Day</t>
        </is>
      </c>
      <c r="K567" s="11">
        <f>IFERROR(INDEX(Roles!$B$17:$B$20,MATCH(J567,Roles!$A$17:$A$20,0)),1)</f>
        <v/>
      </c>
      <c r="L567" s="18" t="n">
        <v>1</v>
      </c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3">
        <f>SUMPRODUCT(M567:X567,$M$2:$X$2)*$K567*$L567</f>
        <v/>
      </c>
      <c r="Z567" s="14">
        <f>SUM(M567:X567)</f>
        <v/>
      </c>
      <c r="AA567" s="13">
        <f>SUMPRODUCT(M567:X567,$M$3:$X$3)*$K567*$L567</f>
        <v/>
      </c>
      <c r="AB567" s="13">
        <f>SUMPRODUCT(M567:X567,$M$4:$X$4)*$K567*$L567</f>
        <v/>
      </c>
      <c r="AC567" s="15">
        <f>SUMPRODUCT(M567:X567,$M$5:$X$5)*$K567*$L567</f>
        <v/>
      </c>
      <c r="AD567" s="15">
        <f>SUMPRODUCT(M567:X567,$M$6:$X$6)*$K567*$L567</f>
        <v/>
      </c>
      <c r="AE567" s="19" t="n"/>
    </row>
    <row r="568">
      <c r="A568" s="9" t="n">
        <v>700327</v>
      </c>
      <c r="B568" s="9" t="inlineStr">
        <is>
          <t>Welinton Herrera</t>
        </is>
      </c>
      <c r="C568" s="9" t="inlineStr"/>
      <c r="D568" s="9" t="n">
        <v>23</v>
      </c>
      <c r="E568" s="17" t="inlineStr">
        <is>
          <t>L</t>
        </is>
      </c>
      <c r="F568" s="17" t="n"/>
      <c r="G568" s="9" t="n">
        <v>10</v>
      </c>
      <c r="H568" s="9" t="n">
        <v>10</v>
      </c>
      <c r="I568" s="9" t="inlineStr">
        <is>
          <t>Depth (no MLB IP)</t>
        </is>
      </c>
      <c r="J568" s="17" t="inlineStr">
        <is>
          <t>Opening Day</t>
        </is>
      </c>
      <c r="K568" s="11">
        <f>IFERROR(INDEX(Roles!$B$17:$B$20,MATCH(J568,Roles!$A$17:$A$20,0)),1)</f>
        <v/>
      </c>
      <c r="L568" s="18" t="n">
        <v>1</v>
      </c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3">
        <f>SUMPRODUCT(M568:X568,$M$2:$X$2)*$K568*$L568</f>
        <v/>
      </c>
      <c r="Z568" s="14">
        <f>SUM(M568:X568)</f>
        <v/>
      </c>
      <c r="AA568" s="13">
        <f>SUMPRODUCT(M568:X568,$M$3:$X$3)*$K568*$L568</f>
        <v/>
      </c>
      <c r="AB568" s="13">
        <f>SUMPRODUCT(M568:X568,$M$4:$X$4)*$K568*$L568</f>
        <v/>
      </c>
      <c r="AC568" s="15">
        <f>SUMPRODUCT(M568:X568,$M$5:$X$5)*$K568*$L568</f>
        <v/>
      </c>
      <c r="AD568" s="15">
        <f>SUMPRODUCT(M568:X568,$M$6:$X$6)*$K568*$L568</f>
        <v/>
      </c>
      <c r="AE568" s="19" t="n"/>
    </row>
    <row r="569">
      <c r="A569" s="9" t="n">
        <v>650496</v>
      </c>
      <c r="B569" s="9" t="inlineStr">
        <is>
          <t>J.C. Mejía</t>
        </is>
      </c>
      <c r="C569" s="9" t="inlineStr">
        <is>
          <t>MIL</t>
        </is>
      </c>
      <c r="D569" s="9" t="n">
        <v>30</v>
      </c>
      <c r="E569" s="17" t="inlineStr">
        <is>
          <t>R</t>
        </is>
      </c>
      <c r="F569" s="17" t="n"/>
      <c r="G569" s="9" t="n">
        <v>50</v>
      </c>
      <c r="H569" s="9" t="n">
        <v>66</v>
      </c>
      <c r="I569" s="9" t="inlineStr">
        <is>
          <t>Depth (no MLB IP)</t>
        </is>
      </c>
      <c r="J569" s="17" t="inlineStr">
        <is>
          <t>Opening Day</t>
        </is>
      </c>
      <c r="K569" s="11">
        <f>IFERROR(INDEX(Roles!$B$17:$B$20,MATCH(J569,Roles!$A$17:$A$20,0)),1)</f>
        <v/>
      </c>
      <c r="L569" s="18" t="n">
        <v>1</v>
      </c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3">
        <f>SUMPRODUCT(M569:X569,$M$2:$X$2)*$K569*$L569</f>
        <v/>
      </c>
      <c r="Z569" s="14">
        <f>SUM(M569:X569)</f>
        <v/>
      </c>
      <c r="AA569" s="13">
        <f>SUMPRODUCT(M569:X569,$M$3:$X$3)*$K569*$L569</f>
        <v/>
      </c>
      <c r="AB569" s="13">
        <f>SUMPRODUCT(M569:X569,$M$4:$X$4)*$K569*$L569</f>
        <v/>
      </c>
      <c r="AC569" s="15">
        <f>SUMPRODUCT(M569:X569,$M$5:$X$5)*$K569*$L569</f>
        <v/>
      </c>
      <c r="AD569" s="15">
        <f>SUMPRODUCT(M569:X569,$M$6:$X$6)*$K569*$L569</f>
        <v/>
      </c>
      <c r="AE569" s="19" t="n"/>
    </row>
    <row r="570">
      <c r="A570" s="9" t="n">
        <v>608337</v>
      </c>
      <c r="B570" s="9" t="inlineStr">
        <is>
          <t>Lucas Giolito</t>
        </is>
      </c>
      <c r="C570" s="9" t="inlineStr">
        <is>
          <t>SD</t>
        </is>
      </c>
      <c r="D570" s="9" t="n">
        <v>32</v>
      </c>
      <c r="E570" s="17" t="inlineStr">
        <is>
          <t>R</t>
        </is>
      </c>
      <c r="F570" s="17" t="n"/>
      <c r="G570" s="9" t="n">
        <v>138</v>
      </c>
      <c r="H570" s="9" t="n">
        <v>2243</v>
      </c>
      <c r="I570" s="9" t="inlineStr">
        <is>
          <t>Mid-Rotation Starter (SP2-3)</t>
        </is>
      </c>
      <c r="J570" s="17" t="inlineStr">
        <is>
          <t>Opening Day</t>
        </is>
      </c>
      <c r="K570" s="11">
        <f>IFERROR(INDEX(Roles!$B$17:$B$20,MATCH(J570,Roles!$A$17:$A$20,0)),1)</f>
        <v/>
      </c>
      <c r="L570" s="18" t="n">
        <v>1</v>
      </c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3">
        <f>SUMPRODUCT(M570:X570,$M$2:$X$2)*$K570*$L570</f>
        <v/>
      </c>
      <c r="Z570" s="14">
        <f>SUM(M570:X570)</f>
        <v/>
      </c>
      <c r="AA570" s="13">
        <f>SUMPRODUCT(M570:X570,$M$3:$X$3)*$K570*$L570</f>
        <v/>
      </c>
      <c r="AB570" s="13">
        <f>SUMPRODUCT(M570:X570,$M$4:$X$4)*$K570*$L570</f>
        <v/>
      </c>
      <c r="AC570" s="15">
        <f>SUMPRODUCT(M570:X570,$M$5:$X$5)*$K570*$L570</f>
        <v/>
      </c>
      <c r="AD570" s="15">
        <f>SUMPRODUCT(M570:X570,$M$6:$X$6)*$K570*$L570</f>
        <v/>
      </c>
      <c r="AE570" s="19" t="n"/>
    </row>
    <row r="571">
      <c r="A571" s="9" t="n">
        <v>801434</v>
      </c>
      <c r="B571" s="9" t="inlineStr">
        <is>
          <t>Paul Gervase</t>
        </is>
      </c>
      <c r="C571" s="9" t="inlineStr">
        <is>
          <t>LAD</t>
        </is>
      </c>
      <c r="D571" s="9" t="n">
        <v>27</v>
      </c>
      <c r="E571" s="17" t="inlineStr">
        <is>
          <t>R</t>
        </is>
      </c>
      <c r="F571" s="17" t="n"/>
      <c r="G571" s="9" t="n">
        <v>34</v>
      </c>
      <c r="H571" s="9" t="n">
        <v>73</v>
      </c>
      <c r="I571" s="9" t="inlineStr">
        <is>
          <t>Bullpen Depth Arm</t>
        </is>
      </c>
      <c r="J571" s="17" t="inlineStr">
        <is>
          <t>Opening Day</t>
        </is>
      </c>
      <c r="K571" s="11">
        <f>IFERROR(INDEX(Roles!$B$17:$B$20,MATCH(J571,Roles!$A$17:$A$20,0)),1)</f>
        <v/>
      </c>
      <c r="L571" s="18" t="n">
        <v>1</v>
      </c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3">
        <f>SUMPRODUCT(M571:X571,$M$2:$X$2)*$K571*$L571</f>
        <v/>
      </c>
      <c r="Z571" s="14">
        <f>SUM(M571:X571)</f>
        <v/>
      </c>
      <c r="AA571" s="13">
        <f>SUMPRODUCT(M571:X571,$M$3:$X$3)*$K571*$L571</f>
        <v/>
      </c>
      <c r="AB571" s="13">
        <f>SUMPRODUCT(M571:X571,$M$4:$X$4)*$K571*$L571</f>
        <v/>
      </c>
      <c r="AC571" s="15">
        <f>SUMPRODUCT(M571:X571,$M$5:$X$5)*$K571*$L571</f>
        <v/>
      </c>
      <c r="AD571" s="15">
        <f>SUMPRODUCT(M571:X571,$M$6:$X$6)*$K571*$L571</f>
        <v/>
      </c>
      <c r="AE571" s="19" t="n"/>
    </row>
    <row r="572">
      <c r="A572" s="9" t="n">
        <v>805673</v>
      </c>
      <c r="B572" s="9" t="inlineStr">
        <is>
          <t>Zebby Matthews</t>
        </is>
      </c>
      <c r="C572" s="9" t="inlineStr">
        <is>
          <t>MIN</t>
        </is>
      </c>
      <c r="D572" s="9" t="n">
        <v>27</v>
      </c>
      <c r="E572" s="17" t="inlineStr">
        <is>
          <t>R</t>
        </is>
      </c>
      <c r="F572" s="17" t="n"/>
      <c r="G572" s="9" t="n">
        <v>522</v>
      </c>
      <c r="H572" s="9" t="n">
        <v>1053</v>
      </c>
      <c r="I572" s="9" t="inlineStr">
        <is>
          <t>Mid-Rotation Starter (SP2-3)</t>
        </is>
      </c>
      <c r="J572" s="17" t="inlineStr">
        <is>
          <t>Opening Day</t>
        </is>
      </c>
      <c r="K572" s="11">
        <f>IFERROR(INDEX(Roles!$B$17:$B$20,MATCH(J572,Roles!$A$17:$A$20,0)),1)</f>
        <v/>
      </c>
      <c r="L572" s="18" t="n">
        <v>1</v>
      </c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3">
        <f>SUMPRODUCT(M572:X572,$M$2:$X$2)*$K572*$L572</f>
        <v/>
      </c>
      <c r="Z572" s="14">
        <f>SUM(M572:X572)</f>
        <v/>
      </c>
      <c r="AA572" s="13">
        <f>SUMPRODUCT(M572:X572,$M$3:$X$3)*$K572*$L572</f>
        <v/>
      </c>
      <c r="AB572" s="13">
        <f>SUMPRODUCT(M572:X572,$M$4:$X$4)*$K572*$L572</f>
        <v/>
      </c>
      <c r="AC572" s="15">
        <f>SUMPRODUCT(M572:X572,$M$5:$X$5)*$K572*$L572</f>
        <v/>
      </c>
      <c r="AD572" s="15">
        <f>SUMPRODUCT(M572:X572,$M$6:$X$6)*$K572*$L572</f>
        <v/>
      </c>
      <c r="AE572" s="19" t="n"/>
    </row>
    <row r="573">
      <c r="A573" s="9" t="n">
        <v>671936</v>
      </c>
      <c r="B573" s="9" t="inlineStr">
        <is>
          <t>Adam Macko</t>
        </is>
      </c>
      <c r="C573" s="9" t="inlineStr">
        <is>
          <t>TEX</t>
        </is>
      </c>
      <c r="D573" s="9" t="n">
        <v>26</v>
      </c>
      <c r="E573" s="17" t="inlineStr">
        <is>
          <t>L</t>
        </is>
      </c>
      <c r="F573" s="17" t="n"/>
      <c r="G573" s="9" t="n">
        <v>135</v>
      </c>
      <c r="H573" s="9" t="n">
        <v>135</v>
      </c>
      <c r="I573" s="9" t="inlineStr">
        <is>
          <t>Bullpen Depth Arm</t>
        </is>
      </c>
      <c r="J573" s="17" t="inlineStr">
        <is>
          <t>Opening Day</t>
        </is>
      </c>
      <c r="K573" s="11">
        <f>IFERROR(INDEX(Roles!$B$17:$B$20,MATCH(J573,Roles!$A$17:$A$20,0)),1)</f>
        <v/>
      </c>
      <c r="L573" s="18" t="n">
        <v>1</v>
      </c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3">
        <f>SUMPRODUCT(M573:X573,$M$2:$X$2)*$K573*$L573</f>
        <v/>
      </c>
      <c r="Z573" s="14">
        <f>SUM(M573:X573)</f>
        <v/>
      </c>
      <c r="AA573" s="13">
        <f>SUMPRODUCT(M573:X573,$M$3:$X$3)*$K573*$L573</f>
        <v/>
      </c>
      <c r="AB573" s="13">
        <f>SUMPRODUCT(M573:X573,$M$4:$X$4)*$K573*$L573</f>
        <v/>
      </c>
      <c r="AC573" s="15">
        <f>SUMPRODUCT(M573:X573,$M$5:$X$5)*$K573*$L573</f>
        <v/>
      </c>
      <c r="AD573" s="15">
        <f>SUMPRODUCT(M573:X573,$M$6:$X$6)*$K573*$L573</f>
        <v/>
      </c>
      <c r="AE573" s="19" t="n"/>
    </row>
    <row r="574">
      <c r="A574" s="9" t="n">
        <v>669684</v>
      </c>
      <c r="B574" s="9" t="inlineStr">
        <is>
          <t>Chris Murphy</t>
        </is>
      </c>
      <c r="C574" s="9" t="inlineStr">
        <is>
          <t>CWS</t>
        </is>
      </c>
      <c r="D574" s="9" t="n">
        <v>29</v>
      </c>
      <c r="E574" s="17" t="inlineStr">
        <is>
          <t>L</t>
        </is>
      </c>
      <c r="F574" s="17" t="n"/>
      <c r="G574" s="9" t="n">
        <v>145</v>
      </c>
      <c r="H574" s="9" t="n">
        <v>505</v>
      </c>
      <c r="I574" s="9" t="inlineStr">
        <is>
          <t>Bullpen Depth Arm</t>
        </is>
      </c>
      <c r="J574" s="17" t="inlineStr">
        <is>
          <t>Opening Day</t>
        </is>
      </c>
      <c r="K574" s="11">
        <f>IFERROR(INDEX(Roles!$B$17:$B$20,MATCH(J574,Roles!$A$17:$A$20,0)),1)</f>
        <v/>
      </c>
      <c r="L574" s="18" t="n">
        <v>1</v>
      </c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3">
        <f>SUMPRODUCT(M574:X574,$M$2:$X$2)*$K574*$L574</f>
        <v/>
      </c>
      <c r="Z574" s="14">
        <f>SUM(M574:X574)</f>
        <v/>
      </c>
      <c r="AA574" s="13">
        <f>SUMPRODUCT(M574:X574,$M$3:$X$3)*$K574*$L574</f>
        <v/>
      </c>
      <c r="AB574" s="13">
        <f>SUMPRODUCT(M574:X574,$M$4:$X$4)*$K574*$L574</f>
        <v/>
      </c>
      <c r="AC574" s="15">
        <f>SUMPRODUCT(M574:X574,$M$5:$X$5)*$K574*$L574</f>
        <v/>
      </c>
      <c r="AD574" s="15">
        <f>SUMPRODUCT(M574:X574,$M$6:$X$6)*$K574*$L574</f>
        <v/>
      </c>
      <c r="AE574" s="19" t="n"/>
    </row>
    <row r="575">
      <c r="A575" s="9" t="n">
        <v>664874</v>
      </c>
      <c r="B575" s="9" t="inlineStr">
        <is>
          <t>Seby Zavala</t>
        </is>
      </c>
      <c r="C575" s="9" t="inlineStr"/>
      <c r="D575" s="9" t="n">
        <v>33</v>
      </c>
      <c r="E575" s="17" t="inlineStr">
        <is>
          <t>R</t>
        </is>
      </c>
      <c r="F575" s="17" t="n"/>
      <c r="G575" s="9" t="n">
        <v>2</v>
      </c>
      <c r="H575" s="9" t="n">
        <v>2</v>
      </c>
      <c r="I575" s="9" t="inlineStr">
        <is>
          <t>Depth (no MLB IP)</t>
        </is>
      </c>
      <c r="J575" s="17" t="inlineStr">
        <is>
          <t>Opening Day</t>
        </is>
      </c>
      <c r="K575" s="11">
        <f>IFERROR(INDEX(Roles!$B$17:$B$20,MATCH(J575,Roles!$A$17:$A$20,0)),1)</f>
        <v/>
      </c>
      <c r="L575" s="18" t="n">
        <v>1</v>
      </c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3">
        <f>SUMPRODUCT(M575:X575,$M$2:$X$2)*$K575*$L575</f>
        <v/>
      </c>
      <c r="Z575" s="14">
        <f>SUM(M575:X575)</f>
        <v/>
      </c>
      <c r="AA575" s="13">
        <f>SUMPRODUCT(M575:X575,$M$3:$X$3)*$K575*$L575</f>
        <v/>
      </c>
      <c r="AB575" s="13">
        <f>SUMPRODUCT(M575:X575,$M$4:$X$4)*$K575*$L575</f>
        <v/>
      </c>
      <c r="AC575" s="15">
        <f>SUMPRODUCT(M575:X575,$M$5:$X$5)*$K575*$L575</f>
        <v/>
      </c>
      <c r="AD575" s="15">
        <f>SUMPRODUCT(M575:X575,$M$6:$X$6)*$K575*$L575</f>
        <v/>
      </c>
      <c r="AE575" s="19" t="n"/>
    </row>
    <row r="576">
      <c r="A576" s="9" t="n">
        <v>670167</v>
      </c>
      <c r="B576" s="9" t="inlineStr">
        <is>
          <t>John Schreiber</t>
        </is>
      </c>
      <c r="C576" s="9" t="inlineStr">
        <is>
          <t>NYY</t>
        </is>
      </c>
      <c r="D576" s="9" t="n">
        <v>33</v>
      </c>
      <c r="E576" s="17" t="inlineStr">
        <is>
          <t>R</t>
        </is>
      </c>
      <c r="F576" s="17" t="n"/>
      <c r="G576" s="9" t="n">
        <v>230</v>
      </c>
      <c r="H576" s="9" t="n">
        <v>1180</v>
      </c>
      <c r="I576" s="9" t="inlineStr">
        <is>
          <t>Bullpen Depth Arm</t>
        </is>
      </c>
      <c r="J576" s="17" t="inlineStr">
        <is>
          <t>Opening Day</t>
        </is>
      </c>
      <c r="K576" s="11">
        <f>IFERROR(INDEX(Roles!$B$17:$B$20,MATCH(J576,Roles!$A$17:$A$20,0)),1)</f>
        <v/>
      </c>
      <c r="L576" s="18" t="n">
        <v>1</v>
      </c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3">
        <f>SUMPRODUCT(M576:X576,$M$2:$X$2)*$K576*$L576</f>
        <v/>
      </c>
      <c r="Z576" s="14">
        <f>SUM(M576:X576)</f>
        <v/>
      </c>
      <c r="AA576" s="13">
        <f>SUMPRODUCT(M576:X576,$M$3:$X$3)*$K576*$L576</f>
        <v/>
      </c>
      <c r="AB576" s="13">
        <f>SUMPRODUCT(M576:X576,$M$4:$X$4)*$K576*$L576</f>
        <v/>
      </c>
      <c r="AC576" s="15">
        <f>SUMPRODUCT(M576:X576,$M$5:$X$5)*$K576*$L576</f>
        <v/>
      </c>
      <c r="AD576" s="15">
        <f>SUMPRODUCT(M576:X576,$M$6:$X$6)*$K576*$L576</f>
        <v/>
      </c>
      <c r="AE576" s="19" t="n"/>
    </row>
    <row r="577">
      <c r="A577" s="9" t="n">
        <v>572888</v>
      </c>
      <c r="B577" s="9" t="inlineStr">
        <is>
          <t>Shane Greene</t>
        </is>
      </c>
      <c r="C577" s="9" t="inlineStr"/>
      <c r="D577" s="9" t="n">
        <v>38</v>
      </c>
      <c r="E577" s="17" t="inlineStr">
        <is>
          <t>R</t>
        </is>
      </c>
      <c r="F577" s="17" t="n"/>
      <c r="G577" s="9" t="n">
        <v>12</v>
      </c>
      <c r="H577" s="9" t="n">
        <v>25</v>
      </c>
      <c r="I577" s="9" t="inlineStr">
        <is>
          <t>Depth (no MLB IP)</t>
        </is>
      </c>
      <c r="J577" s="17" t="inlineStr">
        <is>
          <t>Opening Day</t>
        </is>
      </c>
      <c r="K577" s="11">
        <f>IFERROR(INDEX(Roles!$B$17:$B$20,MATCH(J577,Roles!$A$17:$A$20,0)),1)</f>
        <v/>
      </c>
      <c r="L577" s="18" t="n">
        <v>1</v>
      </c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3">
        <f>SUMPRODUCT(M577:X577,$M$2:$X$2)*$K577*$L577</f>
        <v/>
      </c>
      <c r="Z577" s="14">
        <f>SUM(M577:X577)</f>
        <v/>
      </c>
      <c r="AA577" s="13">
        <f>SUMPRODUCT(M577:X577,$M$3:$X$3)*$K577*$L577</f>
        <v/>
      </c>
      <c r="AB577" s="13">
        <f>SUMPRODUCT(M577:X577,$M$4:$X$4)*$K577*$L577</f>
        <v/>
      </c>
      <c r="AC577" s="15">
        <f>SUMPRODUCT(M577:X577,$M$5:$X$5)*$K577*$L577</f>
        <v/>
      </c>
      <c r="AD577" s="15">
        <f>SUMPRODUCT(M577:X577,$M$6:$X$6)*$K577*$L577</f>
        <v/>
      </c>
      <c r="AE577" s="19" t="n"/>
    </row>
    <row r="578">
      <c r="A578" s="9" t="n">
        <v>689958</v>
      </c>
      <c r="B578" s="9" t="inlineStr">
        <is>
          <t>Andrew Walters</t>
        </is>
      </c>
      <c r="C578" s="9" t="inlineStr">
        <is>
          <t>CLE</t>
        </is>
      </c>
      <c r="D578" s="9" t="n">
        <v>26</v>
      </c>
      <c r="E578" s="17" t="inlineStr">
        <is>
          <t>R</t>
        </is>
      </c>
      <c r="F578" s="17" t="n"/>
      <c r="G578" s="9" t="n">
        <v>6</v>
      </c>
      <c r="H578" s="9" t="n">
        <v>38</v>
      </c>
      <c r="I578" s="9" t="inlineStr">
        <is>
          <t>Depth (no MLB IP)</t>
        </is>
      </c>
      <c r="J578" s="17" t="inlineStr">
        <is>
          <t>Opening Day</t>
        </is>
      </c>
      <c r="K578" s="11">
        <f>IFERROR(INDEX(Roles!$B$17:$B$20,MATCH(J578,Roles!$A$17:$A$20,0)),1)</f>
        <v/>
      </c>
      <c r="L578" s="18" t="n">
        <v>1</v>
      </c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3">
        <f>SUMPRODUCT(M578:X578,$M$2:$X$2)*$K578*$L578</f>
        <v/>
      </c>
      <c r="Z578" s="14">
        <f>SUM(M578:X578)</f>
        <v/>
      </c>
      <c r="AA578" s="13">
        <f>SUMPRODUCT(M578:X578,$M$3:$X$3)*$K578*$L578</f>
        <v/>
      </c>
      <c r="AB578" s="13">
        <f>SUMPRODUCT(M578:X578,$M$4:$X$4)*$K578*$L578</f>
        <v/>
      </c>
      <c r="AC578" s="15">
        <f>SUMPRODUCT(M578:X578,$M$5:$X$5)*$K578*$L578</f>
        <v/>
      </c>
      <c r="AD578" s="15">
        <f>SUMPRODUCT(M578:X578,$M$6:$X$6)*$K578*$L578</f>
        <v/>
      </c>
      <c r="AE578" s="19" t="n"/>
    </row>
    <row r="579">
      <c r="A579" s="9" t="n">
        <v>687273</v>
      </c>
      <c r="B579" s="9" t="inlineStr">
        <is>
          <t>Quinn Mathews</t>
        </is>
      </c>
      <c r="C579" s="9" t="inlineStr">
        <is>
          <t>STL</t>
        </is>
      </c>
      <c r="D579" s="9" t="n">
        <v>26</v>
      </c>
      <c r="E579" s="17" t="inlineStr">
        <is>
          <t>L</t>
        </is>
      </c>
      <c r="F579" s="17" t="n"/>
      <c r="G579" s="9" t="n">
        <v>162</v>
      </c>
      <c r="H579" s="9" t="n">
        <v>162</v>
      </c>
      <c r="I579" s="9" t="inlineStr">
        <is>
          <t>Mid-Rotation Starter (SP2-3)</t>
        </is>
      </c>
      <c r="J579" s="17" t="inlineStr">
        <is>
          <t>Opening Day</t>
        </is>
      </c>
      <c r="K579" s="11">
        <f>IFERROR(INDEX(Roles!$B$17:$B$20,MATCH(J579,Roles!$A$17:$A$20,0)),1)</f>
        <v/>
      </c>
      <c r="L579" s="18" t="n">
        <v>1</v>
      </c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3">
        <f>SUMPRODUCT(M579:X579,$M$2:$X$2)*$K579*$L579</f>
        <v/>
      </c>
      <c r="Z579" s="14">
        <f>SUM(M579:X579)</f>
        <v/>
      </c>
      <c r="AA579" s="13">
        <f>SUMPRODUCT(M579:X579,$M$3:$X$3)*$K579*$L579</f>
        <v/>
      </c>
      <c r="AB579" s="13">
        <f>SUMPRODUCT(M579:X579,$M$4:$X$4)*$K579*$L579</f>
        <v/>
      </c>
      <c r="AC579" s="15">
        <f>SUMPRODUCT(M579:X579,$M$5:$X$5)*$K579*$L579</f>
        <v/>
      </c>
      <c r="AD579" s="15">
        <f>SUMPRODUCT(M579:X579,$M$6:$X$6)*$K579*$L579</f>
        <v/>
      </c>
      <c r="AE579" s="19" t="n"/>
    </row>
    <row r="580">
      <c r="A580" s="9" t="n">
        <v>681892</v>
      </c>
      <c r="B580" s="9" t="inlineStr">
        <is>
          <t>Kody Funderburk</t>
        </is>
      </c>
      <c r="C580" s="9" t="inlineStr">
        <is>
          <t>MIN</t>
        </is>
      </c>
      <c r="D580" s="9" t="n">
        <v>30</v>
      </c>
      <c r="E580" s="17" t="inlineStr">
        <is>
          <t>L</t>
        </is>
      </c>
      <c r="F580" s="17" t="n"/>
      <c r="G580" s="9" t="n">
        <v>213</v>
      </c>
      <c r="H580" s="9" t="n">
        <v>604</v>
      </c>
      <c r="I580" s="9" t="inlineStr">
        <is>
          <t>Middle Relief</t>
        </is>
      </c>
      <c r="J580" s="17" t="inlineStr">
        <is>
          <t>Opening Day</t>
        </is>
      </c>
      <c r="K580" s="11">
        <f>IFERROR(INDEX(Roles!$B$17:$B$20,MATCH(J580,Roles!$A$17:$A$20,0)),1)</f>
        <v/>
      </c>
      <c r="L580" s="18" t="n">
        <v>1</v>
      </c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3">
        <f>SUMPRODUCT(M580:X580,$M$2:$X$2)*$K580*$L580</f>
        <v/>
      </c>
      <c r="Z580" s="14">
        <f>SUM(M580:X580)</f>
        <v/>
      </c>
      <c r="AA580" s="13">
        <f>SUMPRODUCT(M580:X580,$M$3:$X$3)*$K580*$L580</f>
        <v/>
      </c>
      <c r="AB580" s="13">
        <f>SUMPRODUCT(M580:X580,$M$4:$X$4)*$K580*$L580</f>
        <v/>
      </c>
      <c r="AC580" s="15">
        <f>SUMPRODUCT(M580:X580,$M$5:$X$5)*$K580*$L580</f>
        <v/>
      </c>
      <c r="AD580" s="15">
        <f>SUMPRODUCT(M580:X580,$M$6:$X$6)*$K580*$L580</f>
        <v/>
      </c>
      <c r="AE580" s="19" t="n"/>
    </row>
    <row r="581">
      <c r="A581" s="9" t="n">
        <v>645305</v>
      </c>
      <c r="B581" s="9" t="inlineStr">
        <is>
          <t>Ali Sánchez</t>
        </is>
      </c>
      <c r="C581" s="9" t="inlineStr"/>
      <c r="D581" s="9" t="n">
        <v>30</v>
      </c>
      <c r="E581" s="17" t="inlineStr">
        <is>
          <t>R</t>
        </is>
      </c>
      <c r="F581" s="17" t="n"/>
      <c r="G581" s="9" t="n">
        <v>6</v>
      </c>
      <c r="H581" s="9" t="n">
        <v>6</v>
      </c>
      <c r="I581" s="9" t="inlineStr">
        <is>
          <t>Depth (no MLB IP)</t>
        </is>
      </c>
      <c r="J581" s="17" t="inlineStr">
        <is>
          <t>Opening Day</t>
        </is>
      </c>
      <c r="K581" s="11">
        <f>IFERROR(INDEX(Roles!$B$17:$B$20,MATCH(J581,Roles!$A$17:$A$20,0)),1)</f>
        <v/>
      </c>
      <c r="L581" s="18" t="n">
        <v>1</v>
      </c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3">
        <f>SUMPRODUCT(M581:X581,$M$2:$X$2)*$K581*$L581</f>
        <v/>
      </c>
      <c r="Z581" s="14">
        <f>SUM(M581:X581)</f>
        <v/>
      </c>
      <c r="AA581" s="13">
        <f>SUMPRODUCT(M581:X581,$M$3:$X$3)*$K581*$L581</f>
        <v/>
      </c>
      <c r="AB581" s="13">
        <f>SUMPRODUCT(M581:X581,$M$4:$X$4)*$K581*$L581</f>
        <v/>
      </c>
      <c r="AC581" s="15">
        <f>SUMPRODUCT(M581:X581,$M$5:$X$5)*$K581*$L581</f>
        <v/>
      </c>
      <c r="AD581" s="15">
        <f>SUMPRODUCT(M581:X581,$M$6:$X$6)*$K581*$L581</f>
        <v/>
      </c>
      <c r="AE581" s="19" t="n"/>
    </row>
    <row r="582">
      <c r="A582" s="9" t="n">
        <v>571760</v>
      </c>
      <c r="B582" s="9" t="inlineStr">
        <is>
          <t>Andrew Heaney</t>
        </is>
      </c>
      <c r="C582" s="9" t="inlineStr">
        <is>
          <t>LAD</t>
        </is>
      </c>
      <c r="D582" s="9" t="n">
        <v>36</v>
      </c>
      <c r="E582" s="17" t="inlineStr">
        <is>
          <t>L</t>
        </is>
      </c>
      <c r="F582" s="17" t="n"/>
      <c r="G582" s="9" t="n">
        <v>536</v>
      </c>
      <c r="H582" s="9" t="n">
        <v>2180</v>
      </c>
      <c r="I582" s="9" t="inlineStr">
        <is>
          <t>End-of-Rotation Starter (SP4-5)</t>
        </is>
      </c>
      <c r="J582" s="17" t="inlineStr">
        <is>
          <t>Opening Day</t>
        </is>
      </c>
      <c r="K582" s="11">
        <f>IFERROR(INDEX(Roles!$B$17:$B$20,MATCH(J582,Roles!$A$17:$A$20,0)),1)</f>
        <v/>
      </c>
      <c r="L582" s="18" t="n">
        <v>1</v>
      </c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3">
        <f>SUMPRODUCT(M582:X582,$M$2:$X$2)*$K582*$L582</f>
        <v/>
      </c>
      <c r="Z582" s="14">
        <f>SUM(M582:X582)</f>
        <v/>
      </c>
      <c r="AA582" s="13">
        <f>SUMPRODUCT(M582:X582,$M$3:$X$3)*$K582*$L582</f>
        <v/>
      </c>
      <c r="AB582" s="13">
        <f>SUMPRODUCT(M582:X582,$M$4:$X$4)*$K582*$L582</f>
        <v/>
      </c>
      <c r="AC582" s="15">
        <f>SUMPRODUCT(M582:X582,$M$5:$X$5)*$K582*$L582</f>
        <v/>
      </c>
      <c r="AD582" s="15">
        <f>SUMPRODUCT(M582:X582,$M$6:$X$6)*$K582*$L582</f>
        <v/>
      </c>
      <c r="AE582" s="19" t="n"/>
    </row>
    <row r="583">
      <c r="A583" s="9" t="n">
        <v>667478</v>
      </c>
      <c r="B583" s="9" t="inlineStr">
        <is>
          <t>Evan Kravetz</t>
        </is>
      </c>
      <c r="C583" s="9" t="inlineStr"/>
      <c r="D583" s="9" t="n">
        <v>30</v>
      </c>
      <c r="E583" s="17" t="inlineStr">
        <is>
          <t>L</t>
        </is>
      </c>
      <c r="F583" s="17" t="n"/>
      <c r="G583" s="9" t="n">
        <v>2</v>
      </c>
      <c r="H583" s="9" t="n">
        <v>2</v>
      </c>
      <c r="I583" s="9" t="inlineStr">
        <is>
          <t>Depth (no MLB IP)</t>
        </is>
      </c>
      <c r="J583" s="17" t="inlineStr">
        <is>
          <t>Opening Day</t>
        </is>
      </c>
      <c r="K583" s="11">
        <f>IFERROR(INDEX(Roles!$B$17:$B$20,MATCH(J583,Roles!$A$17:$A$20,0)),1)</f>
        <v/>
      </c>
      <c r="L583" s="18" t="n">
        <v>1</v>
      </c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3">
        <f>SUMPRODUCT(M583:X583,$M$2:$X$2)*$K583*$L583</f>
        <v/>
      </c>
      <c r="Z583" s="14">
        <f>SUM(M583:X583)</f>
        <v/>
      </c>
      <c r="AA583" s="13">
        <f>SUMPRODUCT(M583:X583,$M$3:$X$3)*$K583*$L583</f>
        <v/>
      </c>
      <c r="AB583" s="13">
        <f>SUMPRODUCT(M583:X583,$M$4:$X$4)*$K583*$L583</f>
        <v/>
      </c>
      <c r="AC583" s="15">
        <f>SUMPRODUCT(M583:X583,$M$5:$X$5)*$K583*$L583</f>
        <v/>
      </c>
      <c r="AD583" s="15">
        <f>SUMPRODUCT(M583:X583,$M$6:$X$6)*$K583*$L583</f>
        <v/>
      </c>
      <c r="AE583" s="19" t="n"/>
    </row>
    <row r="584">
      <c r="A584" s="9" t="n">
        <v>677076</v>
      </c>
      <c r="B584" s="9" t="inlineStr">
        <is>
          <t>Clayton Andrews</t>
        </is>
      </c>
      <c r="C584" s="9" t="inlineStr"/>
      <c r="D584" s="9" t="n">
        <v>30</v>
      </c>
      <c r="E584" s="17" t="inlineStr">
        <is>
          <t>L</t>
        </is>
      </c>
      <c r="F584" s="17" t="n"/>
      <c r="G584" s="9" t="n">
        <v>3</v>
      </c>
      <c r="H584" s="9" t="n">
        <v>25</v>
      </c>
      <c r="I584" s="9" t="inlineStr">
        <is>
          <t>Depth (no MLB IP)</t>
        </is>
      </c>
      <c r="J584" s="17" t="inlineStr">
        <is>
          <t>Opening Day</t>
        </is>
      </c>
      <c r="K584" s="11">
        <f>IFERROR(INDEX(Roles!$B$17:$B$20,MATCH(J584,Roles!$A$17:$A$20,0)),1)</f>
        <v/>
      </c>
      <c r="L584" s="18" t="n">
        <v>1</v>
      </c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3">
        <f>SUMPRODUCT(M584:X584,$M$2:$X$2)*$K584*$L584</f>
        <v/>
      </c>
      <c r="Z584" s="14">
        <f>SUM(M584:X584)</f>
        <v/>
      </c>
      <c r="AA584" s="13">
        <f>SUMPRODUCT(M584:X584,$M$3:$X$3)*$K584*$L584</f>
        <v/>
      </c>
      <c r="AB584" s="13">
        <f>SUMPRODUCT(M584:X584,$M$4:$X$4)*$K584*$L584</f>
        <v/>
      </c>
      <c r="AC584" s="15">
        <f>SUMPRODUCT(M584:X584,$M$5:$X$5)*$K584*$L584</f>
        <v/>
      </c>
      <c r="AD584" s="15">
        <f>SUMPRODUCT(M584:X584,$M$6:$X$6)*$K584*$L584</f>
        <v/>
      </c>
      <c r="AE584" s="19" t="n"/>
    </row>
    <row r="585">
      <c r="A585" s="9" t="n">
        <v>661563</v>
      </c>
      <c r="B585" s="9" t="inlineStr">
        <is>
          <t>Luis Gil</t>
        </is>
      </c>
      <c r="C585" s="9" t="inlineStr">
        <is>
          <t>NYY</t>
        </is>
      </c>
      <c r="D585" s="9" t="n">
        <v>29</v>
      </c>
      <c r="E585" s="17" t="inlineStr">
        <is>
          <t>R</t>
        </is>
      </c>
      <c r="F585" s="17" t="n"/>
      <c r="G585" s="9" t="n">
        <v>106</v>
      </c>
      <c r="H585" s="9" t="n">
        <v>1006</v>
      </c>
      <c r="I585" s="9" t="inlineStr">
        <is>
          <t>Mid-Rotation Starter (SP2-3)</t>
        </is>
      </c>
      <c r="J585" s="17" t="inlineStr">
        <is>
          <t>Opening Day</t>
        </is>
      </c>
      <c r="K585" s="11">
        <f>IFERROR(INDEX(Roles!$B$17:$B$20,MATCH(J585,Roles!$A$17:$A$20,0)),1)</f>
        <v/>
      </c>
      <c r="L585" s="18" t="n">
        <v>1</v>
      </c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3">
        <f>SUMPRODUCT(M585:X585,$M$2:$X$2)*$K585*$L585</f>
        <v/>
      </c>
      <c r="Z585" s="14">
        <f>SUM(M585:X585)</f>
        <v/>
      </c>
      <c r="AA585" s="13">
        <f>SUMPRODUCT(M585:X585,$M$3:$X$3)*$K585*$L585</f>
        <v/>
      </c>
      <c r="AB585" s="13">
        <f>SUMPRODUCT(M585:X585,$M$4:$X$4)*$K585*$L585</f>
        <v/>
      </c>
      <c r="AC585" s="15">
        <f>SUMPRODUCT(M585:X585,$M$5:$X$5)*$K585*$L585</f>
        <v/>
      </c>
      <c r="AD585" s="15">
        <f>SUMPRODUCT(M585:X585,$M$6:$X$6)*$K585*$L585</f>
        <v/>
      </c>
      <c r="AE585" s="19" t="n"/>
    </row>
    <row r="586">
      <c r="A586" s="9" t="n">
        <v>624133</v>
      </c>
      <c r="B586" s="9" t="inlineStr">
        <is>
          <t>Ranger Suarez</t>
        </is>
      </c>
      <c r="C586" s="9" t="inlineStr">
        <is>
          <t>BOS</t>
        </is>
      </c>
      <c r="D586" s="9" t="n">
        <v>31</v>
      </c>
      <c r="E586" s="17" t="inlineStr">
        <is>
          <t>L</t>
        </is>
      </c>
      <c r="F586" s="17" t="n"/>
      <c r="G586" s="9" t="n">
        <v>569</v>
      </c>
      <c r="H586" s="9" t="n">
        <v>3048</v>
      </c>
      <c r="I586" s="9" t="inlineStr">
        <is>
          <t>Mid-Rotation Starter (SP2-3)</t>
        </is>
      </c>
      <c r="J586" s="17" t="inlineStr">
        <is>
          <t>Opening Day</t>
        </is>
      </c>
      <c r="K586" s="11">
        <f>IFERROR(INDEX(Roles!$B$17:$B$20,MATCH(J586,Roles!$A$17:$A$20,0)),1)</f>
        <v/>
      </c>
      <c r="L586" s="18" t="n">
        <v>1</v>
      </c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3">
        <f>SUMPRODUCT(M586:X586,$M$2:$X$2)*$K586*$L586</f>
        <v/>
      </c>
      <c r="Z586" s="14">
        <f>SUM(M586:X586)</f>
        <v/>
      </c>
      <c r="AA586" s="13">
        <f>SUMPRODUCT(M586:X586,$M$3:$X$3)*$K586*$L586</f>
        <v/>
      </c>
      <c r="AB586" s="13">
        <f>SUMPRODUCT(M586:X586,$M$4:$X$4)*$K586*$L586</f>
        <v/>
      </c>
      <c r="AC586" s="15">
        <f>SUMPRODUCT(M586:X586,$M$5:$X$5)*$K586*$L586</f>
        <v/>
      </c>
      <c r="AD586" s="15">
        <f>SUMPRODUCT(M586:X586,$M$6:$X$6)*$K586*$L586</f>
        <v/>
      </c>
      <c r="AE586" s="19" t="n"/>
    </row>
    <row r="587">
      <c r="A587" s="9" t="n">
        <v>670219</v>
      </c>
      <c r="B587" s="9" t="inlineStr">
        <is>
          <t>Zac Kristofak</t>
        </is>
      </c>
      <c r="C587" s="9" t="inlineStr"/>
      <c r="D587" s="9" t="n">
        <v>29</v>
      </c>
      <c r="E587" s="17" t="inlineStr">
        <is>
          <t>R</t>
        </is>
      </c>
      <c r="F587" s="17" t="n"/>
      <c r="G587" s="9" t="n">
        <v>11</v>
      </c>
      <c r="H587" s="9" t="n">
        <v>11</v>
      </c>
      <c r="I587" s="9" t="inlineStr">
        <is>
          <t>Depth (no MLB IP)</t>
        </is>
      </c>
      <c r="J587" s="17" t="inlineStr">
        <is>
          <t>Opening Day</t>
        </is>
      </c>
      <c r="K587" s="11">
        <f>IFERROR(INDEX(Roles!$B$17:$B$20,MATCH(J587,Roles!$A$17:$A$20,0)),1)</f>
        <v/>
      </c>
      <c r="L587" s="18" t="n">
        <v>1</v>
      </c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3">
        <f>SUMPRODUCT(M587:X587,$M$2:$X$2)*$K587*$L587</f>
        <v/>
      </c>
      <c r="Z587" s="14">
        <f>SUM(M587:X587)</f>
        <v/>
      </c>
      <c r="AA587" s="13">
        <f>SUMPRODUCT(M587:X587,$M$3:$X$3)*$K587*$L587</f>
        <v/>
      </c>
      <c r="AB587" s="13">
        <f>SUMPRODUCT(M587:X587,$M$4:$X$4)*$K587*$L587</f>
        <v/>
      </c>
      <c r="AC587" s="15">
        <f>SUMPRODUCT(M587:X587,$M$5:$X$5)*$K587*$L587</f>
        <v/>
      </c>
      <c r="AD587" s="15">
        <f>SUMPRODUCT(M587:X587,$M$6:$X$6)*$K587*$L587</f>
        <v/>
      </c>
      <c r="AE587" s="19" t="n"/>
    </row>
    <row r="588">
      <c r="A588" s="9" t="n">
        <v>663884</v>
      </c>
      <c r="B588" s="9" t="inlineStr">
        <is>
          <t>Nolan Kingham</t>
        </is>
      </c>
      <c r="C588" s="9" t="inlineStr"/>
      <c r="D588" s="9" t="n">
        <v>30</v>
      </c>
      <c r="E588" s="17" t="inlineStr">
        <is>
          <t>R</t>
        </is>
      </c>
      <c r="F588" s="17" t="n"/>
      <c r="G588" s="9" t="n">
        <v>6</v>
      </c>
      <c r="H588" s="9" t="n">
        <v>6</v>
      </c>
      <c r="I588" s="9" t="inlineStr">
        <is>
          <t>Depth (no MLB IP)</t>
        </is>
      </c>
      <c r="J588" s="17" t="inlineStr">
        <is>
          <t>Opening Day</t>
        </is>
      </c>
      <c r="K588" s="11">
        <f>IFERROR(INDEX(Roles!$B$17:$B$20,MATCH(J588,Roles!$A$17:$A$20,0)),1)</f>
        <v/>
      </c>
      <c r="L588" s="18" t="n">
        <v>1</v>
      </c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3">
        <f>SUMPRODUCT(M588:X588,$M$2:$X$2)*$K588*$L588</f>
        <v/>
      </c>
      <c r="Z588" s="14">
        <f>SUM(M588:X588)</f>
        <v/>
      </c>
      <c r="AA588" s="13">
        <f>SUMPRODUCT(M588:X588,$M$3:$X$3)*$K588*$L588</f>
        <v/>
      </c>
      <c r="AB588" s="13">
        <f>SUMPRODUCT(M588:X588,$M$4:$X$4)*$K588*$L588</f>
        <v/>
      </c>
      <c r="AC588" s="15">
        <f>SUMPRODUCT(M588:X588,$M$5:$X$5)*$K588*$L588</f>
        <v/>
      </c>
      <c r="AD588" s="15">
        <f>SUMPRODUCT(M588:X588,$M$6:$X$6)*$K588*$L588</f>
        <v/>
      </c>
      <c r="AE588" s="19" t="n"/>
    </row>
    <row r="589">
      <c r="A589" s="9" t="n">
        <v>607461</v>
      </c>
      <c r="B589" s="9" t="inlineStr">
        <is>
          <t>Matt Beaty</t>
        </is>
      </c>
      <c r="C589" s="9" t="inlineStr"/>
      <c r="D589" s="9" t="n">
        <v>34</v>
      </c>
      <c r="E589" s="17" t="inlineStr">
        <is>
          <t>R</t>
        </is>
      </c>
      <c r="F589" s="17" t="n"/>
      <c r="G589" s="9" t="n">
        <v>7</v>
      </c>
      <c r="H589" s="9" t="n">
        <v>7</v>
      </c>
      <c r="I589" s="9" t="inlineStr">
        <is>
          <t>Depth (no MLB IP)</t>
        </is>
      </c>
      <c r="J589" s="17" t="inlineStr">
        <is>
          <t>Opening Day</t>
        </is>
      </c>
      <c r="K589" s="11">
        <f>IFERROR(INDEX(Roles!$B$17:$B$20,MATCH(J589,Roles!$A$17:$A$20,0)),1)</f>
        <v/>
      </c>
      <c r="L589" s="18" t="n">
        <v>1</v>
      </c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3">
        <f>SUMPRODUCT(M589:X589,$M$2:$X$2)*$K589*$L589</f>
        <v/>
      </c>
      <c r="Z589" s="14">
        <f>SUM(M589:X589)</f>
        <v/>
      </c>
      <c r="AA589" s="13">
        <f>SUMPRODUCT(M589:X589,$M$3:$X$3)*$K589*$L589</f>
        <v/>
      </c>
      <c r="AB589" s="13">
        <f>SUMPRODUCT(M589:X589,$M$4:$X$4)*$K589*$L589</f>
        <v/>
      </c>
      <c r="AC589" s="15">
        <f>SUMPRODUCT(M589:X589,$M$5:$X$5)*$K589*$L589</f>
        <v/>
      </c>
      <c r="AD589" s="15">
        <f>SUMPRODUCT(M589:X589,$M$6:$X$6)*$K589*$L589</f>
        <v/>
      </c>
      <c r="AE589" s="19" t="n"/>
    </row>
    <row r="590">
      <c r="A590" s="9" t="n">
        <v>701519</v>
      </c>
      <c r="B590" s="9" t="inlineStr">
        <is>
          <t>Travis Adams</t>
        </is>
      </c>
      <c r="C590" s="9" t="inlineStr">
        <is>
          <t>MIN</t>
        </is>
      </c>
      <c r="D590" s="9" t="n">
        <v>27</v>
      </c>
      <c r="E590" s="17" t="inlineStr">
        <is>
          <t>R</t>
        </is>
      </c>
      <c r="F590" s="17" t="n"/>
      <c r="G590" s="9" t="n">
        <v>231</v>
      </c>
      <c r="H590" s="9" t="n">
        <v>389</v>
      </c>
      <c r="I590" s="9" t="inlineStr">
        <is>
          <t>Middle Relief</t>
        </is>
      </c>
      <c r="J590" s="17" t="inlineStr">
        <is>
          <t>Opening Day</t>
        </is>
      </c>
      <c r="K590" s="11">
        <f>IFERROR(INDEX(Roles!$B$17:$B$20,MATCH(J590,Roles!$A$17:$A$20,0)),1)</f>
        <v/>
      </c>
      <c r="L590" s="18" t="n">
        <v>1</v>
      </c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3">
        <f>SUMPRODUCT(M590:X590,$M$2:$X$2)*$K590*$L590</f>
        <v/>
      </c>
      <c r="Z590" s="14">
        <f>SUM(M590:X590)</f>
        <v/>
      </c>
      <c r="AA590" s="13">
        <f>SUMPRODUCT(M590:X590,$M$3:$X$3)*$K590*$L590</f>
        <v/>
      </c>
      <c r="AB590" s="13">
        <f>SUMPRODUCT(M590:X590,$M$4:$X$4)*$K590*$L590</f>
        <v/>
      </c>
      <c r="AC590" s="15">
        <f>SUMPRODUCT(M590:X590,$M$5:$X$5)*$K590*$L590</f>
        <v/>
      </c>
      <c r="AD590" s="15">
        <f>SUMPRODUCT(M590:X590,$M$6:$X$6)*$K590*$L590</f>
        <v/>
      </c>
      <c r="AE590" s="19" t="n"/>
    </row>
    <row r="591">
      <c r="A591" s="9" t="n">
        <v>700187</v>
      </c>
      <c r="B591" s="9" t="inlineStr">
        <is>
          <t>Troy Taylor</t>
        </is>
      </c>
      <c r="C591" s="9" t="inlineStr">
        <is>
          <t>SEA</t>
        </is>
      </c>
      <c r="D591" s="9" t="n">
        <v>25</v>
      </c>
      <c r="E591" s="17" t="inlineStr">
        <is>
          <t>R</t>
        </is>
      </c>
      <c r="F591" s="17" t="n"/>
      <c r="G591" s="9" t="n">
        <v>37</v>
      </c>
      <c r="H591" s="9" t="n">
        <v>118</v>
      </c>
      <c r="I591" s="9" t="inlineStr">
        <is>
          <t>Bullpen Depth Arm</t>
        </is>
      </c>
      <c r="J591" s="17" t="inlineStr">
        <is>
          <t>Opening Day</t>
        </is>
      </c>
      <c r="K591" s="11">
        <f>IFERROR(INDEX(Roles!$B$17:$B$20,MATCH(J591,Roles!$A$17:$A$20,0)),1)</f>
        <v/>
      </c>
      <c r="L591" s="18" t="n">
        <v>1</v>
      </c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3">
        <f>SUMPRODUCT(M591:X591,$M$2:$X$2)*$K591*$L591</f>
        <v/>
      </c>
      <c r="Z591" s="14">
        <f>SUM(M591:X591)</f>
        <v/>
      </c>
      <c r="AA591" s="13">
        <f>SUMPRODUCT(M591:X591,$M$3:$X$3)*$K591*$L591</f>
        <v/>
      </c>
      <c r="AB591" s="13">
        <f>SUMPRODUCT(M591:X591,$M$4:$X$4)*$K591*$L591</f>
        <v/>
      </c>
      <c r="AC591" s="15">
        <f>SUMPRODUCT(M591:X591,$M$5:$X$5)*$K591*$L591</f>
        <v/>
      </c>
      <c r="AD591" s="15">
        <f>SUMPRODUCT(M591:X591,$M$6:$X$6)*$K591*$L591</f>
        <v/>
      </c>
      <c r="AE591" s="19" t="n"/>
    </row>
    <row r="592">
      <c r="A592" s="9" t="n">
        <v>650960</v>
      </c>
      <c r="B592" s="9" t="inlineStr">
        <is>
          <t>Daniel Duarte</t>
        </is>
      </c>
      <c r="C592" s="9" t="inlineStr">
        <is>
          <t>NYM</t>
        </is>
      </c>
      <c r="D592" s="9" t="n">
        <v>30</v>
      </c>
      <c r="E592" s="17" t="inlineStr">
        <is>
          <t>R</t>
        </is>
      </c>
      <c r="F592" s="17" t="n"/>
      <c r="G592" s="9" t="n">
        <v>112</v>
      </c>
      <c r="H592" s="9" t="n">
        <v>277</v>
      </c>
      <c r="I592" s="9" t="inlineStr">
        <is>
          <t>Bullpen Depth Arm</t>
        </is>
      </c>
      <c r="J592" s="17" t="inlineStr">
        <is>
          <t>Opening Day</t>
        </is>
      </c>
      <c r="K592" s="11">
        <f>IFERROR(INDEX(Roles!$B$17:$B$20,MATCH(J592,Roles!$A$17:$A$20,0)),1)</f>
        <v/>
      </c>
      <c r="L592" s="18" t="n">
        <v>1</v>
      </c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3">
        <f>SUMPRODUCT(M592:X592,$M$2:$X$2)*$K592*$L592</f>
        <v/>
      </c>
      <c r="Z592" s="14">
        <f>SUM(M592:X592)</f>
        <v/>
      </c>
      <c r="AA592" s="13">
        <f>SUMPRODUCT(M592:X592,$M$3:$X$3)*$K592*$L592</f>
        <v/>
      </c>
      <c r="AB592" s="13">
        <f>SUMPRODUCT(M592:X592,$M$4:$X$4)*$K592*$L592</f>
        <v/>
      </c>
      <c r="AC592" s="15">
        <f>SUMPRODUCT(M592:X592,$M$5:$X$5)*$K592*$L592</f>
        <v/>
      </c>
      <c r="AD592" s="15">
        <f>SUMPRODUCT(M592:X592,$M$6:$X$6)*$K592*$L592</f>
        <v/>
      </c>
      <c r="AE592" s="19" t="n"/>
    </row>
    <row r="593">
      <c r="A593" s="9" t="n">
        <v>660604</v>
      </c>
      <c r="B593" s="9" t="inlineStr">
        <is>
          <t>Alan Rangel</t>
        </is>
      </c>
      <c r="C593" s="9" t="inlineStr">
        <is>
          <t>PHI</t>
        </is>
      </c>
      <c r="D593" s="9" t="n">
        <v>29</v>
      </c>
      <c r="E593" s="17" t="inlineStr">
        <is>
          <t>R</t>
        </is>
      </c>
      <c r="F593" s="17" t="n"/>
      <c r="G593" s="9" t="n">
        <v>123</v>
      </c>
      <c r="H593" s="9" t="n">
        <v>169</v>
      </c>
      <c r="I593" s="9" t="inlineStr">
        <is>
          <t>Bullpen Depth Arm</t>
        </is>
      </c>
      <c r="J593" s="17" t="inlineStr">
        <is>
          <t>Opening Day</t>
        </is>
      </c>
      <c r="K593" s="11">
        <f>IFERROR(INDEX(Roles!$B$17:$B$20,MATCH(J593,Roles!$A$17:$A$20,0)),1)</f>
        <v/>
      </c>
      <c r="L593" s="18" t="n">
        <v>1</v>
      </c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3">
        <f>SUMPRODUCT(M593:X593,$M$2:$X$2)*$K593*$L593</f>
        <v/>
      </c>
      <c r="Z593" s="14">
        <f>SUM(M593:X593)</f>
        <v/>
      </c>
      <c r="AA593" s="13">
        <f>SUMPRODUCT(M593:X593,$M$3:$X$3)*$K593*$L593</f>
        <v/>
      </c>
      <c r="AB593" s="13">
        <f>SUMPRODUCT(M593:X593,$M$4:$X$4)*$K593*$L593</f>
        <v/>
      </c>
      <c r="AC593" s="15">
        <f>SUMPRODUCT(M593:X593,$M$5:$X$5)*$K593*$L593</f>
        <v/>
      </c>
      <c r="AD593" s="15">
        <f>SUMPRODUCT(M593:X593,$M$6:$X$6)*$K593*$L593</f>
        <v/>
      </c>
      <c r="AE593" s="19" t="n"/>
    </row>
    <row r="594">
      <c r="A594" s="9" t="n">
        <v>641525</v>
      </c>
      <c r="B594" s="9" t="inlineStr">
        <is>
          <t>Brandon Dixon</t>
        </is>
      </c>
      <c r="C594" s="9" t="inlineStr"/>
      <c r="D594" s="9" t="n">
        <v>35</v>
      </c>
      <c r="E594" s="17" t="inlineStr">
        <is>
          <t>R</t>
        </is>
      </c>
      <c r="F594" s="17" t="n"/>
      <c r="G594" s="9" t="n">
        <v>3</v>
      </c>
      <c r="H594" s="9" t="n">
        <v>3</v>
      </c>
      <c r="I594" s="9" t="inlineStr">
        <is>
          <t>Depth (no MLB IP)</t>
        </is>
      </c>
      <c r="J594" s="17" t="inlineStr">
        <is>
          <t>Opening Day</t>
        </is>
      </c>
      <c r="K594" s="11">
        <f>IFERROR(INDEX(Roles!$B$17:$B$20,MATCH(J594,Roles!$A$17:$A$20,0)),1)</f>
        <v/>
      </c>
      <c r="L594" s="18" t="n">
        <v>1</v>
      </c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3">
        <f>SUMPRODUCT(M594:X594,$M$2:$X$2)*$K594*$L594</f>
        <v/>
      </c>
      <c r="Z594" s="14">
        <f>SUM(M594:X594)</f>
        <v/>
      </c>
      <c r="AA594" s="13">
        <f>SUMPRODUCT(M594:X594,$M$3:$X$3)*$K594*$L594</f>
        <v/>
      </c>
      <c r="AB594" s="13">
        <f>SUMPRODUCT(M594:X594,$M$4:$X$4)*$K594*$L594</f>
        <v/>
      </c>
      <c r="AC594" s="15">
        <f>SUMPRODUCT(M594:X594,$M$5:$X$5)*$K594*$L594</f>
        <v/>
      </c>
      <c r="AD594" s="15">
        <f>SUMPRODUCT(M594:X594,$M$6:$X$6)*$K594*$L594</f>
        <v/>
      </c>
      <c r="AE594" s="19" t="n"/>
    </row>
    <row r="595">
      <c r="A595" s="9" t="n">
        <v>518626</v>
      </c>
      <c r="B595" s="9" t="inlineStr">
        <is>
          <t>Josh Donaldson</t>
        </is>
      </c>
      <c r="C595" s="9" t="inlineStr"/>
      <c r="D595" s="9" t="n">
        <v>41</v>
      </c>
      <c r="E595" s="17" t="inlineStr">
        <is>
          <t>R</t>
        </is>
      </c>
      <c r="F595" s="17" t="n"/>
      <c r="G595" s="9" t="n">
        <v>3</v>
      </c>
      <c r="H595" s="9" t="n">
        <v>3</v>
      </c>
      <c r="I595" s="9" t="inlineStr">
        <is>
          <t>Depth (no MLB IP)</t>
        </is>
      </c>
      <c r="J595" s="17" t="inlineStr">
        <is>
          <t>Opening Day</t>
        </is>
      </c>
      <c r="K595" s="11">
        <f>IFERROR(INDEX(Roles!$B$17:$B$20,MATCH(J595,Roles!$A$17:$A$20,0)),1)</f>
        <v/>
      </c>
      <c r="L595" s="18" t="n">
        <v>1</v>
      </c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3">
        <f>SUMPRODUCT(M595:X595,$M$2:$X$2)*$K595*$L595</f>
        <v/>
      </c>
      <c r="Z595" s="14">
        <f>SUM(M595:X595)</f>
        <v/>
      </c>
      <c r="AA595" s="13">
        <f>SUMPRODUCT(M595:X595,$M$3:$X$3)*$K595*$L595</f>
        <v/>
      </c>
      <c r="AB595" s="13">
        <f>SUMPRODUCT(M595:X595,$M$4:$X$4)*$K595*$L595</f>
        <v/>
      </c>
      <c r="AC595" s="15">
        <f>SUMPRODUCT(M595:X595,$M$5:$X$5)*$K595*$L595</f>
        <v/>
      </c>
      <c r="AD595" s="15">
        <f>SUMPRODUCT(M595:X595,$M$6:$X$6)*$K595*$L595</f>
        <v/>
      </c>
      <c r="AE595" s="19" t="n"/>
    </row>
    <row r="596">
      <c r="A596" s="9" t="n">
        <v>681584</v>
      </c>
      <c r="B596" s="9" t="inlineStr">
        <is>
          <t>David Villar</t>
        </is>
      </c>
      <c r="C596" s="9" t="inlineStr"/>
      <c r="D596" s="9" t="n">
        <v>30</v>
      </c>
      <c r="E596" s="17" t="inlineStr">
        <is>
          <t>R</t>
        </is>
      </c>
      <c r="F596" s="17" t="n"/>
      <c r="G596" s="9" t="n">
        <v>3</v>
      </c>
      <c r="H596" s="9" t="n">
        <v>3</v>
      </c>
      <c r="I596" s="9" t="inlineStr">
        <is>
          <t>Depth (no MLB IP)</t>
        </is>
      </c>
      <c r="J596" s="17" t="inlineStr">
        <is>
          <t>Opening Day</t>
        </is>
      </c>
      <c r="K596" s="11">
        <f>IFERROR(INDEX(Roles!$B$17:$B$20,MATCH(J596,Roles!$A$17:$A$20,0)),1)</f>
        <v/>
      </c>
      <c r="L596" s="18" t="n">
        <v>1</v>
      </c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3">
        <f>SUMPRODUCT(M596:X596,$M$2:$X$2)*$K596*$L596</f>
        <v/>
      </c>
      <c r="Z596" s="14">
        <f>SUM(M596:X596)</f>
        <v/>
      </c>
      <c r="AA596" s="13">
        <f>SUMPRODUCT(M596:X596,$M$3:$X$3)*$K596*$L596</f>
        <v/>
      </c>
      <c r="AB596" s="13">
        <f>SUMPRODUCT(M596:X596,$M$4:$X$4)*$K596*$L596</f>
        <v/>
      </c>
      <c r="AC596" s="15">
        <f>SUMPRODUCT(M596:X596,$M$5:$X$5)*$K596*$L596</f>
        <v/>
      </c>
      <c r="AD596" s="15">
        <f>SUMPRODUCT(M596:X596,$M$6:$X$6)*$K596*$L596</f>
        <v/>
      </c>
      <c r="AE596" s="19" t="n"/>
    </row>
    <row r="597">
      <c r="A597" s="9" t="n">
        <v>663971</v>
      </c>
      <c r="B597" s="9" t="inlineStr">
        <is>
          <t>Blair Calvo</t>
        </is>
      </c>
      <c r="C597" s="9" t="inlineStr"/>
      <c r="D597" s="9" t="n">
        <v>31</v>
      </c>
      <c r="E597" s="17" t="inlineStr">
        <is>
          <t>R</t>
        </is>
      </c>
      <c r="F597" s="17" t="n"/>
      <c r="G597" s="9" t="n">
        <v>3</v>
      </c>
      <c r="H597" s="9" t="n">
        <v>3</v>
      </c>
      <c r="I597" s="9" t="inlineStr">
        <is>
          <t>Depth (no MLB IP)</t>
        </is>
      </c>
      <c r="J597" s="17" t="inlineStr">
        <is>
          <t>Opening Day</t>
        </is>
      </c>
      <c r="K597" s="11">
        <f>IFERROR(INDEX(Roles!$B$17:$B$20,MATCH(J597,Roles!$A$17:$A$20,0)),1)</f>
        <v/>
      </c>
      <c r="L597" s="18" t="n">
        <v>1</v>
      </c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3">
        <f>SUMPRODUCT(M597:X597,$M$2:$X$2)*$K597*$L597</f>
        <v/>
      </c>
      <c r="Z597" s="14">
        <f>SUM(M597:X597)</f>
        <v/>
      </c>
      <c r="AA597" s="13">
        <f>SUMPRODUCT(M597:X597,$M$3:$X$3)*$K597*$L597</f>
        <v/>
      </c>
      <c r="AB597" s="13">
        <f>SUMPRODUCT(M597:X597,$M$4:$X$4)*$K597*$L597</f>
        <v/>
      </c>
      <c r="AC597" s="15">
        <f>SUMPRODUCT(M597:X597,$M$5:$X$5)*$K597*$L597</f>
        <v/>
      </c>
      <c r="AD597" s="15">
        <f>SUMPRODUCT(M597:X597,$M$6:$X$6)*$K597*$L597</f>
        <v/>
      </c>
      <c r="AE597" s="19" t="n"/>
    </row>
    <row r="598">
      <c r="A598" s="9" t="n">
        <v>683822</v>
      </c>
      <c r="B598" s="9" t="inlineStr">
        <is>
          <t>Naoyuki Uwasawa</t>
        </is>
      </c>
      <c r="C598" s="9" t="inlineStr"/>
      <c r="D598" s="9" t="n">
        <v>33</v>
      </c>
      <c r="E598" s="17" t="inlineStr">
        <is>
          <t>R</t>
        </is>
      </c>
      <c r="F598" s="17" t="n"/>
      <c r="G598" s="9" t="n">
        <v>16</v>
      </c>
      <c r="H598" s="9" t="n">
        <v>16</v>
      </c>
      <c r="I598" s="9" t="inlineStr">
        <is>
          <t>Depth (no MLB IP)</t>
        </is>
      </c>
      <c r="J598" s="17" t="inlineStr">
        <is>
          <t>Opening Day</t>
        </is>
      </c>
      <c r="K598" s="11">
        <f>IFERROR(INDEX(Roles!$B$17:$B$20,MATCH(J598,Roles!$A$17:$A$20,0)),1)</f>
        <v/>
      </c>
      <c r="L598" s="18" t="n">
        <v>1</v>
      </c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3">
        <f>SUMPRODUCT(M598:X598,$M$2:$X$2)*$K598*$L598</f>
        <v/>
      </c>
      <c r="Z598" s="14">
        <f>SUM(M598:X598)</f>
        <v/>
      </c>
      <c r="AA598" s="13">
        <f>SUMPRODUCT(M598:X598,$M$3:$X$3)*$K598*$L598</f>
        <v/>
      </c>
      <c r="AB598" s="13">
        <f>SUMPRODUCT(M598:X598,$M$4:$X$4)*$K598*$L598</f>
        <v/>
      </c>
      <c r="AC598" s="15">
        <f>SUMPRODUCT(M598:X598,$M$5:$X$5)*$K598*$L598</f>
        <v/>
      </c>
      <c r="AD598" s="15">
        <f>SUMPRODUCT(M598:X598,$M$6:$X$6)*$K598*$L598</f>
        <v/>
      </c>
      <c r="AE598" s="19" t="n"/>
    </row>
    <row r="599">
      <c r="A599" s="9" t="n">
        <v>674681</v>
      </c>
      <c r="B599" s="9" t="inlineStr">
        <is>
          <t>Michael Plassmeyer</t>
        </is>
      </c>
      <c r="C599" s="9" t="inlineStr">
        <is>
          <t>PHI</t>
        </is>
      </c>
      <c r="D599" s="9" t="n">
        <v>30</v>
      </c>
      <c r="E599" s="17" t="inlineStr">
        <is>
          <t>L</t>
        </is>
      </c>
      <c r="F599" s="17" t="n"/>
      <c r="G599" s="9" t="n">
        <v>23</v>
      </c>
      <c r="H599" s="9" t="n">
        <v>52</v>
      </c>
      <c r="I599" s="9" t="inlineStr">
        <is>
          <t>Depth (no MLB IP)</t>
        </is>
      </c>
      <c r="J599" s="17" t="inlineStr">
        <is>
          <t>Opening Day</t>
        </is>
      </c>
      <c r="K599" s="11">
        <f>IFERROR(INDEX(Roles!$B$17:$B$20,MATCH(J599,Roles!$A$17:$A$20,0)),1)</f>
        <v/>
      </c>
      <c r="L599" s="18" t="n">
        <v>1</v>
      </c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3">
        <f>SUMPRODUCT(M599:X599,$M$2:$X$2)*$K599*$L599</f>
        <v/>
      </c>
      <c r="Z599" s="14">
        <f>SUM(M599:X599)</f>
        <v/>
      </c>
      <c r="AA599" s="13">
        <f>SUMPRODUCT(M599:X599,$M$3:$X$3)*$K599*$L599</f>
        <v/>
      </c>
      <c r="AB599" s="13">
        <f>SUMPRODUCT(M599:X599,$M$4:$X$4)*$K599*$L599</f>
        <v/>
      </c>
      <c r="AC599" s="15">
        <f>SUMPRODUCT(M599:X599,$M$5:$X$5)*$K599*$L599</f>
        <v/>
      </c>
      <c r="AD599" s="15">
        <f>SUMPRODUCT(M599:X599,$M$6:$X$6)*$K599*$L599</f>
        <v/>
      </c>
      <c r="AE599" s="19" t="n"/>
    </row>
    <row r="600">
      <c r="A600" s="9" t="n">
        <v>543521</v>
      </c>
      <c r="B600" s="9" t="inlineStr">
        <is>
          <t>Collin McHugh</t>
        </is>
      </c>
      <c r="C600" s="9" t="inlineStr">
        <is>
          <t>ATL</t>
        </is>
      </c>
      <c r="D600" s="9" t="n">
        <v>40</v>
      </c>
      <c r="E600" s="17" t="inlineStr">
        <is>
          <t>R</t>
        </is>
      </c>
      <c r="F600" s="17" t="n"/>
      <c r="G600" s="9" t="n">
        <v>268</v>
      </c>
      <c r="H600" s="9" t="n">
        <v>540</v>
      </c>
      <c r="I600" s="9" t="inlineStr">
        <is>
          <t>Depth (no MLB IP)</t>
        </is>
      </c>
      <c r="J600" s="17" t="inlineStr">
        <is>
          <t>Opening Day</t>
        </is>
      </c>
      <c r="K600" s="11">
        <f>IFERROR(INDEX(Roles!$B$17:$B$20,MATCH(J600,Roles!$A$17:$A$20,0)),1)</f>
        <v/>
      </c>
      <c r="L600" s="18" t="n">
        <v>1</v>
      </c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3">
        <f>SUMPRODUCT(M600:X600,$M$2:$X$2)*$K600*$L600</f>
        <v/>
      </c>
      <c r="Z600" s="14">
        <f>SUM(M600:X600)</f>
        <v/>
      </c>
      <c r="AA600" s="13">
        <f>SUMPRODUCT(M600:X600,$M$3:$X$3)*$K600*$L600</f>
        <v/>
      </c>
      <c r="AB600" s="13">
        <f>SUMPRODUCT(M600:X600,$M$4:$X$4)*$K600*$L600</f>
        <v/>
      </c>
      <c r="AC600" s="15">
        <f>SUMPRODUCT(M600:X600,$M$5:$X$5)*$K600*$L600</f>
        <v/>
      </c>
      <c r="AD600" s="15">
        <f>SUMPRODUCT(M600:X600,$M$6:$X$6)*$K600*$L600</f>
        <v/>
      </c>
      <c r="AE600" s="19" t="n"/>
    </row>
    <row r="601">
      <c r="A601" s="9" t="n">
        <v>656578</v>
      </c>
      <c r="B601" s="9" t="inlineStr">
        <is>
          <t>Andre Jackson</t>
        </is>
      </c>
      <c r="C601" s="9" t="inlineStr">
        <is>
          <t>PIT</t>
        </is>
      </c>
      <c r="D601" s="9" t="n">
        <v>31</v>
      </c>
      <c r="E601" s="17" t="inlineStr">
        <is>
          <t>R</t>
        </is>
      </c>
      <c r="F601" s="17" t="n"/>
      <c r="G601" s="9" t="n">
        <v>257</v>
      </c>
      <c r="H601" s="9" t="n">
        <v>299</v>
      </c>
      <c r="I601" s="9" t="inlineStr">
        <is>
          <t>Depth (no MLB IP)</t>
        </is>
      </c>
      <c r="J601" s="17" t="inlineStr">
        <is>
          <t>Opening Day</t>
        </is>
      </c>
      <c r="K601" s="11">
        <f>IFERROR(INDEX(Roles!$B$17:$B$20,MATCH(J601,Roles!$A$17:$A$20,0)),1)</f>
        <v/>
      </c>
      <c r="L601" s="18" t="n">
        <v>1</v>
      </c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3">
        <f>SUMPRODUCT(M601:X601,$M$2:$X$2)*$K601*$L601</f>
        <v/>
      </c>
      <c r="Z601" s="14">
        <f>SUM(M601:X601)</f>
        <v/>
      </c>
      <c r="AA601" s="13">
        <f>SUMPRODUCT(M601:X601,$M$3:$X$3)*$K601*$L601</f>
        <v/>
      </c>
      <c r="AB601" s="13">
        <f>SUMPRODUCT(M601:X601,$M$4:$X$4)*$K601*$L601</f>
        <v/>
      </c>
      <c r="AC601" s="15">
        <f>SUMPRODUCT(M601:X601,$M$5:$X$5)*$K601*$L601</f>
        <v/>
      </c>
      <c r="AD601" s="15">
        <f>SUMPRODUCT(M601:X601,$M$6:$X$6)*$K601*$L601</f>
        <v/>
      </c>
      <c r="AE601" s="19" t="n"/>
    </row>
    <row r="602">
      <c r="A602" s="9" t="n">
        <v>623474</v>
      </c>
      <c r="B602" s="9" t="inlineStr">
        <is>
          <t>Jimmy Herget</t>
        </is>
      </c>
      <c r="C602" s="9" t="inlineStr">
        <is>
          <t>COL</t>
        </is>
      </c>
      <c r="D602" s="9" t="n">
        <v>33</v>
      </c>
      <c r="E602" s="17" t="inlineStr">
        <is>
          <t>R</t>
        </is>
      </c>
      <c r="F602" s="17" t="n"/>
      <c r="G602" s="9" t="n">
        <v>221</v>
      </c>
      <c r="H602" s="9" t="n">
        <v>1013</v>
      </c>
      <c r="I602" s="9" t="inlineStr">
        <is>
          <t>Late Inning RP (Setup)</t>
        </is>
      </c>
      <c r="J602" s="17" t="inlineStr">
        <is>
          <t>Opening Day</t>
        </is>
      </c>
      <c r="K602" s="11">
        <f>IFERROR(INDEX(Roles!$B$17:$B$20,MATCH(J602,Roles!$A$17:$A$20,0)),1)</f>
        <v/>
      </c>
      <c r="L602" s="18" t="n">
        <v>1</v>
      </c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3">
        <f>SUMPRODUCT(M602:X602,$M$2:$X$2)*$K602*$L602</f>
        <v/>
      </c>
      <c r="Z602" s="14">
        <f>SUM(M602:X602)</f>
        <v/>
      </c>
      <c r="AA602" s="13">
        <f>SUMPRODUCT(M602:X602,$M$3:$X$3)*$K602*$L602</f>
        <v/>
      </c>
      <c r="AB602" s="13">
        <f>SUMPRODUCT(M602:X602,$M$4:$X$4)*$K602*$L602</f>
        <v/>
      </c>
      <c r="AC602" s="15">
        <f>SUMPRODUCT(M602:X602,$M$5:$X$5)*$K602*$L602</f>
        <v/>
      </c>
      <c r="AD602" s="15">
        <f>SUMPRODUCT(M602:X602,$M$6:$X$6)*$K602*$L602</f>
        <v/>
      </c>
      <c r="AE602" s="19" t="n"/>
    </row>
    <row r="603">
      <c r="A603" s="9" t="n">
        <v>694820</v>
      </c>
      <c r="B603" s="9" t="inlineStr">
        <is>
          <t>Braxton Roxby</t>
        </is>
      </c>
      <c r="C603" s="9" t="inlineStr"/>
      <c r="D603" s="9" t="n">
        <v>28</v>
      </c>
      <c r="E603" s="17" t="inlineStr">
        <is>
          <t>R</t>
        </is>
      </c>
      <c r="F603" s="17" t="n"/>
      <c r="G603" s="9" t="n">
        <v>11</v>
      </c>
      <c r="H603" s="9" t="n">
        <v>11</v>
      </c>
      <c r="I603" s="9" t="inlineStr">
        <is>
          <t>Depth (no MLB IP)</t>
        </is>
      </c>
      <c r="J603" s="17" t="inlineStr">
        <is>
          <t>Opening Day</t>
        </is>
      </c>
      <c r="K603" s="11">
        <f>IFERROR(INDEX(Roles!$B$17:$B$20,MATCH(J603,Roles!$A$17:$A$20,0)),1)</f>
        <v/>
      </c>
      <c r="L603" s="18" t="n">
        <v>1</v>
      </c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3">
        <f>SUMPRODUCT(M603:X603,$M$2:$X$2)*$K603*$L603</f>
        <v/>
      </c>
      <c r="Z603" s="14">
        <f>SUM(M603:X603)</f>
        <v/>
      </c>
      <c r="AA603" s="13">
        <f>SUMPRODUCT(M603:X603,$M$3:$X$3)*$K603*$L603</f>
        <v/>
      </c>
      <c r="AB603" s="13">
        <f>SUMPRODUCT(M603:X603,$M$4:$X$4)*$K603*$L603</f>
        <v/>
      </c>
      <c r="AC603" s="15">
        <f>SUMPRODUCT(M603:X603,$M$5:$X$5)*$K603*$L603</f>
        <v/>
      </c>
      <c r="AD603" s="15">
        <f>SUMPRODUCT(M603:X603,$M$6:$X$6)*$K603*$L603</f>
        <v/>
      </c>
      <c r="AE603" s="19" t="n"/>
    </row>
    <row r="604">
      <c r="A604" s="9" t="n">
        <v>675920</v>
      </c>
      <c r="B604" s="9" t="inlineStr">
        <is>
          <t>Seth Lonsway</t>
        </is>
      </c>
      <c r="C604" s="9" t="inlineStr"/>
      <c r="D604" s="9" t="n">
        <v>28</v>
      </c>
      <c r="E604" s="17" t="inlineStr">
        <is>
          <t>L</t>
        </is>
      </c>
      <c r="F604" s="17" t="n"/>
      <c r="G604" s="9" t="n">
        <v>11</v>
      </c>
      <c r="H604" s="9" t="n">
        <v>11</v>
      </c>
      <c r="I604" s="9" t="inlineStr">
        <is>
          <t>Depth (no MLB IP)</t>
        </is>
      </c>
      <c r="J604" s="17" t="inlineStr">
        <is>
          <t>Opening Day</t>
        </is>
      </c>
      <c r="K604" s="11">
        <f>IFERROR(INDEX(Roles!$B$17:$B$20,MATCH(J604,Roles!$A$17:$A$20,0)),1)</f>
        <v/>
      </c>
      <c r="L604" s="18" t="n">
        <v>1</v>
      </c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3">
        <f>SUMPRODUCT(M604:X604,$M$2:$X$2)*$K604*$L604</f>
        <v/>
      </c>
      <c r="Z604" s="14">
        <f>SUM(M604:X604)</f>
        <v/>
      </c>
      <c r="AA604" s="13">
        <f>SUMPRODUCT(M604:X604,$M$3:$X$3)*$K604*$L604</f>
        <v/>
      </c>
      <c r="AB604" s="13">
        <f>SUMPRODUCT(M604:X604,$M$4:$X$4)*$K604*$L604</f>
        <v/>
      </c>
      <c r="AC604" s="15">
        <f>SUMPRODUCT(M604:X604,$M$5:$X$5)*$K604*$L604</f>
        <v/>
      </c>
      <c r="AD604" s="15">
        <f>SUMPRODUCT(M604:X604,$M$6:$X$6)*$K604*$L604</f>
        <v/>
      </c>
      <c r="AE604" s="19" t="n"/>
    </row>
    <row r="605">
      <c r="A605" s="9" t="n">
        <v>700413</v>
      </c>
      <c r="B605" s="9" t="inlineStr">
        <is>
          <t>Tyler Uberstine</t>
        </is>
      </c>
      <c r="C605" s="9" t="inlineStr"/>
      <c r="D605" s="9" t="n">
        <v>28</v>
      </c>
      <c r="E605" s="17" t="inlineStr">
        <is>
          <t>R</t>
        </is>
      </c>
      <c r="F605" s="17" t="n"/>
      <c r="G605" s="9" t="n">
        <v>11</v>
      </c>
      <c r="H605" s="9" t="n">
        <v>11</v>
      </c>
      <c r="I605" s="9" t="inlineStr">
        <is>
          <t>Depth (no MLB IP)</t>
        </is>
      </c>
      <c r="J605" s="17" t="inlineStr">
        <is>
          <t>Opening Day</t>
        </is>
      </c>
      <c r="K605" s="11">
        <f>IFERROR(INDEX(Roles!$B$17:$B$20,MATCH(J605,Roles!$A$17:$A$20,0)),1)</f>
        <v/>
      </c>
      <c r="L605" s="18" t="n">
        <v>1</v>
      </c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3">
        <f>SUMPRODUCT(M605:X605,$M$2:$X$2)*$K605*$L605</f>
        <v/>
      </c>
      <c r="Z605" s="14">
        <f>SUM(M605:X605)</f>
        <v/>
      </c>
      <c r="AA605" s="13">
        <f>SUMPRODUCT(M605:X605,$M$3:$X$3)*$K605*$L605</f>
        <v/>
      </c>
      <c r="AB605" s="13">
        <f>SUMPRODUCT(M605:X605,$M$4:$X$4)*$K605*$L605</f>
        <v/>
      </c>
      <c r="AC605" s="15">
        <f>SUMPRODUCT(M605:X605,$M$5:$X$5)*$K605*$L605</f>
        <v/>
      </c>
      <c r="AD605" s="15">
        <f>SUMPRODUCT(M605:X605,$M$6:$X$6)*$K605*$L605</f>
        <v/>
      </c>
      <c r="AE605" s="19" t="n"/>
    </row>
    <row r="606">
      <c r="A606" s="9" t="n">
        <v>688692</v>
      </c>
      <c r="B606" s="9" t="inlineStr">
        <is>
          <t>Jared Simpson</t>
        </is>
      </c>
      <c r="C606" s="9" t="inlineStr"/>
      <c r="D606" s="9" t="n">
        <v>27</v>
      </c>
      <c r="E606" s="17" t="inlineStr">
        <is>
          <t>L</t>
        </is>
      </c>
      <c r="F606" s="17" t="n"/>
      <c r="G606" s="9" t="n">
        <v>20</v>
      </c>
      <c r="H606" s="9" t="n">
        <v>20</v>
      </c>
      <c r="I606" s="9" t="inlineStr">
        <is>
          <t>Depth (no MLB IP)</t>
        </is>
      </c>
      <c r="J606" s="17" t="inlineStr">
        <is>
          <t>Opening Day</t>
        </is>
      </c>
      <c r="K606" s="11">
        <f>IFERROR(INDEX(Roles!$B$17:$B$20,MATCH(J606,Roles!$A$17:$A$20,0)),1)</f>
        <v/>
      </c>
      <c r="L606" s="18" t="n">
        <v>1</v>
      </c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3">
        <f>SUMPRODUCT(M606:X606,$M$2:$X$2)*$K606*$L606</f>
        <v/>
      </c>
      <c r="Z606" s="14">
        <f>SUM(M606:X606)</f>
        <v/>
      </c>
      <c r="AA606" s="13">
        <f>SUMPRODUCT(M606:X606,$M$3:$X$3)*$K606*$L606</f>
        <v/>
      </c>
      <c r="AB606" s="13">
        <f>SUMPRODUCT(M606:X606,$M$4:$X$4)*$K606*$L606</f>
        <v/>
      </c>
      <c r="AC606" s="15">
        <f>SUMPRODUCT(M606:X606,$M$5:$X$5)*$K606*$L606</f>
        <v/>
      </c>
      <c r="AD606" s="15">
        <f>SUMPRODUCT(M606:X606,$M$6:$X$6)*$K606*$L606</f>
        <v/>
      </c>
      <c r="AE606" s="19" t="n"/>
    </row>
    <row r="607">
      <c r="A607" s="9" t="n">
        <v>669372</v>
      </c>
      <c r="B607" s="9" t="inlineStr">
        <is>
          <t>J.T. Ginn</t>
        </is>
      </c>
      <c r="C607" s="9" t="inlineStr">
        <is>
          <t>OAK</t>
        </is>
      </c>
      <c r="D607" s="9" t="n">
        <v>28</v>
      </c>
      <c r="E607" s="17" t="inlineStr">
        <is>
          <t>R</t>
        </is>
      </c>
      <c r="F607" s="17" t="n"/>
      <c r="G607" s="9" t="n">
        <v>580</v>
      </c>
      <c r="H607" s="9" t="n">
        <v>1114</v>
      </c>
      <c r="I607" s="9" t="inlineStr">
        <is>
          <t>End-of-Rotation Starter (SP4-5)</t>
        </is>
      </c>
      <c r="J607" s="17" t="inlineStr">
        <is>
          <t>Opening Day</t>
        </is>
      </c>
      <c r="K607" s="11">
        <f>IFERROR(INDEX(Roles!$B$17:$B$20,MATCH(J607,Roles!$A$17:$A$20,0)),1)</f>
        <v/>
      </c>
      <c r="L607" s="18" t="n">
        <v>1</v>
      </c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3">
        <f>SUMPRODUCT(M607:X607,$M$2:$X$2)*$K607*$L607</f>
        <v/>
      </c>
      <c r="Z607" s="14">
        <f>SUM(M607:X607)</f>
        <v/>
      </c>
      <c r="AA607" s="13">
        <f>SUMPRODUCT(M607:X607,$M$3:$X$3)*$K607*$L607</f>
        <v/>
      </c>
      <c r="AB607" s="13">
        <f>SUMPRODUCT(M607:X607,$M$4:$X$4)*$K607*$L607</f>
        <v/>
      </c>
      <c r="AC607" s="15">
        <f>SUMPRODUCT(M607:X607,$M$5:$X$5)*$K607*$L607</f>
        <v/>
      </c>
      <c r="AD607" s="15">
        <f>SUMPRODUCT(M607:X607,$M$6:$X$6)*$K607*$L607</f>
        <v/>
      </c>
      <c r="AE607" s="19" t="n"/>
    </row>
    <row r="608">
      <c r="A608" s="9" t="n">
        <v>686249</v>
      </c>
      <c r="B608" s="9" t="inlineStr">
        <is>
          <t>Nathan Wiles</t>
        </is>
      </c>
      <c r="C608" s="9" t="inlineStr"/>
      <c r="D608" s="9" t="n">
        <v>28</v>
      </c>
      <c r="E608" s="17" t="inlineStr">
        <is>
          <t>R</t>
        </is>
      </c>
      <c r="F608" s="17" t="n"/>
      <c r="G608" s="9" t="n">
        <v>7</v>
      </c>
      <c r="H608" s="9" t="n">
        <v>7</v>
      </c>
      <c r="I608" s="9" t="inlineStr">
        <is>
          <t>Depth (no MLB IP)</t>
        </is>
      </c>
      <c r="J608" s="17" t="inlineStr">
        <is>
          <t>Opening Day</t>
        </is>
      </c>
      <c r="K608" s="11">
        <f>IFERROR(INDEX(Roles!$B$17:$B$20,MATCH(J608,Roles!$A$17:$A$20,0)),1)</f>
        <v/>
      </c>
      <c r="L608" s="18" t="n">
        <v>1</v>
      </c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3">
        <f>SUMPRODUCT(M608:X608,$M$2:$X$2)*$K608*$L608</f>
        <v/>
      </c>
      <c r="Z608" s="14">
        <f>SUM(M608:X608)</f>
        <v/>
      </c>
      <c r="AA608" s="13">
        <f>SUMPRODUCT(M608:X608,$M$3:$X$3)*$K608*$L608</f>
        <v/>
      </c>
      <c r="AB608" s="13">
        <f>SUMPRODUCT(M608:X608,$M$4:$X$4)*$K608*$L608</f>
        <v/>
      </c>
      <c r="AC608" s="15">
        <f>SUMPRODUCT(M608:X608,$M$5:$X$5)*$K608*$L608</f>
        <v/>
      </c>
      <c r="AD608" s="15">
        <f>SUMPRODUCT(M608:X608,$M$6:$X$6)*$K608*$L608</f>
        <v/>
      </c>
      <c r="AE608" s="19" t="n"/>
    </row>
    <row r="609">
      <c r="A609" s="9" t="n">
        <v>600986</v>
      </c>
      <c r="B609" s="9" t="inlineStr">
        <is>
          <t>Thyago Vieira</t>
        </is>
      </c>
      <c r="C609" s="9" t="inlineStr">
        <is>
          <t>ARI</t>
        </is>
      </c>
      <c r="D609" s="9" t="n">
        <v>34</v>
      </c>
      <c r="E609" s="17" t="inlineStr">
        <is>
          <t>R</t>
        </is>
      </c>
      <c r="F609" s="17" t="n"/>
      <c r="G609" s="9" t="n">
        <v>177</v>
      </c>
      <c r="H609" s="9" t="n">
        <v>187</v>
      </c>
      <c r="I609" s="9" t="inlineStr">
        <is>
          <t>Depth (no MLB IP)</t>
        </is>
      </c>
      <c r="J609" s="17" t="inlineStr">
        <is>
          <t>Opening Day</t>
        </is>
      </c>
      <c r="K609" s="11">
        <f>IFERROR(INDEX(Roles!$B$17:$B$20,MATCH(J609,Roles!$A$17:$A$20,0)),1)</f>
        <v/>
      </c>
      <c r="L609" s="18" t="n">
        <v>1</v>
      </c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3">
        <f>SUMPRODUCT(M609:X609,$M$2:$X$2)*$K609*$L609</f>
        <v/>
      </c>
      <c r="Z609" s="14">
        <f>SUM(M609:X609)</f>
        <v/>
      </c>
      <c r="AA609" s="13">
        <f>SUMPRODUCT(M609:X609,$M$3:$X$3)*$K609*$L609</f>
        <v/>
      </c>
      <c r="AB609" s="13">
        <f>SUMPRODUCT(M609:X609,$M$4:$X$4)*$K609*$L609</f>
        <v/>
      </c>
      <c r="AC609" s="15">
        <f>SUMPRODUCT(M609:X609,$M$5:$X$5)*$K609*$L609</f>
        <v/>
      </c>
      <c r="AD609" s="15">
        <f>SUMPRODUCT(M609:X609,$M$6:$X$6)*$K609*$L609</f>
        <v/>
      </c>
      <c r="AE609" s="19" t="n"/>
    </row>
    <row r="610">
      <c r="A610" s="9" t="n">
        <v>689149</v>
      </c>
      <c r="B610" s="9" t="inlineStr">
        <is>
          <t>Chad Dallas</t>
        </is>
      </c>
      <c r="C610" s="9" t="inlineStr">
        <is>
          <t>TOR</t>
        </is>
      </c>
      <c r="D610" s="9" t="n">
        <v>27</v>
      </c>
      <c r="E610" s="17" t="inlineStr">
        <is>
          <t>R</t>
        </is>
      </c>
      <c r="F610" s="17" t="n"/>
      <c r="G610" s="9" t="n">
        <v>47</v>
      </c>
      <c r="H610" s="9" t="n">
        <v>47</v>
      </c>
      <c r="I610" s="9" t="inlineStr">
        <is>
          <t>Bullpen Depth Arm</t>
        </is>
      </c>
      <c r="J610" s="17" t="inlineStr">
        <is>
          <t>Opening Day</t>
        </is>
      </c>
      <c r="K610" s="11">
        <f>IFERROR(INDEX(Roles!$B$17:$B$20,MATCH(J610,Roles!$A$17:$A$20,0)),1)</f>
        <v/>
      </c>
      <c r="L610" s="18" t="n">
        <v>1</v>
      </c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3">
        <f>SUMPRODUCT(M610:X610,$M$2:$X$2)*$K610*$L610</f>
        <v/>
      </c>
      <c r="Z610" s="14">
        <f>SUM(M610:X610)</f>
        <v/>
      </c>
      <c r="AA610" s="13">
        <f>SUMPRODUCT(M610:X610,$M$3:$X$3)*$K610*$L610</f>
        <v/>
      </c>
      <c r="AB610" s="13">
        <f>SUMPRODUCT(M610:X610,$M$4:$X$4)*$K610*$L610</f>
        <v/>
      </c>
      <c r="AC610" s="15">
        <f>SUMPRODUCT(M610:X610,$M$5:$X$5)*$K610*$L610</f>
        <v/>
      </c>
      <c r="AD610" s="15">
        <f>SUMPRODUCT(M610:X610,$M$6:$X$6)*$K610*$L610</f>
        <v/>
      </c>
      <c r="AE610" s="19" t="n"/>
    </row>
    <row r="611">
      <c r="A611" s="9" t="n">
        <v>680983</v>
      </c>
      <c r="B611" s="9" t="inlineStr">
        <is>
          <t>Kelvin Cáceres</t>
        </is>
      </c>
      <c r="C611" s="9" t="inlineStr"/>
      <c r="D611" s="9" t="n">
        <v>27</v>
      </c>
      <c r="E611" s="17" t="inlineStr">
        <is>
          <t>R</t>
        </is>
      </c>
      <c r="F611" s="17" t="n"/>
      <c r="G611" s="9" t="n">
        <v>8</v>
      </c>
      <c r="H611" s="9" t="n">
        <v>8</v>
      </c>
      <c r="I611" s="9" t="inlineStr">
        <is>
          <t>Depth (no MLB IP)</t>
        </is>
      </c>
      <c r="J611" s="17" t="inlineStr">
        <is>
          <t>Opening Day</t>
        </is>
      </c>
      <c r="K611" s="11">
        <f>IFERROR(INDEX(Roles!$B$17:$B$20,MATCH(J611,Roles!$A$17:$A$20,0)),1)</f>
        <v/>
      </c>
      <c r="L611" s="18" t="n">
        <v>1</v>
      </c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3">
        <f>SUMPRODUCT(M611:X611,$M$2:$X$2)*$K611*$L611</f>
        <v/>
      </c>
      <c r="Z611" s="14">
        <f>SUM(M611:X611)</f>
        <v/>
      </c>
      <c r="AA611" s="13">
        <f>SUMPRODUCT(M611:X611,$M$3:$X$3)*$K611*$L611</f>
        <v/>
      </c>
      <c r="AB611" s="13">
        <f>SUMPRODUCT(M611:X611,$M$4:$X$4)*$K611*$L611</f>
        <v/>
      </c>
      <c r="AC611" s="15">
        <f>SUMPRODUCT(M611:X611,$M$5:$X$5)*$K611*$L611</f>
        <v/>
      </c>
      <c r="AD611" s="15">
        <f>SUMPRODUCT(M611:X611,$M$6:$X$6)*$K611*$L611</f>
        <v/>
      </c>
      <c r="AE611" s="19" t="n"/>
    </row>
    <row r="612">
      <c r="A612" s="9" t="n">
        <v>673965</v>
      </c>
      <c r="B612" s="9" t="inlineStr">
        <is>
          <t>Caleb Freeman</t>
        </is>
      </c>
      <c r="C612" s="9" t="inlineStr"/>
      <c r="D612" s="9" t="n">
        <v>29</v>
      </c>
      <c r="E612" s="17" t="inlineStr">
        <is>
          <t>R</t>
        </is>
      </c>
      <c r="F612" s="17" t="n"/>
      <c r="G612" s="9" t="n">
        <v>16</v>
      </c>
      <c r="H612" s="9" t="n">
        <v>16</v>
      </c>
      <c r="I612" s="9" t="inlineStr">
        <is>
          <t>Depth (no MLB IP)</t>
        </is>
      </c>
      <c r="J612" s="17" t="inlineStr">
        <is>
          <t>Opening Day</t>
        </is>
      </c>
      <c r="K612" s="11">
        <f>IFERROR(INDEX(Roles!$B$17:$B$20,MATCH(J612,Roles!$A$17:$A$20,0)),1)</f>
        <v/>
      </c>
      <c r="L612" s="18" t="n">
        <v>1</v>
      </c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3">
        <f>SUMPRODUCT(M612:X612,$M$2:$X$2)*$K612*$L612</f>
        <v/>
      </c>
      <c r="Z612" s="14">
        <f>SUM(M612:X612)</f>
        <v/>
      </c>
      <c r="AA612" s="13">
        <f>SUMPRODUCT(M612:X612,$M$3:$X$3)*$K612*$L612</f>
        <v/>
      </c>
      <c r="AB612" s="13">
        <f>SUMPRODUCT(M612:X612,$M$4:$X$4)*$K612*$L612</f>
        <v/>
      </c>
      <c r="AC612" s="15">
        <f>SUMPRODUCT(M612:X612,$M$5:$X$5)*$K612*$L612</f>
        <v/>
      </c>
      <c r="AD612" s="15">
        <f>SUMPRODUCT(M612:X612,$M$6:$X$6)*$K612*$L612</f>
        <v/>
      </c>
      <c r="AE612" s="19" t="n"/>
    </row>
    <row r="613">
      <c r="A613" s="9" t="n">
        <v>666197</v>
      </c>
      <c r="B613" s="9" t="inlineStr">
        <is>
          <t>Grae Kessinger</t>
        </is>
      </c>
      <c r="C613" s="9" t="inlineStr"/>
      <c r="D613" s="9" t="n">
        <v>29</v>
      </c>
      <c r="E613" s="17" t="inlineStr">
        <is>
          <t>R</t>
        </is>
      </c>
      <c r="F613" s="17" t="n"/>
      <c r="G613" s="9" t="n">
        <v>3</v>
      </c>
      <c r="H613" s="9" t="n">
        <v>3</v>
      </c>
      <c r="I613" s="9" t="inlineStr">
        <is>
          <t>Depth (no MLB IP)</t>
        </is>
      </c>
      <c r="J613" s="17" t="inlineStr">
        <is>
          <t>Opening Day</t>
        </is>
      </c>
      <c r="K613" s="11">
        <f>IFERROR(INDEX(Roles!$B$17:$B$20,MATCH(J613,Roles!$A$17:$A$20,0)),1)</f>
        <v/>
      </c>
      <c r="L613" s="18" t="n">
        <v>1</v>
      </c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3">
        <f>SUMPRODUCT(M613:X613,$M$2:$X$2)*$K613*$L613</f>
        <v/>
      </c>
      <c r="Z613" s="14">
        <f>SUM(M613:X613)</f>
        <v/>
      </c>
      <c r="AA613" s="13">
        <f>SUMPRODUCT(M613:X613,$M$3:$X$3)*$K613*$L613</f>
        <v/>
      </c>
      <c r="AB613" s="13">
        <f>SUMPRODUCT(M613:X613,$M$4:$X$4)*$K613*$L613</f>
        <v/>
      </c>
      <c r="AC613" s="15">
        <f>SUMPRODUCT(M613:X613,$M$5:$X$5)*$K613*$L613</f>
        <v/>
      </c>
      <c r="AD613" s="15">
        <f>SUMPRODUCT(M613:X613,$M$6:$X$6)*$K613*$L613</f>
        <v/>
      </c>
      <c r="AE613" s="19" t="n"/>
    </row>
    <row r="614">
      <c r="A614" s="9" t="n">
        <v>679845</v>
      </c>
      <c r="B614" s="9" t="inlineStr">
        <is>
          <t>Nick Loftin</t>
        </is>
      </c>
      <c r="C614" s="9" t="inlineStr"/>
      <c r="D614" s="9" t="n">
        <v>28</v>
      </c>
      <c r="E614" s="17" t="inlineStr">
        <is>
          <t>R</t>
        </is>
      </c>
      <c r="F614" s="17" t="n"/>
      <c r="G614" s="9" t="n">
        <v>3</v>
      </c>
      <c r="H614" s="9" t="n">
        <v>3</v>
      </c>
      <c r="I614" s="9" t="inlineStr">
        <is>
          <t>Depth (no MLB IP)</t>
        </is>
      </c>
      <c r="J614" s="17" t="inlineStr">
        <is>
          <t>Opening Day</t>
        </is>
      </c>
      <c r="K614" s="11">
        <f>IFERROR(INDEX(Roles!$B$17:$B$20,MATCH(J614,Roles!$A$17:$A$20,0)),1)</f>
        <v/>
      </c>
      <c r="L614" s="18" t="n">
        <v>1</v>
      </c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3">
        <f>SUMPRODUCT(M614:X614,$M$2:$X$2)*$K614*$L614</f>
        <v/>
      </c>
      <c r="Z614" s="14">
        <f>SUM(M614:X614)</f>
        <v/>
      </c>
      <c r="AA614" s="13">
        <f>SUMPRODUCT(M614:X614,$M$3:$X$3)*$K614*$L614</f>
        <v/>
      </c>
      <c r="AB614" s="13">
        <f>SUMPRODUCT(M614:X614,$M$4:$X$4)*$K614*$L614</f>
        <v/>
      </c>
      <c r="AC614" s="15">
        <f>SUMPRODUCT(M614:X614,$M$5:$X$5)*$K614*$L614</f>
        <v/>
      </c>
      <c r="AD614" s="15">
        <f>SUMPRODUCT(M614:X614,$M$6:$X$6)*$K614*$L614</f>
        <v/>
      </c>
      <c r="AE614" s="19" t="n"/>
    </row>
    <row r="615">
      <c r="A615" s="9" t="n">
        <v>621550</v>
      </c>
      <c r="B615" s="9" t="inlineStr">
        <is>
          <t>Patrick Wisdom</t>
        </is>
      </c>
      <c r="C615" s="9" t="inlineStr"/>
      <c r="D615" s="9" t="n">
        <v>35</v>
      </c>
      <c r="E615" s="17" t="inlineStr">
        <is>
          <t>R</t>
        </is>
      </c>
      <c r="F615" s="17" t="n"/>
      <c r="G615" s="9" t="n">
        <v>3</v>
      </c>
      <c r="H615" s="9" t="n">
        <v>3</v>
      </c>
      <c r="I615" s="9" t="inlineStr">
        <is>
          <t>Depth (no MLB IP)</t>
        </is>
      </c>
      <c r="J615" s="17" t="inlineStr">
        <is>
          <t>Opening Day</t>
        </is>
      </c>
      <c r="K615" s="11">
        <f>IFERROR(INDEX(Roles!$B$17:$B$20,MATCH(J615,Roles!$A$17:$A$20,0)),1)</f>
        <v/>
      </c>
      <c r="L615" s="18" t="n">
        <v>1</v>
      </c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3">
        <f>SUMPRODUCT(M615:X615,$M$2:$X$2)*$K615*$L615</f>
        <v/>
      </c>
      <c r="Z615" s="14">
        <f>SUM(M615:X615)</f>
        <v/>
      </c>
      <c r="AA615" s="13">
        <f>SUMPRODUCT(M615:X615,$M$3:$X$3)*$K615*$L615</f>
        <v/>
      </c>
      <c r="AB615" s="13">
        <f>SUMPRODUCT(M615:X615,$M$4:$X$4)*$K615*$L615</f>
        <v/>
      </c>
      <c r="AC615" s="15">
        <f>SUMPRODUCT(M615:X615,$M$5:$X$5)*$K615*$L615</f>
        <v/>
      </c>
      <c r="AD615" s="15">
        <f>SUMPRODUCT(M615:X615,$M$6:$X$6)*$K615*$L615</f>
        <v/>
      </c>
      <c r="AE615" s="19" t="n"/>
    </row>
    <row r="616">
      <c r="A616" s="9" t="n">
        <v>665828</v>
      </c>
      <c r="B616" s="9" t="inlineStr">
        <is>
          <t>Oswaldo Cabrera</t>
        </is>
      </c>
      <c r="C616" s="9" t="inlineStr"/>
      <c r="D616" s="9" t="n">
        <v>28</v>
      </c>
      <c r="E616" s="17" t="inlineStr">
        <is>
          <t>R</t>
        </is>
      </c>
      <c r="F616" s="17" t="n"/>
      <c r="G616" s="9" t="n">
        <v>3</v>
      </c>
      <c r="H616" s="9" t="n">
        <v>3</v>
      </c>
      <c r="I616" s="9" t="inlineStr">
        <is>
          <t>Depth (no MLB IP)</t>
        </is>
      </c>
      <c r="J616" s="17" t="inlineStr">
        <is>
          <t>Opening Day</t>
        </is>
      </c>
      <c r="K616" s="11">
        <f>IFERROR(INDEX(Roles!$B$17:$B$20,MATCH(J616,Roles!$A$17:$A$20,0)),1)</f>
        <v/>
      </c>
      <c r="L616" s="18" t="n">
        <v>1</v>
      </c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3">
        <f>SUMPRODUCT(M616:X616,$M$2:$X$2)*$K616*$L616</f>
        <v/>
      </c>
      <c r="Z616" s="14">
        <f>SUM(M616:X616)</f>
        <v/>
      </c>
      <c r="AA616" s="13">
        <f>SUMPRODUCT(M616:X616,$M$3:$X$3)*$K616*$L616</f>
        <v/>
      </c>
      <c r="AB616" s="13">
        <f>SUMPRODUCT(M616:X616,$M$4:$X$4)*$K616*$L616</f>
        <v/>
      </c>
      <c r="AC616" s="15">
        <f>SUMPRODUCT(M616:X616,$M$5:$X$5)*$K616*$L616</f>
        <v/>
      </c>
      <c r="AD616" s="15">
        <f>SUMPRODUCT(M616:X616,$M$6:$X$6)*$K616*$L616</f>
        <v/>
      </c>
      <c r="AE616" s="19" t="n"/>
    </row>
    <row r="617">
      <c r="A617" s="9" t="n">
        <v>680572</v>
      </c>
      <c r="B617" s="9" t="inlineStr">
        <is>
          <t>Adam Kloffenstein</t>
        </is>
      </c>
      <c r="C617" s="9" t="inlineStr"/>
      <c r="D617" s="9" t="n">
        <v>26</v>
      </c>
      <c r="E617" s="17" t="inlineStr">
        <is>
          <t>R</t>
        </is>
      </c>
      <c r="F617" s="17" t="n"/>
      <c r="G617" s="9" t="n">
        <v>3</v>
      </c>
      <c r="H617" s="9" t="n">
        <v>3</v>
      </c>
      <c r="I617" s="9" t="inlineStr">
        <is>
          <t>Depth (no MLB IP)</t>
        </is>
      </c>
      <c r="J617" s="17" t="inlineStr">
        <is>
          <t>Opening Day</t>
        </is>
      </c>
      <c r="K617" s="11">
        <f>IFERROR(INDEX(Roles!$B$17:$B$20,MATCH(J617,Roles!$A$17:$A$20,0)),1)</f>
        <v/>
      </c>
      <c r="L617" s="18" t="n">
        <v>1</v>
      </c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3">
        <f>SUMPRODUCT(M617:X617,$M$2:$X$2)*$K617*$L617</f>
        <v/>
      </c>
      <c r="Z617" s="14">
        <f>SUM(M617:X617)</f>
        <v/>
      </c>
      <c r="AA617" s="13">
        <f>SUMPRODUCT(M617:X617,$M$3:$X$3)*$K617*$L617</f>
        <v/>
      </c>
      <c r="AB617" s="13">
        <f>SUMPRODUCT(M617:X617,$M$4:$X$4)*$K617*$L617</f>
        <v/>
      </c>
      <c r="AC617" s="15">
        <f>SUMPRODUCT(M617:X617,$M$5:$X$5)*$K617*$L617</f>
        <v/>
      </c>
      <c r="AD617" s="15">
        <f>SUMPRODUCT(M617:X617,$M$6:$X$6)*$K617*$L617</f>
        <v/>
      </c>
      <c r="AE617" s="19" t="n"/>
    </row>
    <row r="618">
      <c r="A618" s="9" t="n">
        <v>681806</v>
      </c>
      <c r="B618" s="9" t="inlineStr">
        <is>
          <t>Andrew Wantz</t>
        </is>
      </c>
      <c r="C618" s="9" t="inlineStr">
        <is>
          <t>LAA</t>
        </is>
      </c>
      <c r="D618" s="9" t="n">
        <v>31</v>
      </c>
      <c r="E618" s="17" t="inlineStr">
        <is>
          <t>R</t>
        </is>
      </c>
      <c r="F618" s="17" t="n"/>
      <c r="G618" s="9" t="n">
        <v>20</v>
      </c>
      <c r="H618" s="9" t="n">
        <v>390</v>
      </c>
      <c r="I618" s="9" t="inlineStr">
        <is>
          <t>Depth (no MLB IP)</t>
        </is>
      </c>
      <c r="J618" s="17" t="inlineStr">
        <is>
          <t>Opening Day</t>
        </is>
      </c>
      <c r="K618" s="11">
        <f>IFERROR(INDEX(Roles!$B$17:$B$20,MATCH(J618,Roles!$A$17:$A$20,0)),1)</f>
        <v/>
      </c>
      <c r="L618" s="18" t="n">
        <v>1</v>
      </c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3">
        <f>SUMPRODUCT(M618:X618,$M$2:$X$2)*$K618*$L618</f>
        <v/>
      </c>
      <c r="Z618" s="14">
        <f>SUM(M618:X618)</f>
        <v/>
      </c>
      <c r="AA618" s="13">
        <f>SUMPRODUCT(M618:X618,$M$3:$X$3)*$K618*$L618</f>
        <v/>
      </c>
      <c r="AB618" s="13">
        <f>SUMPRODUCT(M618:X618,$M$4:$X$4)*$K618*$L618</f>
        <v/>
      </c>
      <c r="AC618" s="15">
        <f>SUMPRODUCT(M618:X618,$M$5:$X$5)*$K618*$L618</f>
        <v/>
      </c>
      <c r="AD618" s="15">
        <f>SUMPRODUCT(M618:X618,$M$6:$X$6)*$K618*$L618</f>
        <v/>
      </c>
      <c r="AE618" s="19" t="n"/>
    </row>
    <row r="619">
      <c r="A619" s="9" t="n">
        <v>683568</v>
      </c>
      <c r="B619" s="9" t="inlineStr">
        <is>
          <t>Jairo Iriarte</t>
        </is>
      </c>
      <c r="C619" s="9" t="inlineStr">
        <is>
          <t>CWS</t>
        </is>
      </c>
      <c r="D619" s="9" t="n">
        <v>25</v>
      </c>
      <c r="E619" s="17" t="inlineStr">
        <is>
          <t>R</t>
        </is>
      </c>
      <c r="F619" s="17" t="n"/>
      <c r="G619" s="9" t="n">
        <v>30</v>
      </c>
      <c r="H619" s="9" t="n">
        <v>30</v>
      </c>
      <c r="I619" s="9" t="inlineStr">
        <is>
          <t>Depth (no MLB IP)</t>
        </is>
      </c>
      <c r="J619" s="17" t="inlineStr">
        <is>
          <t>Opening Day</t>
        </is>
      </c>
      <c r="K619" s="11">
        <f>IFERROR(INDEX(Roles!$B$17:$B$20,MATCH(J619,Roles!$A$17:$A$20,0)),1)</f>
        <v/>
      </c>
      <c r="L619" s="18" t="n">
        <v>1</v>
      </c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3">
        <f>SUMPRODUCT(M619:X619,$M$2:$X$2)*$K619*$L619</f>
        <v/>
      </c>
      <c r="Z619" s="14">
        <f>SUM(M619:X619)</f>
        <v/>
      </c>
      <c r="AA619" s="13">
        <f>SUMPRODUCT(M619:X619,$M$3:$X$3)*$K619*$L619</f>
        <v/>
      </c>
      <c r="AB619" s="13">
        <f>SUMPRODUCT(M619:X619,$M$4:$X$4)*$K619*$L619</f>
        <v/>
      </c>
      <c r="AC619" s="15">
        <f>SUMPRODUCT(M619:X619,$M$5:$X$5)*$K619*$L619</f>
        <v/>
      </c>
      <c r="AD619" s="15">
        <f>SUMPRODUCT(M619:X619,$M$6:$X$6)*$K619*$L619</f>
        <v/>
      </c>
      <c r="AE619" s="19" t="n"/>
    </row>
    <row r="620">
      <c r="A620" s="9" t="n">
        <v>685801</v>
      </c>
      <c r="B620" s="9" t="inlineStr">
        <is>
          <t>Hunter Bigge</t>
        </is>
      </c>
      <c r="C620" s="9" t="inlineStr">
        <is>
          <t>TB</t>
        </is>
      </c>
      <c r="D620" s="9" t="n">
        <v>29</v>
      </c>
      <c r="E620" s="17" t="inlineStr">
        <is>
          <t>R</t>
        </is>
      </c>
      <c r="F620" s="17" t="n"/>
      <c r="G620" s="9" t="n">
        <v>85</v>
      </c>
      <c r="H620" s="9" t="n">
        <v>218</v>
      </c>
      <c r="I620" s="9" t="inlineStr">
        <is>
          <t>Bullpen Depth Arm</t>
        </is>
      </c>
      <c r="J620" s="17" t="inlineStr">
        <is>
          <t>Opening Day</t>
        </is>
      </c>
      <c r="K620" s="11">
        <f>IFERROR(INDEX(Roles!$B$17:$B$20,MATCH(J620,Roles!$A$17:$A$20,0)),1)</f>
        <v/>
      </c>
      <c r="L620" s="18" t="n">
        <v>1</v>
      </c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3">
        <f>SUMPRODUCT(M620:X620,$M$2:$X$2)*$K620*$L620</f>
        <v/>
      </c>
      <c r="Z620" s="14">
        <f>SUM(M620:X620)</f>
        <v/>
      </c>
      <c r="AA620" s="13">
        <f>SUMPRODUCT(M620:X620,$M$3:$X$3)*$K620*$L620</f>
        <v/>
      </c>
      <c r="AB620" s="13">
        <f>SUMPRODUCT(M620:X620,$M$4:$X$4)*$K620*$L620</f>
        <v/>
      </c>
      <c r="AC620" s="15">
        <f>SUMPRODUCT(M620:X620,$M$5:$X$5)*$K620*$L620</f>
        <v/>
      </c>
      <c r="AD620" s="15">
        <f>SUMPRODUCT(M620:X620,$M$6:$X$6)*$K620*$L620</f>
        <v/>
      </c>
      <c r="AE620" s="19" t="n"/>
    </row>
    <row r="621">
      <c r="A621" s="9" t="n">
        <v>687911</v>
      </c>
      <c r="B621" s="9" t="inlineStr">
        <is>
          <t>Bryan King</t>
        </is>
      </c>
      <c r="C621" s="9" t="inlineStr">
        <is>
          <t>HOU</t>
        </is>
      </c>
      <c r="D621" s="9" t="n">
        <v>30</v>
      </c>
      <c r="E621" s="17" t="inlineStr">
        <is>
          <t>L</t>
        </is>
      </c>
      <c r="F621" s="17" t="n"/>
      <c r="G621" s="9" t="n">
        <v>259</v>
      </c>
      <c r="H621" s="9" t="n">
        <v>643</v>
      </c>
      <c r="I621" s="9" t="inlineStr">
        <is>
          <t>Middle Relief</t>
        </is>
      </c>
      <c r="J621" s="17" t="inlineStr">
        <is>
          <t>Opening Day</t>
        </is>
      </c>
      <c r="K621" s="11">
        <f>IFERROR(INDEX(Roles!$B$17:$B$20,MATCH(J621,Roles!$A$17:$A$20,0)),1)</f>
        <v/>
      </c>
      <c r="L621" s="18" t="n">
        <v>1</v>
      </c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3">
        <f>SUMPRODUCT(M621:X621,$M$2:$X$2)*$K621*$L621</f>
        <v/>
      </c>
      <c r="Z621" s="14">
        <f>SUM(M621:X621)</f>
        <v/>
      </c>
      <c r="AA621" s="13">
        <f>SUMPRODUCT(M621:X621,$M$3:$X$3)*$K621*$L621</f>
        <v/>
      </c>
      <c r="AB621" s="13">
        <f>SUMPRODUCT(M621:X621,$M$4:$X$4)*$K621*$L621</f>
        <v/>
      </c>
      <c r="AC621" s="15">
        <f>SUMPRODUCT(M621:X621,$M$5:$X$5)*$K621*$L621</f>
        <v/>
      </c>
      <c r="AD621" s="15">
        <f>SUMPRODUCT(M621:X621,$M$6:$X$6)*$K621*$L621</f>
        <v/>
      </c>
      <c r="AE621" s="19" t="n"/>
    </row>
    <row r="622">
      <c r="A622" s="9" t="n">
        <v>641816</v>
      </c>
      <c r="B622" s="9" t="inlineStr">
        <is>
          <t>Tyler Mahle</t>
        </is>
      </c>
      <c r="C622" s="9" t="inlineStr">
        <is>
          <t>ATL</t>
        </is>
      </c>
      <c r="D622" s="9" t="n">
        <v>32</v>
      </c>
      <c r="E622" s="17" t="inlineStr">
        <is>
          <t>R</t>
        </is>
      </c>
      <c r="F622" s="17" t="n"/>
      <c r="G622" s="9" t="n">
        <v>570</v>
      </c>
      <c r="H622" s="9" t="n">
        <v>1577</v>
      </c>
      <c r="I622" s="9" t="inlineStr">
        <is>
          <t>Mid-Rotation Starter (SP2-3)</t>
        </is>
      </c>
      <c r="J622" s="17" t="inlineStr">
        <is>
          <t>Opening Day</t>
        </is>
      </c>
      <c r="K622" s="11">
        <f>IFERROR(INDEX(Roles!$B$17:$B$20,MATCH(J622,Roles!$A$17:$A$20,0)),1)</f>
        <v/>
      </c>
      <c r="L622" s="18" t="n">
        <v>1</v>
      </c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3">
        <f>SUMPRODUCT(M622:X622,$M$2:$X$2)*$K622*$L622</f>
        <v/>
      </c>
      <c r="Z622" s="14">
        <f>SUM(M622:X622)</f>
        <v/>
      </c>
      <c r="AA622" s="13">
        <f>SUMPRODUCT(M622:X622,$M$3:$X$3)*$K622*$L622</f>
        <v/>
      </c>
      <c r="AB622" s="13">
        <f>SUMPRODUCT(M622:X622,$M$4:$X$4)*$K622*$L622</f>
        <v/>
      </c>
      <c r="AC622" s="15">
        <f>SUMPRODUCT(M622:X622,$M$5:$X$5)*$K622*$L622</f>
        <v/>
      </c>
      <c r="AD622" s="15">
        <f>SUMPRODUCT(M622:X622,$M$6:$X$6)*$K622*$L622</f>
        <v/>
      </c>
      <c r="AE622" s="19" t="n"/>
    </row>
    <row r="623">
      <c r="A623" s="9" t="n">
        <v>681869</v>
      </c>
      <c r="B623" s="9" t="inlineStr">
        <is>
          <t>Shawn Dubin</t>
        </is>
      </c>
      <c r="C623" s="9" t="inlineStr">
        <is>
          <t>BAL</t>
        </is>
      </c>
      <c r="D623" s="9" t="n">
        <v>31</v>
      </c>
      <c r="E623" s="17" t="inlineStr">
        <is>
          <t>R</t>
        </is>
      </c>
      <c r="F623" s="17" t="n"/>
      <c r="G623" s="9" t="n">
        <v>145</v>
      </c>
      <c r="H623" s="9" t="n">
        <v>394</v>
      </c>
      <c r="I623" s="9" t="inlineStr">
        <is>
          <t>Bullpen Depth Arm</t>
        </is>
      </c>
      <c r="J623" s="17" t="inlineStr">
        <is>
          <t>Opening Day</t>
        </is>
      </c>
      <c r="K623" s="11">
        <f>IFERROR(INDEX(Roles!$B$17:$B$20,MATCH(J623,Roles!$A$17:$A$20,0)),1)</f>
        <v/>
      </c>
      <c r="L623" s="18" t="n">
        <v>1</v>
      </c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3">
        <f>SUMPRODUCT(M623:X623,$M$2:$X$2)*$K623*$L623</f>
        <v/>
      </c>
      <c r="Z623" s="14">
        <f>SUM(M623:X623)</f>
        <v/>
      </c>
      <c r="AA623" s="13">
        <f>SUMPRODUCT(M623:X623,$M$3:$X$3)*$K623*$L623</f>
        <v/>
      </c>
      <c r="AB623" s="13">
        <f>SUMPRODUCT(M623:X623,$M$4:$X$4)*$K623*$L623</f>
        <v/>
      </c>
      <c r="AC623" s="15">
        <f>SUMPRODUCT(M623:X623,$M$5:$X$5)*$K623*$L623</f>
        <v/>
      </c>
      <c r="AD623" s="15">
        <f>SUMPRODUCT(M623:X623,$M$6:$X$6)*$K623*$L623</f>
        <v/>
      </c>
      <c r="AE623" s="19" t="n"/>
    </row>
    <row r="624">
      <c r="A624" s="9" t="n">
        <v>642759</v>
      </c>
      <c r="B624" s="9" t="inlineStr">
        <is>
          <t>Julian Fernández</t>
        </is>
      </c>
      <c r="C624" s="9" t="inlineStr"/>
      <c r="D624" s="9" t="n">
        <v>31</v>
      </c>
      <c r="E624" s="17" t="inlineStr">
        <is>
          <t>R</t>
        </is>
      </c>
      <c r="F624" s="17" t="n"/>
      <c r="G624" s="9" t="n">
        <v>18</v>
      </c>
      <c r="H624" s="9" t="n">
        <v>38</v>
      </c>
      <c r="I624" s="9" t="inlineStr">
        <is>
          <t>Depth (no MLB IP)</t>
        </is>
      </c>
      <c r="J624" s="17" t="inlineStr">
        <is>
          <t>Opening Day</t>
        </is>
      </c>
      <c r="K624" s="11">
        <f>IFERROR(INDEX(Roles!$B$17:$B$20,MATCH(J624,Roles!$A$17:$A$20,0)),1)</f>
        <v/>
      </c>
      <c r="L624" s="18" t="n">
        <v>1</v>
      </c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3">
        <f>SUMPRODUCT(M624:X624,$M$2:$X$2)*$K624*$L624</f>
        <v/>
      </c>
      <c r="Z624" s="14">
        <f>SUM(M624:X624)</f>
        <v/>
      </c>
      <c r="AA624" s="13">
        <f>SUMPRODUCT(M624:X624,$M$3:$X$3)*$K624*$L624</f>
        <v/>
      </c>
      <c r="AB624" s="13">
        <f>SUMPRODUCT(M624:X624,$M$4:$X$4)*$K624*$L624</f>
        <v/>
      </c>
      <c r="AC624" s="15">
        <f>SUMPRODUCT(M624:X624,$M$5:$X$5)*$K624*$L624</f>
        <v/>
      </c>
      <c r="AD624" s="15">
        <f>SUMPRODUCT(M624:X624,$M$6:$X$6)*$K624*$L624</f>
        <v/>
      </c>
      <c r="AE624" s="19" t="n"/>
    </row>
    <row r="625">
      <c r="A625" s="9" t="n">
        <v>663385</v>
      </c>
      <c r="B625" s="9" t="inlineStr">
        <is>
          <t>Chad Smith</t>
        </is>
      </c>
      <c r="C625" s="9" t="inlineStr">
        <is>
          <t>OAK</t>
        </is>
      </c>
      <c r="D625" s="9" t="n">
        <v>32</v>
      </c>
      <c r="E625" s="17" t="inlineStr">
        <is>
          <t>R</t>
        </is>
      </c>
      <c r="F625" s="17" t="n"/>
      <c r="G625" s="9" t="n">
        <v>60</v>
      </c>
      <c r="H625" s="9" t="n">
        <v>145</v>
      </c>
      <c r="I625" s="9" t="inlineStr">
        <is>
          <t>Depth (no MLB IP)</t>
        </is>
      </c>
      <c r="J625" s="17" t="inlineStr">
        <is>
          <t>Opening Day</t>
        </is>
      </c>
      <c r="K625" s="11">
        <f>IFERROR(INDEX(Roles!$B$17:$B$20,MATCH(J625,Roles!$A$17:$A$20,0)),1)</f>
        <v/>
      </c>
      <c r="L625" s="18" t="n">
        <v>1</v>
      </c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3">
        <f>SUMPRODUCT(M625:X625,$M$2:$X$2)*$K625*$L625</f>
        <v/>
      </c>
      <c r="Z625" s="14">
        <f>SUM(M625:X625)</f>
        <v/>
      </c>
      <c r="AA625" s="13">
        <f>SUMPRODUCT(M625:X625,$M$3:$X$3)*$K625*$L625</f>
        <v/>
      </c>
      <c r="AB625" s="13">
        <f>SUMPRODUCT(M625:X625,$M$4:$X$4)*$K625*$L625</f>
        <v/>
      </c>
      <c r="AC625" s="15">
        <f>SUMPRODUCT(M625:X625,$M$5:$X$5)*$K625*$L625</f>
        <v/>
      </c>
      <c r="AD625" s="15">
        <f>SUMPRODUCT(M625:X625,$M$6:$X$6)*$K625*$L625</f>
        <v/>
      </c>
      <c r="AE625" s="19" t="n"/>
    </row>
    <row r="626">
      <c r="A626" s="9" t="n">
        <v>657277</v>
      </c>
      <c r="B626" s="9" t="inlineStr">
        <is>
          <t>Logan Webb</t>
        </is>
      </c>
      <c r="C626" s="9" t="inlineStr">
        <is>
          <t>SF</t>
        </is>
      </c>
      <c r="D626" s="9" t="n">
        <v>30</v>
      </c>
      <c r="E626" s="17" t="inlineStr">
        <is>
          <t>R</t>
        </is>
      </c>
      <c r="F626" s="17" t="n"/>
      <c r="G626" s="9" t="n">
        <v>668</v>
      </c>
      <c r="H626" s="9" t="n">
        <v>4002</v>
      </c>
      <c r="I626" s="9" t="inlineStr">
        <is>
          <t>Ace (SP1)</t>
        </is>
      </c>
      <c r="J626" s="17" t="inlineStr">
        <is>
          <t>Opening Day</t>
        </is>
      </c>
      <c r="K626" s="11">
        <f>IFERROR(INDEX(Roles!$B$17:$B$20,MATCH(J626,Roles!$A$17:$A$20,0)),1)</f>
        <v/>
      </c>
      <c r="L626" s="18" t="n">
        <v>1</v>
      </c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3">
        <f>SUMPRODUCT(M626:X626,$M$2:$X$2)*$K626*$L626</f>
        <v/>
      </c>
      <c r="Z626" s="14">
        <f>SUM(M626:X626)</f>
        <v/>
      </c>
      <c r="AA626" s="13">
        <f>SUMPRODUCT(M626:X626,$M$3:$X$3)*$K626*$L626</f>
        <v/>
      </c>
      <c r="AB626" s="13">
        <f>SUMPRODUCT(M626:X626,$M$4:$X$4)*$K626*$L626</f>
        <v/>
      </c>
      <c r="AC626" s="15">
        <f>SUMPRODUCT(M626:X626,$M$5:$X$5)*$K626*$L626</f>
        <v/>
      </c>
      <c r="AD626" s="15">
        <f>SUMPRODUCT(M626:X626,$M$6:$X$6)*$K626*$L626</f>
        <v/>
      </c>
      <c r="AE626" s="19" t="n"/>
    </row>
    <row r="627">
      <c r="A627" s="9" t="n">
        <v>660634</v>
      </c>
      <c r="B627" s="9" t="inlineStr">
        <is>
          <t>Yonny Hernández</t>
        </is>
      </c>
      <c r="C627" s="9" t="inlineStr"/>
      <c r="D627" s="9" t="n">
        <v>29</v>
      </c>
      <c r="E627" s="17" t="inlineStr">
        <is>
          <t>R</t>
        </is>
      </c>
      <c r="F627" s="17" t="n"/>
      <c r="G627" s="9" t="n">
        <v>4</v>
      </c>
      <c r="H627" s="9" t="n">
        <v>4</v>
      </c>
      <c r="I627" s="9" t="inlineStr">
        <is>
          <t>Depth (no MLB IP)</t>
        </is>
      </c>
      <c r="J627" s="17" t="inlineStr">
        <is>
          <t>Opening Day</t>
        </is>
      </c>
      <c r="K627" s="11">
        <f>IFERROR(INDEX(Roles!$B$17:$B$20,MATCH(J627,Roles!$A$17:$A$20,0)),1)</f>
        <v/>
      </c>
      <c r="L627" s="18" t="n">
        <v>1</v>
      </c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3">
        <f>SUMPRODUCT(M627:X627,$M$2:$X$2)*$K627*$L627</f>
        <v/>
      </c>
      <c r="Z627" s="14">
        <f>SUM(M627:X627)</f>
        <v/>
      </c>
      <c r="AA627" s="13">
        <f>SUMPRODUCT(M627:X627,$M$3:$X$3)*$K627*$L627</f>
        <v/>
      </c>
      <c r="AB627" s="13">
        <f>SUMPRODUCT(M627:X627,$M$4:$X$4)*$K627*$L627</f>
        <v/>
      </c>
      <c r="AC627" s="15">
        <f>SUMPRODUCT(M627:X627,$M$5:$X$5)*$K627*$L627</f>
        <v/>
      </c>
      <c r="AD627" s="15">
        <f>SUMPRODUCT(M627:X627,$M$6:$X$6)*$K627*$L627</f>
        <v/>
      </c>
      <c r="AE627" s="19" t="n"/>
    </row>
    <row r="628">
      <c r="A628" s="9" t="n">
        <v>571875</v>
      </c>
      <c r="B628" s="9" t="inlineStr">
        <is>
          <t>Jake Lamb</t>
        </is>
      </c>
      <c r="C628" s="9" t="inlineStr"/>
      <c r="D628" s="9" t="n">
        <v>36</v>
      </c>
      <c r="E628" s="17" t="inlineStr">
        <is>
          <t>R</t>
        </is>
      </c>
      <c r="F628" s="17" t="n"/>
      <c r="G628" s="9" t="n">
        <v>4</v>
      </c>
      <c r="H628" s="9" t="n">
        <v>4</v>
      </c>
      <c r="I628" s="9" t="inlineStr">
        <is>
          <t>Depth (no MLB IP)</t>
        </is>
      </c>
      <c r="J628" s="17" t="inlineStr">
        <is>
          <t>Opening Day</t>
        </is>
      </c>
      <c r="K628" s="11">
        <f>IFERROR(INDEX(Roles!$B$17:$B$20,MATCH(J628,Roles!$A$17:$A$20,0)),1)</f>
        <v/>
      </c>
      <c r="L628" s="18" t="n">
        <v>1</v>
      </c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3">
        <f>SUMPRODUCT(M628:X628,$M$2:$X$2)*$K628*$L628</f>
        <v/>
      </c>
      <c r="Z628" s="14">
        <f>SUM(M628:X628)</f>
        <v/>
      </c>
      <c r="AA628" s="13">
        <f>SUMPRODUCT(M628:X628,$M$3:$X$3)*$K628*$L628</f>
        <v/>
      </c>
      <c r="AB628" s="13">
        <f>SUMPRODUCT(M628:X628,$M$4:$X$4)*$K628*$L628</f>
        <v/>
      </c>
      <c r="AC628" s="15">
        <f>SUMPRODUCT(M628:X628,$M$5:$X$5)*$K628*$L628</f>
        <v/>
      </c>
      <c r="AD628" s="15">
        <f>SUMPRODUCT(M628:X628,$M$6:$X$6)*$K628*$L628</f>
        <v/>
      </c>
      <c r="AE628" s="19" t="n"/>
    </row>
    <row r="629">
      <c r="A629" s="9" t="n">
        <v>676632</v>
      </c>
      <c r="B629" s="9" t="inlineStr">
        <is>
          <t>Bligh Madris</t>
        </is>
      </c>
      <c r="C629" s="9" t="inlineStr"/>
      <c r="D629" s="9" t="n">
        <v>31</v>
      </c>
      <c r="E629" s="17" t="inlineStr">
        <is>
          <t>R</t>
        </is>
      </c>
      <c r="F629" s="17" t="n"/>
      <c r="G629" s="9" t="n">
        <v>4</v>
      </c>
      <c r="H629" s="9" t="n">
        <v>4</v>
      </c>
      <c r="I629" s="9" t="inlineStr">
        <is>
          <t>Depth (no MLB IP)</t>
        </is>
      </c>
      <c r="J629" s="17" t="inlineStr">
        <is>
          <t>Opening Day</t>
        </is>
      </c>
      <c r="K629" s="11">
        <f>IFERROR(INDEX(Roles!$B$17:$B$20,MATCH(J629,Roles!$A$17:$A$20,0)),1)</f>
        <v/>
      </c>
      <c r="L629" s="18" t="n">
        <v>1</v>
      </c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3">
        <f>SUMPRODUCT(M629:X629,$M$2:$X$2)*$K629*$L629</f>
        <v/>
      </c>
      <c r="Z629" s="14">
        <f>SUM(M629:X629)</f>
        <v/>
      </c>
      <c r="AA629" s="13">
        <f>SUMPRODUCT(M629:X629,$M$3:$X$3)*$K629*$L629</f>
        <v/>
      </c>
      <c r="AB629" s="13">
        <f>SUMPRODUCT(M629:X629,$M$4:$X$4)*$K629*$L629</f>
        <v/>
      </c>
      <c r="AC629" s="15">
        <f>SUMPRODUCT(M629:X629,$M$5:$X$5)*$K629*$L629</f>
        <v/>
      </c>
      <c r="AD629" s="15">
        <f>SUMPRODUCT(M629:X629,$M$6:$X$6)*$K629*$L629</f>
        <v/>
      </c>
      <c r="AE629" s="19" t="n"/>
    </row>
    <row r="630">
      <c r="A630" s="9" t="n">
        <v>676689</v>
      </c>
      <c r="B630" s="9" t="inlineStr">
        <is>
          <t>Ricky Karcher</t>
        </is>
      </c>
      <c r="C630" s="9" t="inlineStr"/>
      <c r="D630" s="9" t="n">
        <v>29</v>
      </c>
      <c r="E630" s="17" t="inlineStr">
        <is>
          <t>R</t>
        </is>
      </c>
      <c r="F630" s="17" t="n"/>
      <c r="G630" s="9" t="n">
        <v>4</v>
      </c>
      <c r="H630" s="9" t="n">
        <v>4</v>
      </c>
      <c r="I630" s="9" t="inlineStr">
        <is>
          <t>Depth (no MLB IP)</t>
        </is>
      </c>
      <c r="J630" s="17" t="inlineStr">
        <is>
          <t>Opening Day</t>
        </is>
      </c>
      <c r="K630" s="11">
        <f>IFERROR(INDEX(Roles!$B$17:$B$20,MATCH(J630,Roles!$A$17:$A$20,0)),1)</f>
        <v/>
      </c>
      <c r="L630" s="18" t="n">
        <v>1</v>
      </c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3">
        <f>SUMPRODUCT(M630:X630,$M$2:$X$2)*$K630*$L630</f>
        <v/>
      </c>
      <c r="Z630" s="14">
        <f>SUM(M630:X630)</f>
        <v/>
      </c>
      <c r="AA630" s="13">
        <f>SUMPRODUCT(M630:X630,$M$3:$X$3)*$K630*$L630</f>
        <v/>
      </c>
      <c r="AB630" s="13">
        <f>SUMPRODUCT(M630:X630,$M$4:$X$4)*$K630*$L630</f>
        <v/>
      </c>
      <c r="AC630" s="15">
        <f>SUMPRODUCT(M630:X630,$M$5:$X$5)*$K630*$L630</f>
        <v/>
      </c>
      <c r="AD630" s="15">
        <f>SUMPRODUCT(M630:X630,$M$6:$X$6)*$K630*$L630</f>
        <v/>
      </c>
      <c r="AE630" s="19" t="n"/>
    </row>
    <row r="631">
      <c r="A631" s="9" t="n">
        <v>689172</v>
      </c>
      <c r="B631" s="9" t="inlineStr">
        <is>
          <t>Brett Wisely</t>
        </is>
      </c>
      <c r="C631" s="9" t="inlineStr"/>
      <c r="D631" s="9" t="n">
        <v>28</v>
      </c>
      <c r="E631" s="17" t="inlineStr">
        <is>
          <t>R</t>
        </is>
      </c>
      <c r="F631" s="17" t="n"/>
      <c r="G631" s="9" t="n">
        <v>4</v>
      </c>
      <c r="H631" s="9" t="n">
        <v>4</v>
      </c>
      <c r="I631" s="9" t="inlineStr">
        <is>
          <t>Depth (no MLB IP)</t>
        </is>
      </c>
      <c r="J631" s="17" t="inlineStr">
        <is>
          <t>Opening Day</t>
        </is>
      </c>
      <c r="K631" s="11">
        <f>IFERROR(INDEX(Roles!$B$17:$B$20,MATCH(J631,Roles!$A$17:$A$20,0)),1)</f>
        <v/>
      </c>
      <c r="L631" s="18" t="n">
        <v>1</v>
      </c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3">
        <f>SUMPRODUCT(M631:X631,$M$2:$X$2)*$K631*$L631</f>
        <v/>
      </c>
      <c r="Z631" s="14">
        <f>SUM(M631:X631)</f>
        <v/>
      </c>
      <c r="AA631" s="13">
        <f>SUMPRODUCT(M631:X631,$M$3:$X$3)*$K631*$L631</f>
        <v/>
      </c>
      <c r="AB631" s="13">
        <f>SUMPRODUCT(M631:X631,$M$4:$X$4)*$K631*$L631</f>
        <v/>
      </c>
      <c r="AC631" s="15">
        <f>SUMPRODUCT(M631:X631,$M$5:$X$5)*$K631*$L631</f>
        <v/>
      </c>
      <c r="AD631" s="15">
        <f>SUMPRODUCT(M631:X631,$M$6:$X$6)*$K631*$L631</f>
        <v/>
      </c>
      <c r="AE631" s="19" t="n"/>
    </row>
    <row r="632">
      <c r="A632" s="9" t="n">
        <v>592527</v>
      </c>
      <c r="B632" s="9" t="inlineStr">
        <is>
          <t>Michael Mariot</t>
        </is>
      </c>
      <c r="C632" s="9" t="inlineStr"/>
      <c r="D632" s="9" t="n">
        <v>38</v>
      </c>
      <c r="E632" s="17" t="inlineStr">
        <is>
          <t>R</t>
        </is>
      </c>
      <c r="F632" s="17" t="n"/>
      <c r="G632" s="9" t="n">
        <v>13</v>
      </c>
      <c r="H632" s="9" t="n">
        <v>13</v>
      </c>
      <c r="I632" s="9" t="inlineStr">
        <is>
          <t>Depth (no MLB IP)</t>
        </is>
      </c>
      <c r="J632" s="17" t="inlineStr">
        <is>
          <t>Opening Day</t>
        </is>
      </c>
      <c r="K632" s="11">
        <f>IFERROR(INDEX(Roles!$B$17:$B$20,MATCH(J632,Roles!$A$17:$A$20,0)),1)</f>
        <v/>
      </c>
      <c r="L632" s="18" t="n">
        <v>1</v>
      </c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3">
        <f>SUMPRODUCT(M632:X632,$M$2:$X$2)*$K632*$L632</f>
        <v/>
      </c>
      <c r="Z632" s="14">
        <f>SUM(M632:X632)</f>
        <v/>
      </c>
      <c r="AA632" s="13">
        <f>SUMPRODUCT(M632:X632,$M$3:$X$3)*$K632*$L632</f>
        <v/>
      </c>
      <c r="AB632" s="13">
        <f>SUMPRODUCT(M632:X632,$M$4:$X$4)*$K632*$L632</f>
        <v/>
      </c>
      <c r="AC632" s="15">
        <f>SUMPRODUCT(M632:X632,$M$5:$X$5)*$K632*$L632</f>
        <v/>
      </c>
      <c r="AD632" s="15">
        <f>SUMPRODUCT(M632:X632,$M$6:$X$6)*$K632*$L632</f>
        <v/>
      </c>
      <c r="AE632" s="19" t="n"/>
    </row>
    <row r="633">
      <c r="A633" s="9" t="n">
        <v>687888</v>
      </c>
      <c r="B633" s="9" t="inlineStr">
        <is>
          <t>Brandon Walter</t>
        </is>
      </c>
      <c r="C633" s="9" t="inlineStr">
        <is>
          <t>HOU</t>
        </is>
      </c>
      <c r="D633" s="9" t="n">
        <v>30</v>
      </c>
      <c r="E633" s="17" t="inlineStr">
        <is>
          <t>L</t>
        </is>
      </c>
      <c r="F633" s="17" t="n"/>
      <c r="G633" s="9" t="n">
        <v>212</v>
      </c>
      <c r="H633" s="9" t="n">
        <v>318</v>
      </c>
      <c r="I633" s="9" t="inlineStr">
        <is>
          <t>Ace (SP1)</t>
        </is>
      </c>
      <c r="J633" s="17" t="inlineStr">
        <is>
          <t>Opening Day</t>
        </is>
      </c>
      <c r="K633" s="11">
        <f>IFERROR(INDEX(Roles!$B$17:$B$20,MATCH(J633,Roles!$A$17:$A$20,0)),1)</f>
        <v/>
      </c>
      <c r="L633" s="18" t="n">
        <v>1</v>
      </c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3">
        <f>SUMPRODUCT(M633:X633,$M$2:$X$2)*$K633*$L633</f>
        <v/>
      </c>
      <c r="Z633" s="14">
        <f>SUM(M633:X633)</f>
        <v/>
      </c>
      <c r="AA633" s="13">
        <f>SUMPRODUCT(M633:X633,$M$3:$X$3)*$K633*$L633</f>
        <v/>
      </c>
      <c r="AB633" s="13">
        <f>SUMPRODUCT(M633:X633,$M$4:$X$4)*$K633*$L633</f>
        <v/>
      </c>
      <c r="AC633" s="15">
        <f>SUMPRODUCT(M633:X633,$M$5:$X$5)*$K633*$L633</f>
        <v/>
      </c>
      <c r="AD633" s="15">
        <f>SUMPRODUCT(M633:X633,$M$6:$X$6)*$K633*$L633</f>
        <v/>
      </c>
      <c r="AE633" s="19" t="n"/>
    </row>
    <row r="634">
      <c r="A634" s="9" t="n">
        <v>611093</v>
      </c>
      <c r="B634" s="9" t="inlineStr">
        <is>
          <t>Silvino Bracho</t>
        </is>
      </c>
      <c r="C634" s="9" t="inlineStr">
        <is>
          <t>CIN</t>
        </is>
      </c>
      <c r="D634" s="9" t="n">
        <v>34</v>
      </c>
      <c r="E634" s="17" t="inlineStr">
        <is>
          <t>R</t>
        </is>
      </c>
      <c r="F634" s="17" t="n"/>
      <c r="G634" s="9" t="n">
        <v>31</v>
      </c>
      <c r="H634" s="9" t="n">
        <v>49</v>
      </c>
      <c r="I634" s="9" t="inlineStr">
        <is>
          <t>Depth (no MLB IP)</t>
        </is>
      </c>
      <c r="J634" s="17" t="inlineStr">
        <is>
          <t>Opening Day</t>
        </is>
      </c>
      <c r="K634" s="11">
        <f>IFERROR(INDEX(Roles!$B$17:$B$20,MATCH(J634,Roles!$A$17:$A$20,0)),1)</f>
        <v/>
      </c>
      <c r="L634" s="18" t="n">
        <v>1</v>
      </c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3">
        <f>SUMPRODUCT(M634:X634,$M$2:$X$2)*$K634*$L634</f>
        <v/>
      </c>
      <c r="Z634" s="14">
        <f>SUM(M634:X634)</f>
        <v/>
      </c>
      <c r="AA634" s="13">
        <f>SUMPRODUCT(M634:X634,$M$3:$X$3)*$K634*$L634</f>
        <v/>
      </c>
      <c r="AB634" s="13">
        <f>SUMPRODUCT(M634:X634,$M$4:$X$4)*$K634*$L634</f>
        <v/>
      </c>
      <c r="AC634" s="15">
        <f>SUMPRODUCT(M634:X634,$M$5:$X$5)*$K634*$L634</f>
        <v/>
      </c>
      <c r="AD634" s="15">
        <f>SUMPRODUCT(M634:X634,$M$6:$X$6)*$K634*$L634</f>
        <v/>
      </c>
      <c r="AE634" s="19" t="n"/>
    </row>
    <row r="635">
      <c r="A635" s="9" t="n">
        <v>687377</v>
      </c>
      <c r="B635" s="9" t="inlineStr">
        <is>
          <t>Orlando Ribalta</t>
        </is>
      </c>
      <c r="C635" s="9" t="inlineStr">
        <is>
          <t>WSH</t>
        </is>
      </c>
      <c r="D635" s="9" t="n">
        <v>29</v>
      </c>
      <c r="E635" s="17" t="inlineStr">
        <is>
          <t>R</t>
        </is>
      </c>
      <c r="F635" s="17" t="n"/>
      <c r="G635" s="9" t="n">
        <v>178</v>
      </c>
      <c r="H635" s="9" t="n">
        <v>321</v>
      </c>
      <c r="I635" s="9" t="inlineStr">
        <is>
          <t>Bullpen Depth Arm</t>
        </is>
      </c>
      <c r="J635" s="17" t="inlineStr">
        <is>
          <t>Opening Day</t>
        </is>
      </c>
      <c r="K635" s="11">
        <f>IFERROR(INDEX(Roles!$B$17:$B$20,MATCH(J635,Roles!$A$17:$A$20,0)),1)</f>
        <v/>
      </c>
      <c r="L635" s="18" t="n">
        <v>1</v>
      </c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3">
        <f>SUMPRODUCT(M635:X635,$M$2:$X$2)*$K635*$L635</f>
        <v/>
      </c>
      <c r="Z635" s="14">
        <f>SUM(M635:X635)</f>
        <v/>
      </c>
      <c r="AA635" s="13">
        <f>SUMPRODUCT(M635:X635,$M$3:$X$3)*$K635*$L635</f>
        <v/>
      </c>
      <c r="AB635" s="13">
        <f>SUMPRODUCT(M635:X635,$M$4:$X$4)*$K635*$L635</f>
        <v/>
      </c>
      <c r="AC635" s="15">
        <f>SUMPRODUCT(M635:X635,$M$5:$X$5)*$K635*$L635</f>
        <v/>
      </c>
      <c r="AD635" s="15">
        <f>SUMPRODUCT(M635:X635,$M$6:$X$6)*$K635*$L635</f>
        <v/>
      </c>
      <c r="AE635" s="19" t="n"/>
    </row>
    <row r="636">
      <c r="A636" s="9" t="n">
        <v>685112</v>
      </c>
      <c r="B636" s="9" t="inlineStr">
        <is>
          <t>Zach McCambley</t>
        </is>
      </c>
      <c r="C636" s="9" t="inlineStr">
        <is>
          <t>CIN</t>
        </is>
      </c>
      <c r="D636" s="9" t="n">
        <v>28</v>
      </c>
      <c r="E636" s="17" t="inlineStr">
        <is>
          <t>R</t>
        </is>
      </c>
      <c r="F636" s="17" t="n"/>
      <c r="G636" s="9" t="n">
        <v>43</v>
      </c>
      <c r="H636" s="9" t="n">
        <v>43</v>
      </c>
      <c r="I636" s="9" t="inlineStr">
        <is>
          <t>Bullpen Depth Arm</t>
        </is>
      </c>
      <c r="J636" s="17" t="inlineStr">
        <is>
          <t>Opening Day</t>
        </is>
      </c>
      <c r="K636" s="11">
        <f>IFERROR(INDEX(Roles!$B$17:$B$20,MATCH(J636,Roles!$A$17:$A$20,0)),1)</f>
        <v/>
      </c>
      <c r="L636" s="18" t="n">
        <v>1</v>
      </c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3">
        <f>SUMPRODUCT(M636:X636,$M$2:$X$2)*$K636*$L636</f>
        <v/>
      </c>
      <c r="Z636" s="14">
        <f>SUM(M636:X636)</f>
        <v/>
      </c>
      <c r="AA636" s="13">
        <f>SUMPRODUCT(M636:X636,$M$3:$X$3)*$K636*$L636</f>
        <v/>
      </c>
      <c r="AB636" s="13">
        <f>SUMPRODUCT(M636:X636,$M$4:$X$4)*$K636*$L636</f>
        <v/>
      </c>
      <c r="AC636" s="15">
        <f>SUMPRODUCT(M636:X636,$M$5:$X$5)*$K636*$L636</f>
        <v/>
      </c>
      <c r="AD636" s="15">
        <f>SUMPRODUCT(M636:X636,$M$6:$X$6)*$K636*$L636</f>
        <v/>
      </c>
      <c r="AE636" s="19" t="n"/>
    </row>
    <row r="637">
      <c r="A637" s="9" t="n">
        <v>676724</v>
      </c>
      <c r="B637" s="9" t="inlineStr">
        <is>
          <t>Jared Young</t>
        </is>
      </c>
      <c r="C637" s="9" t="inlineStr"/>
      <c r="D637" s="9" t="n">
        <v>31</v>
      </c>
      <c r="E637" s="17" t="inlineStr">
        <is>
          <t>R</t>
        </is>
      </c>
      <c r="F637" s="17" t="n"/>
      <c r="G637" s="9" t="n">
        <v>3</v>
      </c>
      <c r="H637" s="9" t="n">
        <v>3</v>
      </c>
      <c r="I637" s="9" t="inlineStr">
        <is>
          <t>Depth (no MLB IP)</t>
        </is>
      </c>
      <c r="J637" s="17" t="inlineStr">
        <is>
          <t>Opening Day</t>
        </is>
      </c>
      <c r="K637" s="11">
        <f>IFERROR(INDEX(Roles!$B$17:$B$20,MATCH(J637,Roles!$A$17:$A$20,0)),1)</f>
        <v/>
      </c>
      <c r="L637" s="18" t="n">
        <v>1</v>
      </c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3">
        <f>SUMPRODUCT(M637:X637,$M$2:$X$2)*$K637*$L637</f>
        <v/>
      </c>
      <c r="Z637" s="14">
        <f>SUM(M637:X637)</f>
        <v/>
      </c>
      <c r="AA637" s="13">
        <f>SUMPRODUCT(M637:X637,$M$3:$X$3)*$K637*$L637</f>
        <v/>
      </c>
      <c r="AB637" s="13">
        <f>SUMPRODUCT(M637:X637,$M$4:$X$4)*$K637*$L637</f>
        <v/>
      </c>
      <c r="AC637" s="15">
        <f>SUMPRODUCT(M637:X637,$M$5:$X$5)*$K637*$L637</f>
        <v/>
      </c>
      <c r="AD637" s="15">
        <f>SUMPRODUCT(M637:X637,$M$6:$X$6)*$K637*$L637</f>
        <v/>
      </c>
      <c r="AE637" s="19" t="n"/>
    </row>
    <row r="638">
      <c r="A638" s="9" t="n">
        <v>676070</v>
      </c>
      <c r="B638" s="9" t="inlineStr">
        <is>
          <t>Jacob Amaya</t>
        </is>
      </c>
      <c r="C638" s="9" t="inlineStr"/>
      <c r="D638" s="9" t="n">
        <v>28</v>
      </c>
      <c r="E638" s="17" t="inlineStr">
        <is>
          <t>R</t>
        </is>
      </c>
      <c r="F638" s="17" t="n"/>
      <c r="G638" s="9" t="n">
        <v>3</v>
      </c>
      <c r="H638" s="9" t="n">
        <v>3</v>
      </c>
      <c r="I638" s="9" t="inlineStr">
        <is>
          <t>Depth (no MLB IP)</t>
        </is>
      </c>
      <c r="J638" s="17" t="inlineStr">
        <is>
          <t>Opening Day</t>
        </is>
      </c>
      <c r="K638" s="11">
        <f>IFERROR(INDEX(Roles!$B$17:$B$20,MATCH(J638,Roles!$A$17:$A$20,0)),1)</f>
        <v/>
      </c>
      <c r="L638" s="18" t="n">
        <v>1</v>
      </c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3">
        <f>SUMPRODUCT(M638:X638,$M$2:$X$2)*$K638*$L638</f>
        <v/>
      </c>
      <c r="Z638" s="14">
        <f>SUM(M638:X638)</f>
        <v/>
      </c>
      <c r="AA638" s="13">
        <f>SUMPRODUCT(M638:X638,$M$3:$X$3)*$K638*$L638</f>
        <v/>
      </c>
      <c r="AB638" s="13">
        <f>SUMPRODUCT(M638:X638,$M$4:$X$4)*$K638*$L638</f>
        <v/>
      </c>
      <c r="AC638" s="15">
        <f>SUMPRODUCT(M638:X638,$M$5:$X$5)*$K638*$L638</f>
        <v/>
      </c>
      <c r="AD638" s="15">
        <f>SUMPRODUCT(M638:X638,$M$6:$X$6)*$K638*$L638</f>
        <v/>
      </c>
      <c r="AE638" s="19" t="n"/>
    </row>
    <row r="639">
      <c r="A639" s="9" t="n">
        <v>596103</v>
      </c>
      <c r="B639" s="9" t="inlineStr">
        <is>
          <t>Austin Slater</t>
        </is>
      </c>
      <c r="C639" s="9" t="inlineStr"/>
      <c r="D639" s="9" t="n">
        <v>34</v>
      </c>
      <c r="E639" s="17" t="inlineStr">
        <is>
          <t>R</t>
        </is>
      </c>
      <c r="F639" s="17" t="n"/>
      <c r="G639" s="9" t="n">
        <v>3</v>
      </c>
      <c r="H639" s="9" t="n">
        <v>3</v>
      </c>
      <c r="I639" s="9" t="inlineStr">
        <is>
          <t>Depth (no MLB IP)</t>
        </is>
      </c>
      <c r="J639" s="17" t="inlineStr">
        <is>
          <t>Opening Day</t>
        </is>
      </c>
      <c r="K639" s="11">
        <f>IFERROR(INDEX(Roles!$B$17:$B$20,MATCH(J639,Roles!$A$17:$A$20,0)),1)</f>
        <v/>
      </c>
      <c r="L639" s="18" t="n">
        <v>1</v>
      </c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3">
        <f>SUMPRODUCT(M639:X639,$M$2:$X$2)*$K639*$L639</f>
        <v/>
      </c>
      <c r="Z639" s="14">
        <f>SUM(M639:X639)</f>
        <v/>
      </c>
      <c r="AA639" s="13">
        <f>SUMPRODUCT(M639:X639,$M$3:$X$3)*$K639*$L639</f>
        <v/>
      </c>
      <c r="AB639" s="13">
        <f>SUMPRODUCT(M639:X639,$M$4:$X$4)*$K639*$L639</f>
        <v/>
      </c>
      <c r="AC639" s="15">
        <f>SUMPRODUCT(M639:X639,$M$5:$X$5)*$K639*$L639</f>
        <v/>
      </c>
      <c r="AD639" s="15">
        <f>SUMPRODUCT(M639:X639,$M$6:$X$6)*$K639*$L639</f>
        <v/>
      </c>
      <c r="AE639" s="19" t="n"/>
    </row>
    <row r="640">
      <c r="A640" s="9" t="n">
        <v>623381</v>
      </c>
      <c r="B640" s="9" t="inlineStr">
        <is>
          <t>Thomas Pannone</t>
        </is>
      </c>
      <c r="C640" s="9" t="inlineStr"/>
      <c r="D640" s="9" t="n">
        <v>33</v>
      </c>
      <c r="E640" s="17" t="inlineStr">
        <is>
          <t>L</t>
        </is>
      </c>
      <c r="F640" s="17" t="n"/>
      <c r="G640" s="9" t="n">
        <v>14</v>
      </c>
      <c r="H640" s="9" t="n">
        <v>28</v>
      </c>
      <c r="I640" s="9" t="inlineStr">
        <is>
          <t>Depth (no MLB IP)</t>
        </is>
      </c>
      <c r="J640" s="17" t="inlineStr">
        <is>
          <t>Opening Day</t>
        </is>
      </c>
      <c r="K640" s="11">
        <f>IFERROR(INDEX(Roles!$B$17:$B$20,MATCH(J640,Roles!$A$17:$A$20,0)),1)</f>
        <v/>
      </c>
      <c r="L640" s="18" t="n">
        <v>1</v>
      </c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3">
        <f>SUMPRODUCT(M640:X640,$M$2:$X$2)*$K640*$L640</f>
        <v/>
      </c>
      <c r="Z640" s="14">
        <f>SUM(M640:X640)</f>
        <v/>
      </c>
      <c r="AA640" s="13">
        <f>SUMPRODUCT(M640:X640,$M$3:$X$3)*$K640*$L640</f>
        <v/>
      </c>
      <c r="AB640" s="13">
        <f>SUMPRODUCT(M640:X640,$M$4:$X$4)*$K640*$L640</f>
        <v/>
      </c>
      <c r="AC640" s="15">
        <f>SUMPRODUCT(M640:X640,$M$5:$X$5)*$K640*$L640</f>
        <v/>
      </c>
      <c r="AD640" s="15">
        <f>SUMPRODUCT(M640:X640,$M$6:$X$6)*$K640*$L640</f>
        <v/>
      </c>
      <c r="AE640" s="19" t="n"/>
    </row>
    <row r="641">
      <c r="A641" s="9" t="n">
        <v>663878</v>
      </c>
      <c r="B641" s="9" t="inlineStr">
        <is>
          <t>Nate Pearson</t>
        </is>
      </c>
      <c r="C641" s="9" t="inlineStr">
        <is>
          <t>KC</t>
        </is>
      </c>
      <c r="D641" s="9" t="n">
        <v>30</v>
      </c>
      <c r="E641" s="17" t="inlineStr">
        <is>
          <t>R</t>
        </is>
      </c>
      <c r="F641" s="17" t="n"/>
      <c r="G641" s="9" t="n">
        <v>178</v>
      </c>
      <c r="H641" s="9" t="n">
        <v>720</v>
      </c>
      <c r="I641" s="9" t="inlineStr">
        <is>
          <t>Bullpen Depth Arm</t>
        </is>
      </c>
      <c r="J641" s="17" t="inlineStr">
        <is>
          <t>Opening Day</t>
        </is>
      </c>
      <c r="K641" s="11">
        <f>IFERROR(INDEX(Roles!$B$17:$B$20,MATCH(J641,Roles!$A$17:$A$20,0)),1)</f>
        <v/>
      </c>
      <c r="L641" s="18" t="n">
        <v>1</v>
      </c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3">
        <f>SUMPRODUCT(M641:X641,$M$2:$X$2)*$K641*$L641</f>
        <v/>
      </c>
      <c r="Z641" s="14">
        <f>SUM(M641:X641)</f>
        <v/>
      </c>
      <c r="AA641" s="13">
        <f>SUMPRODUCT(M641:X641,$M$3:$X$3)*$K641*$L641</f>
        <v/>
      </c>
      <c r="AB641" s="13">
        <f>SUMPRODUCT(M641:X641,$M$4:$X$4)*$K641*$L641</f>
        <v/>
      </c>
      <c r="AC641" s="15">
        <f>SUMPRODUCT(M641:X641,$M$5:$X$5)*$K641*$L641</f>
        <v/>
      </c>
      <c r="AD641" s="15">
        <f>SUMPRODUCT(M641:X641,$M$6:$X$6)*$K641*$L641</f>
        <v/>
      </c>
      <c r="AE641" s="19" t="n"/>
    </row>
    <row r="642">
      <c r="A642" s="9" t="n">
        <v>605463</v>
      </c>
      <c r="B642" s="9" t="inlineStr">
        <is>
          <t>Tayler Scott</t>
        </is>
      </c>
      <c r="C642" s="9" t="inlineStr">
        <is>
          <t>HOU</t>
        </is>
      </c>
      <c r="D642" s="9" t="n">
        <v>35</v>
      </c>
      <c r="E642" s="17" t="inlineStr">
        <is>
          <t>R</t>
        </is>
      </c>
      <c r="F642" s="17" t="n"/>
      <c r="G642" s="9" t="n">
        <v>134</v>
      </c>
      <c r="H642" s="9" t="n">
        <v>563</v>
      </c>
      <c r="I642" s="9" t="inlineStr">
        <is>
          <t>Bullpen Depth Arm</t>
        </is>
      </c>
      <c r="J642" s="17" t="inlineStr">
        <is>
          <t>Opening Day</t>
        </is>
      </c>
      <c r="K642" s="11">
        <f>IFERROR(INDEX(Roles!$B$17:$B$20,MATCH(J642,Roles!$A$17:$A$20,0)),1)</f>
        <v/>
      </c>
      <c r="L642" s="18" t="n">
        <v>1</v>
      </c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3">
        <f>SUMPRODUCT(M642:X642,$M$2:$X$2)*$K642*$L642</f>
        <v/>
      </c>
      <c r="Z642" s="14">
        <f>SUM(M642:X642)</f>
        <v/>
      </c>
      <c r="AA642" s="13">
        <f>SUMPRODUCT(M642:X642,$M$3:$X$3)*$K642*$L642</f>
        <v/>
      </c>
      <c r="AB642" s="13">
        <f>SUMPRODUCT(M642:X642,$M$4:$X$4)*$K642*$L642</f>
        <v/>
      </c>
      <c r="AC642" s="15">
        <f>SUMPRODUCT(M642:X642,$M$5:$X$5)*$K642*$L642</f>
        <v/>
      </c>
      <c r="AD642" s="15">
        <f>SUMPRODUCT(M642:X642,$M$6:$X$6)*$K642*$L642</f>
        <v/>
      </c>
      <c r="AE642" s="19" t="n"/>
    </row>
    <row r="643">
      <c r="A643" s="9" t="n">
        <v>676440</v>
      </c>
      <c r="B643" s="9" t="inlineStr">
        <is>
          <t>Tanner Bibee</t>
        </is>
      </c>
      <c r="C643" s="9" t="inlineStr">
        <is>
          <t>CLE</t>
        </is>
      </c>
      <c r="D643" s="9" t="n">
        <v>28</v>
      </c>
      <c r="E643" s="17" t="inlineStr">
        <is>
          <t>R</t>
        </is>
      </c>
      <c r="F643" s="17" t="n"/>
      <c r="G643" s="9" t="n">
        <v>730</v>
      </c>
      <c r="H643" s="9" t="n">
        <v>2787</v>
      </c>
      <c r="I643" s="9" t="inlineStr">
        <is>
          <t>Mid-Rotation Starter (SP2-3)</t>
        </is>
      </c>
      <c r="J643" s="17" t="inlineStr">
        <is>
          <t>Opening Day</t>
        </is>
      </c>
      <c r="K643" s="11">
        <f>IFERROR(INDEX(Roles!$B$17:$B$20,MATCH(J643,Roles!$A$17:$A$20,0)),1)</f>
        <v/>
      </c>
      <c r="L643" s="18" t="n">
        <v>1</v>
      </c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3">
        <f>SUMPRODUCT(M643:X643,$M$2:$X$2)*$K643*$L643</f>
        <v/>
      </c>
      <c r="Z643" s="14">
        <f>SUM(M643:X643)</f>
        <v/>
      </c>
      <c r="AA643" s="13">
        <f>SUMPRODUCT(M643:X643,$M$3:$X$3)*$K643*$L643</f>
        <v/>
      </c>
      <c r="AB643" s="13">
        <f>SUMPRODUCT(M643:X643,$M$4:$X$4)*$K643*$L643</f>
        <v/>
      </c>
      <c r="AC643" s="15">
        <f>SUMPRODUCT(M643:X643,$M$5:$X$5)*$K643*$L643</f>
        <v/>
      </c>
      <c r="AD643" s="15">
        <f>SUMPRODUCT(M643:X643,$M$6:$X$6)*$K643*$L643</f>
        <v/>
      </c>
      <c r="AE643" s="19" t="n"/>
    </row>
    <row r="644">
      <c r="A644" s="9" t="n">
        <v>656290</v>
      </c>
      <c r="B644" s="9" t="inlineStr">
        <is>
          <t>Drew Carlton</t>
        </is>
      </c>
      <c r="C644" s="9" t="inlineStr">
        <is>
          <t>SD</t>
        </is>
      </c>
      <c r="D644" s="9" t="n">
        <v>31</v>
      </c>
      <c r="E644" s="17" t="inlineStr">
        <is>
          <t>R</t>
        </is>
      </c>
      <c r="F644" s="17" t="n"/>
      <c r="G644" s="9" t="n">
        <v>85</v>
      </c>
      <c r="H644" s="9" t="n">
        <v>117</v>
      </c>
      <c r="I644" s="9" t="inlineStr">
        <is>
          <t>Depth (no MLB IP)</t>
        </is>
      </c>
      <c r="J644" s="17" t="inlineStr">
        <is>
          <t>Opening Day</t>
        </is>
      </c>
      <c r="K644" s="11">
        <f>IFERROR(INDEX(Roles!$B$17:$B$20,MATCH(J644,Roles!$A$17:$A$20,0)),1)</f>
        <v/>
      </c>
      <c r="L644" s="18" t="n">
        <v>1</v>
      </c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3">
        <f>SUMPRODUCT(M644:X644,$M$2:$X$2)*$K644*$L644</f>
        <v/>
      </c>
      <c r="Z644" s="14">
        <f>SUM(M644:X644)</f>
        <v/>
      </c>
      <c r="AA644" s="13">
        <f>SUMPRODUCT(M644:X644,$M$3:$X$3)*$K644*$L644</f>
        <v/>
      </c>
      <c r="AB644" s="13">
        <f>SUMPRODUCT(M644:X644,$M$4:$X$4)*$K644*$L644</f>
        <v/>
      </c>
      <c r="AC644" s="15">
        <f>SUMPRODUCT(M644:X644,$M$5:$X$5)*$K644*$L644</f>
        <v/>
      </c>
      <c r="AD644" s="15">
        <f>SUMPRODUCT(M644:X644,$M$6:$X$6)*$K644*$L644</f>
        <v/>
      </c>
      <c r="AE644" s="19" t="n"/>
    </row>
    <row r="645">
      <c r="A645" s="9" t="n">
        <v>676428</v>
      </c>
      <c r="B645" s="9" t="inlineStr">
        <is>
          <t>Brant Hurter</t>
        </is>
      </c>
      <c r="C645" s="9" t="inlineStr">
        <is>
          <t>DET</t>
        </is>
      </c>
      <c r="D645" s="9" t="n">
        <v>28</v>
      </c>
      <c r="E645" s="17" t="inlineStr">
        <is>
          <t>L</t>
        </is>
      </c>
      <c r="F645" s="17" t="n"/>
      <c r="G645" s="9" t="n">
        <v>119</v>
      </c>
      <c r="H645" s="9" t="n">
        <v>571</v>
      </c>
      <c r="I645" s="9" t="inlineStr">
        <is>
          <t>Middle Relief</t>
        </is>
      </c>
      <c r="J645" s="17" t="inlineStr">
        <is>
          <t>Opening Day</t>
        </is>
      </c>
      <c r="K645" s="11">
        <f>IFERROR(INDEX(Roles!$B$17:$B$20,MATCH(J645,Roles!$A$17:$A$20,0)),1)</f>
        <v/>
      </c>
      <c r="L645" s="18" t="n">
        <v>1</v>
      </c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3">
        <f>SUMPRODUCT(M645:X645,$M$2:$X$2)*$K645*$L645</f>
        <v/>
      </c>
      <c r="Z645" s="14">
        <f>SUM(M645:X645)</f>
        <v/>
      </c>
      <c r="AA645" s="13">
        <f>SUMPRODUCT(M645:X645,$M$3:$X$3)*$K645*$L645</f>
        <v/>
      </c>
      <c r="AB645" s="13">
        <f>SUMPRODUCT(M645:X645,$M$4:$X$4)*$K645*$L645</f>
        <v/>
      </c>
      <c r="AC645" s="15">
        <f>SUMPRODUCT(M645:X645,$M$5:$X$5)*$K645*$L645</f>
        <v/>
      </c>
      <c r="AD645" s="15">
        <f>SUMPRODUCT(M645:X645,$M$6:$X$6)*$K645*$L645</f>
        <v/>
      </c>
      <c r="AE645" s="19" t="n"/>
    </row>
    <row r="646">
      <c r="A646" s="9" t="n">
        <v>642701</v>
      </c>
      <c r="B646" s="9" t="inlineStr">
        <is>
          <t>Dennis Santana</t>
        </is>
      </c>
      <c r="C646" s="9" t="inlineStr">
        <is>
          <t>ARI</t>
        </is>
      </c>
      <c r="D646" s="9" t="n">
        <v>31</v>
      </c>
      <c r="E646" s="17" t="inlineStr">
        <is>
          <t>R</t>
        </is>
      </c>
      <c r="F646" s="17" t="n"/>
      <c r="G646" s="9" t="n">
        <v>232</v>
      </c>
      <c r="H646" s="9" t="n">
        <v>1094</v>
      </c>
      <c r="I646" s="9" t="inlineStr">
        <is>
          <t>Bullpen Depth Arm</t>
        </is>
      </c>
      <c r="J646" s="17" t="inlineStr">
        <is>
          <t>Opening Day</t>
        </is>
      </c>
      <c r="K646" s="11">
        <f>IFERROR(INDEX(Roles!$B$17:$B$20,MATCH(J646,Roles!$A$17:$A$20,0)),1)</f>
        <v/>
      </c>
      <c r="L646" s="18" t="n">
        <v>1</v>
      </c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3">
        <f>SUMPRODUCT(M646:X646,$M$2:$X$2)*$K646*$L646</f>
        <v/>
      </c>
      <c r="Z646" s="14">
        <f>SUM(M646:X646)</f>
        <v/>
      </c>
      <c r="AA646" s="13">
        <f>SUMPRODUCT(M646:X646,$M$3:$X$3)*$K646*$L646</f>
        <v/>
      </c>
      <c r="AB646" s="13">
        <f>SUMPRODUCT(M646:X646,$M$4:$X$4)*$K646*$L646</f>
        <v/>
      </c>
      <c r="AC646" s="15">
        <f>SUMPRODUCT(M646:X646,$M$5:$X$5)*$K646*$L646</f>
        <v/>
      </c>
      <c r="AD646" s="15">
        <f>SUMPRODUCT(M646:X646,$M$6:$X$6)*$K646*$L646</f>
        <v/>
      </c>
      <c r="AE646" s="19" t="n"/>
    </row>
    <row r="647">
      <c r="A647" s="9" t="n">
        <v>543507</v>
      </c>
      <c r="B647" s="9" t="inlineStr">
        <is>
          <t>Trevor May</t>
        </is>
      </c>
      <c r="C647" s="9" t="inlineStr">
        <is>
          <t>OAK</t>
        </is>
      </c>
      <c r="D647" s="9" t="n">
        <v>37</v>
      </c>
      <c r="E647" s="17" t="inlineStr">
        <is>
          <t>R</t>
        </is>
      </c>
      <c r="F647" s="17" t="n"/>
      <c r="G647" s="9" t="n">
        <v>205</v>
      </c>
      <c r="H647" s="9" t="n">
        <v>316</v>
      </c>
      <c r="I647" s="9" t="inlineStr">
        <is>
          <t>Depth (no MLB IP)</t>
        </is>
      </c>
      <c r="J647" s="17" t="inlineStr">
        <is>
          <t>Opening Day</t>
        </is>
      </c>
      <c r="K647" s="11">
        <f>IFERROR(INDEX(Roles!$B$17:$B$20,MATCH(J647,Roles!$A$17:$A$20,0)),1)</f>
        <v/>
      </c>
      <c r="L647" s="18" t="n">
        <v>1</v>
      </c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3">
        <f>SUMPRODUCT(M647:X647,$M$2:$X$2)*$K647*$L647</f>
        <v/>
      </c>
      <c r="Z647" s="14">
        <f>SUM(M647:X647)</f>
        <v/>
      </c>
      <c r="AA647" s="13">
        <f>SUMPRODUCT(M647:X647,$M$3:$X$3)*$K647*$L647</f>
        <v/>
      </c>
      <c r="AB647" s="13">
        <f>SUMPRODUCT(M647:X647,$M$4:$X$4)*$K647*$L647</f>
        <v/>
      </c>
      <c r="AC647" s="15">
        <f>SUMPRODUCT(M647:X647,$M$5:$X$5)*$K647*$L647</f>
        <v/>
      </c>
      <c r="AD647" s="15">
        <f>SUMPRODUCT(M647:X647,$M$6:$X$6)*$K647*$L647</f>
        <v/>
      </c>
      <c r="AE647" s="19" t="n"/>
    </row>
    <row r="648">
      <c r="A648" s="9" t="n">
        <v>680735</v>
      </c>
      <c r="B648" s="9" t="inlineStr">
        <is>
          <t>Austin Cox</t>
        </is>
      </c>
      <c r="C648" s="9" t="inlineStr">
        <is>
          <t>ATL</t>
        </is>
      </c>
      <c r="D648" s="9" t="n">
        <v>30</v>
      </c>
      <c r="E648" s="17" t="inlineStr">
        <is>
          <t>L</t>
        </is>
      </c>
      <c r="F648" s="17" t="n"/>
      <c r="G648" s="9" t="n">
        <v>102</v>
      </c>
      <c r="H648" s="9" t="n">
        <v>251</v>
      </c>
      <c r="I648" s="9" t="inlineStr">
        <is>
          <t>Bullpen Depth Arm</t>
        </is>
      </c>
      <c r="J648" s="17" t="inlineStr">
        <is>
          <t>Opening Day</t>
        </is>
      </c>
      <c r="K648" s="11">
        <f>IFERROR(INDEX(Roles!$B$17:$B$20,MATCH(J648,Roles!$A$17:$A$20,0)),1)</f>
        <v/>
      </c>
      <c r="L648" s="18" t="n">
        <v>1</v>
      </c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3">
        <f>SUMPRODUCT(M648:X648,$M$2:$X$2)*$K648*$L648</f>
        <v/>
      </c>
      <c r="Z648" s="14">
        <f>SUM(M648:X648)</f>
        <v/>
      </c>
      <c r="AA648" s="13">
        <f>SUMPRODUCT(M648:X648,$M$3:$X$3)*$K648*$L648</f>
        <v/>
      </c>
      <c r="AB648" s="13">
        <f>SUMPRODUCT(M648:X648,$M$4:$X$4)*$K648*$L648</f>
        <v/>
      </c>
      <c r="AC648" s="15">
        <f>SUMPRODUCT(M648:X648,$M$5:$X$5)*$K648*$L648</f>
        <v/>
      </c>
      <c r="AD648" s="15">
        <f>SUMPRODUCT(M648:X648,$M$6:$X$6)*$K648*$L648</f>
        <v/>
      </c>
      <c r="AE648" s="19" t="n"/>
    </row>
    <row r="649">
      <c r="A649" s="9" t="n">
        <v>680723</v>
      </c>
      <c r="B649" s="9" t="inlineStr">
        <is>
          <t>Drew Rom</t>
        </is>
      </c>
      <c r="C649" s="9" t="inlineStr">
        <is>
          <t>OAK</t>
        </is>
      </c>
      <c r="D649" s="9" t="n">
        <v>27</v>
      </c>
      <c r="E649" s="17" t="inlineStr">
        <is>
          <t>L</t>
        </is>
      </c>
      <c r="F649" s="17" t="n"/>
      <c r="G649" s="9" t="n">
        <v>59</v>
      </c>
      <c r="H649" s="9" t="n">
        <v>229</v>
      </c>
      <c r="I649" s="9" t="inlineStr">
        <is>
          <t>Middle Relief</t>
        </is>
      </c>
      <c r="J649" s="17" t="inlineStr">
        <is>
          <t>Opening Day</t>
        </is>
      </c>
      <c r="K649" s="11">
        <f>IFERROR(INDEX(Roles!$B$17:$B$20,MATCH(J649,Roles!$A$17:$A$20,0)),1)</f>
        <v/>
      </c>
      <c r="L649" s="18" t="n">
        <v>1</v>
      </c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3">
        <f>SUMPRODUCT(M649:X649,$M$2:$X$2)*$K649*$L649</f>
        <v/>
      </c>
      <c r="Z649" s="14">
        <f>SUM(M649:X649)</f>
        <v/>
      </c>
      <c r="AA649" s="13">
        <f>SUMPRODUCT(M649:X649,$M$3:$X$3)*$K649*$L649</f>
        <v/>
      </c>
      <c r="AB649" s="13">
        <f>SUMPRODUCT(M649:X649,$M$4:$X$4)*$K649*$L649</f>
        <v/>
      </c>
      <c r="AC649" s="15">
        <f>SUMPRODUCT(M649:X649,$M$5:$X$5)*$K649*$L649</f>
        <v/>
      </c>
      <c r="AD649" s="15">
        <f>SUMPRODUCT(M649:X649,$M$6:$X$6)*$K649*$L649</f>
        <v/>
      </c>
      <c r="AE649" s="19" t="n"/>
    </row>
    <row r="650">
      <c r="A650" s="9" t="n">
        <v>642048</v>
      </c>
      <c r="B650" s="9" t="inlineStr">
        <is>
          <t>Tayler Saucedo</t>
        </is>
      </c>
      <c r="C650" s="9" t="inlineStr">
        <is>
          <t>LAA</t>
        </is>
      </c>
      <c r="D650" s="9" t="n">
        <v>34</v>
      </c>
      <c r="E650" s="17" t="inlineStr">
        <is>
          <t>L</t>
        </is>
      </c>
      <c r="F650" s="17" t="n"/>
      <c r="G650" s="9" t="n">
        <v>75</v>
      </c>
      <c r="H650" s="9" t="n">
        <v>529</v>
      </c>
      <c r="I650" s="9" t="inlineStr">
        <is>
          <t>Middle Relief</t>
        </is>
      </c>
      <c r="J650" s="17" t="inlineStr">
        <is>
          <t>Opening Day</t>
        </is>
      </c>
      <c r="K650" s="11">
        <f>IFERROR(INDEX(Roles!$B$17:$B$20,MATCH(J650,Roles!$A$17:$A$20,0)),1)</f>
        <v/>
      </c>
      <c r="L650" s="18" t="n">
        <v>1</v>
      </c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3">
        <f>SUMPRODUCT(M650:X650,$M$2:$X$2)*$K650*$L650</f>
        <v/>
      </c>
      <c r="Z650" s="14">
        <f>SUM(M650:X650)</f>
        <v/>
      </c>
      <c r="AA650" s="13">
        <f>SUMPRODUCT(M650:X650,$M$3:$X$3)*$K650*$L650</f>
        <v/>
      </c>
      <c r="AB650" s="13">
        <f>SUMPRODUCT(M650:X650,$M$4:$X$4)*$K650*$L650</f>
        <v/>
      </c>
      <c r="AC650" s="15">
        <f>SUMPRODUCT(M650:X650,$M$5:$X$5)*$K650*$L650</f>
        <v/>
      </c>
      <c r="AD650" s="15">
        <f>SUMPRODUCT(M650:X650,$M$6:$X$6)*$K650*$L650</f>
        <v/>
      </c>
      <c r="AE650" s="19" t="n"/>
    </row>
    <row r="651">
      <c r="A651" s="9" t="n">
        <v>703231</v>
      </c>
      <c r="B651" s="9" t="inlineStr">
        <is>
          <t>James Meeker</t>
        </is>
      </c>
      <c r="C651" s="9" t="inlineStr"/>
      <c r="D651" s="9" t="n">
        <v>32</v>
      </c>
      <c r="E651" s="17" t="inlineStr">
        <is>
          <t>R</t>
        </is>
      </c>
      <c r="F651" s="17" t="n"/>
      <c r="G651" s="9" t="n">
        <v>4</v>
      </c>
      <c r="H651" s="9" t="n">
        <v>4</v>
      </c>
      <c r="I651" s="9" t="inlineStr">
        <is>
          <t>Depth (no MLB IP)</t>
        </is>
      </c>
      <c r="J651" s="17" t="inlineStr">
        <is>
          <t>Opening Day</t>
        </is>
      </c>
      <c r="K651" s="11">
        <f>IFERROR(INDEX(Roles!$B$17:$B$20,MATCH(J651,Roles!$A$17:$A$20,0)),1)</f>
        <v/>
      </c>
      <c r="L651" s="18" t="n">
        <v>1</v>
      </c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3">
        <f>SUMPRODUCT(M651:X651,$M$2:$X$2)*$K651*$L651</f>
        <v/>
      </c>
      <c r="Z651" s="14">
        <f>SUM(M651:X651)</f>
        <v/>
      </c>
      <c r="AA651" s="13">
        <f>SUMPRODUCT(M651:X651,$M$3:$X$3)*$K651*$L651</f>
        <v/>
      </c>
      <c r="AB651" s="13">
        <f>SUMPRODUCT(M651:X651,$M$4:$X$4)*$K651*$L651</f>
        <v/>
      </c>
      <c r="AC651" s="15">
        <f>SUMPRODUCT(M651:X651,$M$5:$X$5)*$K651*$L651</f>
        <v/>
      </c>
      <c r="AD651" s="15">
        <f>SUMPRODUCT(M651:X651,$M$6:$X$6)*$K651*$L651</f>
        <v/>
      </c>
      <c r="AE651" s="19" t="n"/>
    </row>
    <row r="652">
      <c r="A652" s="9" t="n">
        <v>657061</v>
      </c>
      <c r="B652" s="9" t="inlineStr">
        <is>
          <t>Cole Tucker</t>
        </is>
      </c>
      <c r="C652" s="9" t="inlineStr"/>
      <c r="D652" s="9" t="n">
        <v>30</v>
      </c>
      <c r="E652" s="17" t="inlineStr">
        <is>
          <t>R</t>
        </is>
      </c>
      <c r="F652" s="17" t="n"/>
      <c r="G652" s="9" t="n">
        <v>4</v>
      </c>
      <c r="H652" s="9" t="n">
        <v>4</v>
      </c>
      <c r="I652" s="9" t="inlineStr">
        <is>
          <t>Depth (no MLB IP)</t>
        </is>
      </c>
      <c r="J652" s="17" t="inlineStr">
        <is>
          <t>Opening Day</t>
        </is>
      </c>
      <c r="K652" s="11">
        <f>IFERROR(INDEX(Roles!$B$17:$B$20,MATCH(J652,Roles!$A$17:$A$20,0)),1)</f>
        <v/>
      </c>
      <c r="L652" s="18" t="n">
        <v>1</v>
      </c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3">
        <f>SUMPRODUCT(M652:X652,$M$2:$X$2)*$K652*$L652</f>
        <v/>
      </c>
      <c r="Z652" s="14">
        <f>SUM(M652:X652)</f>
        <v/>
      </c>
      <c r="AA652" s="13">
        <f>SUMPRODUCT(M652:X652,$M$3:$X$3)*$K652*$L652</f>
        <v/>
      </c>
      <c r="AB652" s="13">
        <f>SUMPRODUCT(M652:X652,$M$4:$X$4)*$K652*$L652</f>
        <v/>
      </c>
      <c r="AC652" s="15">
        <f>SUMPRODUCT(M652:X652,$M$5:$X$5)*$K652*$L652</f>
        <v/>
      </c>
      <c r="AD652" s="15">
        <f>SUMPRODUCT(M652:X652,$M$6:$X$6)*$K652*$L652</f>
        <v/>
      </c>
      <c r="AE652" s="19" t="n"/>
    </row>
    <row r="653">
      <c r="A653" s="9" t="n">
        <v>691008</v>
      </c>
      <c r="B653" s="9" t="inlineStr">
        <is>
          <t>Max Rajcic</t>
        </is>
      </c>
      <c r="C653" s="9" t="inlineStr">
        <is>
          <t>STL</t>
        </is>
      </c>
      <c r="D653" s="9" t="n">
        <v>25</v>
      </c>
      <c r="E653" s="17" t="inlineStr">
        <is>
          <t>R</t>
        </is>
      </c>
      <c r="F653" s="17" t="n"/>
      <c r="G653" s="9" t="n">
        <v>39</v>
      </c>
      <c r="H653" s="9" t="n">
        <v>39</v>
      </c>
      <c r="I653" s="9" t="inlineStr">
        <is>
          <t>Bullpen Depth Arm</t>
        </is>
      </c>
      <c r="J653" s="17" t="inlineStr">
        <is>
          <t>Opening Day</t>
        </is>
      </c>
      <c r="K653" s="11">
        <f>IFERROR(INDEX(Roles!$B$17:$B$20,MATCH(J653,Roles!$A$17:$A$20,0)),1)</f>
        <v/>
      </c>
      <c r="L653" s="18" t="n">
        <v>1</v>
      </c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3">
        <f>SUMPRODUCT(M653:X653,$M$2:$X$2)*$K653*$L653</f>
        <v/>
      </c>
      <c r="Z653" s="14">
        <f>SUM(M653:X653)</f>
        <v/>
      </c>
      <c r="AA653" s="13">
        <f>SUMPRODUCT(M653:X653,$M$3:$X$3)*$K653*$L653</f>
        <v/>
      </c>
      <c r="AB653" s="13">
        <f>SUMPRODUCT(M653:X653,$M$4:$X$4)*$K653*$L653</f>
        <v/>
      </c>
      <c r="AC653" s="15">
        <f>SUMPRODUCT(M653:X653,$M$5:$X$5)*$K653*$L653</f>
        <v/>
      </c>
      <c r="AD653" s="15">
        <f>SUMPRODUCT(M653:X653,$M$6:$X$6)*$K653*$L653</f>
        <v/>
      </c>
      <c r="AE653" s="19" t="n"/>
    </row>
    <row r="654">
      <c r="A654" s="9" t="n">
        <v>663776</v>
      </c>
      <c r="B654" s="9" t="inlineStr">
        <is>
          <t>Patrick Sandoval</t>
        </is>
      </c>
      <c r="C654" s="9" t="inlineStr">
        <is>
          <t>BOS</t>
        </is>
      </c>
      <c r="D654" s="9" t="n">
        <v>30</v>
      </c>
      <c r="E654" s="17" t="inlineStr">
        <is>
          <t>L</t>
        </is>
      </c>
      <c r="F654" s="17" t="n"/>
      <c r="G654" s="9" t="n">
        <v>267</v>
      </c>
      <c r="H654" s="9" t="n">
        <v>1910</v>
      </c>
      <c r="I654" s="9" t="inlineStr">
        <is>
          <t>End-of-Rotation Starter (SP4-5)</t>
        </is>
      </c>
      <c r="J654" s="17" t="inlineStr">
        <is>
          <t>Opening Day</t>
        </is>
      </c>
      <c r="K654" s="11">
        <f>IFERROR(INDEX(Roles!$B$17:$B$20,MATCH(J654,Roles!$A$17:$A$20,0)),1)</f>
        <v/>
      </c>
      <c r="L654" s="18" t="n">
        <v>1</v>
      </c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3">
        <f>SUMPRODUCT(M654:X654,$M$2:$X$2)*$K654*$L654</f>
        <v/>
      </c>
      <c r="Z654" s="14">
        <f>SUM(M654:X654)</f>
        <v/>
      </c>
      <c r="AA654" s="13">
        <f>SUMPRODUCT(M654:X654,$M$3:$X$3)*$K654*$L654</f>
        <v/>
      </c>
      <c r="AB654" s="13">
        <f>SUMPRODUCT(M654:X654,$M$4:$X$4)*$K654*$L654</f>
        <v/>
      </c>
      <c r="AC654" s="15">
        <f>SUMPRODUCT(M654:X654,$M$5:$X$5)*$K654*$L654</f>
        <v/>
      </c>
      <c r="AD654" s="15">
        <f>SUMPRODUCT(M654:X654,$M$6:$X$6)*$K654*$L654</f>
        <v/>
      </c>
      <c r="AE654" s="19" t="n"/>
    </row>
    <row r="655">
      <c r="A655" s="9" t="n">
        <v>682769</v>
      </c>
      <c r="B655" s="9" t="inlineStr">
        <is>
          <t>Eiberson Castellano</t>
        </is>
      </c>
      <c r="C655" s="9" t="inlineStr"/>
      <c r="D655" s="9" t="n">
        <v>26</v>
      </c>
      <c r="E655" s="17" t="inlineStr">
        <is>
          <t>R</t>
        </is>
      </c>
      <c r="F655" s="17" t="n"/>
      <c r="G655" s="9" t="n">
        <v>12</v>
      </c>
      <c r="H655" s="9" t="n">
        <v>12</v>
      </c>
      <c r="I655" s="9" t="inlineStr">
        <is>
          <t>Depth (no MLB IP)</t>
        </is>
      </c>
      <c r="J655" s="17" t="inlineStr">
        <is>
          <t>Opening Day</t>
        </is>
      </c>
      <c r="K655" s="11">
        <f>IFERROR(INDEX(Roles!$B$17:$B$20,MATCH(J655,Roles!$A$17:$A$20,0)),1)</f>
        <v/>
      </c>
      <c r="L655" s="18" t="n">
        <v>1</v>
      </c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3">
        <f>SUMPRODUCT(M655:X655,$M$2:$X$2)*$K655*$L655</f>
        <v/>
      </c>
      <c r="Z655" s="14">
        <f>SUM(M655:X655)</f>
        <v/>
      </c>
      <c r="AA655" s="13">
        <f>SUMPRODUCT(M655:X655,$M$3:$X$3)*$K655*$L655</f>
        <v/>
      </c>
      <c r="AB655" s="13">
        <f>SUMPRODUCT(M655:X655,$M$4:$X$4)*$K655*$L655</f>
        <v/>
      </c>
      <c r="AC655" s="15">
        <f>SUMPRODUCT(M655:X655,$M$5:$X$5)*$K655*$L655</f>
        <v/>
      </c>
      <c r="AD655" s="15">
        <f>SUMPRODUCT(M655:X655,$M$6:$X$6)*$K655*$L655</f>
        <v/>
      </c>
      <c r="AE655" s="19" t="n"/>
    </row>
    <row r="656">
      <c r="A656" s="9" t="n">
        <v>697811</v>
      </c>
      <c r="B656" s="9" t="inlineStr">
        <is>
          <t>Dylan Ross</t>
        </is>
      </c>
      <c r="C656" s="9" t="inlineStr"/>
      <c r="D656" s="9" t="n">
        <v>26</v>
      </c>
      <c r="E656" s="17" t="inlineStr">
        <is>
          <t>R</t>
        </is>
      </c>
      <c r="F656" s="17" t="n"/>
      <c r="G656" s="9" t="n">
        <v>3</v>
      </c>
      <c r="H656" s="9" t="n">
        <v>3</v>
      </c>
      <c r="I656" s="9" t="inlineStr">
        <is>
          <t>Depth (no MLB IP)</t>
        </is>
      </c>
      <c r="J656" s="17" t="inlineStr">
        <is>
          <t>Opening Day</t>
        </is>
      </c>
      <c r="K656" s="11">
        <f>IFERROR(INDEX(Roles!$B$17:$B$20,MATCH(J656,Roles!$A$17:$A$20,0)),1)</f>
        <v/>
      </c>
      <c r="L656" s="18" t="n">
        <v>1</v>
      </c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3">
        <f>SUMPRODUCT(M656:X656,$M$2:$X$2)*$K656*$L656</f>
        <v/>
      </c>
      <c r="Z656" s="14">
        <f>SUM(M656:X656)</f>
        <v/>
      </c>
      <c r="AA656" s="13">
        <f>SUMPRODUCT(M656:X656,$M$3:$X$3)*$K656*$L656</f>
        <v/>
      </c>
      <c r="AB656" s="13">
        <f>SUMPRODUCT(M656:X656,$M$4:$X$4)*$K656*$L656</f>
        <v/>
      </c>
      <c r="AC656" s="15">
        <f>SUMPRODUCT(M656:X656,$M$5:$X$5)*$K656*$L656</f>
        <v/>
      </c>
      <c r="AD656" s="15">
        <f>SUMPRODUCT(M656:X656,$M$6:$X$6)*$K656*$L656</f>
        <v/>
      </c>
      <c r="AE656" s="19" t="n"/>
    </row>
    <row r="657">
      <c r="A657" s="9" t="n">
        <v>676694</v>
      </c>
      <c r="B657" s="9" t="inlineStr">
        <is>
          <t>Jake Meyers</t>
        </is>
      </c>
      <c r="C657" s="9" t="inlineStr"/>
      <c r="D657" s="9" t="n">
        <v>31</v>
      </c>
      <c r="E657" s="17" t="inlineStr">
        <is>
          <t>L</t>
        </is>
      </c>
      <c r="F657" s="17" t="n"/>
      <c r="G657" s="9" t="n">
        <v>3</v>
      </c>
      <c r="H657" s="9" t="n">
        <v>3</v>
      </c>
      <c r="I657" s="9" t="inlineStr">
        <is>
          <t>Depth (no MLB IP)</t>
        </is>
      </c>
      <c r="J657" s="17" t="inlineStr">
        <is>
          <t>Opening Day</t>
        </is>
      </c>
      <c r="K657" s="11">
        <f>IFERROR(INDEX(Roles!$B$17:$B$20,MATCH(J657,Roles!$A$17:$A$20,0)),1)</f>
        <v/>
      </c>
      <c r="L657" s="18" t="n">
        <v>1</v>
      </c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3">
        <f>SUMPRODUCT(M657:X657,$M$2:$X$2)*$K657*$L657</f>
        <v/>
      </c>
      <c r="Z657" s="14">
        <f>SUM(M657:X657)</f>
        <v/>
      </c>
      <c r="AA657" s="13">
        <f>SUMPRODUCT(M657:X657,$M$3:$X$3)*$K657*$L657</f>
        <v/>
      </c>
      <c r="AB657" s="13">
        <f>SUMPRODUCT(M657:X657,$M$4:$X$4)*$K657*$L657</f>
        <v/>
      </c>
      <c r="AC657" s="15">
        <f>SUMPRODUCT(M657:X657,$M$5:$X$5)*$K657*$L657</f>
        <v/>
      </c>
      <c r="AD657" s="15">
        <f>SUMPRODUCT(M657:X657,$M$6:$X$6)*$K657*$L657</f>
        <v/>
      </c>
      <c r="AE657" s="19" t="n"/>
    </row>
    <row r="658">
      <c r="A658" s="9" t="n">
        <v>664059</v>
      </c>
      <c r="B658" s="9" t="inlineStr">
        <is>
          <t>Sam Haggerty</t>
        </is>
      </c>
      <c r="C658" s="9" t="inlineStr"/>
      <c r="D658" s="9" t="n">
        <v>33</v>
      </c>
      <c r="E658" s="17" t="inlineStr">
        <is>
          <t>R</t>
        </is>
      </c>
      <c r="F658" s="17" t="n"/>
      <c r="G658" s="9" t="n">
        <v>3</v>
      </c>
      <c r="H658" s="9" t="n">
        <v>3</v>
      </c>
      <c r="I658" s="9" t="inlineStr">
        <is>
          <t>Depth (no MLB IP)</t>
        </is>
      </c>
      <c r="J658" s="17" t="inlineStr">
        <is>
          <t>Opening Day</t>
        </is>
      </c>
      <c r="K658" s="11">
        <f>IFERROR(INDEX(Roles!$B$17:$B$20,MATCH(J658,Roles!$A$17:$A$20,0)),1)</f>
        <v/>
      </c>
      <c r="L658" s="18" t="n">
        <v>1</v>
      </c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3">
        <f>SUMPRODUCT(M658:X658,$M$2:$X$2)*$K658*$L658</f>
        <v/>
      </c>
      <c r="Z658" s="14">
        <f>SUM(M658:X658)</f>
        <v/>
      </c>
      <c r="AA658" s="13">
        <f>SUMPRODUCT(M658:X658,$M$3:$X$3)*$K658*$L658</f>
        <v/>
      </c>
      <c r="AB658" s="13">
        <f>SUMPRODUCT(M658:X658,$M$4:$X$4)*$K658*$L658</f>
        <v/>
      </c>
      <c r="AC658" s="15">
        <f>SUMPRODUCT(M658:X658,$M$5:$X$5)*$K658*$L658</f>
        <v/>
      </c>
      <c r="AD658" s="15">
        <f>SUMPRODUCT(M658:X658,$M$6:$X$6)*$K658*$L658</f>
        <v/>
      </c>
      <c r="AE658" s="19" t="n"/>
    </row>
    <row r="659">
      <c r="A659" s="9" t="n">
        <v>663795</v>
      </c>
      <c r="B659" s="9" t="inlineStr">
        <is>
          <t>Justin Hagenman</t>
        </is>
      </c>
      <c r="C659" s="9" t="inlineStr">
        <is>
          <t>NYM</t>
        </is>
      </c>
      <c r="D659" s="9" t="n">
        <v>30</v>
      </c>
      <c r="E659" s="17" t="inlineStr">
        <is>
          <t>R</t>
        </is>
      </c>
      <c r="F659" s="17" t="n"/>
      <c r="G659" s="9" t="n">
        <v>16</v>
      </c>
      <c r="H659" s="9" t="n">
        <v>115</v>
      </c>
      <c r="I659" s="9" t="inlineStr">
        <is>
          <t>Bullpen Depth Arm</t>
        </is>
      </c>
      <c r="J659" s="17" t="inlineStr">
        <is>
          <t>Opening Day</t>
        </is>
      </c>
      <c r="K659" s="11">
        <f>IFERROR(INDEX(Roles!$B$17:$B$20,MATCH(J659,Roles!$A$17:$A$20,0)),1)</f>
        <v/>
      </c>
      <c r="L659" s="18" t="n">
        <v>1</v>
      </c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3">
        <f>SUMPRODUCT(M659:X659,$M$2:$X$2)*$K659*$L659</f>
        <v/>
      </c>
      <c r="Z659" s="14">
        <f>SUM(M659:X659)</f>
        <v/>
      </c>
      <c r="AA659" s="13">
        <f>SUMPRODUCT(M659:X659,$M$3:$X$3)*$K659*$L659</f>
        <v/>
      </c>
      <c r="AB659" s="13">
        <f>SUMPRODUCT(M659:X659,$M$4:$X$4)*$K659*$L659</f>
        <v/>
      </c>
      <c r="AC659" s="15">
        <f>SUMPRODUCT(M659:X659,$M$5:$X$5)*$K659*$L659</f>
        <v/>
      </c>
      <c r="AD659" s="15">
        <f>SUMPRODUCT(M659:X659,$M$6:$X$6)*$K659*$L659</f>
        <v/>
      </c>
      <c r="AE659" s="19" t="n"/>
    </row>
    <row r="660">
      <c r="A660" s="9" t="n">
        <v>667755</v>
      </c>
      <c r="B660" s="9" t="inlineStr">
        <is>
          <t>José Soriano</t>
        </is>
      </c>
      <c r="C660" s="9" t="inlineStr">
        <is>
          <t>TOR</t>
        </is>
      </c>
      <c r="D660" s="9" t="n">
        <v>28</v>
      </c>
      <c r="E660" s="17" t="inlineStr">
        <is>
          <t>R</t>
        </is>
      </c>
      <c r="F660" s="17" t="n"/>
      <c r="G660" s="9" t="n">
        <v>706</v>
      </c>
      <c r="H660" s="9" t="n">
        <v>2083</v>
      </c>
      <c r="I660" s="9" t="inlineStr">
        <is>
          <t>Mid-Rotation Starter (SP2-3)</t>
        </is>
      </c>
      <c r="J660" s="17" t="inlineStr">
        <is>
          <t>Opening Day</t>
        </is>
      </c>
      <c r="K660" s="11">
        <f>IFERROR(INDEX(Roles!$B$17:$B$20,MATCH(J660,Roles!$A$17:$A$20,0)),1)</f>
        <v/>
      </c>
      <c r="L660" s="18" t="n">
        <v>1</v>
      </c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3">
        <f>SUMPRODUCT(M660:X660,$M$2:$X$2)*$K660*$L660</f>
        <v/>
      </c>
      <c r="Z660" s="14">
        <f>SUM(M660:X660)</f>
        <v/>
      </c>
      <c r="AA660" s="13">
        <f>SUMPRODUCT(M660:X660,$M$3:$X$3)*$K660*$L660</f>
        <v/>
      </c>
      <c r="AB660" s="13">
        <f>SUMPRODUCT(M660:X660,$M$4:$X$4)*$K660*$L660</f>
        <v/>
      </c>
      <c r="AC660" s="15">
        <f>SUMPRODUCT(M660:X660,$M$5:$X$5)*$K660*$L660</f>
        <v/>
      </c>
      <c r="AD660" s="15">
        <f>SUMPRODUCT(M660:X660,$M$6:$X$6)*$K660*$L660</f>
        <v/>
      </c>
      <c r="AE660" s="19" t="n"/>
    </row>
    <row r="661">
      <c r="A661" s="9" t="n">
        <v>660431</v>
      </c>
      <c r="B661" s="9" t="inlineStr">
        <is>
          <t>Hector Perez</t>
        </is>
      </c>
      <c r="C661" s="9" t="inlineStr"/>
      <c r="D661" s="9" t="n">
        <v>31</v>
      </c>
      <c r="E661" s="17" t="inlineStr">
        <is>
          <t>R</t>
        </is>
      </c>
      <c r="F661" s="17" t="n"/>
      <c r="G661" s="9" t="n">
        <v>5</v>
      </c>
      <c r="H661" s="9" t="n">
        <v>5</v>
      </c>
      <c r="I661" s="9" t="inlineStr">
        <is>
          <t>Depth (no MLB IP)</t>
        </is>
      </c>
      <c r="J661" s="17" t="inlineStr">
        <is>
          <t>Opening Day</t>
        </is>
      </c>
      <c r="K661" s="11">
        <f>IFERROR(INDEX(Roles!$B$17:$B$20,MATCH(J661,Roles!$A$17:$A$20,0)),1)</f>
        <v/>
      </c>
      <c r="L661" s="18" t="n">
        <v>1</v>
      </c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3">
        <f>SUMPRODUCT(M661:X661,$M$2:$X$2)*$K661*$L661</f>
        <v/>
      </c>
      <c r="Z661" s="14">
        <f>SUM(M661:X661)</f>
        <v/>
      </c>
      <c r="AA661" s="13">
        <f>SUMPRODUCT(M661:X661,$M$3:$X$3)*$K661*$L661</f>
        <v/>
      </c>
      <c r="AB661" s="13">
        <f>SUMPRODUCT(M661:X661,$M$4:$X$4)*$K661*$L661</f>
        <v/>
      </c>
      <c r="AC661" s="15">
        <f>SUMPRODUCT(M661:X661,$M$5:$X$5)*$K661*$L661</f>
        <v/>
      </c>
      <c r="AD661" s="15">
        <f>SUMPRODUCT(M661:X661,$M$6:$X$6)*$K661*$L661</f>
        <v/>
      </c>
      <c r="AE661" s="19" t="n"/>
    </row>
    <row r="662">
      <c r="A662" s="9" t="n">
        <v>677961</v>
      </c>
      <c r="B662" s="9" t="inlineStr">
        <is>
          <t>Cole Wilcox</t>
        </is>
      </c>
      <c r="C662" s="9" t="inlineStr">
        <is>
          <t>SEA</t>
        </is>
      </c>
      <c r="D662" s="9" t="n">
        <v>27</v>
      </c>
      <c r="E662" s="17" t="inlineStr">
        <is>
          <t>R</t>
        </is>
      </c>
      <c r="F662" s="17" t="n"/>
      <c r="G662" s="9" t="n">
        <v>123</v>
      </c>
      <c r="H662" s="9" t="n">
        <v>135</v>
      </c>
      <c r="I662" s="9" t="inlineStr">
        <is>
          <t>Bullpen Depth Arm</t>
        </is>
      </c>
      <c r="J662" s="17" t="inlineStr">
        <is>
          <t>Opening Day</t>
        </is>
      </c>
      <c r="K662" s="11">
        <f>IFERROR(INDEX(Roles!$B$17:$B$20,MATCH(J662,Roles!$A$17:$A$20,0)),1)</f>
        <v/>
      </c>
      <c r="L662" s="18" t="n">
        <v>1</v>
      </c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3">
        <f>SUMPRODUCT(M662:X662,$M$2:$X$2)*$K662*$L662</f>
        <v/>
      </c>
      <c r="Z662" s="14">
        <f>SUM(M662:X662)</f>
        <v/>
      </c>
      <c r="AA662" s="13">
        <f>SUMPRODUCT(M662:X662,$M$3:$X$3)*$K662*$L662</f>
        <v/>
      </c>
      <c r="AB662" s="13">
        <f>SUMPRODUCT(M662:X662,$M$4:$X$4)*$K662*$L662</f>
        <v/>
      </c>
      <c r="AC662" s="15">
        <f>SUMPRODUCT(M662:X662,$M$5:$X$5)*$K662*$L662</f>
        <v/>
      </c>
      <c r="AD662" s="15">
        <f>SUMPRODUCT(M662:X662,$M$6:$X$6)*$K662*$L662</f>
        <v/>
      </c>
      <c r="AE662" s="19" t="n"/>
    </row>
    <row r="663">
      <c r="A663" s="9" t="n">
        <v>657649</v>
      </c>
      <c r="B663" s="9" t="inlineStr">
        <is>
          <t>Jared Koenig</t>
        </is>
      </c>
      <c r="C663" s="9" t="inlineStr">
        <is>
          <t>MIL</t>
        </is>
      </c>
      <c r="D663" s="9" t="n">
        <v>33</v>
      </c>
      <c r="E663" s="17" t="inlineStr">
        <is>
          <t>L</t>
        </is>
      </c>
      <c r="F663" s="17" t="n"/>
      <c r="G663" s="9" t="n">
        <v>41</v>
      </c>
      <c r="H663" s="9" t="n">
        <v>751</v>
      </c>
      <c r="I663" s="9" t="inlineStr">
        <is>
          <t>Bullpen Depth Arm</t>
        </is>
      </c>
      <c r="J663" s="17" t="inlineStr">
        <is>
          <t>Opening Day</t>
        </is>
      </c>
      <c r="K663" s="11">
        <f>IFERROR(INDEX(Roles!$B$17:$B$20,MATCH(J663,Roles!$A$17:$A$20,0)),1)</f>
        <v/>
      </c>
      <c r="L663" s="18" t="n">
        <v>1</v>
      </c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3">
        <f>SUMPRODUCT(M663:X663,$M$2:$X$2)*$K663*$L663</f>
        <v/>
      </c>
      <c r="Z663" s="14">
        <f>SUM(M663:X663)</f>
        <v/>
      </c>
      <c r="AA663" s="13">
        <f>SUMPRODUCT(M663:X663,$M$3:$X$3)*$K663*$L663</f>
        <v/>
      </c>
      <c r="AB663" s="13">
        <f>SUMPRODUCT(M663:X663,$M$4:$X$4)*$K663*$L663</f>
        <v/>
      </c>
      <c r="AC663" s="15">
        <f>SUMPRODUCT(M663:X663,$M$5:$X$5)*$K663*$L663</f>
        <v/>
      </c>
      <c r="AD663" s="15">
        <f>SUMPRODUCT(M663:X663,$M$6:$X$6)*$K663*$L663</f>
        <v/>
      </c>
      <c r="AE663" s="19" t="n"/>
    </row>
    <row r="664">
      <c r="A664" s="9" t="n">
        <v>681871</v>
      </c>
      <c r="B664" s="9" t="inlineStr">
        <is>
          <t>Eli Villalobos</t>
        </is>
      </c>
      <c r="C664" s="9" t="inlineStr"/>
      <c r="D664" s="9" t="n">
        <v>30</v>
      </c>
      <c r="E664" s="17" t="inlineStr">
        <is>
          <t>R</t>
        </is>
      </c>
      <c r="F664" s="17" t="n"/>
      <c r="G664" s="9" t="n">
        <v>18</v>
      </c>
      <c r="H664" s="9" t="n">
        <v>18</v>
      </c>
      <c r="I664" s="9" t="inlineStr">
        <is>
          <t>Depth (no MLB IP)</t>
        </is>
      </c>
      <c r="J664" s="17" t="inlineStr">
        <is>
          <t>Opening Day</t>
        </is>
      </c>
      <c r="K664" s="11">
        <f>IFERROR(INDEX(Roles!$B$17:$B$20,MATCH(J664,Roles!$A$17:$A$20,0)),1)</f>
        <v/>
      </c>
      <c r="L664" s="18" t="n">
        <v>1</v>
      </c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3">
        <f>SUMPRODUCT(M664:X664,$M$2:$X$2)*$K664*$L664</f>
        <v/>
      </c>
      <c r="Z664" s="14">
        <f>SUM(M664:X664)</f>
        <v/>
      </c>
      <c r="AA664" s="13">
        <f>SUMPRODUCT(M664:X664,$M$3:$X$3)*$K664*$L664</f>
        <v/>
      </c>
      <c r="AB664" s="13">
        <f>SUMPRODUCT(M664:X664,$M$4:$X$4)*$K664*$L664</f>
        <v/>
      </c>
      <c r="AC664" s="15">
        <f>SUMPRODUCT(M664:X664,$M$5:$X$5)*$K664*$L664</f>
        <v/>
      </c>
      <c r="AD664" s="15">
        <f>SUMPRODUCT(M664:X664,$M$6:$X$6)*$K664*$L664</f>
        <v/>
      </c>
      <c r="AE664" s="19" t="n"/>
    </row>
    <row r="665">
      <c r="A665" s="9" t="n">
        <v>676508</v>
      </c>
      <c r="B665" s="9" t="inlineStr">
        <is>
          <t>Ben Casparius</t>
        </is>
      </c>
      <c r="C665" s="9" t="inlineStr">
        <is>
          <t>LAD</t>
        </is>
      </c>
      <c r="D665" s="9" t="n">
        <v>28</v>
      </c>
      <c r="E665" s="17" t="inlineStr">
        <is>
          <t>R</t>
        </is>
      </c>
      <c r="F665" s="17" t="n"/>
      <c r="G665" s="9" t="n">
        <v>23</v>
      </c>
      <c r="H665" s="9" t="n">
        <v>393</v>
      </c>
      <c r="I665" s="9" t="inlineStr">
        <is>
          <t>Bullpen Depth Arm</t>
        </is>
      </c>
      <c r="J665" s="17" t="inlineStr">
        <is>
          <t>Opening Day</t>
        </is>
      </c>
      <c r="K665" s="11">
        <f>IFERROR(INDEX(Roles!$B$17:$B$20,MATCH(J665,Roles!$A$17:$A$20,0)),1)</f>
        <v/>
      </c>
      <c r="L665" s="18" t="n">
        <v>1</v>
      </c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3">
        <f>SUMPRODUCT(M665:X665,$M$2:$X$2)*$K665*$L665</f>
        <v/>
      </c>
      <c r="Z665" s="14">
        <f>SUM(M665:X665)</f>
        <v/>
      </c>
      <c r="AA665" s="13">
        <f>SUMPRODUCT(M665:X665,$M$3:$X$3)*$K665*$L665</f>
        <v/>
      </c>
      <c r="AB665" s="13">
        <f>SUMPRODUCT(M665:X665,$M$4:$X$4)*$K665*$L665</f>
        <v/>
      </c>
      <c r="AC665" s="15">
        <f>SUMPRODUCT(M665:X665,$M$5:$X$5)*$K665*$L665</f>
        <v/>
      </c>
      <c r="AD665" s="15">
        <f>SUMPRODUCT(M665:X665,$M$6:$X$6)*$K665*$L665</f>
        <v/>
      </c>
      <c r="AE665" s="19" t="n"/>
    </row>
    <row r="666">
      <c r="A666" s="9" t="n">
        <v>686654</v>
      </c>
      <c r="B666" s="9" t="inlineStr">
        <is>
          <t>Ty Adcock</t>
        </is>
      </c>
      <c r="C666" s="9" t="inlineStr">
        <is>
          <t>SEA</t>
        </is>
      </c>
      <c r="D666" s="9" t="n">
        <v>30</v>
      </c>
      <c r="E666" s="17" t="inlineStr">
        <is>
          <t>R</t>
        </is>
      </c>
      <c r="F666" s="17" t="n"/>
      <c r="G666" s="9" t="n">
        <v>14</v>
      </c>
      <c r="H666" s="9" t="n">
        <v>93</v>
      </c>
      <c r="I666" s="9" t="inlineStr">
        <is>
          <t>Depth (no MLB IP)</t>
        </is>
      </c>
      <c r="J666" s="17" t="inlineStr">
        <is>
          <t>Opening Day</t>
        </is>
      </c>
      <c r="K666" s="11">
        <f>IFERROR(INDEX(Roles!$B$17:$B$20,MATCH(J666,Roles!$A$17:$A$20,0)),1)</f>
        <v/>
      </c>
      <c r="L666" s="18" t="n">
        <v>1</v>
      </c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3">
        <f>SUMPRODUCT(M666:X666,$M$2:$X$2)*$K666*$L666</f>
        <v/>
      </c>
      <c r="Z666" s="14">
        <f>SUM(M666:X666)</f>
        <v/>
      </c>
      <c r="AA666" s="13">
        <f>SUMPRODUCT(M666:X666,$M$3:$X$3)*$K666*$L666</f>
        <v/>
      </c>
      <c r="AB666" s="13">
        <f>SUMPRODUCT(M666:X666,$M$4:$X$4)*$K666*$L666</f>
        <v/>
      </c>
      <c r="AC666" s="15">
        <f>SUMPRODUCT(M666:X666,$M$5:$X$5)*$K666*$L666</f>
        <v/>
      </c>
      <c r="AD666" s="15">
        <f>SUMPRODUCT(M666:X666,$M$6:$X$6)*$K666*$L666</f>
        <v/>
      </c>
      <c r="AE666" s="19" t="n"/>
    </row>
    <row r="667">
      <c r="A667" s="9" t="n">
        <v>668665</v>
      </c>
      <c r="B667" s="9" t="inlineStr">
        <is>
          <t>Stephen Nogosek</t>
        </is>
      </c>
      <c r="C667" s="9" t="inlineStr">
        <is>
          <t>NYM</t>
        </is>
      </c>
      <c r="D667" s="9" t="n">
        <v>32</v>
      </c>
      <c r="E667" s="17" t="inlineStr">
        <is>
          <t>R</t>
        </is>
      </c>
      <c r="F667" s="17" t="n"/>
      <c r="G667" s="9" t="n">
        <v>118</v>
      </c>
      <c r="H667" s="9" t="n">
        <v>213</v>
      </c>
      <c r="I667" s="9" t="inlineStr">
        <is>
          <t>Depth (no MLB IP)</t>
        </is>
      </c>
      <c r="J667" s="17" t="inlineStr">
        <is>
          <t>Opening Day</t>
        </is>
      </c>
      <c r="K667" s="11">
        <f>IFERROR(INDEX(Roles!$B$17:$B$20,MATCH(J667,Roles!$A$17:$A$20,0)),1)</f>
        <v/>
      </c>
      <c r="L667" s="18" t="n">
        <v>1</v>
      </c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3">
        <f>SUMPRODUCT(M667:X667,$M$2:$X$2)*$K667*$L667</f>
        <v/>
      </c>
      <c r="Z667" s="14">
        <f>SUM(M667:X667)</f>
        <v/>
      </c>
      <c r="AA667" s="13">
        <f>SUMPRODUCT(M667:X667,$M$3:$X$3)*$K667*$L667</f>
        <v/>
      </c>
      <c r="AB667" s="13">
        <f>SUMPRODUCT(M667:X667,$M$4:$X$4)*$K667*$L667</f>
        <v/>
      </c>
      <c r="AC667" s="15">
        <f>SUMPRODUCT(M667:X667,$M$5:$X$5)*$K667*$L667</f>
        <v/>
      </c>
      <c r="AD667" s="15">
        <f>SUMPRODUCT(M667:X667,$M$6:$X$6)*$K667*$L667</f>
        <v/>
      </c>
      <c r="AE667" s="19" t="n"/>
    </row>
    <row r="668">
      <c r="A668" s="9" t="n">
        <v>593423</v>
      </c>
      <c r="B668" s="9" t="inlineStr">
        <is>
          <t>Frankie Montas</t>
        </is>
      </c>
      <c r="C668" s="9" t="inlineStr">
        <is>
          <t>NYM</t>
        </is>
      </c>
      <c r="D668" s="9" t="n">
        <v>34</v>
      </c>
      <c r="E668" s="17" t="inlineStr">
        <is>
          <t>R</t>
        </is>
      </c>
      <c r="F668" s="17" t="n"/>
      <c r="G668" s="9" t="n">
        <v>178</v>
      </c>
      <c r="H668" s="9" t="n">
        <v>1448</v>
      </c>
      <c r="I668" s="9" t="inlineStr">
        <is>
          <t>End-of-Rotation Starter (SP4-5)</t>
        </is>
      </c>
      <c r="J668" s="17" t="inlineStr">
        <is>
          <t>Opening Day</t>
        </is>
      </c>
      <c r="K668" s="11">
        <f>IFERROR(INDEX(Roles!$B$17:$B$20,MATCH(J668,Roles!$A$17:$A$20,0)),1)</f>
        <v/>
      </c>
      <c r="L668" s="18" t="n">
        <v>1</v>
      </c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3">
        <f>SUMPRODUCT(M668:X668,$M$2:$X$2)*$K668*$L668</f>
        <v/>
      </c>
      <c r="Z668" s="14">
        <f>SUM(M668:X668)</f>
        <v/>
      </c>
      <c r="AA668" s="13">
        <f>SUMPRODUCT(M668:X668,$M$3:$X$3)*$K668*$L668</f>
        <v/>
      </c>
      <c r="AB668" s="13">
        <f>SUMPRODUCT(M668:X668,$M$4:$X$4)*$K668*$L668</f>
        <v/>
      </c>
      <c r="AC668" s="15">
        <f>SUMPRODUCT(M668:X668,$M$5:$X$5)*$K668*$L668</f>
        <v/>
      </c>
      <c r="AD668" s="15">
        <f>SUMPRODUCT(M668:X668,$M$6:$X$6)*$K668*$L668</f>
        <v/>
      </c>
      <c r="AE668" s="19" t="n"/>
    </row>
    <row r="669">
      <c r="A669" s="9" t="n">
        <v>666277</v>
      </c>
      <c r="B669" s="9" t="inlineStr">
        <is>
          <t>George Soriano</t>
        </is>
      </c>
      <c r="C669" s="9" t="inlineStr">
        <is>
          <t>STL</t>
        </is>
      </c>
      <c r="D669" s="9" t="n">
        <v>28</v>
      </c>
      <c r="E669" s="17" t="inlineStr">
        <is>
          <t>R</t>
        </is>
      </c>
      <c r="F669" s="17" t="n"/>
      <c r="G669" s="9" t="n">
        <v>283</v>
      </c>
      <c r="H669" s="9" t="n">
        <v>815</v>
      </c>
      <c r="I669" s="9" t="inlineStr">
        <is>
          <t>Bullpen Depth Arm</t>
        </is>
      </c>
      <c r="J669" s="17" t="inlineStr">
        <is>
          <t>Opening Day</t>
        </is>
      </c>
      <c r="K669" s="11">
        <f>IFERROR(INDEX(Roles!$B$17:$B$20,MATCH(J669,Roles!$A$17:$A$20,0)),1)</f>
        <v/>
      </c>
      <c r="L669" s="18" t="n">
        <v>1</v>
      </c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3">
        <f>SUMPRODUCT(M669:X669,$M$2:$X$2)*$K669*$L669</f>
        <v/>
      </c>
      <c r="Z669" s="14">
        <f>SUM(M669:X669)</f>
        <v/>
      </c>
      <c r="AA669" s="13">
        <f>SUMPRODUCT(M669:X669,$M$3:$X$3)*$K669*$L669</f>
        <v/>
      </c>
      <c r="AB669" s="13">
        <f>SUMPRODUCT(M669:X669,$M$4:$X$4)*$K669*$L669</f>
        <v/>
      </c>
      <c r="AC669" s="15">
        <f>SUMPRODUCT(M669:X669,$M$5:$X$5)*$K669*$L669</f>
        <v/>
      </c>
      <c r="AD669" s="15">
        <f>SUMPRODUCT(M669:X669,$M$6:$X$6)*$K669*$L669</f>
        <v/>
      </c>
      <c r="AE669" s="19" t="n"/>
    </row>
    <row r="670">
      <c r="A670" s="9" t="n">
        <v>664285</v>
      </c>
      <c r="B670" s="9" t="inlineStr">
        <is>
          <t>Framber Valdez</t>
        </is>
      </c>
      <c r="C670" s="9" t="inlineStr">
        <is>
          <t>DET</t>
        </is>
      </c>
      <c r="D670" s="9" t="n">
        <v>33</v>
      </c>
      <c r="E670" s="17" t="inlineStr">
        <is>
          <t>L</t>
        </is>
      </c>
      <c r="F670" s="17" t="n"/>
      <c r="G670" s="9" t="n">
        <v>713</v>
      </c>
      <c r="H670" s="9" t="n">
        <v>3853</v>
      </c>
      <c r="I670" s="9" t="inlineStr">
        <is>
          <t>Ace (SP1)</t>
        </is>
      </c>
      <c r="J670" s="17" t="inlineStr">
        <is>
          <t>Opening Day</t>
        </is>
      </c>
      <c r="K670" s="11">
        <f>IFERROR(INDEX(Roles!$B$17:$B$20,MATCH(J670,Roles!$A$17:$A$20,0)),1)</f>
        <v/>
      </c>
      <c r="L670" s="18" t="n">
        <v>1</v>
      </c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3">
        <f>SUMPRODUCT(M670:X670,$M$2:$X$2)*$K670*$L670</f>
        <v/>
      </c>
      <c r="Z670" s="14">
        <f>SUM(M670:X670)</f>
        <v/>
      </c>
      <c r="AA670" s="13">
        <f>SUMPRODUCT(M670:X670,$M$3:$X$3)*$K670*$L670</f>
        <v/>
      </c>
      <c r="AB670" s="13">
        <f>SUMPRODUCT(M670:X670,$M$4:$X$4)*$K670*$L670</f>
        <v/>
      </c>
      <c r="AC670" s="15">
        <f>SUMPRODUCT(M670:X670,$M$5:$X$5)*$K670*$L670</f>
        <v/>
      </c>
      <c r="AD670" s="15">
        <f>SUMPRODUCT(M670:X670,$M$6:$X$6)*$K670*$L670</f>
        <v/>
      </c>
      <c r="AE670" s="19" t="n"/>
    </row>
    <row r="671">
      <c r="A671" s="9" t="n">
        <v>692024</v>
      </c>
      <c r="B671" s="9" t="inlineStr">
        <is>
          <t>Alex Carrillo</t>
        </is>
      </c>
      <c r="C671" s="9" t="inlineStr"/>
      <c r="D671" s="9" t="n">
        <v>30</v>
      </c>
      <c r="E671" s="17" t="inlineStr">
        <is>
          <t>R</t>
        </is>
      </c>
      <c r="F671" s="17" t="n"/>
      <c r="G671" s="9" t="n">
        <v>22</v>
      </c>
      <c r="H671" s="9" t="n">
        <v>22</v>
      </c>
      <c r="I671" s="9" t="inlineStr">
        <is>
          <t>Depth (no MLB IP)</t>
        </is>
      </c>
      <c r="J671" s="17" t="inlineStr">
        <is>
          <t>Opening Day</t>
        </is>
      </c>
      <c r="K671" s="11">
        <f>IFERROR(INDEX(Roles!$B$17:$B$20,MATCH(J671,Roles!$A$17:$A$20,0)),1)</f>
        <v/>
      </c>
      <c r="L671" s="18" t="n">
        <v>1</v>
      </c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3">
        <f>SUMPRODUCT(M671:X671,$M$2:$X$2)*$K671*$L671</f>
        <v/>
      </c>
      <c r="Z671" s="14">
        <f>SUM(M671:X671)</f>
        <v/>
      </c>
      <c r="AA671" s="13">
        <f>SUMPRODUCT(M671:X671,$M$3:$X$3)*$K671*$L671</f>
        <v/>
      </c>
      <c r="AB671" s="13">
        <f>SUMPRODUCT(M671:X671,$M$4:$X$4)*$K671*$L671</f>
        <v/>
      </c>
      <c r="AC671" s="15">
        <f>SUMPRODUCT(M671:X671,$M$5:$X$5)*$K671*$L671</f>
        <v/>
      </c>
      <c r="AD671" s="15">
        <f>SUMPRODUCT(M671:X671,$M$6:$X$6)*$K671*$L671</f>
        <v/>
      </c>
      <c r="AE671" s="19" t="n"/>
    </row>
    <row r="672">
      <c r="A672" s="9" t="n">
        <v>670059</v>
      </c>
      <c r="B672" s="9" t="inlineStr">
        <is>
          <t>Colin Holderman</t>
        </is>
      </c>
      <c r="C672" s="9" t="inlineStr">
        <is>
          <t>CLE</t>
        </is>
      </c>
      <c r="D672" s="9" t="n">
        <v>31</v>
      </c>
      <c r="E672" s="17" t="inlineStr">
        <is>
          <t>R</t>
        </is>
      </c>
      <c r="F672" s="17" t="n"/>
      <c r="G672" s="9" t="n">
        <v>222</v>
      </c>
      <c r="H672" s="9" t="n">
        <v>928</v>
      </c>
      <c r="I672" s="9" t="inlineStr">
        <is>
          <t>Bullpen Depth Arm</t>
        </is>
      </c>
      <c r="J672" s="17" t="inlineStr">
        <is>
          <t>Opening Day</t>
        </is>
      </c>
      <c r="K672" s="11">
        <f>IFERROR(INDEX(Roles!$B$17:$B$20,MATCH(J672,Roles!$A$17:$A$20,0)),1)</f>
        <v/>
      </c>
      <c r="L672" s="18" t="n">
        <v>1</v>
      </c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3">
        <f>SUMPRODUCT(M672:X672,$M$2:$X$2)*$K672*$L672</f>
        <v/>
      </c>
      <c r="Z672" s="14">
        <f>SUM(M672:X672)</f>
        <v/>
      </c>
      <c r="AA672" s="13">
        <f>SUMPRODUCT(M672:X672,$M$3:$X$3)*$K672*$L672</f>
        <v/>
      </c>
      <c r="AB672" s="13">
        <f>SUMPRODUCT(M672:X672,$M$4:$X$4)*$K672*$L672</f>
        <v/>
      </c>
      <c r="AC672" s="15">
        <f>SUMPRODUCT(M672:X672,$M$5:$X$5)*$K672*$L672</f>
        <v/>
      </c>
      <c r="AD672" s="15">
        <f>SUMPRODUCT(M672:X672,$M$6:$X$6)*$K672*$L672</f>
        <v/>
      </c>
      <c r="AE672" s="19" t="n"/>
    </row>
    <row r="673">
      <c r="A673" s="9" t="n">
        <v>678011</v>
      </c>
      <c r="B673" s="9" t="inlineStr">
        <is>
          <t>Anthony Seigler</t>
        </is>
      </c>
      <c r="C673" s="9" t="inlineStr"/>
      <c r="D673" s="9" t="n">
        <v>28</v>
      </c>
      <c r="E673" s="17" t="inlineStr">
        <is>
          <t>S</t>
        </is>
      </c>
      <c r="F673" s="17" t="n"/>
      <c r="G673" s="9" t="n">
        <v>4</v>
      </c>
      <c r="H673" s="9" t="n">
        <v>4</v>
      </c>
      <c r="I673" s="9" t="inlineStr">
        <is>
          <t>Depth (no MLB IP)</t>
        </is>
      </c>
      <c r="J673" s="17" t="inlineStr">
        <is>
          <t>Opening Day</t>
        </is>
      </c>
      <c r="K673" s="11">
        <f>IFERROR(INDEX(Roles!$B$17:$B$20,MATCH(J673,Roles!$A$17:$A$20,0)),1)</f>
        <v/>
      </c>
      <c r="L673" s="18" t="n">
        <v>1</v>
      </c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3">
        <f>SUMPRODUCT(M673:X673,$M$2:$X$2)*$K673*$L673</f>
        <v/>
      </c>
      <c r="Z673" s="14">
        <f>SUM(M673:X673)</f>
        <v/>
      </c>
      <c r="AA673" s="13">
        <f>SUMPRODUCT(M673:X673,$M$3:$X$3)*$K673*$L673</f>
        <v/>
      </c>
      <c r="AB673" s="13">
        <f>SUMPRODUCT(M673:X673,$M$4:$X$4)*$K673*$L673</f>
        <v/>
      </c>
      <c r="AC673" s="15">
        <f>SUMPRODUCT(M673:X673,$M$5:$X$5)*$K673*$L673</f>
        <v/>
      </c>
      <c r="AD673" s="15">
        <f>SUMPRODUCT(M673:X673,$M$6:$X$6)*$K673*$L673</f>
        <v/>
      </c>
      <c r="AE673" s="19" t="n"/>
    </row>
    <row r="674">
      <c r="A674" s="9" t="n">
        <v>687985</v>
      </c>
      <c r="B674" s="9" t="inlineStr">
        <is>
          <t>Josh White</t>
        </is>
      </c>
      <c r="C674" s="9" t="inlineStr"/>
      <c r="D674" s="9" t="n">
        <v>26</v>
      </c>
      <c r="E674" s="17" t="inlineStr">
        <is>
          <t>R</t>
        </is>
      </c>
      <c r="F674" s="17" t="n"/>
      <c r="G674" s="9" t="n">
        <v>8</v>
      </c>
      <c r="H674" s="9" t="n">
        <v>8</v>
      </c>
      <c r="I674" s="9" t="inlineStr">
        <is>
          <t>Depth (no MLB IP)</t>
        </is>
      </c>
      <c r="J674" s="17" t="inlineStr">
        <is>
          <t>Opening Day</t>
        </is>
      </c>
      <c r="K674" s="11">
        <f>IFERROR(INDEX(Roles!$B$17:$B$20,MATCH(J674,Roles!$A$17:$A$20,0)),1)</f>
        <v/>
      </c>
      <c r="L674" s="18" t="n">
        <v>1</v>
      </c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3">
        <f>SUMPRODUCT(M674:X674,$M$2:$X$2)*$K674*$L674</f>
        <v/>
      </c>
      <c r="Z674" s="14">
        <f>SUM(M674:X674)</f>
        <v/>
      </c>
      <c r="AA674" s="13">
        <f>SUMPRODUCT(M674:X674,$M$3:$X$3)*$K674*$L674</f>
        <v/>
      </c>
      <c r="AB674" s="13">
        <f>SUMPRODUCT(M674:X674,$M$4:$X$4)*$K674*$L674</f>
        <v/>
      </c>
      <c r="AC674" s="15">
        <f>SUMPRODUCT(M674:X674,$M$5:$X$5)*$K674*$L674</f>
        <v/>
      </c>
      <c r="AD674" s="15">
        <f>SUMPRODUCT(M674:X674,$M$6:$X$6)*$K674*$L674</f>
        <v/>
      </c>
      <c r="AE674" s="19" t="n"/>
    </row>
    <row r="675">
      <c r="A675" s="9" t="n">
        <v>701474</v>
      </c>
      <c r="B675" s="9" t="inlineStr">
        <is>
          <t>Duncan Davitt</t>
        </is>
      </c>
      <c r="C675" s="9" t="inlineStr"/>
      <c r="D675" s="9" t="n">
        <v>27</v>
      </c>
      <c r="E675" s="17" t="inlineStr">
        <is>
          <t>R</t>
        </is>
      </c>
      <c r="F675" s="17" t="n"/>
      <c r="G675" s="9" t="n">
        <v>8</v>
      </c>
      <c r="H675" s="9" t="n">
        <v>8</v>
      </c>
      <c r="I675" s="9" t="inlineStr">
        <is>
          <t>Depth (no MLB IP)</t>
        </is>
      </c>
      <c r="J675" s="17" t="inlineStr">
        <is>
          <t>Opening Day</t>
        </is>
      </c>
      <c r="K675" s="11">
        <f>IFERROR(INDEX(Roles!$B$17:$B$20,MATCH(J675,Roles!$A$17:$A$20,0)),1)</f>
        <v/>
      </c>
      <c r="L675" s="18" t="n">
        <v>1</v>
      </c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3">
        <f>SUMPRODUCT(M675:X675,$M$2:$X$2)*$K675*$L675</f>
        <v/>
      </c>
      <c r="Z675" s="14">
        <f>SUM(M675:X675)</f>
        <v/>
      </c>
      <c r="AA675" s="13">
        <f>SUMPRODUCT(M675:X675,$M$3:$X$3)*$K675*$L675</f>
        <v/>
      </c>
      <c r="AB675" s="13">
        <f>SUMPRODUCT(M675:X675,$M$4:$X$4)*$K675*$L675</f>
        <v/>
      </c>
      <c r="AC675" s="15">
        <f>SUMPRODUCT(M675:X675,$M$5:$X$5)*$K675*$L675</f>
        <v/>
      </c>
      <c r="AD675" s="15">
        <f>SUMPRODUCT(M675:X675,$M$6:$X$6)*$K675*$L675</f>
        <v/>
      </c>
      <c r="AE675" s="19" t="n"/>
    </row>
    <row r="676">
      <c r="A676" s="9" t="n">
        <v>676272</v>
      </c>
      <c r="B676" s="9" t="inlineStr">
        <is>
          <t>Bobby Miller</t>
        </is>
      </c>
      <c r="C676" s="9" t="inlineStr">
        <is>
          <t>LAD</t>
        </is>
      </c>
      <c r="D676" s="9" t="n">
        <v>28</v>
      </c>
      <c r="E676" s="17" t="inlineStr">
        <is>
          <t>R</t>
        </is>
      </c>
      <c r="F676" s="17" t="n"/>
      <c r="G676" s="9" t="n">
        <v>24</v>
      </c>
      <c r="H676" s="9" t="n">
        <v>815</v>
      </c>
      <c r="I676" s="9" t="inlineStr">
        <is>
          <t>End-of-Rotation Starter (SP4-5)</t>
        </is>
      </c>
      <c r="J676" s="17" t="inlineStr">
        <is>
          <t>Opening Day</t>
        </is>
      </c>
      <c r="K676" s="11">
        <f>IFERROR(INDEX(Roles!$B$17:$B$20,MATCH(J676,Roles!$A$17:$A$20,0)),1)</f>
        <v/>
      </c>
      <c r="L676" s="18" t="n">
        <v>1</v>
      </c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3">
        <f>SUMPRODUCT(M676:X676,$M$2:$X$2)*$K676*$L676</f>
        <v/>
      </c>
      <c r="Z676" s="14">
        <f>SUM(M676:X676)</f>
        <v/>
      </c>
      <c r="AA676" s="13">
        <f>SUMPRODUCT(M676:X676,$M$3:$X$3)*$K676*$L676</f>
        <v/>
      </c>
      <c r="AB676" s="13">
        <f>SUMPRODUCT(M676:X676,$M$4:$X$4)*$K676*$L676</f>
        <v/>
      </c>
      <c r="AC676" s="15">
        <f>SUMPRODUCT(M676:X676,$M$5:$X$5)*$K676*$L676</f>
        <v/>
      </c>
      <c r="AD676" s="15">
        <f>SUMPRODUCT(M676:X676,$M$6:$X$6)*$K676*$L676</f>
        <v/>
      </c>
      <c r="AE676" s="19" t="n"/>
    </row>
    <row r="677">
      <c r="A677" s="9" t="n">
        <v>623520</v>
      </c>
      <c r="B677" s="9" t="inlineStr">
        <is>
          <t>David Bote</t>
        </is>
      </c>
      <c r="C677" s="9" t="inlineStr"/>
      <c r="D677" s="9" t="n">
        <v>34</v>
      </c>
      <c r="E677" s="17" t="inlineStr">
        <is>
          <t>R</t>
        </is>
      </c>
      <c r="F677" s="17" t="n"/>
      <c r="G677" s="9" t="n">
        <v>5</v>
      </c>
      <c r="H677" s="9" t="n">
        <v>5</v>
      </c>
      <c r="I677" s="9" t="inlineStr">
        <is>
          <t>Depth (no MLB IP)</t>
        </is>
      </c>
      <c r="J677" s="17" t="inlineStr">
        <is>
          <t>Opening Day</t>
        </is>
      </c>
      <c r="K677" s="11">
        <f>IFERROR(INDEX(Roles!$B$17:$B$20,MATCH(J677,Roles!$A$17:$A$20,0)),1)</f>
        <v/>
      </c>
      <c r="L677" s="18" t="n">
        <v>1</v>
      </c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3">
        <f>SUMPRODUCT(M677:X677,$M$2:$X$2)*$K677*$L677</f>
        <v/>
      </c>
      <c r="Z677" s="14">
        <f>SUM(M677:X677)</f>
        <v/>
      </c>
      <c r="AA677" s="13">
        <f>SUMPRODUCT(M677:X677,$M$3:$X$3)*$K677*$L677</f>
        <v/>
      </c>
      <c r="AB677" s="13">
        <f>SUMPRODUCT(M677:X677,$M$4:$X$4)*$K677*$L677</f>
        <v/>
      </c>
      <c r="AC677" s="15">
        <f>SUMPRODUCT(M677:X677,$M$5:$X$5)*$K677*$L677</f>
        <v/>
      </c>
      <c r="AD677" s="15">
        <f>SUMPRODUCT(M677:X677,$M$6:$X$6)*$K677*$L677</f>
        <v/>
      </c>
      <c r="AE677" s="19" t="n"/>
    </row>
    <row r="678">
      <c r="A678" s="9" t="n">
        <v>656976</v>
      </c>
      <c r="B678" s="9" t="inlineStr">
        <is>
          <t>Pavin Smith</t>
        </is>
      </c>
      <c r="C678" s="9" t="inlineStr"/>
      <c r="D678" s="9" t="n">
        <v>31</v>
      </c>
      <c r="E678" s="17" t="inlineStr">
        <is>
          <t>L</t>
        </is>
      </c>
      <c r="F678" s="17" t="n"/>
      <c r="G678" s="9" t="n">
        <v>5</v>
      </c>
      <c r="H678" s="9" t="n">
        <v>5</v>
      </c>
      <c r="I678" s="9" t="inlineStr">
        <is>
          <t>Depth (no MLB IP)</t>
        </is>
      </c>
      <c r="J678" s="17" t="inlineStr">
        <is>
          <t>Opening Day</t>
        </is>
      </c>
      <c r="K678" s="11">
        <f>IFERROR(INDEX(Roles!$B$17:$B$20,MATCH(J678,Roles!$A$17:$A$20,0)),1)</f>
        <v/>
      </c>
      <c r="L678" s="18" t="n">
        <v>1</v>
      </c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3">
        <f>SUMPRODUCT(M678:X678,$M$2:$X$2)*$K678*$L678</f>
        <v/>
      </c>
      <c r="Z678" s="14">
        <f>SUM(M678:X678)</f>
        <v/>
      </c>
      <c r="AA678" s="13">
        <f>SUMPRODUCT(M678:X678,$M$3:$X$3)*$K678*$L678</f>
        <v/>
      </c>
      <c r="AB678" s="13">
        <f>SUMPRODUCT(M678:X678,$M$4:$X$4)*$K678*$L678</f>
        <v/>
      </c>
      <c r="AC678" s="15">
        <f>SUMPRODUCT(M678:X678,$M$5:$X$5)*$K678*$L678</f>
        <v/>
      </c>
      <c r="AD678" s="15">
        <f>SUMPRODUCT(M678:X678,$M$6:$X$6)*$K678*$L678</f>
        <v/>
      </c>
      <c r="AE678" s="19" t="n"/>
    </row>
    <row r="679">
      <c r="A679" s="9" t="n">
        <v>656669</v>
      </c>
      <c r="B679" s="9" t="inlineStr">
        <is>
          <t>Jordan Luplow</t>
        </is>
      </c>
      <c r="C679" s="9" t="inlineStr"/>
      <c r="D679" s="9" t="n">
        <v>33</v>
      </c>
      <c r="E679" s="17" t="inlineStr">
        <is>
          <t>R</t>
        </is>
      </c>
      <c r="F679" s="17" t="n"/>
      <c r="G679" s="9" t="n">
        <v>6</v>
      </c>
      <c r="H679" s="9" t="n">
        <v>6</v>
      </c>
      <c r="I679" s="9" t="inlineStr">
        <is>
          <t>Depth (no MLB IP)</t>
        </is>
      </c>
      <c r="J679" s="17" t="inlineStr">
        <is>
          <t>Opening Day</t>
        </is>
      </c>
      <c r="K679" s="11">
        <f>IFERROR(INDEX(Roles!$B$17:$B$20,MATCH(J679,Roles!$A$17:$A$20,0)),1)</f>
        <v/>
      </c>
      <c r="L679" s="18" t="n">
        <v>1</v>
      </c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3">
        <f>SUMPRODUCT(M679:X679,$M$2:$X$2)*$K679*$L679</f>
        <v/>
      </c>
      <c r="Z679" s="14">
        <f>SUM(M679:X679)</f>
        <v/>
      </c>
      <c r="AA679" s="13">
        <f>SUMPRODUCT(M679:X679,$M$3:$X$3)*$K679*$L679</f>
        <v/>
      </c>
      <c r="AB679" s="13">
        <f>SUMPRODUCT(M679:X679,$M$4:$X$4)*$K679*$L679</f>
        <v/>
      </c>
      <c r="AC679" s="15">
        <f>SUMPRODUCT(M679:X679,$M$5:$X$5)*$K679*$L679</f>
        <v/>
      </c>
      <c r="AD679" s="15">
        <f>SUMPRODUCT(M679:X679,$M$6:$X$6)*$K679*$L679</f>
        <v/>
      </c>
      <c r="AE679" s="19" t="n"/>
    </row>
    <row r="680">
      <c r="A680" s="9" t="n">
        <v>681987</v>
      </c>
      <c r="B680" s="9" t="inlineStr">
        <is>
          <t>Nate Eaton</t>
        </is>
      </c>
      <c r="C680" s="9" t="inlineStr"/>
      <c r="D680" s="9" t="n">
        <v>30</v>
      </c>
      <c r="E680" s="17" t="inlineStr">
        <is>
          <t>R</t>
        </is>
      </c>
      <c r="F680" s="17" t="n"/>
      <c r="G680" s="9" t="n">
        <v>4</v>
      </c>
      <c r="H680" s="9" t="n">
        <v>9</v>
      </c>
      <c r="I680" s="9" t="inlineStr">
        <is>
          <t>Depth (no MLB IP)</t>
        </is>
      </c>
      <c r="J680" s="17" t="inlineStr">
        <is>
          <t>Opening Day</t>
        </is>
      </c>
      <c r="K680" s="11">
        <f>IFERROR(INDEX(Roles!$B$17:$B$20,MATCH(J680,Roles!$A$17:$A$20,0)),1)</f>
        <v/>
      </c>
      <c r="L680" s="18" t="n">
        <v>1</v>
      </c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3">
        <f>SUMPRODUCT(M680:X680,$M$2:$X$2)*$K680*$L680</f>
        <v/>
      </c>
      <c r="Z680" s="14">
        <f>SUM(M680:X680)</f>
        <v/>
      </c>
      <c r="AA680" s="13">
        <f>SUMPRODUCT(M680:X680,$M$3:$X$3)*$K680*$L680</f>
        <v/>
      </c>
      <c r="AB680" s="13">
        <f>SUMPRODUCT(M680:X680,$M$4:$X$4)*$K680*$L680</f>
        <v/>
      </c>
      <c r="AC680" s="15">
        <f>SUMPRODUCT(M680:X680,$M$5:$X$5)*$K680*$L680</f>
        <v/>
      </c>
      <c r="AD680" s="15">
        <f>SUMPRODUCT(M680:X680,$M$6:$X$6)*$K680*$L680</f>
        <v/>
      </c>
      <c r="AE680" s="19" t="n"/>
    </row>
    <row r="681">
      <c r="A681" s="9" t="n">
        <v>814005</v>
      </c>
      <c r="B681" s="9" t="inlineStr">
        <is>
          <t>Jake Bloss</t>
        </is>
      </c>
      <c r="C681" s="9" t="inlineStr">
        <is>
          <t>HOU</t>
        </is>
      </c>
      <c r="D681" s="9" t="n">
        <v>26</v>
      </c>
      <c r="E681" s="17" t="inlineStr">
        <is>
          <t>R</t>
        </is>
      </c>
      <c r="F681" s="17" t="n"/>
      <c r="G681" s="9" t="n">
        <v>55</v>
      </c>
      <c r="H681" s="9" t="n">
        <v>55</v>
      </c>
      <c r="I681" s="9" t="inlineStr">
        <is>
          <t>Depth (no MLB IP)</t>
        </is>
      </c>
      <c r="J681" s="17" t="inlineStr">
        <is>
          <t>Opening Day</t>
        </is>
      </c>
      <c r="K681" s="11">
        <f>IFERROR(INDEX(Roles!$B$17:$B$20,MATCH(J681,Roles!$A$17:$A$20,0)),1)</f>
        <v/>
      </c>
      <c r="L681" s="18" t="n">
        <v>1</v>
      </c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3">
        <f>SUMPRODUCT(M681:X681,$M$2:$X$2)*$K681*$L681</f>
        <v/>
      </c>
      <c r="Z681" s="14">
        <f>SUM(M681:X681)</f>
        <v/>
      </c>
      <c r="AA681" s="13">
        <f>SUMPRODUCT(M681:X681,$M$3:$X$3)*$K681*$L681</f>
        <v/>
      </c>
      <c r="AB681" s="13">
        <f>SUMPRODUCT(M681:X681,$M$4:$X$4)*$K681*$L681</f>
        <v/>
      </c>
      <c r="AC681" s="15">
        <f>SUMPRODUCT(M681:X681,$M$5:$X$5)*$K681*$L681</f>
        <v/>
      </c>
      <c r="AD681" s="15">
        <f>SUMPRODUCT(M681:X681,$M$6:$X$6)*$K681*$L681</f>
        <v/>
      </c>
      <c r="AE681" s="19" t="n"/>
    </row>
    <row r="682">
      <c r="A682" s="9" t="n">
        <v>677955</v>
      </c>
      <c r="B682" s="9" t="inlineStr">
        <is>
          <t>Jaden Hill</t>
        </is>
      </c>
      <c r="C682" s="9" t="inlineStr">
        <is>
          <t>COL</t>
        </is>
      </c>
      <c r="D682" s="9" t="n">
        <v>27</v>
      </c>
      <c r="E682" s="17" t="inlineStr">
        <is>
          <t>R</t>
        </is>
      </c>
      <c r="F682" s="17" t="n"/>
      <c r="G682" s="9" t="n">
        <v>168</v>
      </c>
      <c r="H682" s="9" t="n">
        <v>342</v>
      </c>
      <c r="I682" s="9" t="inlineStr">
        <is>
          <t>Bullpen Depth Arm</t>
        </is>
      </c>
      <c r="J682" s="17" t="inlineStr">
        <is>
          <t>Opening Day</t>
        </is>
      </c>
      <c r="K682" s="11">
        <f>IFERROR(INDEX(Roles!$B$17:$B$20,MATCH(J682,Roles!$A$17:$A$20,0)),1)</f>
        <v/>
      </c>
      <c r="L682" s="18" t="n">
        <v>1</v>
      </c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3">
        <f>SUMPRODUCT(M682:X682,$M$2:$X$2)*$K682*$L682</f>
        <v/>
      </c>
      <c r="Z682" s="14">
        <f>SUM(M682:X682)</f>
        <v/>
      </c>
      <c r="AA682" s="13">
        <f>SUMPRODUCT(M682:X682,$M$3:$X$3)*$K682*$L682</f>
        <v/>
      </c>
      <c r="AB682" s="13">
        <f>SUMPRODUCT(M682:X682,$M$4:$X$4)*$K682*$L682</f>
        <v/>
      </c>
      <c r="AC682" s="15">
        <f>SUMPRODUCT(M682:X682,$M$5:$X$5)*$K682*$L682</f>
        <v/>
      </c>
      <c r="AD682" s="15">
        <f>SUMPRODUCT(M682:X682,$M$6:$X$6)*$K682*$L682</f>
        <v/>
      </c>
      <c r="AE682" s="19" t="n"/>
    </row>
    <row r="683">
      <c r="A683" s="9" t="n">
        <v>641835</v>
      </c>
      <c r="B683" s="9" t="inlineStr">
        <is>
          <t>Tim Mayza</t>
        </is>
      </c>
      <c r="C683" s="9" t="inlineStr">
        <is>
          <t>PHI</t>
        </is>
      </c>
      <c r="D683" s="9" t="n">
        <v>35</v>
      </c>
      <c r="E683" s="17" t="inlineStr">
        <is>
          <t>L</t>
        </is>
      </c>
      <c r="F683" s="17" t="n"/>
      <c r="G683" s="9" t="n">
        <v>253</v>
      </c>
      <c r="H683" s="9" t="n">
        <v>930</v>
      </c>
      <c r="I683" s="9" t="inlineStr">
        <is>
          <t>Bullpen Depth Arm</t>
        </is>
      </c>
      <c r="J683" s="17" t="inlineStr">
        <is>
          <t>Opening Day</t>
        </is>
      </c>
      <c r="K683" s="11">
        <f>IFERROR(INDEX(Roles!$B$17:$B$20,MATCH(J683,Roles!$A$17:$A$20,0)),1)</f>
        <v/>
      </c>
      <c r="L683" s="18" t="n">
        <v>1</v>
      </c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3">
        <f>SUMPRODUCT(M683:X683,$M$2:$X$2)*$K683*$L683</f>
        <v/>
      </c>
      <c r="Z683" s="14">
        <f>SUM(M683:X683)</f>
        <v/>
      </c>
      <c r="AA683" s="13">
        <f>SUMPRODUCT(M683:X683,$M$3:$X$3)*$K683*$L683</f>
        <v/>
      </c>
      <c r="AB683" s="13">
        <f>SUMPRODUCT(M683:X683,$M$4:$X$4)*$K683*$L683</f>
        <v/>
      </c>
      <c r="AC683" s="15">
        <f>SUMPRODUCT(M683:X683,$M$5:$X$5)*$K683*$L683</f>
        <v/>
      </c>
      <c r="AD683" s="15">
        <f>SUMPRODUCT(M683:X683,$M$6:$X$6)*$K683*$L683</f>
        <v/>
      </c>
      <c r="AE683" s="19" t="n"/>
    </row>
    <row r="684">
      <c r="A684" s="9" t="n">
        <v>694359</v>
      </c>
      <c r="B684" s="9" t="inlineStr">
        <is>
          <t>Niko Kavadas</t>
        </is>
      </c>
      <c r="C684" s="9" t="inlineStr"/>
      <c r="D684" s="9" t="n">
        <v>28</v>
      </c>
      <c r="E684" s="17" t="inlineStr">
        <is>
          <t>R</t>
        </is>
      </c>
      <c r="F684" s="17" t="n"/>
      <c r="G684" s="9" t="n">
        <v>9</v>
      </c>
      <c r="H684" s="9" t="n">
        <v>9</v>
      </c>
      <c r="I684" s="9" t="inlineStr">
        <is>
          <t>Depth (no MLB IP)</t>
        </is>
      </c>
      <c r="J684" s="17" t="inlineStr">
        <is>
          <t>Opening Day</t>
        </is>
      </c>
      <c r="K684" s="11">
        <f>IFERROR(INDEX(Roles!$B$17:$B$20,MATCH(J684,Roles!$A$17:$A$20,0)),1)</f>
        <v/>
      </c>
      <c r="L684" s="18" t="n">
        <v>1</v>
      </c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3">
        <f>SUMPRODUCT(M684:X684,$M$2:$X$2)*$K684*$L684</f>
        <v/>
      </c>
      <c r="Z684" s="14">
        <f>SUM(M684:X684)</f>
        <v/>
      </c>
      <c r="AA684" s="13">
        <f>SUMPRODUCT(M684:X684,$M$3:$X$3)*$K684*$L684</f>
        <v/>
      </c>
      <c r="AB684" s="13">
        <f>SUMPRODUCT(M684:X684,$M$4:$X$4)*$K684*$L684</f>
        <v/>
      </c>
      <c r="AC684" s="15">
        <f>SUMPRODUCT(M684:X684,$M$5:$X$5)*$K684*$L684</f>
        <v/>
      </c>
      <c r="AD684" s="15">
        <f>SUMPRODUCT(M684:X684,$M$6:$X$6)*$K684*$L684</f>
        <v/>
      </c>
      <c r="AE684" s="19" t="n"/>
    </row>
    <row r="685">
      <c r="A685" s="9" t="n">
        <v>687166</v>
      </c>
      <c r="B685" s="9" t="inlineStr">
        <is>
          <t>Austin Pope</t>
        </is>
      </c>
      <c r="C685" s="9" t="inlineStr"/>
      <c r="D685" s="9" t="n">
        <v>28</v>
      </c>
      <c r="E685" s="17" t="inlineStr">
        <is>
          <t>R</t>
        </is>
      </c>
      <c r="F685" s="17" t="n"/>
      <c r="G685" s="9" t="n">
        <v>9</v>
      </c>
      <c r="H685" s="9" t="n">
        <v>9</v>
      </c>
      <c r="I685" s="9" t="inlineStr">
        <is>
          <t>Depth (no MLB IP)</t>
        </is>
      </c>
      <c r="J685" s="17" t="inlineStr">
        <is>
          <t>Opening Day</t>
        </is>
      </c>
      <c r="K685" s="11">
        <f>IFERROR(INDEX(Roles!$B$17:$B$20,MATCH(J685,Roles!$A$17:$A$20,0)),1)</f>
        <v/>
      </c>
      <c r="L685" s="18" t="n">
        <v>1</v>
      </c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3">
        <f>SUMPRODUCT(M685:X685,$M$2:$X$2)*$K685*$L685</f>
        <v/>
      </c>
      <c r="Z685" s="14">
        <f>SUM(M685:X685)</f>
        <v/>
      </c>
      <c r="AA685" s="13">
        <f>SUMPRODUCT(M685:X685,$M$3:$X$3)*$K685*$L685</f>
        <v/>
      </c>
      <c r="AB685" s="13">
        <f>SUMPRODUCT(M685:X685,$M$4:$X$4)*$K685*$L685</f>
        <v/>
      </c>
      <c r="AC685" s="15">
        <f>SUMPRODUCT(M685:X685,$M$5:$X$5)*$K685*$L685</f>
        <v/>
      </c>
      <c r="AD685" s="15">
        <f>SUMPRODUCT(M685:X685,$M$6:$X$6)*$K685*$L685</f>
        <v/>
      </c>
      <c r="AE685" s="19" t="n"/>
    </row>
    <row r="686">
      <c r="A686" s="9" t="n">
        <v>669713</v>
      </c>
      <c r="B686" s="9" t="inlineStr">
        <is>
          <t>Hayden Wesneski</t>
        </is>
      </c>
      <c r="C686" s="9" t="inlineStr">
        <is>
          <t>HOU</t>
        </is>
      </c>
      <c r="D686" s="9" t="n">
        <v>29</v>
      </c>
      <c r="E686" s="17" t="inlineStr">
        <is>
          <t>R</t>
        </is>
      </c>
      <c r="F686" s="17" t="n"/>
      <c r="G686" s="9" t="n">
        <v>198</v>
      </c>
      <c r="H686" s="9" t="n">
        <v>1123</v>
      </c>
      <c r="I686" s="9" t="inlineStr">
        <is>
          <t>End-of-Rotation Starter (SP4-5)</t>
        </is>
      </c>
      <c r="J686" s="17" t="inlineStr">
        <is>
          <t>Opening Day</t>
        </is>
      </c>
      <c r="K686" s="11">
        <f>IFERROR(INDEX(Roles!$B$17:$B$20,MATCH(J686,Roles!$A$17:$A$20,0)),1)</f>
        <v/>
      </c>
      <c r="L686" s="18" t="n">
        <v>1</v>
      </c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3">
        <f>SUMPRODUCT(M686:X686,$M$2:$X$2)*$K686*$L686</f>
        <v/>
      </c>
      <c r="Z686" s="14">
        <f>SUM(M686:X686)</f>
        <v/>
      </c>
      <c r="AA686" s="13">
        <f>SUMPRODUCT(M686:X686,$M$3:$X$3)*$K686*$L686</f>
        <v/>
      </c>
      <c r="AB686" s="13">
        <f>SUMPRODUCT(M686:X686,$M$4:$X$4)*$K686*$L686</f>
        <v/>
      </c>
      <c r="AC686" s="15">
        <f>SUMPRODUCT(M686:X686,$M$5:$X$5)*$K686*$L686</f>
        <v/>
      </c>
      <c r="AD686" s="15">
        <f>SUMPRODUCT(M686:X686,$M$6:$X$6)*$K686*$L686</f>
        <v/>
      </c>
      <c r="AE686" s="19" t="n"/>
    </row>
    <row r="687">
      <c r="A687" s="9" t="n">
        <v>685107</v>
      </c>
      <c r="B687" s="9" t="inlineStr">
        <is>
          <t>Anthony Veneziano</t>
        </is>
      </c>
      <c r="C687" s="9" t="inlineStr">
        <is>
          <t>STL</t>
        </is>
      </c>
      <c r="D687" s="9" t="n">
        <v>29</v>
      </c>
      <c r="E687" s="17" t="inlineStr">
        <is>
          <t>L</t>
        </is>
      </c>
      <c r="F687" s="17" t="n"/>
      <c r="G687" s="9" t="n">
        <v>117</v>
      </c>
      <c r="H687" s="9" t="n">
        <v>187</v>
      </c>
      <c r="I687" s="9" t="inlineStr">
        <is>
          <t>Bullpen Depth Arm</t>
        </is>
      </c>
      <c r="J687" s="17" t="inlineStr">
        <is>
          <t>Opening Day</t>
        </is>
      </c>
      <c r="K687" s="11">
        <f>IFERROR(INDEX(Roles!$B$17:$B$20,MATCH(J687,Roles!$A$17:$A$20,0)),1)</f>
        <v/>
      </c>
      <c r="L687" s="18" t="n">
        <v>1</v>
      </c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3">
        <f>SUMPRODUCT(M687:X687,$M$2:$X$2)*$K687*$L687</f>
        <v/>
      </c>
      <c r="Z687" s="14">
        <f>SUM(M687:X687)</f>
        <v/>
      </c>
      <c r="AA687" s="13">
        <f>SUMPRODUCT(M687:X687,$M$3:$X$3)*$K687*$L687</f>
        <v/>
      </c>
      <c r="AB687" s="13">
        <f>SUMPRODUCT(M687:X687,$M$4:$X$4)*$K687*$L687</f>
        <v/>
      </c>
      <c r="AC687" s="15">
        <f>SUMPRODUCT(M687:X687,$M$5:$X$5)*$K687*$L687</f>
        <v/>
      </c>
      <c r="AD687" s="15">
        <f>SUMPRODUCT(M687:X687,$M$6:$X$6)*$K687*$L687</f>
        <v/>
      </c>
      <c r="AE687" s="19" t="n"/>
    </row>
    <row r="688">
      <c r="A688" s="9" t="n">
        <v>595411</v>
      </c>
      <c r="B688" s="9" t="inlineStr">
        <is>
          <t>Ryan Sherriff</t>
        </is>
      </c>
      <c r="C688" s="9" t="inlineStr">
        <is>
          <t>BOS</t>
        </is>
      </c>
      <c r="D688" s="9" t="n">
        <v>37</v>
      </c>
      <c r="E688" s="17" t="inlineStr">
        <is>
          <t>L</t>
        </is>
      </c>
      <c r="F688" s="17" t="n"/>
      <c r="G688" s="9" t="n">
        <v>29</v>
      </c>
      <c r="H688" s="9" t="n">
        <v>29</v>
      </c>
      <c r="I688" s="9" t="inlineStr">
        <is>
          <t>Depth (no MLB IP)</t>
        </is>
      </c>
      <c r="J688" s="17" t="inlineStr">
        <is>
          <t>Opening Day</t>
        </is>
      </c>
      <c r="K688" s="11">
        <f>IFERROR(INDEX(Roles!$B$17:$B$20,MATCH(J688,Roles!$A$17:$A$20,0)),1)</f>
        <v/>
      </c>
      <c r="L688" s="18" t="n">
        <v>1</v>
      </c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3">
        <f>SUMPRODUCT(M688:X688,$M$2:$X$2)*$K688*$L688</f>
        <v/>
      </c>
      <c r="Z688" s="14">
        <f>SUM(M688:X688)</f>
        <v/>
      </c>
      <c r="AA688" s="13">
        <f>SUMPRODUCT(M688:X688,$M$3:$X$3)*$K688*$L688</f>
        <v/>
      </c>
      <c r="AB688" s="13">
        <f>SUMPRODUCT(M688:X688,$M$4:$X$4)*$K688*$L688</f>
        <v/>
      </c>
      <c r="AC688" s="15">
        <f>SUMPRODUCT(M688:X688,$M$5:$X$5)*$K688*$L688</f>
        <v/>
      </c>
      <c r="AD688" s="15">
        <f>SUMPRODUCT(M688:X688,$M$6:$X$6)*$K688*$L688</f>
        <v/>
      </c>
      <c r="AE688" s="19" t="n"/>
    </row>
    <row r="689">
      <c r="A689" s="9" t="n">
        <v>502083</v>
      </c>
      <c r="B689" s="9" t="inlineStr">
        <is>
          <t>Zach McAllister</t>
        </is>
      </c>
      <c r="C689" s="9" t="inlineStr">
        <is>
          <t>NYY</t>
        </is>
      </c>
      <c r="D689" s="9" t="n">
        <v>39</v>
      </c>
      <c r="E689" s="17" t="inlineStr">
        <is>
          <t>R</t>
        </is>
      </c>
      <c r="F689" s="17" t="n"/>
      <c r="G689" s="9" t="n">
        <v>29</v>
      </c>
      <c r="H689" s="9" t="n">
        <v>29</v>
      </c>
      <c r="I689" s="9" t="inlineStr">
        <is>
          <t>Depth (no MLB IP)</t>
        </is>
      </c>
      <c r="J689" s="17" t="inlineStr">
        <is>
          <t>Opening Day</t>
        </is>
      </c>
      <c r="K689" s="11">
        <f>IFERROR(INDEX(Roles!$B$17:$B$20,MATCH(J689,Roles!$A$17:$A$20,0)),1)</f>
        <v/>
      </c>
      <c r="L689" s="18" t="n">
        <v>1</v>
      </c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3">
        <f>SUMPRODUCT(M689:X689,$M$2:$X$2)*$K689*$L689</f>
        <v/>
      </c>
      <c r="Z689" s="14">
        <f>SUM(M689:X689)</f>
        <v/>
      </c>
      <c r="AA689" s="13">
        <f>SUMPRODUCT(M689:X689,$M$3:$X$3)*$K689*$L689</f>
        <v/>
      </c>
      <c r="AB689" s="13">
        <f>SUMPRODUCT(M689:X689,$M$4:$X$4)*$K689*$L689</f>
        <v/>
      </c>
      <c r="AC689" s="15">
        <f>SUMPRODUCT(M689:X689,$M$5:$X$5)*$K689*$L689</f>
        <v/>
      </c>
      <c r="AD689" s="15">
        <f>SUMPRODUCT(M689:X689,$M$6:$X$6)*$K689*$L689</f>
        <v/>
      </c>
      <c r="AE689" s="19" t="n"/>
    </row>
    <row r="690">
      <c r="A690" s="9" t="n">
        <v>592222</v>
      </c>
      <c r="B690" s="9" t="inlineStr">
        <is>
          <t>Alex Claudio</t>
        </is>
      </c>
      <c r="C690" s="9" t="inlineStr"/>
      <c r="D690" s="9" t="n">
        <v>35</v>
      </c>
      <c r="E690" s="17" t="inlineStr">
        <is>
          <t>L</t>
        </is>
      </c>
      <c r="F690" s="17" t="n"/>
      <c r="G690" s="9" t="n">
        <v>3</v>
      </c>
      <c r="H690" s="9" t="n">
        <v>16</v>
      </c>
      <c r="I690" s="9" t="inlineStr">
        <is>
          <t>Depth (no MLB IP)</t>
        </is>
      </c>
      <c r="J690" s="17" t="inlineStr">
        <is>
          <t>Opening Day</t>
        </is>
      </c>
      <c r="K690" s="11">
        <f>IFERROR(INDEX(Roles!$B$17:$B$20,MATCH(J690,Roles!$A$17:$A$20,0)),1)</f>
        <v/>
      </c>
      <c r="L690" s="18" t="n">
        <v>1</v>
      </c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3">
        <f>SUMPRODUCT(M690:X690,$M$2:$X$2)*$K690*$L690</f>
        <v/>
      </c>
      <c r="Z690" s="14">
        <f>SUM(M690:X690)</f>
        <v/>
      </c>
      <c r="AA690" s="13">
        <f>SUMPRODUCT(M690:X690,$M$3:$X$3)*$K690*$L690</f>
        <v/>
      </c>
      <c r="AB690" s="13">
        <f>SUMPRODUCT(M690:X690,$M$4:$X$4)*$K690*$L690</f>
        <v/>
      </c>
      <c r="AC690" s="15">
        <f>SUMPRODUCT(M690:X690,$M$5:$X$5)*$K690*$L690</f>
        <v/>
      </c>
      <c r="AD690" s="15">
        <f>SUMPRODUCT(M690:X690,$M$6:$X$6)*$K690*$L690</f>
        <v/>
      </c>
      <c r="AE690" s="19" t="n"/>
    </row>
    <row r="691">
      <c r="A691" s="9" t="n">
        <v>702674</v>
      </c>
      <c r="B691" s="9" t="inlineStr">
        <is>
          <t>Caden Dana</t>
        </is>
      </c>
      <c r="C691" s="9" t="inlineStr">
        <is>
          <t>LAA</t>
        </is>
      </c>
      <c r="D691" s="9" t="n">
        <v>23</v>
      </c>
      <c r="E691" s="17" t="inlineStr">
        <is>
          <t>R</t>
        </is>
      </c>
      <c r="F691" s="17" t="n"/>
      <c r="G691" s="9" t="n">
        <v>141</v>
      </c>
      <c r="H691" s="9" t="n">
        <v>193</v>
      </c>
      <c r="I691" s="9" t="inlineStr">
        <is>
          <t>End-of-Rotation Starter (SP4-5)</t>
        </is>
      </c>
      <c r="J691" s="17" t="inlineStr">
        <is>
          <t>Opening Day</t>
        </is>
      </c>
      <c r="K691" s="11">
        <f>IFERROR(INDEX(Roles!$B$17:$B$20,MATCH(J691,Roles!$A$17:$A$20,0)),1)</f>
        <v/>
      </c>
      <c r="L691" s="18" t="n">
        <v>1</v>
      </c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3">
        <f>SUMPRODUCT(M691:X691,$M$2:$X$2)*$K691*$L691</f>
        <v/>
      </c>
      <c r="Z691" s="14">
        <f>SUM(M691:X691)</f>
        <v/>
      </c>
      <c r="AA691" s="13">
        <f>SUMPRODUCT(M691:X691,$M$3:$X$3)*$K691*$L691</f>
        <v/>
      </c>
      <c r="AB691" s="13">
        <f>SUMPRODUCT(M691:X691,$M$4:$X$4)*$K691*$L691</f>
        <v/>
      </c>
      <c r="AC691" s="15">
        <f>SUMPRODUCT(M691:X691,$M$5:$X$5)*$K691*$L691</f>
        <v/>
      </c>
      <c r="AD691" s="15">
        <f>SUMPRODUCT(M691:X691,$M$6:$X$6)*$K691*$L691</f>
        <v/>
      </c>
      <c r="AE691" s="19" t="n"/>
    </row>
    <row r="692">
      <c r="A692" s="9" t="n">
        <v>664062</v>
      </c>
      <c r="B692" s="9" t="inlineStr">
        <is>
          <t>Tony Gonsolin</t>
        </is>
      </c>
      <c r="C692" s="9" t="inlineStr">
        <is>
          <t>LAD</t>
        </is>
      </c>
      <c r="D692" s="9" t="n">
        <v>33</v>
      </c>
      <c r="E692" s="17" t="inlineStr">
        <is>
          <t>R</t>
        </is>
      </c>
      <c r="F692" s="17" t="n"/>
      <c r="G692" s="9" t="n">
        <v>157</v>
      </c>
      <c r="H692" s="9" t="n">
        <v>1090</v>
      </c>
      <c r="I692" s="9" t="inlineStr">
        <is>
          <t>Mid-Rotation Starter (SP2-3)</t>
        </is>
      </c>
      <c r="J692" s="17" t="inlineStr">
        <is>
          <t>Opening Day</t>
        </is>
      </c>
      <c r="K692" s="11">
        <f>IFERROR(INDEX(Roles!$B$17:$B$20,MATCH(J692,Roles!$A$17:$A$20,0)),1)</f>
        <v/>
      </c>
      <c r="L692" s="18" t="n">
        <v>1</v>
      </c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3">
        <f>SUMPRODUCT(M692:X692,$M$2:$X$2)*$K692*$L692</f>
        <v/>
      </c>
      <c r="Z692" s="14">
        <f>SUM(M692:X692)</f>
        <v/>
      </c>
      <c r="AA692" s="13">
        <f>SUMPRODUCT(M692:X692,$M$3:$X$3)*$K692*$L692</f>
        <v/>
      </c>
      <c r="AB692" s="13">
        <f>SUMPRODUCT(M692:X692,$M$4:$X$4)*$K692*$L692</f>
        <v/>
      </c>
      <c r="AC692" s="15">
        <f>SUMPRODUCT(M692:X692,$M$5:$X$5)*$K692*$L692</f>
        <v/>
      </c>
      <c r="AD692" s="15">
        <f>SUMPRODUCT(M692:X692,$M$6:$X$6)*$K692*$L692</f>
        <v/>
      </c>
      <c r="AE692" s="19" t="n"/>
    </row>
    <row r="693">
      <c r="A693" s="9" t="n">
        <v>684320</v>
      </c>
      <c r="B693" s="9" t="inlineStr">
        <is>
          <t>Yariel Rodríguez</t>
        </is>
      </c>
      <c r="C693" s="9" t="inlineStr">
        <is>
          <t>TOR</t>
        </is>
      </c>
      <c r="D693" s="9" t="n">
        <v>30</v>
      </c>
      <c r="E693" s="17" t="inlineStr">
        <is>
          <t>R</t>
        </is>
      </c>
      <c r="F693" s="17" t="n"/>
      <c r="G693" s="9" t="n">
        <v>45</v>
      </c>
      <c r="H693" s="9" t="n">
        <v>711</v>
      </c>
      <c r="I693" s="9" t="inlineStr">
        <is>
          <t>Bullpen Depth Arm</t>
        </is>
      </c>
      <c r="J693" s="17" t="inlineStr">
        <is>
          <t>Opening Day</t>
        </is>
      </c>
      <c r="K693" s="11">
        <f>IFERROR(INDEX(Roles!$B$17:$B$20,MATCH(J693,Roles!$A$17:$A$20,0)),1)</f>
        <v/>
      </c>
      <c r="L693" s="18" t="n">
        <v>1</v>
      </c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3">
        <f>SUMPRODUCT(M693:X693,$M$2:$X$2)*$K693*$L693</f>
        <v/>
      </c>
      <c r="Z693" s="14">
        <f>SUM(M693:X693)</f>
        <v/>
      </c>
      <c r="AA693" s="13">
        <f>SUMPRODUCT(M693:X693,$M$3:$X$3)*$K693*$L693</f>
        <v/>
      </c>
      <c r="AB693" s="13">
        <f>SUMPRODUCT(M693:X693,$M$4:$X$4)*$K693*$L693</f>
        <v/>
      </c>
      <c r="AC693" s="15">
        <f>SUMPRODUCT(M693:X693,$M$5:$X$5)*$K693*$L693</f>
        <v/>
      </c>
      <c r="AD693" s="15">
        <f>SUMPRODUCT(M693:X693,$M$6:$X$6)*$K693*$L693</f>
        <v/>
      </c>
      <c r="AE693" s="19" t="n"/>
    </row>
    <row r="694">
      <c r="A694" s="9" t="n">
        <v>672442</v>
      </c>
      <c r="B694" s="9" t="inlineStr">
        <is>
          <t>Yovanny Cruz</t>
        </is>
      </c>
      <c r="C694" s="9" t="inlineStr">
        <is>
          <t>WSH</t>
        </is>
      </c>
      <c r="D694" s="9" t="n">
        <v>27</v>
      </c>
      <c r="E694" s="17" t="inlineStr">
        <is>
          <t>R</t>
        </is>
      </c>
      <c r="F694" s="17" t="n"/>
      <c r="G694" s="9" t="n">
        <v>54</v>
      </c>
      <c r="H694" s="9" t="n">
        <v>54</v>
      </c>
      <c r="I694" s="9" t="inlineStr">
        <is>
          <t>Bullpen Depth Arm</t>
        </is>
      </c>
      <c r="J694" s="17" t="inlineStr">
        <is>
          <t>Opening Day</t>
        </is>
      </c>
      <c r="K694" s="11">
        <f>IFERROR(INDEX(Roles!$B$17:$B$20,MATCH(J694,Roles!$A$17:$A$20,0)),1)</f>
        <v/>
      </c>
      <c r="L694" s="18" t="n">
        <v>1</v>
      </c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3">
        <f>SUMPRODUCT(M694:X694,$M$2:$X$2)*$K694*$L694</f>
        <v/>
      </c>
      <c r="Z694" s="14">
        <f>SUM(M694:X694)</f>
        <v/>
      </c>
      <c r="AA694" s="13">
        <f>SUMPRODUCT(M694:X694,$M$3:$X$3)*$K694*$L694</f>
        <v/>
      </c>
      <c r="AB694" s="13">
        <f>SUMPRODUCT(M694:X694,$M$4:$X$4)*$K694*$L694</f>
        <v/>
      </c>
      <c r="AC694" s="15">
        <f>SUMPRODUCT(M694:X694,$M$5:$X$5)*$K694*$L694</f>
        <v/>
      </c>
      <c r="AD694" s="15">
        <f>SUMPRODUCT(M694:X694,$M$6:$X$6)*$K694*$L694</f>
        <v/>
      </c>
      <c r="AE694" s="19" t="n"/>
    </row>
    <row r="695">
      <c r="A695" s="9" t="n">
        <v>668674</v>
      </c>
      <c r="B695" s="9" t="inlineStr">
        <is>
          <t>Lucas Erceg</t>
        </is>
      </c>
      <c r="C695" s="9" t="inlineStr">
        <is>
          <t>KC</t>
        </is>
      </c>
      <c r="D695" s="9" t="n">
        <v>32</v>
      </c>
      <c r="E695" s="17" t="inlineStr">
        <is>
          <t>R</t>
        </is>
      </c>
      <c r="F695" s="17" t="n"/>
      <c r="G695" s="9" t="n">
        <v>211</v>
      </c>
      <c r="H695" s="9" t="n">
        <v>964</v>
      </c>
      <c r="I695" s="9" t="inlineStr">
        <is>
          <t>Middle Relief</t>
        </is>
      </c>
      <c r="J695" s="17" t="inlineStr">
        <is>
          <t>Opening Day</t>
        </is>
      </c>
      <c r="K695" s="11">
        <f>IFERROR(INDEX(Roles!$B$17:$B$20,MATCH(J695,Roles!$A$17:$A$20,0)),1)</f>
        <v/>
      </c>
      <c r="L695" s="18" t="n">
        <v>1</v>
      </c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3">
        <f>SUMPRODUCT(M695:X695,$M$2:$X$2)*$K695*$L695</f>
        <v/>
      </c>
      <c r="Z695" s="14">
        <f>SUM(M695:X695)</f>
        <v/>
      </c>
      <c r="AA695" s="13">
        <f>SUMPRODUCT(M695:X695,$M$3:$X$3)*$K695*$L695</f>
        <v/>
      </c>
      <c r="AB695" s="13">
        <f>SUMPRODUCT(M695:X695,$M$4:$X$4)*$K695*$L695</f>
        <v/>
      </c>
      <c r="AC695" s="15">
        <f>SUMPRODUCT(M695:X695,$M$5:$X$5)*$K695*$L695</f>
        <v/>
      </c>
      <c r="AD695" s="15">
        <f>SUMPRODUCT(M695:X695,$M$6:$X$6)*$K695*$L695</f>
        <v/>
      </c>
      <c r="AE695" s="19" t="n"/>
    </row>
    <row r="696">
      <c r="A696" s="9" t="n">
        <v>669193</v>
      </c>
      <c r="B696" s="9" t="inlineStr">
        <is>
          <t>Jack Little</t>
        </is>
      </c>
      <c r="C696" s="9" t="inlineStr"/>
      <c r="D696" s="9" t="n">
        <v>29</v>
      </c>
      <c r="E696" s="17" t="inlineStr">
        <is>
          <t>R</t>
        </is>
      </c>
      <c r="F696" s="17" t="n"/>
      <c r="G696" s="9" t="n">
        <v>14</v>
      </c>
      <c r="H696" s="9" t="n">
        <v>14</v>
      </c>
      <c r="I696" s="9" t="inlineStr">
        <is>
          <t>Depth (no MLB IP)</t>
        </is>
      </c>
      <c r="J696" s="17" t="inlineStr">
        <is>
          <t>Opening Day</t>
        </is>
      </c>
      <c r="K696" s="11">
        <f>IFERROR(INDEX(Roles!$B$17:$B$20,MATCH(J696,Roles!$A$17:$A$20,0)),1)</f>
        <v/>
      </c>
      <c r="L696" s="18" t="n">
        <v>1</v>
      </c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3">
        <f>SUMPRODUCT(M696:X696,$M$2:$X$2)*$K696*$L696</f>
        <v/>
      </c>
      <c r="Z696" s="14">
        <f>SUM(M696:X696)</f>
        <v/>
      </c>
      <c r="AA696" s="13">
        <f>SUMPRODUCT(M696:X696,$M$3:$X$3)*$K696*$L696</f>
        <v/>
      </c>
      <c r="AB696" s="13">
        <f>SUMPRODUCT(M696:X696,$M$4:$X$4)*$K696*$L696</f>
        <v/>
      </c>
      <c r="AC696" s="15">
        <f>SUMPRODUCT(M696:X696,$M$5:$X$5)*$K696*$L696</f>
        <v/>
      </c>
      <c r="AD696" s="15">
        <f>SUMPRODUCT(M696:X696,$M$6:$X$6)*$K696*$L696</f>
        <v/>
      </c>
      <c r="AE696" s="19" t="n"/>
    </row>
    <row r="697">
      <c r="A697" s="9" t="n">
        <v>592351</v>
      </c>
      <c r="B697" s="9" t="inlineStr">
        <is>
          <t>Jon Gray</t>
        </is>
      </c>
      <c r="C697" s="9" t="inlineStr">
        <is>
          <t>TEX</t>
        </is>
      </c>
      <c r="D697" s="9" t="n">
        <v>35</v>
      </c>
      <c r="E697" s="17" t="inlineStr">
        <is>
          <t>R</t>
        </is>
      </c>
      <c r="F697" s="17" t="n"/>
      <c r="G697" s="9" t="n">
        <v>63</v>
      </c>
      <c r="H697" s="9" t="n">
        <v>1679</v>
      </c>
      <c r="I697" s="9" t="inlineStr">
        <is>
          <t>End-of-Rotation Starter (SP4-5)</t>
        </is>
      </c>
      <c r="J697" s="17" t="inlineStr">
        <is>
          <t>Opening Day</t>
        </is>
      </c>
      <c r="K697" s="11">
        <f>IFERROR(INDEX(Roles!$B$17:$B$20,MATCH(J697,Roles!$A$17:$A$20,0)),1)</f>
        <v/>
      </c>
      <c r="L697" s="18" t="n">
        <v>1</v>
      </c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3">
        <f>SUMPRODUCT(M697:X697,$M$2:$X$2)*$K697*$L697</f>
        <v/>
      </c>
      <c r="Z697" s="14">
        <f>SUM(M697:X697)</f>
        <v/>
      </c>
      <c r="AA697" s="13">
        <f>SUMPRODUCT(M697:X697,$M$3:$X$3)*$K697*$L697</f>
        <v/>
      </c>
      <c r="AB697" s="13">
        <f>SUMPRODUCT(M697:X697,$M$4:$X$4)*$K697*$L697</f>
        <v/>
      </c>
      <c r="AC697" s="15">
        <f>SUMPRODUCT(M697:X697,$M$5:$X$5)*$K697*$L697</f>
        <v/>
      </c>
      <c r="AD697" s="15">
        <f>SUMPRODUCT(M697:X697,$M$6:$X$6)*$K697*$L697</f>
        <v/>
      </c>
      <c r="AE697" s="19" t="n"/>
    </row>
    <row r="698">
      <c r="A698" s="9" t="n">
        <v>656234</v>
      </c>
      <c r="B698" s="9" t="inlineStr">
        <is>
          <t>Jake Bird</t>
        </is>
      </c>
      <c r="C698" s="9" t="inlineStr">
        <is>
          <t>WSH</t>
        </is>
      </c>
      <c r="D698" s="9" t="n">
        <v>31</v>
      </c>
      <c r="E698" s="17" t="inlineStr">
        <is>
          <t>R</t>
        </is>
      </c>
      <c r="F698" s="17" t="n"/>
      <c r="G698" s="9" t="n">
        <v>172</v>
      </c>
      <c r="H698" s="9" t="n">
        <v>1197</v>
      </c>
      <c r="I698" s="9" t="inlineStr">
        <is>
          <t>Middle Relief</t>
        </is>
      </c>
      <c r="J698" s="17" t="inlineStr">
        <is>
          <t>Opening Day</t>
        </is>
      </c>
      <c r="K698" s="11">
        <f>IFERROR(INDEX(Roles!$B$17:$B$20,MATCH(J698,Roles!$A$17:$A$20,0)),1)</f>
        <v/>
      </c>
      <c r="L698" s="18" t="n">
        <v>1</v>
      </c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3">
        <f>SUMPRODUCT(M698:X698,$M$2:$X$2)*$K698*$L698</f>
        <v/>
      </c>
      <c r="Z698" s="14">
        <f>SUM(M698:X698)</f>
        <v/>
      </c>
      <c r="AA698" s="13">
        <f>SUMPRODUCT(M698:X698,$M$3:$X$3)*$K698*$L698</f>
        <v/>
      </c>
      <c r="AB698" s="13">
        <f>SUMPRODUCT(M698:X698,$M$4:$X$4)*$K698*$L698</f>
        <v/>
      </c>
      <c r="AC698" s="15">
        <f>SUMPRODUCT(M698:X698,$M$5:$X$5)*$K698*$L698</f>
        <v/>
      </c>
      <c r="AD698" s="15">
        <f>SUMPRODUCT(M698:X698,$M$6:$X$6)*$K698*$L698</f>
        <v/>
      </c>
      <c r="AE698" s="19" t="n"/>
    </row>
    <row r="699">
      <c r="A699" s="9" t="n">
        <v>669298</v>
      </c>
      <c r="B699" s="9" t="inlineStr">
        <is>
          <t>TJ Shook</t>
        </is>
      </c>
      <c r="C699" s="9" t="inlineStr">
        <is>
          <t>COL</t>
        </is>
      </c>
      <c r="D699" s="9" t="n">
        <v>29</v>
      </c>
      <c r="E699" s="17" t="inlineStr">
        <is>
          <t>R</t>
        </is>
      </c>
      <c r="F699" s="17" t="n"/>
      <c r="G699" s="9" t="n">
        <v>36</v>
      </c>
      <c r="H699" s="9" t="n">
        <v>36</v>
      </c>
      <c r="I699" s="9" t="inlineStr">
        <is>
          <t>Bullpen Depth Arm</t>
        </is>
      </c>
      <c r="J699" s="17" t="inlineStr">
        <is>
          <t>Opening Day</t>
        </is>
      </c>
      <c r="K699" s="11">
        <f>IFERROR(INDEX(Roles!$B$17:$B$20,MATCH(J699,Roles!$A$17:$A$20,0)),1)</f>
        <v/>
      </c>
      <c r="L699" s="18" t="n">
        <v>1</v>
      </c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3">
        <f>SUMPRODUCT(M699:X699,$M$2:$X$2)*$K699*$L699</f>
        <v/>
      </c>
      <c r="Z699" s="14">
        <f>SUM(M699:X699)</f>
        <v/>
      </c>
      <c r="AA699" s="13">
        <f>SUMPRODUCT(M699:X699,$M$3:$X$3)*$K699*$L699</f>
        <v/>
      </c>
      <c r="AB699" s="13">
        <f>SUMPRODUCT(M699:X699,$M$4:$X$4)*$K699*$L699</f>
        <v/>
      </c>
      <c r="AC699" s="15">
        <f>SUMPRODUCT(M699:X699,$M$5:$X$5)*$K699*$L699</f>
        <v/>
      </c>
      <c r="AD699" s="15">
        <f>SUMPRODUCT(M699:X699,$M$6:$X$6)*$K699*$L699</f>
        <v/>
      </c>
      <c r="AE699" s="19" t="n"/>
    </row>
    <row r="700">
      <c r="A700" s="9" t="n">
        <v>682515</v>
      </c>
      <c r="B700" s="9" t="inlineStr">
        <is>
          <t>Logan Porter</t>
        </is>
      </c>
      <c r="C700" s="9" t="inlineStr"/>
      <c r="D700" s="9" t="n">
        <v>31</v>
      </c>
      <c r="E700" s="17" t="inlineStr">
        <is>
          <t>R</t>
        </is>
      </c>
      <c r="F700" s="17" t="n"/>
      <c r="G700" s="9" t="n">
        <v>5</v>
      </c>
      <c r="H700" s="9" t="n">
        <v>5</v>
      </c>
      <c r="I700" s="9" t="inlineStr">
        <is>
          <t>Depth (no MLB IP)</t>
        </is>
      </c>
      <c r="J700" s="17" t="inlineStr">
        <is>
          <t>Opening Day</t>
        </is>
      </c>
      <c r="K700" s="11">
        <f>IFERROR(INDEX(Roles!$B$17:$B$20,MATCH(J700,Roles!$A$17:$A$20,0)),1)</f>
        <v/>
      </c>
      <c r="L700" s="18" t="n">
        <v>1</v>
      </c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3">
        <f>SUMPRODUCT(M700:X700,$M$2:$X$2)*$K700*$L700</f>
        <v/>
      </c>
      <c r="Z700" s="14">
        <f>SUM(M700:X700)</f>
        <v/>
      </c>
      <c r="AA700" s="13">
        <f>SUMPRODUCT(M700:X700,$M$3:$X$3)*$K700*$L700</f>
        <v/>
      </c>
      <c r="AB700" s="13">
        <f>SUMPRODUCT(M700:X700,$M$4:$X$4)*$K700*$L700</f>
        <v/>
      </c>
      <c r="AC700" s="15">
        <f>SUMPRODUCT(M700:X700,$M$5:$X$5)*$K700*$L700</f>
        <v/>
      </c>
      <c r="AD700" s="15">
        <f>SUMPRODUCT(M700:X700,$M$6:$X$6)*$K700*$L700</f>
        <v/>
      </c>
      <c r="AE700" s="19" t="n"/>
    </row>
    <row r="701">
      <c r="A701" s="9" t="n">
        <v>621294</v>
      </c>
      <c r="B701" s="9" t="inlineStr">
        <is>
          <t>Ben Heller</t>
        </is>
      </c>
      <c r="C701" s="9" t="inlineStr">
        <is>
          <t>PIT</t>
        </is>
      </c>
      <c r="D701" s="9" t="n">
        <v>35</v>
      </c>
      <c r="E701" s="17" t="inlineStr">
        <is>
          <t>R</t>
        </is>
      </c>
      <c r="F701" s="17" t="n"/>
      <c r="G701" s="9" t="n">
        <v>66</v>
      </c>
      <c r="H701" s="9" t="n">
        <v>148</v>
      </c>
      <c r="I701" s="9" t="inlineStr">
        <is>
          <t>Depth (no MLB IP)</t>
        </is>
      </c>
      <c r="J701" s="17" t="inlineStr">
        <is>
          <t>Opening Day</t>
        </is>
      </c>
      <c r="K701" s="11">
        <f>IFERROR(INDEX(Roles!$B$17:$B$20,MATCH(J701,Roles!$A$17:$A$20,0)),1)</f>
        <v/>
      </c>
      <c r="L701" s="18" t="n">
        <v>1</v>
      </c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3">
        <f>SUMPRODUCT(M701:X701,$M$2:$X$2)*$K701*$L701</f>
        <v/>
      </c>
      <c r="Z701" s="14">
        <f>SUM(M701:X701)</f>
        <v/>
      </c>
      <c r="AA701" s="13">
        <f>SUMPRODUCT(M701:X701,$M$3:$X$3)*$K701*$L701</f>
        <v/>
      </c>
      <c r="AB701" s="13">
        <f>SUMPRODUCT(M701:X701,$M$4:$X$4)*$K701*$L701</f>
        <v/>
      </c>
      <c r="AC701" s="15">
        <f>SUMPRODUCT(M701:X701,$M$5:$X$5)*$K701*$L701</f>
        <v/>
      </c>
      <c r="AD701" s="15">
        <f>SUMPRODUCT(M701:X701,$M$6:$X$6)*$K701*$L701</f>
        <v/>
      </c>
      <c r="AE701" s="19" t="n"/>
    </row>
    <row r="702">
      <c r="A702" s="9" t="n">
        <v>676755</v>
      </c>
      <c r="B702" s="9" t="inlineStr">
        <is>
          <t>Isaac Mattson</t>
        </is>
      </c>
      <c r="C702" s="9" t="inlineStr">
        <is>
          <t>PIT</t>
        </is>
      </c>
      <c r="D702" s="9" t="n">
        <v>31</v>
      </c>
      <c r="E702" s="17" t="inlineStr">
        <is>
          <t>R</t>
        </is>
      </c>
      <c r="F702" s="17" t="n"/>
      <c r="G702" s="9" t="n">
        <v>176</v>
      </c>
      <c r="H702" s="9" t="n">
        <v>397</v>
      </c>
      <c r="I702" s="9" t="inlineStr">
        <is>
          <t>Bullpen Depth Arm</t>
        </is>
      </c>
      <c r="J702" s="17" t="inlineStr">
        <is>
          <t>Opening Day</t>
        </is>
      </c>
      <c r="K702" s="11">
        <f>IFERROR(INDEX(Roles!$B$17:$B$20,MATCH(J702,Roles!$A$17:$A$20,0)),1)</f>
        <v/>
      </c>
      <c r="L702" s="18" t="n">
        <v>1</v>
      </c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3">
        <f>SUMPRODUCT(M702:X702,$M$2:$X$2)*$K702*$L702</f>
        <v/>
      </c>
      <c r="Z702" s="14">
        <f>SUM(M702:X702)</f>
        <v/>
      </c>
      <c r="AA702" s="13">
        <f>SUMPRODUCT(M702:X702,$M$3:$X$3)*$K702*$L702</f>
        <v/>
      </c>
      <c r="AB702" s="13">
        <f>SUMPRODUCT(M702:X702,$M$4:$X$4)*$K702*$L702</f>
        <v/>
      </c>
      <c r="AC702" s="15">
        <f>SUMPRODUCT(M702:X702,$M$5:$X$5)*$K702*$L702</f>
        <v/>
      </c>
      <c r="AD702" s="15">
        <f>SUMPRODUCT(M702:X702,$M$6:$X$6)*$K702*$L702</f>
        <v/>
      </c>
      <c r="AE702" s="19" t="n"/>
    </row>
    <row r="703">
      <c r="A703" s="9" t="n">
        <v>801725</v>
      </c>
      <c r="B703" s="9" t="inlineStr">
        <is>
          <t>Luis De León</t>
        </is>
      </c>
      <c r="C703" s="9" t="inlineStr">
        <is>
          <t>BAL</t>
        </is>
      </c>
      <c r="D703" s="9" t="n">
        <v>24</v>
      </c>
      <c r="E703" s="17" t="inlineStr">
        <is>
          <t>L</t>
        </is>
      </c>
      <c r="F703" s="17" t="n"/>
      <c r="G703" s="9" t="n">
        <v>27</v>
      </c>
      <c r="H703" s="9" t="n">
        <v>27</v>
      </c>
      <c r="I703" s="9" t="inlineStr">
        <is>
          <t>Bullpen Depth Arm</t>
        </is>
      </c>
      <c r="J703" s="17" t="inlineStr">
        <is>
          <t>Opening Day</t>
        </is>
      </c>
      <c r="K703" s="11">
        <f>IFERROR(INDEX(Roles!$B$17:$B$20,MATCH(J703,Roles!$A$17:$A$20,0)),1)</f>
        <v/>
      </c>
      <c r="L703" s="18" t="n">
        <v>1</v>
      </c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3">
        <f>SUMPRODUCT(M703:X703,$M$2:$X$2)*$K703*$L703</f>
        <v/>
      </c>
      <c r="Z703" s="14">
        <f>SUM(M703:X703)</f>
        <v/>
      </c>
      <c r="AA703" s="13">
        <f>SUMPRODUCT(M703:X703,$M$3:$X$3)*$K703*$L703</f>
        <v/>
      </c>
      <c r="AB703" s="13">
        <f>SUMPRODUCT(M703:X703,$M$4:$X$4)*$K703*$L703</f>
        <v/>
      </c>
      <c r="AC703" s="15">
        <f>SUMPRODUCT(M703:X703,$M$5:$X$5)*$K703*$L703</f>
        <v/>
      </c>
      <c r="AD703" s="15">
        <f>SUMPRODUCT(M703:X703,$M$6:$X$6)*$K703*$L703</f>
        <v/>
      </c>
      <c r="AE703" s="19" t="n"/>
    </row>
    <row r="704">
      <c r="A704" s="9" t="n">
        <v>453178</v>
      </c>
      <c r="B704" s="9" t="inlineStr">
        <is>
          <t>Ian Kennedy</t>
        </is>
      </c>
      <c r="C704" s="9" t="inlineStr">
        <is>
          <t>TEX</t>
        </is>
      </c>
      <c r="D704" s="9" t="n">
        <v>42</v>
      </c>
      <c r="E704" s="17" t="inlineStr">
        <is>
          <t>R</t>
        </is>
      </c>
      <c r="F704" s="17" t="n"/>
      <c r="G704" s="9" t="n">
        <v>75</v>
      </c>
      <c r="H704" s="9" t="n">
        <v>307</v>
      </c>
      <c r="I704" s="9" t="inlineStr">
        <is>
          <t>Depth (no MLB IP)</t>
        </is>
      </c>
      <c r="J704" s="17" t="inlineStr">
        <is>
          <t>Opening Day</t>
        </is>
      </c>
      <c r="K704" s="11">
        <f>IFERROR(INDEX(Roles!$B$17:$B$20,MATCH(J704,Roles!$A$17:$A$20,0)),1)</f>
        <v/>
      </c>
      <c r="L704" s="18" t="n">
        <v>1</v>
      </c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3">
        <f>SUMPRODUCT(M704:X704,$M$2:$X$2)*$K704*$L704</f>
        <v/>
      </c>
      <c r="Z704" s="14">
        <f>SUM(M704:X704)</f>
        <v/>
      </c>
      <c r="AA704" s="13">
        <f>SUMPRODUCT(M704:X704,$M$3:$X$3)*$K704*$L704</f>
        <v/>
      </c>
      <c r="AB704" s="13">
        <f>SUMPRODUCT(M704:X704,$M$4:$X$4)*$K704*$L704</f>
        <v/>
      </c>
      <c r="AC704" s="15">
        <f>SUMPRODUCT(M704:X704,$M$5:$X$5)*$K704*$L704</f>
        <v/>
      </c>
      <c r="AD704" s="15">
        <f>SUMPRODUCT(M704:X704,$M$6:$X$6)*$K704*$L704</f>
        <v/>
      </c>
      <c r="AE704" s="19" t="n"/>
    </row>
    <row r="705">
      <c r="A705" s="9" t="n">
        <v>670242</v>
      </c>
      <c r="B705" s="9" t="inlineStr">
        <is>
          <t>Matt Wallner</t>
        </is>
      </c>
      <c r="C705" s="9" t="inlineStr"/>
      <c r="D705" s="9" t="n">
        <v>29</v>
      </c>
      <c r="E705" s="17" t="inlineStr">
        <is>
          <t>R</t>
        </is>
      </c>
      <c r="F705" s="17" t="n"/>
      <c r="G705" s="9" t="n">
        <v>6</v>
      </c>
      <c r="H705" s="9" t="n">
        <v>6</v>
      </c>
      <c r="I705" s="9" t="inlineStr">
        <is>
          <t>Depth (no MLB IP)</t>
        </is>
      </c>
      <c r="J705" s="17" t="inlineStr">
        <is>
          <t>Opening Day</t>
        </is>
      </c>
      <c r="K705" s="11">
        <f>IFERROR(INDEX(Roles!$B$17:$B$20,MATCH(J705,Roles!$A$17:$A$20,0)),1)</f>
        <v/>
      </c>
      <c r="L705" s="18" t="n">
        <v>1</v>
      </c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3">
        <f>SUMPRODUCT(M705:X705,$M$2:$X$2)*$K705*$L705</f>
        <v/>
      </c>
      <c r="Z705" s="14">
        <f>SUM(M705:X705)</f>
        <v/>
      </c>
      <c r="AA705" s="13">
        <f>SUMPRODUCT(M705:X705,$M$3:$X$3)*$K705*$L705</f>
        <v/>
      </c>
      <c r="AB705" s="13">
        <f>SUMPRODUCT(M705:X705,$M$4:$X$4)*$K705*$L705</f>
        <v/>
      </c>
      <c r="AC705" s="15">
        <f>SUMPRODUCT(M705:X705,$M$5:$X$5)*$K705*$L705</f>
        <v/>
      </c>
      <c r="AD705" s="15">
        <f>SUMPRODUCT(M705:X705,$M$6:$X$6)*$K705*$L705</f>
        <v/>
      </c>
      <c r="AE705" s="19" t="n"/>
    </row>
    <row r="706">
      <c r="A706" s="9" t="n">
        <v>543305</v>
      </c>
      <c r="B706" s="9" t="inlineStr">
        <is>
          <t>Aaron Hicks</t>
        </is>
      </c>
      <c r="C706" s="9" t="inlineStr"/>
      <c r="D706" s="9" t="n">
        <v>37</v>
      </c>
      <c r="E706" s="17" t="inlineStr">
        <is>
          <t>R</t>
        </is>
      </c>
      <c r="F706" s="17" t="n"/>
      <c r="G706" s="9" t="n">
        <v>6</v>
      </c>
      <c r="H706" s="9" t="n">
        <v>6</v>
      </c>
      <c r="I706" s="9" t="inlineStr">
        <is>
          <t>Depth (no MLB IP)</t>
        </is>
      </c>
      <c r="J706" s="17" t="inlineStr">
        <is>
          <t>Opening Day</t>
        </is>
      </c>
      <c r="K706" s="11">
        <f>IFERROR(INDEX(Roles!$B$17:$B$20,MATCH(J706,Roles!$A$17:$A$20,0)),1)</f>
        <v/>
      </c>
      <c r="L706" s="18" t="n">
        <v>1</v>
      </c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3">
        <f>SUMPRODUCT(M706:X706,$M$2:$X$2)*$K706*$L706</f>
        <v/>
      </c>
      <c r="Z706" s="14">
        <f>SUM(M706:X706)</f>
        <v/>
      </c>
      <c r="AA706" s="13">
        <f>SUMPRODUCT(M706:X706,$M$3:$X$3)*$K706*$L706</f>
        <v/>
      </c>
      <c r="AB706" s="13">
        <f>SUMPRODUCT(M706:X706,$M$4:$X$4)*$K706*$L706</f>
        <v/>
      </c>
      <c r="AC706" s="15">
        <f>SUMPRODUCT(M706:X706,$M$5:$X$5)*$K706*$L706</f>
        <v/>
      </c>
      <c r="AD706" s="15">
        <f>SUMPRODUCT(M706:X706,$M$6:$X$6)*$K706*$L706</f>
        <v/>
      </c>
      <c r="AE706" s="19" t="n"/>
    </row>
    <row r="707">
      <c r="A707" s="9" t="n">
        <v>687145</v>
      </c>
      <c r="B707" s="9" t="inlineStr">
        <is>
          <t>Evan Justice</t>
        </is>
      </c>
      <c r="C707" s="9" t="inlineStr">
        <is>
          <t>COL</t>
        </is>
      </c>
      <c r="D707" s="9" t="n">
        <v>28</v>
      </c>
      <c r="E707" s="17" t="inlineStr">
        <is>
          <t>L</t>
        </is>
      </c>
      <c r="F707" s="17" t="n"/>
      <c r="G707" s="9" t="n">
        <v>2</v>
      </c>
      <c r="H707" s="9" t="n">
        <v>44</v>
      </c>
      <c r="I707" s="9" t="inlineStr">
        <is>
          <t>Depth (no MLB IP)</t>
        </is>
      </c>
      <c r="J707" s="17" t="inlineStr">
        <is>
          <t>Opening Day</t>
        </is>
      </c>
      <c r="K707" s="11">
        <f>IFERROR(INDEX(Roles!$B$17:$B$20,MATCH(J707,Roles!$A$17:$A$20,0)),1)</f>
        <v/>
      </c>
      <c r="L707" s="18" t="n">
        <v>1</v>
      </c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3">
        <f>SUMPRODUCT(M707:X707,$M$2:$X$2)*$K707*$L707</f>
        <v/>
      </c>
      <c r="Z707" s="14">
        <f>SUM(M707:X707)</f>
        <v/>
      </c>
      <c r="AA707" s="13">
        <f>SUMPRODUCT(M707:X707,$M$3:$X$3)*$K707*$L707</f>
        <v/>
      </c>
      <c r="AB707" s="13">
        <f>SUMPRODUCT(M707:X707,$M$4:$X$4)*$K707*$L707</f>
        <v/>
      </c>
      <c r="AC707" s="15">
        <f>SUMPRODUCT(M707:X707,$M$5:$X$5)*$K707*$L707</f>
        <v/>
      </c>
      <c r="AD707" s="15">
        <f>SUMPRODUCT(M707:X707,$M$6:$X$6)*$K707*$L707</f>
        <v/>
      </c>
      <c r="AE707" s="19" t="n"/>
    </row>
    <row r="708">
      <c r="A708" s="9" t="n">
        <v>692437</v>
      </c>
      <c r="B708" s="9" t="inlineStr">
        <is>
          <t>Winston Santos</t>
        </is>
      </c>
      <c r="C708" s="9" t="inlineStr"/>
      <c r="D708" s="9" t="n">
        <v>25</v>
      </c>
      <c r="E708" s="17" t="inlineStr">
        <is>
          <t>R</t>
        </is>
      </c>
      <c r="F708" s="17" t="n"/>
      <c r="G708" s="9" t="n">
        <v>9</v>
      </c>
      <c r="H708" s="9" t="n">
        <v>9</v>
      </c>
      <c r="I708" s="9" t="inlineStr">
        <is>
          <t>Depth (no MLB IP)</t>
        </is>
      </c>
      <c r="J708" s="17" t="inlineStr">
        <is>
          <t>Opening Day</t>
        </is>
      </c>
      <c r="K708" s="11">
        <f>IFERROR(INDEX(Roles!$B$17:$B$20,MATCH(J708,Roles!$A$17:$A$20,0)),1)</f>
        <v/>
      </c>
      <c r="L708" s="18" t="n">
        <v>1</v>
      </c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3">
        <f>SUMPRODUCT(M708:X708,$M$2:$X$2)*$K708*$L708</f>
        <v/>
      </c>
      <c r="Z708" s="14">
        <f>SUM(M708:X708)</f>
        <v/>
      </c>
      <c r="AA708" s="13">
        <f>SUMPRODUCT(M708:X708,$M$3:$X$3)*$K708*$L708</f>
        <v/>
      </c>
      <c r="AB708" s="13">
        <f>SUMPRODUCT(M708:X708,$M$4:$X$4)*$K708*$L708</f>
        <v/>
      </c>
      <c r="AC708" s="15">
        <f>SUMPRODUCT(M708:X708,$M$5:$X$5)*$K708*$L708</f>
        <v/>
      </c>
      <c r="AD708" s="15">
        <f>SUMPRODUCT(M708:X708,$M$6:$X$6)*$K708*$L708</f>
        <v/>
      </c>
      <c r="AE708" s="19" t="n"/>
    </row>
    <row r="709">
      <c r="A709" s="9" t="n">
        <v>668754</v>
      </c>
      <c r="B709" s="9" t="inlineStr">
        <is>
          <t>Braden Bristo</t>
        </is>
      </c>
      <c r="C709" s="9" t="inlineStr">
        <is>
          <t>DET</t>
        </is>
      </c>
      <c r="D709" s="9" t="n">
        <v>32</v>
      </c>
      <c r="E709" s="17" t="inlineStr">
        <is>
          <t>R</t>
        </is>
      </c>
      <c r="F709" s="17" t="n"/>
      <c r="G709" s="9" t="n">
        <v>30</v>
      </c>
      <c r="H709" s="9" t="n">
        <v>30</v>
      </c>
      <c r="I709" s="9" t="inlineStr">
        <is>
          <t>Depth (no MLB IP)</t>
        </is>
      </c>
      <c r="J709" s="17" t="inlineStr">
        <is>
          <t>Opening Day</t>
        </is>
      </c>
      <c r="K709" s="11">
        <f>IFERROR(INDEX(Roles!$B$17:$B$20,MATCH(J709,Roles!$A$17:$A$20,0)),1)</f>
        <v/>
      </c>
      <c r="L709" s="18" t="n">
        <v>1</v>
      </c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3">
        <f>SUMPRODUCT(M709:X709,$M$2:$X$2)*$K709*$L709</f>
        <v/>
      </c>
      <c r="Z709" s="14">
        <f>SUM(M709:X709)</f>
        <v/>
      </c>
      <c r="AA709" s="13">
        <f>SUMPRODUCT(M709:X709,$M$3:$X$3)*$K709*$L709</f>
        <v/>
      </c>
      <c r="AB709" s="13">
        <f>SUMPRODUCT(M709:X709,$M$4:$X$4)*$K709*$L709</f>
        <v/>
      </c>
      <c r="AC709" s="15">
        <f>SUMPRODUCT(M709:X709,$M$5:$X$5)*$K709*$L709</f>
        <v/>
      </c>
      <c r="AD709" s="15">
        <f>SUMPRODUCT(M709:X709,$M$6:$X$6)*$K709*$L709</f>
        <v/>
      </c>
      <c r="AE709" s="19" t="n"/>
    </row>
    <row r="710">
      <c r="A710" s="9" t="n">
        <v>668390</v>
      </c>
      <c r="B710" s="9" t="inlineStr">
        <is>
          <t>Cole Winn</t>
        </is>
      </c>
      <c r="C710" s="9" t="inlineStr">
        <is>
          <t>TEX</t>
        </is>
      </c>
      <c r="D710" s="9" t="n">
        <v>27</v>
      </c>
      <c r="E710" s="17" t="inlineStr">
        <is>
          <t>R</t>
        </is>
      </c>
      <c r="F710" s="17" t="n"/>
      <c r="G710" s="9" t="n">
        <v>215</v>
      </c>
      <c r="H710" s="9" t="n">
        <v>454</v>
      </c>
      <c r="I710" s="9" t="inlineStr">
        <is>
          <t>Bullpen Depth Arm</t>
        </is>
      </c>
      <c r="J710" s="17" t="inlineStr">
        <is>
          <t>Opening Day</t>
        </is>
      </c>
      <c r="K710" s="11">
        <f>IFERROR(INDEX(Roles!$B$17:$B$20,MATCH(J710,Roles!$A$17:$A$20,0)),1)</f>
        <v/>
      </c>
      <c r="L710" s="18" t="n">
        <v>1</v>
      </c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3">
        <f>SUMPRODUCT(M710:X710,$M$2:$X$2)*$K710*$L710</f>
        <v/>
      </c>
      <c r="Z710" s="14">
        <f>SUM(M710:X710)</f>
        <v/>
      </c>
      <c r="AA710" s="13">
        <f>SUMPRODUCT(M710:X710,$M$3:$X$3)*$K710*$L710</f>
        <v/>
      </c>
      <c r="AB710" s="13">
        <f>SUMPRODUCT(M710:X710,$M$4:$X$4)*$K710*$L710</f>
        <v/>
      </c>
      <c r="AC710" s="15">
        <f>SUMPRODUCT(M710:X710,$M$5:$X$5)*$K710*$L710</f>
        <v/>
      </c>
      <c r="AD710" s="15">
        <f>SUMPRODUCT(M710:X710,$M$6:$X$6)*$K710*$L710</f>
        <v/>
      </c>
      <c r="AE710" s="19" t="n"/>
    </row>
    <row r="711">
      <c r="A711" s="9" t="n">
        <v>605513</v>
      </c>
      <c r="B711" s="9" t="inlineStr">
        <is>
          <t>Spencer Turnbull</t>
        </is>
      </c>
      <c r="C711" s="9" t="inlineStr">
        <is>
          <t>TOR</t>
        </is>
      </c>
      <c r="D711" s="9" t="n">
        <v>34</v>
      </c>
      <c r="E711" s="17" t="inlineStr">
        <is>
          <t>R</t>
        </is>
      </c>
      <c r="F711" s="17" t="n"/>
      <c r="G711" s="9" t="n">
        <v>33</v>
      </c>
      <c r="H711" s="9" t="n">
        <v>400</v>
      </c>
      <c r="I711" s="9" t="inlineStr">
        <is>
          <t>Bullpen Depth Arm</t>
        </is>
      </c>
      <c r="J711" s="17" t="inlineStr">
        <is>
          <t>Opening Day</t>
        </is>
      </c>
      <c r="K711" s="11">
        <f>IFERROR(INDEX(Roles!$B$17:$B$20,MATCH(J711,Roles!$A$17:$A$20,0)),1)</f>
        <v/>
      </c>
      <c r="L711" s="18" t="n">
        <v>1</v>
      </c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3">
        <f>SUMPRODUCT(M711:X711,$M$2:$X$2)*$K711*$L711</f>
        <v/>
      </c>
      <c r="Z711" s="14">
        <f>SUM(M711:X711)</f>
        <v/>
      </c>
      <c r="AA711" s="13">
        <f>SUMPRODUCT(M711:X711,$M$3:$X$3)*$K711*$L711</f>
        <v/>
      </c>
      <c r="AB711" s="13">
        <f>SUMPRODUCT(M711:X711,$M$4:$X$4)*$K711*$L711</f>
        <v/>
      </c>
      <c r="AC711" s="15">
        <f>SUMPRODUCT(M711:X711,$M$5:$X$5)*$K711*$L711</f>
        <v/>
      </c>
      <c r="AD711" s="15">
        <f>SUMPRODUCT(M711:X711,$M$6:$X$6)*$K711*$L711</f>
        <v/>
      </c>
      <c r="AE711" s="19" t="n"/>
    </row>
    <row r="712">
      <c r="A712" s="9" t="n">
        <v>642578</v>
      </c>
      <c r="B712" s="9" t="inlineStr">
        <is>
          <t>José Rodríguez</t>
        </is>
      </c>
      <c r="C712" s="9" t="inlineStr"/>
      <c r="D712" s="9" t="n">
        <v>31</v>
      </c>
      <c r="E712" s="17" t="inlineStr">
        <is>
          <t>R</t>
        </is>
      </c>
      <c r="F712" s="17" t="n"/>
      <c r="G712" s="9" t="n">
        <v>12</v>
      </c>
      <c r="H712" s="9" t="n">
        <v>12</v>
      </c>
      <c r="I712" s="9" t="inlineStr">
        <is>
          <t>Depth (no MLB IP)</t>
        </is>
      </c>
      <c r="J712" s="17" t="inlineStr">
        <is>
          <t>Opening Day</t>
        </is>
      </c>
      <c r="K712" s="11">
        <f>IFERROR(INDEX(Roles!$B$17:$B$20,MATCH(J712,Roles!$A$17:$A$20,0)),1)</f>
        <v/>
      </c>
      <c r="L712" s="18" t="n">
        <v>1</v>
      </c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3">
        <f>SUMPRODUCT(M712:X712,$M$2:$X$2)*$K712*$L712</f>
        <v/>
      </c>
      <c r="Z712" s="14">
        <f>SUM(M712:X712)</f>
        <v/>
      </c>
      <c r="AA712" s="13">
        <f>SUMPRODUCT(M712:X712,$M$3:$X$3)*$K712*$L712</f>
        <v/>
      </c>
      <c r="AB712" s="13">
        <f>SUMPRODUCT(M712:X712,$M$4:$X$4)*$K712*$L712</f>
        <v/>
      </c>
      <c r="AC712" s="15">
        <f>SUMPRODUCT(M712:X712,$M$5:$X$5)*$K712*$L712</f>
        <v/>
      </c>
      <c r="AD712" s="15">
        <f>SUMPRODUCT(M712:X712,$M$6:$X$6)*$K712*$L712</f>
        <v/>
      </c>
      <c r="AE712" s="19" t="n"/>
    </row>
    <row r="713">
      <c r="A713" s="9" t="n">
        <v>683068</v>
      </c>
      <c r="B713" s="9" t="inlineStr">
        <is>
          <t>Zach Penrod</t>
        </is>
      </c>
      <c r="C713" s="9" t="inlineStr"/>
      <c r="D713" s="9" t="n">
        <v>30</v>
      </c>
      <c r="E713" s="17" t="inlineStr">
        <is>
          <t>L</t>
        </is>
      </c>
      <c r="F713" s="17" t="n"/>
      <c r="G713" s="9" t="n">
        <v>20</v>
      </c>
      <c r="H713" s="9" t="n">
        <v>20</v>
      </c>
      <c r="I713" s="9" t="inlineStr">
        <is>
          <t>Depth (no MLB IP)</t>
        </is>
      </c>
      <c r="J713" s="17" t="inlineStr">
        <is>
          <t>Opening Day</t>
        </is>
      </c>
      <c r="K713" s="11">
        <f>IFERROR(INDEX(Roles!$B$17:$B$20,MATCH(J713,Roles!$A$17:$A$20,0)),1)</f>
        <v/>
      </c>
      <c r="L713" s="18" t="n">
        <v>1</v>
      </c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3">
        <f>SUMPRODUCT(M713:X713,$M$2:$X$2)*$K713*$L713</f>
        <v/>
      </c>
      <c r="Z713" s="14">
        <f>SUM(M713:X713)</f>
        <v/>
      </c>
      <c r="AA713" s="13">
        <f>SUMPRODUCT(M713:X713,$M$3:$X$3)*$K713*$L713</f>
        <v/>
      </c>
      <c r="AB713" s="13">
        <f>SUMPRODUCT(M713:X713,$M$4:$X$4)*$K713*$L713</f>
        <v/>
      </c>
      <c r="AC713" s="15">
        <f>SUMPRODUCT(M713:X713,$M$5:$X$5)*$K713*$L713</f>
        <v/>
      </c>
      <c r="AD713" s="15">
        <f>SUMPRODUCT(M713:X713,$M$6:$X$6)*$K713*$L713</f>
        <v/>
      </c>
      <c r="AE713" s="19" t="n"/>
    </row>
    <row r="714">
      <c r="A714" s="9" t="n">
        <v>680686</v>
      </c>
      <c r="B714" s="9" t="inlineStr">
        <is>
          <t>Josiah Gray</t>
        </is>
      </c>
      <c r="C714" s="9" t="inlineStr">
        <is>
          <t>WSH</t>
        </is>
      </c>
      <c r="D714" s="9" t="n">
        <v>29</v>
      </c>
      <c r="E714" s="17" t="inlineStr">
        <is>
          <t>R</t>
        </is>
      </c>
      <c r="F714" s="17" t="n"/>
      <c r="G714" s="9" t="n">
        <v>44</v>
      </c>
      <c r="H714" s="9" t="n">
        <v>1391</v>
      </c>
      <c r="I714" s="9" t="inlineStr">
        <is>
          <t>Depth (no MLB IP)</t>
        </is>
      </c>
      <c r="J714" s="17" t="inlineStr">
        <is>
          <t>Opening Day</t>
        </is>
      </c>
      <c r="K714" s="11">
        <f>IFERROR(INDEX(Roles!$B$17:$B$20,MATCH(J714,Roles!$A$17:$A$20,0)),1)</f>
        <v/>
      </c>
      <c r="L714" s="18" t="n">
        <v>1</v>
      </c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3">
        <f>SUMPRODUCT(M714:X714,$M$2:$X$2)*$K714*$L714</f>
        <v/>
      </c>
      <c r="Z714" s="14">
        <f>SUM(M714:X714)</f>
        <v/>
      </c>
      <c r="AA714" s="13">
        <f>SUMPRODUCT(M714:X714,$M$3:$X$3)*$K714*$L714</f>
        <v/>
      </c>
      <c r="AB714" s="13">
        <f>SUMPRODUCT(M714:X714,$M$4:$X$4)*$K714*$L714</f>
        <v/>
      </c>
      <c r="AC714" s="15">
        <f>SUMPRODUCT(M714:X714,$M$5:$X$5)*$K714*$L714</f>
        <v/>
      </c>
      <c r="AD714" s="15">
        <f>SUMPRODUCT(M714:X714,$M$6:$X$6)*$K714*$L714</f>
        <v/>
      </c>
      <c r="AE714" s="19" t="n"/>
    </row>
    <row r="715">
      <c r="A715" s="9" t="n">
        <v>666163</v>
      </c>
      <c r="B715" s="9" t="inlineStr">
        <is>
          <t>Ben Rortvedt</t>
        </is>
      </c>
      <c r="C715" s="9" t="inlineStr"/>
      <c r="D715" s="9" t="n">
        <v>29</v>
      </c>
      <c r="E715" s="17" t="inlineStr">
        <is>
          <t>R</t>
        </is>
      </c>
      <c r="F715" s="17" t="n"/>
      <c r="G715" s="9" t="n">
        <v>11</v>
      </c>
      <c r="H715" s="9" t="n">
        <v>11</v>
      </c>
      <c r="I715" s="9" t="inlineStr">
        <is>
          <t>Depth (no MLB IP)</t>
        </is>
      </c>
      <c r="J715" s="17" t="inlineStr">
        <is>
          <t>Opening Day</t>
        </is>
      </c>
      <c r="K715" s="11">
        <f>IFERROR(INDEX(Roles!$B$17:$B$20,MATCH(J715,Roles!$A$17:$A$20,0)),1)</f>
        <v/>
      </c>
      <c r="L715" s="18" t="n">
        <v>1</v>
      </c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3">
        <f>SUMPRODUCT(M715:X715,$M$2:$X$2)*$K715*$L715</f>
        <v/>
      </c>
      <c r="Z715" s="14">
        <f>SUM(M715:X715)</f>
        <v/>
      </c>
      <c r="AA715" s="13">
        <f>SUMPRODUCT(M715:X715,$M$3:$X$3)*$K715*$L715</f>
        <v/>
      </c>
      <c r="AB715" s="13">
        <f>SUMPRODUCT(M715:X715,$M$4:$X$4)*$K715*$L715</f>
        <v/>
      </c>
      <c r="AC715" s="15">
        <f>SUMPRODUCT(M715:X715,$M$5:$X$5)*$K715*$L715</f>
        <v/>
      </c>
      <c r="AD715" s="15">
        <f>SUMPRODUCT(M715:X715,$M$6:$X$6)*$K715*$L715</f>
        <v/>
      </c>
      <c r="AE715" s="19" t="n"/>
    </row>
    <row r="716">
      <c r="A716" s="9" t="n">
        <v>680951</v>
      </c>
      <c r="B716" s="9" t="inlineStr">
        <is>
          <t>Doug Nikhazy</t>
        </is>
      </c>
      <c r="C716" s="9" t="inlineStr"/>
      <c r="D716" s="9" t="n">
        <v>27</v>
      </c>
      <c r="E716" s="17" t="inlineStr">
        <is>
          <t>L</t>
        </is>
      </c>
      <c r="F716" s="17" t="n"/>
      <c r="G716" s="9" t="n">
        <v>9</v>
      </c>
      <c r="H716" s="9" t="n">
        <v>32</v>
      </c>
      <c r="I716" s="9" t="inlineStr">
        <is>
          <t>Depth (no MLB IP)</t>
        </is>
      </c>
      <c r="J716" s="17" t="inlineStr">
        <is>
          <t>Opening Day</t>
        </is>
      </c>
      <c r="K716" s="11">
        <f>IFERROR(INDEX(Roles!$B$17:$B$20,MATCH(J716,Roles!$A$17:$A$20,0)),1)</f>
        <v/>
      </c>
      <c r="L716" s="18" t="n">
        <v>1</v>
      </c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3">
        <f>SUMPRODUCT(M716:X716,$M$2:$X$2)*$K716*$L716</f>
        <v/>
      </c>
      <c r="Z716" s="14">
        <f>SUM(M716:X716)</f>
        <v/>
      </c>
      <c r="AA716" s="13">
        <f>SUMPRODUCT(M716:X716,$M$3:$X$3)*$K716*$L716</f>
        <v/>
      </c>
      <c r="AB716" s="13">
        <f>SUMPRODUCT(M716:X716,$M$4:$X$4)*$K716*$L716</f>
        <v/>
      </c>
      <c r="AC716" s="15">
        <f>SUMPRODUCT(M716:X716,$M$5:$X$5)*$K716*$L716</f>
        <v/>
      </c>
      <c r="AD716" s="15">
        <f>SUMPRODUCT(M716:X716,$M$6:$X$6)*$K716*$L716</f>
        <v/>
      </c>
      <c r="AE716" s="19" t="n"/>
    </row>
    <row r="717">
      <c r="A717" s="9" t="n">
        <v>668970</v>
      </c>
      <c r="B717" s="9" t="inlineStr">
        <is>
          <t>Gavin Hollowell</t>
        </is>
      </c>
      <c r="C717" s="9" t="inlineStr">
        <is>
          <t>CHC</t>
        </is>
      </c>
      <c r="D717" s="9" t="n">
        <v>29</v>
      </c>
      <c r="E717" s="17" t="inlineStr">
        <is>
          <t>R</t>
        </is>
      </c>
      <c r="F717" s="17" t="n"/>
      <c r="G717" s="9" t="n">
        <v>62</v>
      </c>
      <c r="H717" s="9" t="n">
        <v>297</v>
      </c>
      <c r="I717" s="9" t="inlineStr">
        <is>
          <t>Bullpen Depth Arm</t>
        </is>
      </c>
      <c r="J717" s="17" t="inlineStr">
        <is>
          <t>Opening Day</t>
        </is>
      </c>
      <c r="K717" s="11">
        <f>IFERROR(INDEX(Roles!$B$17:$B$20,MATCH(J717,Roles!$A$17:$A$20,0)),1)</f>
        <v/>
      </c>
      <c r="L717" s="18" t="n">
        <v>1</v>
      </c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3">
        <f>SUMPRODUCT(M717:X717,$M$2:$X$2)*$K717*$L717</f>
        <v/>
      </c>
      <c r="Z717" s="14">
        <f>SUM(M717:X717)</f>
        <v/>
      </c>
      <c r="AA717" s="13">
        <f>SUMPRODUCT(M717:X717,$M$3:$X$3)*$K717*$L717</f>
        <v/>
      </c>
      <c r="AB717" s="13">
        <f>SUMPRODUCT(M717:X717,$M$4:$X$4)*$K717*$L717</f>
        <v/>
      </c>
      <c r="AC717" s="15">
        <f>SUMPRODUCT(M717:X717,$M$5:$X$5)*$K717*$L717</f>
        <v/>
      </c>
      <c r="AD717" s="15">
        <f>SUMPRODUCT(M717:X717,$M$6:$X$6)*$K717*$L717</f>
        <v/>
      </c>
      <c r="AE717" s="19" t="n"/>
    </row>
    <row r="718">
      <c r="A718" s="9" t="n">
        <v>690155</v>
      </c>
      <c r="B718" s="9" t="inlineStr">
        <is>
          <t>Matt Pushard</t>
        </is>
      </c>
      <c r="C718" s="9" t="inlineStr">
        <is>
          <t>STL</t>
        </is>
      </c>
      <c r="D718" s="9" t="n">
        <v>29</v>
      </c>
      <c r="E718" s="17" t="inlineStr">
        <is>
          <t>R</t>
        </is>
      </c>
      <c r="F718" s="17" t="n"/>
      <c r="G718" s="9" t="n">
        <v>32</v>
      </c>
      <c r="H718" s="9" t="n">
        <v>32</v>
      </c>
      <c r="I718" s="9" t="inlineStr">
        <is>
          <t>Bullpen Depth Arm</t>
        </is>
      </c>
      <c r="J718" s="17" t="inlineStr">
        <is>
          <t>Opening Day</t>
        </is>
      </c>
      <c r="K718" s="11">
        <f>IFERROR(INDEX(Roles!$B$17:$B$20,MATCH(J718,Roles!$A$17:$A$20,0)),1)</f>
        <v/>
      </c>
      <c r="L718" s="18" t="n">
        <v>1</v>
      </c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3">
        <f>SUMPRODUCT(M718:X718,$M$2:$X$2)*$K718*$L718</f>
        <v/>
      </c>
      <c r="Z718" s="14">
        <f>SUM(M718:X718)</f>
        <v/>
      </c>
      <c r="AA718" s="13">
        <f>SUMPRODUCT(M718:X718,$M$3:$X$3)*$K718*$L718</f>
        <v/>
      </c>
      <c r="AB718" s="13">
        <f>SUMPRODUCT(M718:X718,$M$4:$X$4)*$K718*$L718</f>
        <v/>
      </c>
      <c r="AC718" s="15">
        <f>SUMPRODUCT(M718:X718,$M$5:$X$5)*$K718*$L718</f>
        <v/>
      </c>
      <c r="AD718" s="15">
        <f>SUMPRODUCT(M718:X718,$M$6:$X$6)*$K718*$L718</f>
        <v/>
      </c>
      <c r="AE718" s="19" t="n"/>
    </row>
    <row r="719">
      <c r="A719" s="9" t="n">
        <v>686796</v>
      </c>
      <c r="B719" s="9" t="inlineStr">
        <is>
          <t>Blake Walston</t>
        </is>
      </c>
      <c r="C719" s="9" t="inlineStr">
        <is>
          <t>ARI</t>
        </is>
      </c>
      <c r="D719" s="9" t="n">
        <v>26</v>
      </c>
      <c r="E719" s="17" t="inlineStr">
        <is>
          <t>L</t>
        </is>
      </c>
      <c r="F719" s="17" t="n"/>
      <c r="G719" s="9" t="n">
        <v>13</v>
      </c>
      <c r="H719" s="9" t="n">
        <v>96</v>
      </c>
      <c r="I719" s="9" t="inlineStr">
        <is>
          <t>Depth (no MLB IP)</t>
        </is>
      </c>
      <c r="J719" s="17" t="inlineStr">
        <is>
          <t>Opening Day</t>
        </is>
      </c>
      <c r="K719" s="11">
        <f>IFERROR(INDEX(Roles!$B$17:$B$20,MATCH(J719,Roles!$A$17:$A$20,0)),1)</f>
        <v/>
      </c>
      <c r="L719" s="18" t="n">
        <v>1</v>
      </c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3">
        <f>SUMPRODUCT(M719:X719,$M$2:$X$2)*$K719*$L719</f>
        <v/>
      </c>
      <c r="Z719" s="14">
        <f>SUM(M719:X719)</f>
        <v/>
      </c>
      <c r="AA719" s="13">
        <f>SUMPRODUCT(M719:X719,$M$3:$X$3)*$K719*$L719</f>
        <v/>
      </c>
      <c r="AB719" s="13">
        <f>SUMPRODUCT(M719:X719,$M$4:$X$4)*$K719*$L719</f>
        <v/>
      </c>
      <c r="AC719" s="15">
        <f>SUMPRODUCT(M719:X719,$M$5:$X$5)*$K719*$L719</f>
        <v/>
      </c>
      <c r="AD719" s="15">
        <f>SUMPRODUCT(M719:X719,$M$6:$X$6)*$K719*$L719</f>
        <v/>
      </c>
      <c r="AE719" s="19" t="n"/>
    </row>
    <row r="720">
      <c r="A720" s="9" t="n">
        <v>699823</v>
      </c>
      <c r="B720" s="9" t="inlineStr">
        <is>
          <t>Tyler Davis</t>
        </is>
      </c>
      <c r="C720" s="9" t="inlineStr">
        <is>
          <t>CWS</t>
        </is>
      </c>
      <c r="D720" s="9" t="n">
        <v>28</v>
      </c>
      <c r="E720" s="17" t="inlineStr">
        <is>
          <t>R</t>
        </is>
      </c>
      <c r="F720" s="17" t="n"/>
      <c r="G720" s="9" t="n">
        <v>123</v>
      </c>
      <c r="H720" s="9" t="n">
        <v>123</v>
      </c>
      <c r="I720" s="9" t="inlineStr">
        <is>
          <t>Bullpen Depth Arm</t>
        </is>
      </c>
      <c r="J720" s="17" t="inlineStr">
        <is>
          <t>Opening Day</t>
        </is>
      </c>
      <c r="K720" s="11">
        <f>IFERROR(INDEX(Roles!$B$17:$B$20,MATCH(J720,Roles!$A$17:$A$20,0)),1)</f>
        <v/>
      </c>
      <c r="L720" s="18" t="n">
        <v>1</v>
      </c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3">
        <f>SUMPRODUCT(M720:X720,$M$2:$X$2)*$K720*$L720</f>
        <v/>
      </c>
      <c r="Z720" s="14">
        <f>SUM(M720:X720)</f>
        <v/>
      </c>
      <c r="AA720" s="13">
        <f>SUMPRODUCT(M720:X720,$M$3:$X$3)*$K720*$L720</f>
        <v/>
      </c>
      <c r="AB720" s="13">
        <f>SUMPRODUCT(M720:X720,$M$4:$X$4)*$K720*$L720</f>
        <v/>
      </c>
      <c r="AC720" s="15">
        <f>SUMPRODUCT(M720:X720,$M$5:$X$5)*$K720*$L720</f>
        <v/>
      </c>
      <c r="AD720" s="15">
        <f>SUMPRODUCT(M720:X720,$M$6:$X$6)*$K720*$L720</f>
        <v/>
      </c>
      <c r="AE720" s="19" t="n"/>
    </row>
    <row r="721">
      <c r="A721" s="9" t="n">
        <v>679156</v>
      </c>
      <c r="B721" s="9" t="inlineStr">
        <is>
          <t>Walter Pennington</t>
        </is>
      </c>
      <c r="C721" s="9" t="inlineStr">
        <is>
          <t>TEX</t>
        </is>
      </c>
      <c r="D721" s="9" t="n">
        <v>29</v>
      </c>
      <c r="E721" s="17" t="inlineStr">
        <is>
          <t>L</t>
        </is>
      </c>
      <c r="F721" s="17" t="n"/>
      <c r="G721" s="9" t="n">
        <v>84</v>
      </c>
      <c r="H721" s="9" t="n">
        <v>84</v>
      </c>
      <c r="I721" s="9" t="inlineStr">
        <is>
          <t>Depth (no MLB IP)</t>
        </is>
      </c>
      <c r="J721" s="17" t="inlineStr">
        <is>
          <t>Opening Day</t>
        </is>
      </c>
      <c r="K721" s="11">
        <f>IFERROR(INDEX(Roles!$B$17:$B$20,MATCH(J721,Roles!$A$17:$A$20,0)),1)</f>
        <v/>
      </c>
      <c r="L721" s="18" t="n">
        <v>1</v>
      </c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3">
        <f>SUMPRODUCT(M721:X721,$M$2:$X$2)*$K721*$L721</f>
        <v/>
      </c>
      <c r="Z721" s="14">
        <f>SUM(M721:X721)</f>
        <v/>
      </c>
      <c r="AA721" s="13">
        <f>SUMPRODUCT(M721:X721,$M$3:$X$3)*$K721*$L721</f>
        <v/>
      </c>
      <c r="AB721" s="13">
        <f>SUMPRODUCT(M721:X721,$M$4:$X$4)*$K721*$L721</f>
        <v/>
      </c>
      <c r="AC721" s="15">
        <f>SUMPRODUCT(M721:X721,$M$5:$X$5)*$K721*$L721</f>
        <v/>
      </c>
      <c r="AD721" s="15">
        <f>SUMPRODUCT(M721:X721,$M$6:$X$6)*$K721*$L721</f>
        <v/>
      </c>
      <c r="AE721" s="19" t="n"/>
    </row>
    <row r="722">
      <c r="A722" s="9" t="n">
        <v>572143</v>
      </c>
      <c r="B722" s="9" t="inlineStr">
        <is>
          <t>Burch Smith</t>
        </is>
      </c>
      <c r="C722" s="9" t="inlineStr">
        <is>
          <t>DET</t>
        </is>
      </c>
      <c r="D722" s="9" t="n">
        <v>37</v>
      </c>
      <c r="E722" s="17" t="inlineStr">
        <is>
          <t>R</t>
        </is>
      </c>
      <c r="F722" s="17" t="n"/>
      <c r="G722" s="9" t="n">
        <v>73</v>
      </c>
      <c r="H722" s="9" t="n">
        <v>314</v>
      </c>
      <c r="I722" s="9" t="inlineStr">
        <is>
          <t>Bullpen Depth Arm</t>
        </is>
      </c>
      <c r="J722" s="17" t="inlineStr">
        <is>
          <t>Opening Day</t>
        </is>
      </c>
      <c r="K722" s="11">
        <f>IFERROR(INDEX(Roles!$B$17:$B$20,MATCH(J722,Roles!$A$17:$A$20,0)),1)</f>
        <v/>
      </c>
      <c r="L722" s="18" t="n">
        <v>1</v>
      </c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3">
        <f>SUMPRODUCT(M722:X722,$M$2:$X$2)*$K722*$L722</f>
        <v/>
      </c>
      <c r="Z722" s="14">
        <f>SUM(M722:X722)</f>
        <v/>
      </c>
      <c r="AA722" s="13">
        <f>SUMPRODUCT(M722:X722,$M$3:$X$3)*$K722*$L722</f>
        <v/>
      </c>
      <c r="AB722" s="13">
        <f>SUMPRODUCT(M722:X722,$M$4:$X$4)*$K722*$L722</f>
        <v/>
      </c>
      <c r="AC722" s="15">
        <f>SUMPRODUCT(M722:X722,$M$5:$X$5)*$K722*$L722</f>
        <v/>
      </c>
      <c r="AD722" s="15">
        <f>SUMPRODUCT(M722:X722,$M$6:$X$6)*$K722*$L722</f>
        <v/>
      </c>
      <c r="AE722" s="19" t="n"/>
    </row>
    <row r="723">
      <c r="A723" s="9" t="n">
        <v>663432</v>
      </c>
      <c r="B723" s="9" t="inlineStr">
        <is>
          <t>Tanner Rainey</t>
        </is>
      </c>
      <c r="C723" s="9" t="inlineStr">
        <is>
          <t>DET</t>
        </is>
      </c>
      <c r="D723" s="9" t="n">
        <v>34</v>
      </c>
      <c r="E723" s="17" t="inlineStr">
        <is>
          <t>R</t>
        </is>
      </c>
      <c r="F723" s="17" t="n"/>
      <c r="G723" s="9" t="n">
        <v>31</v>
      </c>
      <c r="H723" s="9" t="n">
        <v>442</v>
      </c>
      <c r="I723" s="9" t="inlineStr">
        <is>
          <t>Bullpen Depth Arm</t>
        </is>
      </c>
      <c r="J723" s="17" t="inlineStr">
        <is>
          <t>Opening Day</t>
        </is>
      </c>
      <c r="K723" s="11">
        <f>IFERROR(INDEX(Roles!$B$17:$B$20,MATCH(J723,Roles!$A$17:$A$20,0)),1)</f>
        <v/>
      </c>
      <c r="L723" s="18" t="n">
        <v>1</v>
      </c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3">
        <f>SUMPRODUCT(M723:X723,$M$2:$X$2)*$K723*$L723</f>
        <v/>
      </c>
      <c r="Z723" s="14">
        <f>SUM(M723:X723)</f>
        <v/>
      </c>
      <c r="AA723" s="13">
        <f>SUMPRODUCT(M723:X723,$M$3:$X$3)*$K723*$L723</f>
        <v/>
      </c>
      <c r="AB723" s="13">
        <f>SUMPRODUCT(M723:X723,$M$4:$X$4)*$K723*$L723</f>
        <v/>
      </c>
      <c r="AC723" s="15">
        <f>SUMPRODUCT(M723:X723,$M$5:$X$5)*$K723*$L723</f>
        <v/>
      </c>
      <c r="AD723" s="15">
        <f>SUMPRODUCT(M723:X723,$M$6:$X$6)*$K723*$L723</f>
        <v/>
      </c>
      <c r="AE723" s="19" t="n"/>
    </row>
    <row r="724">
      <c r="A724" s="9" t="n">
        <v>686560</v>
      </c>
      <c r="B724" s="9" t="inlineStr">
        <is>
          <t>Gavin Collyer</t>
        </is>
      </c>
      <c r="C724" s="9" t="inlineStr">
        <is>
          <t>TEX</t>
        </is>
      </c>
      <c r="D724" s="9" t="n">
        <v>26</v>
      </c>
      <c r="E724" s="17" t="inlineStr">
        <is>
          <t>R</t>
        </is>
      </c>
      <c r="F724" s="17" t="n"/>
      <c r="G724" s="9" t="n">
        <v>105</v>
      </c>
      <c r="H724" s="9" t="n">
        <v>105</v>
      </c>
      <c r="I724" s="9" t="inlineStr">
        <is>
          <t>Bullpen Depth Arm</t>
        </is>
      </c>
      <c r="J724" s="17" t="inlineStr">
        <is>
          <t>Opening Day</t>
        </is>
      </c>
      <c r="K724" s="11">
        <f>IFERROR(INDEX(Roles!$B$17:$B$20,MATCH(J724,Roles!$A$17:$A$20,0)),1)</f>
        <v/>
      </c>
      <c r="L724" s="18" t="n">
        <v>1</v>
      </c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3">
        <f>SUMPRODUCT(M724:X724,$M$2:$X$2)*$K724*$L724</f>
        <v/>
      </c>
      <c r="Z724" s="14">
        <f>SUM(M724:X724)</f>
        <v/>
      </c>
      <c r="AA724" s="13">
        <f>SUMPRODUCT(M724:X724,$M$3:$X$3)*$K724*$L724</f>
        <v/>
      </c>
      <c r="AB724" s="13">
        <f>SUMPRODUCT(M724:X724,$M$4:$X$4)*$K724*$L724</f>
        <v/>
      </c>
      <c r="AC724" s="15">
        <f>SUMPRODUCT(M724:X724,$M$5:$X$5)*$K724*$L724</f>
        <v/>
      </c>
      <c r="AD724" s="15">
        <f>SUMPRODUCT(M724:X724,$M$6:$X$6)*$K724*$L724</f>
        <v/>
      </c>
      <c r="AE724" s="19" t="n"/>
    </row>
    <row r="725">
      <c r="A725" s="9" t="n">
        <v>592826</v>
      </c>
      <c r="B725" s="9" t="inlineStr">
        <is>
          <t>Vince Velasquez</t>
        </is>
      </c>
      <c r="C725" s="9" t="inlineStr">
        <is>
          <t>PIT</t>
        </is>
      </c>
      <c r="D725" s="9" t="n">
        <v>35</v>
      </c>
      <c r="E725" s="17" t="inlineStr">
        <is>
          <t>R</t>
        </is>
      </c>
      <c r="F725" s="17" t="n"/>
      <c r="G725" s="9" t="n">
        <v>11</v>
      </c>
      <c r="H725" s="9" t="n">
        <v>492</v>
      </c>
      <c r="I725" s="9" t="inlineStr">
        <is>
          <t>Depth (no MLB IP)</t>
        </is>
      </c>
      <c r="J725" s="17" t="inlineStr">
        <is>
          <t>Opening Day</t>
        </is>
      </c>
      <c r="K725" s="11">
        <f>IFERROR(INDEX(Roles!$B$17:$B$20,MATCH(J725,Roles!$A$17:$A$20,0)),1)</f>
        <v/>
      </c>
      <c r="L725" s="18" t="n">
        <v>1</v>
      </c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3">
        <f>SUMPRODUCT(M725:X725,$M$2:$X$2)*$K725*$L725</f>
        <v/>
      </c>
      <c r="Z725" s="14">
        <f>SUM(M725:X725)</f>
        <v/>
      </c>
      <c r="AA725" s="13">
        <f>SUMPRODUCT(M725:X725,$M$3:$X$3)*$K725*$L725</f>
        <v/>
      </c>
      <c r="AB725" s="13">
        <f>SUMPRODUCT(M725:X725,$M$4:$X$4)*$K725*$L725</f>
        <v/>
      </c>
      <c r="AC725" s="15">
        <f>SUMPRODUCT(M725:X725,$M$5:$X$5)*$K725*$L725</f>
        <v/>
      </c>
      <c r="AD725" s="15">
        <f>SUMPRODUCT(M725:X725,$M$6:$X$6)*$K725*$L725</f>
        <v/>
      </c>
      <c r="AE725" s="19" t="n"/>
    </row>
    <row r="726">
      <c r="A726" s="9" t="n">
        <v>629498</v>
      </c>
      <c r="B726" s="9" t="inlineStr">
        <is>
          <t>Johan Quezada</t>
        </is>
      </c>
      <c r="C726" s="9" t="inlineStr"/>
      <c r="D726" s="9" t="n">
        <v>32</v>
      </c>
      <c r="E726" s="17" t="inlineStr">
        <is>
          <t>R</t>
        </is>
      </c>
      <c r="F726" s="17" t="n"/>
      <c r="G726" s="9" t="n">
        <v>8</v>
      </c>
      <c r="H726" s="9" t="n">
        <v>8</v>
      </c>
      <c r="I726" s="9" t="inlineStr">
        <is>
          <t>Depth (no MLB IP)</t>
        </is>
      </c>
      <c r="J726" s="17" t="inlineStr">
        <is>
          <t>Opening Day</t>
        </is>
      </c>
      <c r="K726" s="11">
        <f>IFERROR(INDEX(Roles!$B$17:$B$20,MATCH(J726,Roles!$A$17:$A$20,0)),1)</f>
        <v/>
      </c>
      <c r="L726" s="18" t="n">
        <v>1</v>
      </c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3">
        <f>SUMPRODUCT(M726:X726,$M$2:$X$2)*$K726*$L726</f>
        <v/>
      </c>
      <c r="Z726" s="14">
        <f>SUM(M726:X726)</f>
        <v/>
      </c>
      <c r="AA726" s="13">
        <f>SUMPRODUCT(M726:X726,$M$3:$X$3)*$K726*$L726</f>
        <v/>
      </c>
      <c r="AB726" s="13">
        <f>SUMPRODUCT(M726:X726,$M$4:$X$4)*$K726*$L726</f>
        <v/>
      </c>
      <c r="AC726" s="15">
        <f>SUMPRODUCT(M726:X726,$M$5:$X$5)*$K726*$L726</f>
        <v/>
      </c>
      <c r="AD726" s="15">
        <f>SUMPRODUCT(M726:X726,$M$6:$X$6)*$K726*$L726</f>
        <v/>
      </c>
      <c r="AE726" s="19" t="n"/>
    </row>
    <row r="727">
      <c r="A727" s="9" t="n">
        <v>650907</v>
      </c>
      <c r="B727" s="9" t="inlineStr">
        <is>
          <t>René Pinto</t>
        </is>
      </c>
      <c r="C727" s="9" t="inlineStr"/>
      <c r="D727" s="9" t="n">
        <v>30</v>
      </c>
      <c r="E727" s="17" t="inlineStr">
        <is>
          <t>R</t>
        </is>
      </c>
      <c r="F727" s="17" t="n"/>
      <c r="G727" s="9" t="n">
        <v>8</v>
      </c>
      <c r="H727" s="9" t="n">
        <v>8</v>
      </c>
      <c r="I727" s="9" t="inlineStr">
        <is>
          <t>Depth (no MLB IP)</t>
        </is>
      </c>
      <c r="J727" s="17" t="inlineStr">
        <is>
          <t>Opening Day</t>
        </is>
      </c>
      <c r="K727" s="11">
        <f>IFERROR(INDEX(Roles!$B$17:$B$20,MATCH(J727,Roles!$A$17:$A$20,0)),1)</f>
        <v/>
      </c>
      <c r="L727" s="18" t="n">
        <v>1</v>
      </c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3">
        <f>SUMPRODUCT(M727:X727,$M$2:$X$2)*$K727*$L727</f>
        <v/>
      </c>
      <c r="Z727" s="14">
        <f>SUM(M727:X727)</f>
        <v/>
      </c>
      <c r="AA727" s="13">
        <f>SUMPRODUCT(M727:X727,$M$3:$X$3)*$K727*$L727</f>
        <v/>
      </c>
      <c r="AB727" s="13">
        <f>SUMPRODUCT(M727:X727,$M$4:$X$4)*$K727*$L727</f>
        <v/>
      </c>
      <c r="AC727" s="15">
        <f>SUMPRODUCT(M727:X727,$M$5:$X$5)*$K727*$L727</f>
        <v/>
      </c>
      <c r="AD727" s="15">
        <f>SUMPRODUCT(M727:X727,$M$6:$X$6)*$K727*$L727</f>
        <v/>
      </c>
      <c r="AE727" s="19" t="n"/>
    </row>
    <row r="728">
      <c r="A728" s="9" t="n">
        <v>434378</v>
      </c>
      <c r="B728" s="9" t="inlineStr">
        <is>
          <t>Justin Verlander</t>
        </is>
      </c>
      <c r="C728" s="9" t="inlineStr">
        <is>
          <t>SF</t>
        </is>
      </c>
      <c r="D728" s="9" t="n">
        <v>44</v>
      </c>
      <c r="E728" s="17" t="inlineStr">
        <is>
          <t>R</t>
        </is>
      </c>
      <c r="F728" s="17" t="n"/>
      <c r="G728" s="9" t="n">
        <v>19</v>
      </c>
      <c r="H728" s="9" t="n">
        <v>2412</v>
      </c>
      <c r="I728" s="9" t="inlineStr">
        <is>
          <t>Mid-Rotation Starter (SP2-3)</t>
        </is>
      </c>
      <c r="J728" s="17" t="inlineStr">
        <is>
          <t>Opening Day</t>
        </is>
      </c>
      <c r="K728" s="11">
        <f>IFERROR(INDEX(Roles!$B$17:$B$20,MATCH(J728,Roles!$A$17:$A$20,0)),1)</f>
        <v/>
      </c>
      <c r="L728" s="18" t="n">
        <v>1</v>
      </c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3">
        <f>SUMPRODUCT(M728:X728,$M$2:$X$2)*$K728*$L728</f>
        <v/>
      </c>
      <c r="Z728" s="14">
        <f>SUM(M728:X728)</f>
        <v/>
      </c>
      <c r="AA728" s="13">
        <f>SUMPRODUCT(M728:X728,$M$3:$X$3)*$K728*$L728</f>
        <v/>
      </c>
      <c r="AB728" s="13">
        <f>SUMPRODUCT(M728:X728,$M$4:$X$4)*$K728*$L728</f>
        <v/>
      </c>
      <c r="AC728" s="15">
        <f>SUMPRODUCT(M728:X728,$M$5:$X$5)*$K728*$L728</f>
        <v/>
      </c>
      <c r="AD728" s="15">
        <f>SUMPRODUCT(M728:X728,$M$6:$X$6)*$K728*$L728</f>
        <v/>
      </c>
      <c r="AE728" s="19" t="n"/>
    </row>
    <row r="729">
      <c r="A729" s="9" t="n">
        <v>701780</v>
      </c>
      <c r="B729" s="9" t="inlineStr">
        <is>
          <t>Tanner McDougal</t>
        </is>
      </c>
      <c r="C729" s="9" t="inlineStr"/>
      <c r="D729" s="9" t="n">
        <v>24</v>
      </c>
      <c r="E729" s="17" t="inlineStr">
        <is>
          <t>R</t>
        </is>
      </c>
      <c r="F729" s="17" t="n"/>
      <c r="G729" s="9" t="n">
        <v>5</v>
      </c>
      <c r="H729" s="9" t="n">
        <v>5</v>
      </c>
      <c r="I729" s="9" t="inlineStr">
        <is>
          <t>Depth (no MLB IP)</t>
        </is>
      </c>
      <c r="J729" s="17" t="inlineStr">
        <is>
          <t>Opening Day</t>
        </is>
      </c>
      <c r="K729" s="11">
        <f>IFERROR(INDEX(Roles!$B$17:$B$20,MATCH(J729,Roles!$A$17:$A$20,0)),1)</f>
        <v/>
      </c>
      <c r="L729" s="18" t="n">
        <v>1</v>
      </c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3">
        <f>SUMPRODUCT(M729:X729,$M$2:$X$2)*$K729*$L729</f>
        <v/>
      </c>
      <c r="Z729" s="14">
        <f>SUM(M729:X729)</f>
        <v/>
      </c>
      <c r="AA729" s="13">
        <f>SUMPRODUCT(M729:X729,$M$3:$X$3)*$K729*$L729</f>
        <v/>
      </c>
      <c r="AB729" s="13">
        <f>SUMPRODUCT(M729:X729,$M$4:$X$4)*$K729*$L729</f>
        <v/>
      </c>
      <c r="AC729" s="15">
        <f>SUMPRODUCT(M729:X729,$M$5:$X$5)*$K729*$L729</f>
        <v/>
      </c>
      <c r="AD729" s="15">
        <f>SUMPRODUCT(M729:X729,$M$6:$X$6)*$K729*$L729</f>
        <v/>
      </c>
      <c r="AE729" s="19" t="n"/>
    </row>
    <row r="730">
      <c r="A730" s="9" t="n">
        <v>804668</v>
      </c>
      <c r="B730" s="9" t="inlineStr">
        <is>
          <t>Rafael Flores Jr.</t>
        </is>
      </c>
      <c r="C730" s="9" t="inlineStr"/>
      <c r="D730" s="9" t="n">
        <v>26</v>
      </c>
      <c r="E730" s="17" t="inlineStr">
        <is>
          <t>R</t>
        </is>
      </c>
      <c r="F730" s="17" t="n"/>
      <c r="G730" s="9" t="n">
        <v>5</v>
      </c>
      <c r="H730" s="9" t="n">
        <v>5</v>
      </c>
      <c r="I730" s="9" t="inlineStr">
        <is>
          <t>Depth (no MLB IP)</t>
        </is>
      </c>
      <c r="J730" s="17" t="inlineStr">
        <is>
          <t>Opening Day</t>
        </is>
      </c>
      <c r="K730" s="11">
        <f>IFERROR(INDEX(Roles!$B$17:$B$20,MATCH(J730,Roles!$A$17:$A$20,0)),1)</f>
        <v/>
      </c>
      <c r="L730" s="18" t="n">
        <v>1</v>
      </c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3">
        <f>SUMPRODUCT(M730:X730,$M$2:$X$2)*$K730*$L730</f>
        <v/>
      </c>
      <c r="Z730" s="14">
        <f>SUM(M730:X730)</f>
        <v/>
      </c>
      <c r="AA730" s="13">
        <f>SUMPRODUCT(M730:X730,$M$3:$X$3)*$K730*$L730</f>
        <v/>
      </c>
      <c r="AB730" s="13">
        <f>SUMPRODUCT(M730:X730,$M$4:$X$4)*$K730*$L730</f>
        <v/>
      </c>
      <c r="AC730" s="15">
        <f>SUMPRODUCT(M730:X730,$M$5:$X$5)*$K730*$L730</f>
        <v/>
      </c>
      <c r="AD730" s="15">
        <f>SUMPRODUCT(M730:X730,$M$6:$X$6)*$K730*$L730</f>
        <v/>
      </c>
      <c r="AE730" s="19" t="n"/>
    </row>
    <row r="731">
      <c r="A731" s="9" t="n">
        <v>680474</v>
      </c>
      <c r="B731" s="9" t="inlineStr">
        <is>
          <t>Max Schuemann</t>
        </is>
      </c>
      <c r="C731" s="9" t="inlineStr"/>
      <c r="D731" s="9" t="n">
        <v>30</v>
      </c>
      <c r="E731" s="17" t="inlineStr">
        <is>
          <t>R</t>
        </is>
      </c>
      <c r="F731" s="17" t="n"/>
      <c r="G731" s="9" t="n">
        <v>5</v>
      </c>
      <c r="H731" s="9" t="n">
        <v>5</v>
      </c>
      <c r="I731" s="9" t="inlineStr">
        <is>
          <t>Depth (no MLB IP)</t>
        </is>
      </c>
      <c r="J731" s="17" t="inlineStr">
        <is>
          <t>Opening Day</t>
        </is>
      </c>
      <c r="K731" s="11">
        <f>IFERROR(INDEX(Roles!$B$17:$B$20,MATCH(J731,Roles!$A$17:$A$20,0)),1)</f>
        <v/>
      </c>
      <c r="L731" s="18" t="n">
        <v>1</v>
      </c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3">
        <f>SUMPRODUCT(M731:X731,$M$2:$X$2)*$K731*$L731</f>
        <v/>
      </c>
      <c r="Z731" s="14">
        <f>SUM(M731:X731)</f>
        <v/>
      </c>
      <c r="AA731" s="13">
        <f>SUMPRODUCT(M731:X731,$M$3:$X$3)*$K731*$L731</f>
        <v/>
      </c>
      <c r="AB731" s="13">
        <f>SUMPRODUCT(M731:X731,$M$4:$X$4)*$K731*$L731</f>
        <v/>
      </c>
      <c r="AC731" s="15">
        <f>SUMPRODUCT(M731:X731,$M$5:$X$5)*$K731*$L731</f>
        <v/>
      </c>
      <c r="AD731" s="15">
        <f>SUMPRODUCT(M731:X731,$M$6:$X$6)*$K731*$L731</f>
        <v/>
      </c>
      <c r="AE731" s="19" t="n"/>
    </row>
    <row r="732">
      <c r="A732" s="9" t="n">
        <v>677588</v>
      </c>
      <c r="B732" s="9" t="inlineStr">
        <is>
          <t>José Tena</t>
        </is>
      </c>
      <c r="C732" s="9" t="inlineStr"/>
      <c r="D732" s="9" t="n">
        <v>26</v>
      </c>
      <c r="E732" s="17" t="inlineStr">
        <is>
          <t>R</t>
        </is>
      </c>
      <c r="F732" s="17" t="n"/>
      <c r="G732" s="9" t="n">
        <v>5</v>
      </c>
      <c r="H732" s="9" t="n">
        <v>5</v>
      </c>
      <c r="I732" s="9" t="inlineStr">
        <is>
          <t>Depth (no MLB IP)</t>
        </is>
      </c>
      <c r="J732" s="17" t="inlineStr">
        <is>
          <t>Opening Day</t>
        </is>
      </c>
      <c r="K732" s="11">
        <f>IFERROR(INDEX(Roles!$B$17:$B$20,MATCH(J732,Roles!$A$17:$A$20,0)),1)</f>
        <v/>
      </c>
      <c r="L732" s="18" t="n">
        <v>1</v>
      </c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3">
        <f>SUMPRODUCT(M732:X732,$M$2:$X$2)*$K732*$L732</f>
        <v/>
      </c>
      <c r="Z732" s="14">
        <f>SUM(M732:X732)</f>
        <v/>
      </c>
      <c r="AA732" s="13">
        <f>SUMPRODUCT(M732:X732,$M$3:$X$3)*$K732*$L732</f>
        <v/>
      </c>
      <c r="AB732" s="13">
        <f>SUMPRODUCT(M732:X732,$M$4:$X$4)*$K732*$L732</f>
        <v/>
      </c>
      <c r="AC732" s="15">
        <f>SUMPRODUCT(M732:X732,$M$5:$X$5)*$K732*$L732</f>
        <v/>
      </c>
      <c r="AD732" s="15">
        <f>SUMPRODUCT(M732:X732,$M$6:$X$6)*$K732*$L732</f>
        <v/>
      </c>
      <c r="AE732" s="19" t="n"/>
    </row>
    <row r="733">
      <c r="A733" s="9" t="n">
        <v>695239</v>
      </c>
      <c r="B733" s="9" t="inlineStr">
        <is>
          <t>Robby Ahlstrom</t>
        </is>
      </c>
      <c r="C733" s="9" t="inlineStr">
        <is>
          <t>TEX</t>
        </is>
      </c>
      <c r="D733" s="9" t="n">
        <v>28</v>
      </c>
      <c r="E733" s="17" t="inlineStr">
        <is>
          <t>L</t>
        </is>
      </c>
      <c r="F733" s="17" t="n"/>
      <c r="G733" s="9" t="n">
        <v>160</v>
      </c>
      <c r="H733" s="9" t="n">
        <v>160</v>
      </c>
      <c r="I733" s="9" t="inlineStr">
        <is>
          <t>Bullpen Depth Arm</t>
        </is>
      </c>
      <c r="J733" s="17" t="inlineStr">
        <is>
          <t>Opening Day</t>
        </is>
      </c>
      <c r="K733" s="11">
        <f>IFERROR(INDEX(Roles!$B$17:$B$20,MATCH(J733,Roles!$A$17:$A$20,0)),1)</f>
        <v/>
      </c>
      <c r="L733" s="18" t="n">
        <v>1</v>
      </c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3">
        <f>SUMPRODUCT(M733:X733,$M$2:$X$2)*$K733*$L733</f>
        <v/>
      </c>
      <c r="Z733" s="14">
        <f>SUM(M733:X733)</f>
        <v/>
      </c>
      <c r="AA733" s="13">
        <f>SUMPRODUCT(M733:X733,$M$3:$X$3)*$K733*$L733</f>
        <v/>
      </c>
      <c r="AB733" s="13">
        <f>SUMPRODUCT(M733:X733,$M$4:$X$4)*$K733*$L733</f>
        <v/>
      </c>
      <c r="AC733" s="15">
        <f>SUMPRODUCT(M733:X733,$M$5:$X$5)*$K733*$L733</f>
        <v/>
      </c>
      <c r="AD733" s="15">
        <f>SUMPRODUCT(M733:X733,$M$6:$X$6)*$K733*$L733</f>
        <v/>
      </c>
      <c r="AE733" s="19" t="n"/>
    </row>
    <row r="734">
      <c r="A734" s="9" t="n">
        <v>669371</v>
      </c>
      <c r="B734" s="9" t="inlineStr">
        <is>
          <t>Cole Henry</t>
        </is>
      </c>
      <c r="C734" s="9" t="inlineStr">
        <is>
          <t>WSH</t>
        </is>
      </c>
      <c r="D734" s="9" t="n">
        <v>27</v>
      </c>
      <c r="E734" s="17" t="inlineStr">
        <is>
          <t>R</t>
        </is>
      </c>
      <c r="F734" s="17" t="n"/>
      <c r="G734" s="9" t="n">
        <v>70</v>
      </c>
      <c r="H734" s="9" t="n">
        <v>311</v>
      </c>
      <c r="I734" s="9" t="inlineStr">
        <is>
          <t>Bullpen Depth Arm</t>
        </is>
      </c>
      <c r="J734" s="17" t="inlineStr">
        <is>
          <t>Opening Day</t>
        </is>
      </c>
      <c r="K734" s="11">
        <f>IFERROR(INDEX(Roles!$B$17:$B$20,MATCH(J734,Roles!$A$17:$A$20,0)),1)</f>
        <v/>
      </c>
      <c r="L734" s="18" t="n">
        <v>1</v>
      </c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3">
        <f>SUMPRODUCT(M734:X734,$M$2:$X$2)*$K734*$L734</f>
        <v/>
      </c>
      <c r="Z734" s="14">
        <f>SUM(M734:X734)</f>
        <v/>
      </c>
      <c r="AA734" s="13">
        <f>SUMPRODUCT(M734:X734,$M$3:$X$3)*$K734*$L734</f>
        <v/>
      </c>
      <c r="AB734" s="13">
        <f>SUMPRODUCT(M734:X734,$M$4:$X$4)*$K734*$L734</f>
        <v/>
      </c>
      <c r="AC734" s="15">
        <f>SUMPRODUCT(M734:X734,$M$5:$X$5)*$K734*$L734</f>
        <v/>
      </c>
      <c r="AD734" s="15">
        <f>SUMPRODUCT(M734:X734,$M$6:$X$6)*$K734*$L734</f>
        <v/>
      </c>
      <c r="AE734" s="19" t="n"/>
    </row>
    <row r="735">
      <c r="A735" s="9" t="n">
        <v>669449</v>
      </c>
      <c r="B735" s="9" t="inlineStr">
        <is>
          <t>Jake Palisch</t>
        </is>
      </c>
      <c r="C735" s="9" t="inlineStr"/>
      <c r="D735" s="9" t="n">
        <v>28</v>
      </c>
      <c r="E735" s="17" t="inlineStr">
        <is>
          <t>L</t>
        </is>
      </c>
      <c r="F735" s="17" t="n"/>
      <c r="G735" s="9" t="n">
        <v>6</v>
      </c>
      <c r="H735" s="9" t="n">
        <v>6</v>
      </c>
      <c r="I735" s="9" t="inlineStr">
        <is>
          <t>Depth (no MLB IP)</t>
        </is>
      </c>
      <c r="J735" s="17" t="inlineStr">
        <is>
          <t>Opening Day</t>
        </is>
      </c>
      <c r="K735" s="11">
        <f>IFERROR(INDEX(Roles!$B$17:$B$20,MATCH(J735,Roles!$A$17:$A$20,0)),1)</f>
        <v/>
      </c>
      <c r="L735" s="18" t="n">
        <v>1</v>
      </c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3">
        <f>SUMPRODUCT(M735:X735,$M$2:$X$2)*$K735*$L735</f>
        <v/>
      </c>
      <c r="Z735" s="14">
        <f>SUM(M735:X735)</f>
        <v/>
      </c>
      <c r="AA735" s="13">
        <f>SUMPRODUCT(M735:X735,$M$3:$X$3)*$K735*$L735</f>
        <v/>
      </c>
      <c r="AB735" s="13">
        <f>SUMPRODUCT(M735:X735,$M$4:$X$4)*$K735*$L735</f>
        <v/>
      </c>
      <c r="AC735" s="15">
        <f>SUMPRODUCT(M735:X735,$M$5:$X$5)*$K735*$L735</f>
        <v/>
      </c>
      <c r="AD735" s="15">
        <f>SUMPRODUCT(M735:X735,$M$6:$X$6)*$K735*$L735</f>
        <v/>
      </c>
      <c r="AE735" s="19" t="n"/>
    </row>
    <row r="736">
      <c r="A736" s="9" t="n">
        <v>642180</v>
      </c>
      <c r="B736" s="9" t="inlineStr">
        <is>
          <t>Tyler Wade</t>
        </is>
      </c>
      <c r="C736" s="9" t="inlineStr"/>
      <c r="D736" s="9" t="n">
        <v>32</v>
      </c>
      <c r="E736" s="17" t="inlineStr">
        <is>
          <t>R</t>
        </is>
      </c>
      <c r="F736" s="17" t="n"/>
      <c r="G736" s="9" t="n">
        <v>6</v>
      </c>
      <c r="H736" s="9" t="n">
        <v>6</v>
      </c>
      <c r="I736" s="9" t="inlineStr">
        <is>
          <t>Depth (no MLB IP)</t>
        </is>
      </c>
      <c r="J736" s="17" t="inlineStr">
        <is>
          <t>Opening Day</t>
        </is>
      </c>
      <c r="K736" s="11">
        <f>IFERROR(INDEX(Roles!$B$17:$B$20,MATCH(J736,Roles!$A$17:$A$20,0)),1)</f>
        <v/>
      </c>
      <c r="L736" s="18" t="n">
        <v>1</v>
      </c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3">
        <f>SUMPRODUCT(M736:X736,$M$2:$X$2)*$K736*$L736</f>
        <v/>
      </c>
      <c r="Z736" s="14">
        <f>SUM(M736:X736)</f>
        <v/>
      </c>
      <c r="AA736" s="13">
        <f>SUMPRODUCT(M736:X736,$M$3:$X$3)*$K736*$L736</f>
        <v/>
      </c>
      <c r="AB736" s="13">
        <f>SUMPRODUCT(M736:X736,$M$4:$X$4)*$K736*$L736</f>
        <v/>
      </c>
      <c r="AC736" s="15">
        <f>SUMPRODUCT(M736:X736,$M$5:$X$5)*$K736*$L736</f>
        <v/>
      </c>
      <c r="AD736" s="15">
        <f>SUMPRODUCT(M736:X736,$M$6:$X$6)*$K736*$L736</f>
        <v/>
      </c>
      <c r="AE736" s="19" t="n"/>
    </row>
    <row r="737">
      <c r="A737" s="9" t="n">
        <v>621512</v>
      </c>
      <c r="B737" s="9" t="inlineStr">
        <is>
          <t>Tomás Nido</t>
        </is>
      </c>
      <c r="C737" s="9" t="inlineStr"/>
      <c r="D737" s="9" t="n">
        <v>33</v>
      </c>
      <c r="E737" s="17" t="inlineStr">
        <is>
          <t>R</t>
        </is>
      </c>
      <c r="F737" s="17" t="n"/>
      <c r="G737" s="9" t="n">
        <v>6</v>
      </c>
      <c r="H737" s="9" t="n">
        <v>6</v>
      </c>
      <c r="I737" s="9" t="inlineStr">
        <is>
          <t>Depth (no MLB IP)</t>
        </is>
      </c>
      <c r="J737" s="17" t="inlineStr">
        <is>
          <t>Opening Day</t>
        </is>
      </c>
      <c r="K737" s="11">
        <f>IFERROR(INDEX(Roles!$B$17:$B$20,MATCH(J737,Roles!$A$17:$A$20,0)),1)</f>
        <v/>
      </c>
      <c r="L737" s="18" t="n">
        <v>1</v>
      </c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3">
        <f>SUMPRODUCT(M737:X737,$M$2:$X$2)*$K737*$L737</f>
        <v/>
      </c>
      <c r="Z737" s="14">
        <f>SUM(M737:X737)</f>
        <v/>
      </c>
      <c r="AA737" s="13">
        <f>SUMPRODUCT(M737:X737,$M$3:$X$3)*$K737*$L737</f>
        <v/>
      </c>
      <c r="AB737" s="13">
        <f>SUMPRODUCT(M737:X737,$M$4:$X$4)*$K737*$L737</f>
        <v/>
      </c>
      <c r="AC737" s="15">
        <f>SUMPRODUCT(M737:X737,$M$5:$X$5)*$K737*$L737</f>
        <v/>
      </c>
      <c r="AD737" s="15">
        <f>SUMPRODUCT(M737:X737,$M$6:$X$6)*$K737*$L737</f>
        <v/>
      </c>
      <c r="AE737" s="19" t="n"/>
    </row>
    <row r="738">
      <c r="A738" s="9" t="n">
        <v>687589</v>
      </c>
      <c r="B738" s="9" t="inlineStr">
        <is>
          <t>Dom Hamel</t>
        </is>
      </c>
      <c r="C738" s="9" t="inlineStr"/>
      <c r="D738" s="9" t="n">
        <v>28</v>
      </c>
      <c r="E738" s="17" t="inlineStr">
        <is>
          <t>R</t>
        </is>
      </c>
      <c r="F738" s="17" t="n"/>
      <c r="G738" s="9" t="n">
        <v>6</v>
      </c>
      <c r="H738" s="9" t="n">
        <v>6</v>
      </c>
      <c r="I738" s="9" t="inlineStr">
        <is>
          <t>Depth (no MLB IP)</t>
        </is>
      </c>
      <c r="J738" s="17" t="inlineStr">
        <is>
          <t>Opening Day</t>
        </is>
      </c>
      <c r="K738" s="11">
        <f>IFERROR(INDEX(Roles!$B$17:$B$20,MATCH(J738,Roles!$A$17:$A$20,0)),1)</f>
        <v/>
      </c>
      <c r="L738" s="18" t="n">
        <v>1</v>
      </c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3">
        <f>SUMPRODUCT(M738:X738,$M$2:$X$2)*$K738*$L738</f>
        <v/>
      </c>
      <c r="Z738" s="14">
        <f>SUM(M738:X738)</f>
        <v/>
      </c>
      <c r="AA738" s="13">
        <f>SUMPRODUCT(M738:X738,$M$3:$X$3)*$K738*$L738</f>
        <v/>
      </c>
      <c r="AB738" s="13">
        <f>SUMPRODUCT(M738:X738,$M$4:$X$4)*$K738*$L738</f>
        <v/>
      </c>
      <c r="AC738" s="15">
        <f>SUMPRODUCT(M738:X738,$M$5:$X$5)*$K738*$L738</f>
        <v/>
      </c>
      <c r="AD738" s="15">
        <f>SUMPRODUCT(M738:X738,$M$6:$X$6)*$K738*$L738</f>
        <v/>
      </c>
      <c r="AE738" s="19" t="n"/>
    </row>
    <row r="739">
      <c r="A739" s="9" t="n">
        <v>608671</v>
      </c>
      <c r="B739" s="9" t="inlineStr">
        <is>
          <t>Travis Jankowski</t>
        </is>
      </c>
      <c r="C739" s="9" t="inlineStr"/>
      <c r="D739" s="9" t="n">
        <v>36</v>
      </c>
      <c r="E739" s="17" t="inlineStr">
        <is>
          <t>R</t>
        </is>
      </c>
      <c r="F739" s="17" t="n"/>
      <c r="G739" s="9" t="n">
        <v>6</v>
      </c>
      <c r="H739" s="9" t="n">
        <v>6</v>
      </c>
      <c r="I739" s="9" t="inlineStr">
        <is>
          <t>Depth (no MLB IP)</t>
        </is>
      </c>
      <c r="J739" s="17" t="inlineStr">
        <is>
          <t>Opening Day</t>
        </is>
      </c>
      <c r="K739" s="11">
        <f>IFERROR(INDEX(Roles!$B$17:$B$20,MATCH(J739,Roles!$A$17:$A$20,0)),1)</f>
        <v/>
      </c>
      <c r="L739" s="18" t="n">
        <v>1</v>
      </c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3">
        <f>SUMPRODUCT(M739:X739,$M$2:$X$2)*$K739*$L739</f>
        <v/>
      </c>
      <c r="Z739" s="14">
        <f>SUM(M739:X739)</f>
        <v/>
      </c>
      <c r="AA739" s="13">
        <f>SUMPRODUCT(M739:X739,$M$3:$X$3)*$K739*$L739</f>
        <v/>
      </c>
      <c r="AB739" s="13">
        <f>SUMPRODUCT(M739:X739,$M$4:$X$4)*$K739*$L739</f>
        <v/>
      </c>
      <c r="AC739" s="15">
        <f>SUMPRODUCT(M739:X739,$M$5:$X$5)*$K739*$L739</f>
        <v/>
      </c>
      <c r="AD739" s="15">
        <f>SUMPRODUCT(M739:X739,$M$6:$X$6)*$K739*$L739</f>
        <v/>
      </c>
      <c r="AE739" s="19" t="n"/>
    </row>
    <row r="740">
      <c r="A740" s="9" t="n">
        <v>519293</v>
      </c>
      <c r="B740" s="9" t="inlineStr">
        <is>
          <t>Will Smith</t>
        </is>
      </c>
      <c r="C740" s="9" t="inlineStr">
        <is>
          <t>KC</t>
        </is>
      </c>
      <c r="D740" s="9" t="n">
        <v>37</v>
      </c>
      <c r="E740" s="17" t="inlineStr">
        <is>
          <t>L</t>
        </is>
      </c>
      <c r="F740" s="17" t="n"/>
      <c r="G740" s="9" t="n">
        <v>186</v>
      </c>
      <c r="H740" s="9" t="n">
        <v>673</v>
      </c>
      <c r="I740" s="9" t="inlineStr">
        <is>
          <t>Depth (no MLB IP)</t>
        </is>
      </c>
      <c r="J740" s="17" t="inlineStr">
        <is>
          <t>Opening Day</t>
        </is>
      </c>
      <c r="K740" s="11">
        <f>IFERROR(INDEX(Roles!$B$17:$B$20,MATCH(J740,Roles!$A$17:$A$20,0)),1)</f>
        <v/>
      </c>
      <c r="L740" s="18" t="n">
        <v>1</v>
      </c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3">
        <f>SUMPRODUCT(M740:X740,$M$2:$X$2)*$K740*$L740</f>
        <v/>
      </c>
      <c r="Z740" s="14">
        <f>SUM(M740:X740)</f>
        <v/>
      </c>
      <c r="AA740" s="13">
        <f>SUMPRODUCT(M740:X740,$M$3:$X$3)*$K740*$L740</f>
        <v/>
      </c>
      <c r="AB740" s="13">
        <f>SUMPRODUCT(M740:X740,$M$4:$X$4)*$K740*$L740</f>
        <v/>
      </c>
      <c r="AC740" s="15">
        <f>SUMPRODUCT(M740:X740,$M$5:$X$5)*$K740*$L740</f>
        <v/>
      </c>
      <c r="AD740" s="15">
        <f>SUMPRODUCT(M740:X740,$M$6:$X$6)*$K740*$L740</f>
        <v/>
      </c>
      <c r="AE740" s="19" t="n"/>
    </row>
    <row r="741">
      <c r="A741" s="9" t="n">
        <v>656849</v>
      </c>
      <c r="B741" s="9" t="inlineStr">
        <is>
          <t>David Peterson</t>
        </is>
      </c>
      <c r="C741" s="9" t="inlineStr">
        <is>
          <t>CHC</t>
        </is>
      </c>
      <c r="D741" s="9" t="n">
        <v>31</v>
      </c>
      <c r="E741" s="17" t="inlineStr">
        <is>
          <t>L</t>
        </is>
      </c>
      <c r="F741" s="17" t="n"/>
      <c r="G741" s="9" t="n">
        <v>622</v>
      </c>
      <c r="H741" s="9" t="n">
        <v>2801</v>
      </c>
      <c r="I741" s="9" t="inlineStr">
        <is>
          <t>Mid-Rotation Starter (SP2-3)</t>
        </is>
      </c>
      <c r="J741" s="17" t="inlineStr">
        <is>
          <t>Opening Day</t>
        </is>
      </c>
      <c r="K741" s="11">
        <f>IFERROR(INDEX(Roles!$B$17:$B$20,MATCH(J741,Roles!$A$17:$A$20,0)),1)</f>
        <v/>
      </c>
      <c r="L741" s="18" t="n">
        <v>1</v>
      </c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3">
        <f>SUMPRODUCT(M741:X741,$M$2:$X$2)*$K741*$L741</f>
        <v/>
      </c>
      <c r="Z741" s="14">
        <f>SUM(M741:X741)</f>
        <v/>
      </c>
      <c r="AA741" s="13">
        <f>SUMPRODUCT(M741:X741,$M$3:$X$3)*$K741*$L741</f>
        <v/>
      </c>
      <c r="AB741" s="13">
        <f>SUMPRODUCT(M741:X741,$M$4:$X$4)*$K741*$L741</f>
        <v/>
      </c>
      <c r="AC741" s="15">
        <f>SUMPRODUCT(M741:X741,$M$5:$X$5)*$K741*$L741</f>
        <v/>
      </c>
      <c r="AD741" s="15">
        <f>SUMPRODUCT(M741:X741,$M$6:$X$6)*$K741*$L741</f>
        <v/>
      </c>
      <c r="AE741" s="19" t="n"/>
    </row>
    <row r="742">
      <c r="A742" s="9" t="n">
        <v>808963</v>
      </c>
      <c r="B742" s="9" t="inlineStr">
        <is>
          <t>Roki Sasaki</t>
        </is>
      </c>
      <c r="C742" s="9" t="inlineStr">
        <is>
          <t>LAD</t>
        </is>
      </c>
      <c r="D742" s="9" t="n">
        <v>25</v>
      </c>
      <c r="E742" s="17" t="inlineStr">
        <is>
          <t>R</t>
        </is>
      </c>
      <c r="F742" s="17" t="n"/>
      <c r="G742" s="9" t="n">
        <v>511</v>
      </c>
      <c r="H742" s="9" t="n">
        <v>672</v>
      </c>
      <c r="I742" s="9" t="inlineStr">
        <is>
          <t>End-of-Rotation Starter (SP4-5)</t>
        </is>
      </c>
      <c r="J742" s="17" t="inlineStr">
        <is>
          <t>Opening Day</t>
        </is>
      </c>
      <c r="K742" s="11">
        <f>IFERROR(INDEX(Roles!$B$17:$B$20,MATCH(J742,Roles!$A$17:$A$20,0)),1)</f>
        <v/>
      </c>
      <c r="L742" s="18" t="n">
        <v>1</v>
      </c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3">
        <f>SUMPRODUCT(M742:X742,$M$2:$X$2)*$K742*$L742</f>
        <v/>
      </c>
      <c r="Z742" s="14">
        <f>SUM(M742:X742)</f>
        <v/>
      </c>
      <c r="AA742" s="13">
        <f>SUMPRODUCT(M742:X742,$M$3:$X$3)*$K742*$L742</f>
        <v/>
      </c>
      <c r="AB742" s="13">
        <f>SUMPRODUCT(M742:X742,$M$4:$X$4)*$K742*$L742</f>
        <v/>
      </c>
      <c r="AC742" s="15">
        <f>SUMPRODUCT(M742:X742,$M$5:$X$5)*$K742*$L742</f>
        <v/>
      </c>
      <c r="AD742" s="15">
        <f>SUMPRODUCT(M742:X742,$M$6:$X$6)*$K742*$L742</f>
        <v/>
      </c>
      <c r="AE742" s="19" t="n"/>
    </row>
    <row r="743">
      <c r="A743" s="9" t="n">
        <v>621139</v>
      </c>
      <c r="B743" s="9" t="inlineStr">
        <is>
          <t>Brooks Kriske</t>
        </is>
      </c>
      <c r="C743" s="9" t="inlineStr">
        <is>
          <t>MIN</t>
        </is>
      </c>
      <c r="D743" s="9" t="n">
        <v>33</v>
      </c>
      <c r="E743" s="17" t="inlineStr">
        <is>
          <t>R</t>
        </is>
      </c>
      <c r="F743" s="17" t="n"/>
      <c r="G743" s="9" t="n">
        <v>11</v>
      </c>
      <c r="H743" s="9" t="n">
        <v>124</v>
      </c>
      <c r="I743" s="9" t="inlineStr">
        <is>
          <t>Bullpen Depth Arm</t>
        </is>
      </c>
      <c r="J743" s="17" t="inlineStr">
        <is>
          <t>Opening Day</t>
        </is>
      </c>
      <c r="K743" s="11">
        <f>IFERROR(INDEX(Roles!$B$17:$B$20,MATCH(J743,Roles!$A$17:$A$20,0)),1)</f>
        <v/>
      </c>
      <c r="L743" s="18" t="n">
        <v>1</v>
      </c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3">
        <f>SUMPRODUCT(M743:X743,$M$2:$X$2)*$K743*$L743</f>
        <v/>
      </c>
      <c r="Z743" s="14">
        <f>SUM(M743:X743)</f>
        <v/>
      </c>
      <c r="AA743" s="13">
        <f>SUMPRODUCT(M743:X743,$M$3:$X$3)*$K743*$L743</f>
        <v/>
      </c>
      <c r="AB743" s="13">
        <f>SUMPRODUCT(M743:X743,$M$4:$X$4)*$K743*$L743</f>
        <v/>
      </c>
      <c r="AC743" s="15">
        <f>SUMPRODUCT(M743:X743,$M$5:$X$5)*$K743*$L743</f>
        <v/>
      </c>
      <c r="AD743" s="15">
        <f>SUMPRODUCT(M743:X743,$M$6:$X$6)*$K743*$L743</f>
        <v/>
      </c>
      <c r="AE743" s="19" t="n"/>
    </row>
    <row r="744">
      <c r="A744" s="9" t="n">
        <v>687330</v>
      </c>
      <c r="B744" s="9" t="inlineStr">
        <is>
          <t>Kevin Kelly</t>
        </is>
      </c>
      <c r="C744" s="9" t="inlineStr">
        <is>
          <t>TB</t>
        </is>
      </c>
      <c r="D744" s="9" t="n">
        <v>29</v>
      </c>
      <c r="E744" s="17" t="inlineStr">
        <is>
          <t>R</t>
        </is>
      </c>
      <c r="F744" s="17" t="n"/>
      <c r="G744" s="9" t="n">
        <v>269</v>
      </c>
      <c r="H744" s="9" t="n">
        <v>994</v>
      </c>
      <c r="I744" s="9" t="inlineStr">
        <is>
          <t>Bullpen Depth Arm</t>
        </is>
      </c>
      <c r="J744" s="17" t="inlineStr">
        <is>
          <t>Opening Day</t>
        </is>
      </c>
      <c r="K744" s="11">
        <f>IFERROR(INDEX(Roles!$B$17:$B$20,MATCH(J744,Roles!$A$17:$A$20,0)),1)</f>
        <v/>
      </c>
      <c r="L744" s="18" t="n">
        <v>1</v>
      </c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3">
        <f>SUMPRODUCT(M744:X744,$M$2:$X$2)*$K744*$L744</f>
        <v/>
      </c>
      <c r="Z744" s="14">
        <f>SUM(M744:X744)</f>
        <v/>
      </c>
      <c r="AA744" s="13">
        <f>SUMPRODUCT(M744:X744,$M$3:$X$3)*$K744*$L744</f>
        <v/>
      </c>
      <c r="AB744" s="13">
        <f>SUMPRODUCT(M744:X744,$M$4:$X$4)*$K744*$L744</f>
        <v/>
      </c>
      <c r="AC744" s="15">
        <f>SUMPRODUCT(M744:X744,$M$5:$X$5)*$K744*$L744</f>
        <v/>
      </c>
      <c r="AD744" s="15">
        <f>SUMPRODUCT(M744:X744,$M$6:$X$6)*$K744*$L744</f>
        <v/>
      </c>
      <c r="AE744" s="19" t="n"/>
    </row>
    <row r="745">
      <c r="A745" s="9" t="n">
        <v>693713</v>
      </c>
      <c r="B745" s="9" t="inlineStr">
        <is>
          <t>Emiliano Teodo</t>
        </is>
      </c>
      <c r="C745" s="9" t="inlineStr"/>
      <c r="D745" s="9" t="n">
        <v>26</v>
      </c>
      <c r="E745" s="17" t="inlineStr">
        <is>
          <t>R</t>
        </is>
      </c>
      <c r="F745" s="17" t="n"/>
      <c r="G745" s="9" t="n">
        <v>10</v>
      </c>
      <c r="H745" s="9" t="n">
        <v>10</v>
      </c>
      <c r="I745" s="9" t="inlineStr">
        <is>
          <t>Depth (no MLB IP)</t>
        </is>
      </c>
      <c r="J745" s="17" t="inlineStr">
        <is>
          <t>Opening Day</t>
        </is>
      </c>
      <c r="K745" s="11">
        <f>IFERROR(INDEX(Roles!$B$17:$B$20,MATCH(J745,Roles!$A$17:$A$20,0)),1)</f>
        <v/>
      </c>
      <c r="L745" s="18" t="n">
        <v>1</v>
      </c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3">
        <f>SUMPRODUCT(M745:X745,$M$2:$X$2)*$K745*$L745</f>
        <v/>
      </c>
      <c r="Z745" s="14">
        <f>SUM(M745:X745)</f>
        <v/>
      </c>
      <c r="AA745" s="13">
        <f>SUMPRODUCT(M745:X745,$M$3:$X$3)*$K745*$L745</f>
        <v/>
      </c>
      <c r="AB745" s="13">
        <f>SUMPRODUCT(M745:X745,$M$4:$X$4)*$K745*$L745</f>
        <v/>
      </c>
      <c r="AC745" s="15">
        <f>SUMPRODUCT(M745:X745,$M$5:$X$5)*$K745*$L745</f>
        <v/>
      </c>
      <c r="AD745" s="15">
        <f>SUMPRODUCT(M745:X745,$M$6:$X$6)*$K745*$L745</f>
        <v/>
      </c>
      <c r="AE745" s="19" t="n"/>
    </row>
    <row r="746">
      <c r="A746" s="9" t="n">
        <v>641658</v>
      </c>
      <c r="B746" s="9" t="inlineStr">
        <is>
          <t>Garrett Hampson</t>
        </is>
      </c>
      <c r="C746" s="9" t="inlineStr"/>
      <c r="D746" s="9" t="n">
        <v>32</v>
      </c>
      <c r="E746" s="17" t="inlineStr">
        <is>
          <t>R</t>
        </is>
      </c>
      <c r="F746" s="17" t="n"/>
      <c r="G746" s="9" t="n">
        <v>3</v>
      </c>
      <c r="H746" s="9" t="n">
        <v>7</v>
      </c>
      <c r="I746" s="9" t="inlineStr">
        <is>
          <t>Depth (no MLB IP)</t>
        </is>
      </c>
      <c r="J746" s="17" t="inlineStr">
        <is>
          <t>Opening Day</t>
        </is>
      </c>
      <c r="K746" s="11">
        <f>IFERROR(INDEX(Roles!$B$17:$B$20,MATCH(J746,Roles!$A$17:$A$20,0)),1)</f>
        <v/>
      </c>
      <c r="L746" s="18" t="n">
        <v>1</v>
      </c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3">
        <f>SUMPRODUCT(M746:X746,$M$2:$X$2)*$K746*$L746</f>
        <v/>
      </c>
      <c r="Z746" s="14">
        <f>SUM(M746:X746)</f>
        <v/>
      </c>
      <c r="AA746" s="13">
        <f>SUMPRODUCT(M746:X746,$M$3:$X$3)*$K746*$L746</f>
        <v/>
      </c>
      <c r="AB746" s="13">
        <f>SUMPRODUCT(M746:X746,$M$4:$X$4)*$K746*$L746</f>
        <v/>
      </c>
      <c r="AC746" s="15">
        <f>SUMPRODUCT(M746:X746,$M$5:$X$5)*$K746*$L746</f>
        <v/>
      </c>
      <c r="AD746" s="15">
        <f>SUMPRODUCT(M746:X746,$M$6:$X$6)*$K746*$L746</f>
        <v/>
      </c>
      <c r="AE746" s="19" t="n"/>
    </row>
    <row r="747">
      <c r="A747" s="9" t="n">
        <v>543594</v>
      </c>
      <c r="B747" s="9" t="inlineStr">
        <is>
          <t>Sean Nolin</t>
        </is>
      </c>
      <c r="C747" s="9" t="inlineStr"/>
      <c r="D747" s="9" t="n">
        <v>37</v>
      </c>
      <c r="E747" s="17" t="inlineStr">
        <is>
          <t>L</t>
        </is>
      </c>
      <c r="F747" s="17" t="n"/>
      <c r="G747" s="9" t="n">
        <v>18</v>
      </c>
      <c r="H747" s="9" t="n">
        <v>18</v>
      </c>
      <c r="I747" s="9" t="inlineStr">
        <is>
          <t>Depth (no MLB IP)</t>
        </is>
      </c>
      <c r="J747" s="17" t="inlineStr">
        <is>
          <t>Opening Day</t>
        </is>
      </c>
      <c r="K747" s="11">
        <f>IFERROR(INDEX(Roles!$B$17:$B$20,MATCH(J747,Roles!$A$17:$A$20,0)),1)</f>
        <v/>
      </c>
      <c r="L747" s="18" t="n">
        <v>1</v>
      </c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3">
        <f>SUMPRODUCT(M747:X747,$M$2:$X$2)*$K747*$L747</f>
        <v/>
      </c>
      <c r="Z747" s="14">
        <f>SUM(M747:X747)</f>
        <v/>
      </c>
      <c r="AA747" s="13">
        <f>SUMPRODUCT(M747:X747,$M$3:$X$3)*$K747*$L747</f>
        <v/>
      </c>
      <c r="AB747" s="13">
        <f>SUMPRODUCT(M747:X747,$M$4:$X$4)*$K747*$L747</f>
        <v/>
      </c>
      <c r="AC747" s="15">
        <f>SUMPRODUCT(M747:X747,$M$5:$X$5)*$K747*$L747</f>
        <v/>
      </c>
      <c r="AD747" s="15">
        <f>SUMPRODUCT(M747:X747,$M$6:$X$6)*$K747*$L747</f>
        <v/>
      </c>
      <c r="AE747" s="19" t="n"/>
    </row>
    <row r="748">
      <c r="A748" s="9" t="n">
        <v>702566</v>
      </c>
      <c r="B748" s="9" t="inlineStr">
        <is>
          <t>Owen Murphy</t>
        </is>
      </c>
      <c r="C748" s="9" t="inlineStr">
        <is>
          <t>ATL</t>
        </is>
      </c>
      <c r="D748" s="9" t="n">
        <v>23</v>
      </c>
      <c r="E748" s="17" t="inlineStr">
        <is>
          <t>R</t>
        </is>
      </c>
      <c r="F748" s="17" t="n"/>
      <c r="G748" s="9" t="n">
        <v>42</v>
      </c>
      <c r="H748" s="9" t="n">
        <v>42</v>
      </c>
      <c r="I748" s="9" t="inlineStr">
        <is>
          <t>Bullpen Depth Arm</t>
        </is>
      </c>
      <c r="J748" s="17" t="inlineStr">
        <is>
          <t>Opening Day</t>
        </is>
      </c>
      <c r="K748" s="11">
        <f>IFERROR(INDEX(Roles!$B$17:$B$20,MATCH(J748,Roles!$A$17:$A$20,0)),1)</f>
        <v/>
      </c>
      <c r="L748" s="18" t="n">
        <v>1</v>
      </c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3">
        <f>SUMPRODUCT(M748:X748,$M$2:$X$2)*$K748*$L748</f>
        <v/>
      </c>
      <c r="Z748" s="14">
        <f>SUM(M748:X748)</f>
        <v/>
      </c>
      <c r="AA748" s="13">
        <f>SUMPRODUCT(M748:X748,$M$3:$X$3)*$K748*$L748</f>
        <v/>
      </c>
      <c r="AB748" s="13">
        <f>SUMPRODUCT(M748:X748,$M$4:$X$4)*$K748*$L748</f>
        <v/>
      </c>
      <c r="AC748" s="15">
        <f>SUMPRODUCT(M748:X748,$M$5:$X$5)*$K748*$L748</f>
        <v/>
      </c>
      <c r="AD748" s="15">
        <f>SUMPRODUCT(M748:X748,$M$6:$X$6)*$K748*$L748</f>
        <v/>
      </c>
      <c r="AE748" s="19" t="n"/>
    </row>
    <row r="749">
      <c r="A749" s="9" t="n">
        <v>669704</v>
      </c>
      <c r="B749" s="9" t="inlineStr">
        <is>
          <t>Kade Strowd</t>
        </is>
      </c>
      <c r="C749" s="9" t="inlineStr">
        <is>
          <t>BAL</t>
        </is>
      </c>
      <c r="D749" s="9" t="n">
        <v>29</v>
      </c>
      <c r="E749" s="17" t="inlineStr">
        <is>
          <t>R</t>
        </is>
      </c>
      <c r="F749" s="17" t="n"/>
      <c r="G749" s="9" t="n">
        <v>14</v>
      </c>
      <c r="H749" s="9" t="n">
        <v>119</v>
      </c>
      <c r="I749" s="9" t="inlineStr">
        <is>
          <t>Bullpen Depth Arm</t>
        </is>
      </c>
      <c r="J749" s="17" t="inlineStr">
        <is>
          <t>Opening Day</t>
        </is>
      </c>
      <c r="K749" s="11">
        <f>IFERROR(INDEX(Roles!$B$17:$B$20,MATCH(J749,Roles!$A$17:$A$20,0)),1)</f>
        <v/>
      </c>
      <c r="L749" s="18" t="n">
        <v>1</v>
      </c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3">
        <f>SUMPRODUCT(M749:X749,$M$2:$X$2)*$K749*$L749</f>
        <v/>
      </c>
      <c r="Z749" s="14">
        <f>SUM(M749:X749)</f>
        <v/>
      </c>
      <c r="AA749" s="13">
        <f>SUMPRODUCT(M749:X749,$M$3:$X$3)*$K749*$L749</f>
        <v/>
      </c>
      <c r="AB749" s="13">
        <f>SUMPRODUCT(M749:X749,$M$4:$X$4)*$K749*$L749</f>
        <v/>
      </c>
      <c r="AC749" s="15">
        <f>SUMPRODUCT(M749:X749,$M$5:$X$5)*$K749*$L749</f>
        <v/>
      </c>
      <c r="AD749" s="15">
        <f>SUMPRODUCT(M749:X749,$M$6:$X$6)*$K749*$L749</f>
        <v/>
      </c>
      <c r="AE749" s="19" t="n"/>
    </row>
    <row r="750">
      <c r="A750" s="9" t="n">
        <v>690382</v>
      </c>
      <c r="B750" s="9" t="inlineStr">
        <is>
          <t>Michael Darrell-Hicks</t>
        </is>
      </c>
      <c r="C750" s="9" t="inlineStr">
        <is>
          <t>PIT</t>
        </is>
      </c>
      <c r="D750" s="9" t="n">
        <v>29</v>
      </c>
      <c r="E750" s="17" t="inlineStr">
        <is>
          <t>R</t>
        </is>
      </c>
      <c r="F750" s="17" t="n"/>
      <c r="G750" s="9" t="n">
        <v>43</v>
      </c>
      <c r="H750" s="9" t="n">
        <v>43</v>
      </c>
      <c r="I750" s="9" t="inlineStr">
        <is>
          <t>Bullpen Depth Arm</t>
        </is>
      </c>
      <c r="J750" s="17" t="inlineStr">
        <is>
          <t>Opening Day</t>
        </is>
      </c>
      <c r="K750" s="11">
        <f>IFERROR(INDEX(Roles!$B$17:$B$20,MATCH(J750,Roles!$A$17:$A$20,0)),1)</f>
        <v/>
      </c>
      <c r="L750" s="18" t="n">
        <v>1</v>
      </c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3">
        <f>SUMPRODUCT(M750:X750,$M$2:$X$2)*$K750*$L750</f>
        <v/>
      </c>
      <c r="Z750" s="14">
        <f>SUM(M750:X750)</f>
        <v/>
      </c>
      <c r="AA750" s="13">
        <f>SUMPRODUCT(M750:X750,$M$3:$X$3)*$K750*$L750</f>
        <v/>
      </c>
      <c r="AB750" s="13">
        <f>SUMPRODUCT(M750:X750,$M$4:$X$4)*$K750*$L750</f>
        <v/>
      </c>
      <c r="AC750" s="15">
        <f>SUMPRODUCT(M750:X750,$M$5:$X$5)*$K750*$L750</f>
        <v/>
      </c>
      <c r="AD750" s="15">
        <f>SUMPRODUCT(M750:X750,$M$6:$X$6)*$K750*$L750</f>
        <v/>
      </c>
      <c r="AE750" s="19" t="n"/>
    </row>
    <row r="751">
      <c r="A751" s="9" t="n">
        <v>676265</v>
      </c>
      <c r="B751" s="9" t="inlineStr">
        <is>
          <t>Cory Abbott</t>
        </is>
      </c>
      <c r="C751" s="9" t="inlineStr">
        <is>
          <t>WSH</t>
        </is>
      </c>
      <c r="D751" s="9" t="n">
        <v>31</v>
      </c>
      <c r="E751" s="17" t="inlineStr">
        <is>
          <t>R</t>
        </is>
      </c>
      <c r="F751" s="17" t="n"/>
      <c r="G751" s="9" t="n">
        <v>183</v>
      </c>
      <c r="H751" s="9" t="n">
        <v>399</v>
      </c>
      <c r="I751" s="9" t="inlineStr">
        <is>
          <t>Depth (no MLB IP)</t>
        </is>
      </c>
      <c r="J751" s="17" t="inlineStr">
        <is>
          <t>Opening Day</t>
        </is>
      </c>
      <c r="K751" s="11">
        <f>IFERROR(INDEX(Roles!$B$17:$B$20,MATCH(J751,Roles!$A$17:$A$20,0)),1)</f>
        <v/>
      </c>
      <c r="L751" s="18" t="n">
        <v>1</v>
      </c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3">
        <f>SUMPRODUCT(M751:X751,$M$2:$X$2)*$K751*$L751</f>
        <v/>
      </c>
      <c r="Z751" s="14">
        <f>SUM(M751:X751)</f>
        <v/>
      </c>
      <c r="AA751" s="13">
        <f>SUMPRODUCT(M751:X751,$M$3:$X$3)*$K751*$L751</f>
        <v/>
      </c>
      <c r="AB751" s="13">
        <f>SUMPRODUCT(M751:X751,$M$4:$X$4)*$K751*$L751</f>
        <v/>
      </c>
      <c r="AC751" s="15">
        <f>SUMPRODUCT(M751:X751,$M$5:$X$5)*$K751*$L751</f>
        <v/>
      </c>
      <c r="AD751" s="15">
        <f>SUMPRODUCT(M751:X751,$M$6:$X$6)*$K751*$L751</f>
        <v/>
      </c>
      <c r="AE751" s="19" t="n"/>
    </row>
    <row r="752">
      <c r="A752" s="9" t="n">
        <v>543543</v>
      </c>
      <c r="B752" s="9" t="inlineStr">
        <is>
          <t>Brad Miller</t>
        </is>
      </c>
      <c r="C752" s="9" t="inlineStr"/>
      <c r="D752" s="9" t="n">
        <v>37</v>
      </c>
      <c r="E752" s="17" t="inlineStr">
        <is>
          <t>R</t>
        </is>
      </c>
      <c r="F752" s="17" t="n"/>
      <c r="G752" s="9" t="n">
        <v>9</v>
      </c>
      <c r="H752" s="9" t="n">
        <v>9</v>
      </c>
      <c r="I752" s="9" t="inlineStr">
        <is>
          <t>Depth (no MLB IP)</t>
        </is>
      </c>
      <c r="J752" s="17" t="inlineStr">
        <is>
          <t>Opening Day</t>
        </is>
      </c>
      <c r="K752" s="11">
        <f>IFERROR(INDEX(Roles!$B$17:$B$20,MATCH(J752,Roles!$A$17:$A$20,0)),1)</f>
        <v/>
      </c>
      <c r="L752" s="18" t="n">
        <v>1</v>
      </c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3">
        <f>SUMPRODUCT(M752:X752,$M$2:$X$2)*$K752*$L752</f>
        <v/>
      </c>
      <c r="Z752" s="14">
        <f>SUM(M752:X752)</f>
        <v/>
      </c>
      <c r="AA752" s="13">
        <f>SUMPRODUCT(M752:X752,$M$3:$X$3)*$K752*$L752</f>
        <v/>
      </c>
      <c r="AB752" s="13">
        <f>SUMPRODUCT(M752:X752,$M$4:$X$4)*$K752*$L752</f>
        <v/>
      </c>
      <c r="AC752" s="15">
        <f>SUMPRODUCT(M752:X752,$M$5:$X$5)*$K752*$L752</f>
        <v/>
      </c>
      <c r="AD752" s="15">
        <f>SUMPRODUCT(M752:X752,$M$6:$X$6)*$K752*$L752</f>
        <v/>
      </c>
      <c r="AE752" s="19" t="n"/>
    </row>
    <row r="753">
      <c r="A753" s="9" t="n">
        <v>488984</v>
      </c>
      <c r="B753" s="9" t="inlineStr">
        <is>
          <t>Tommy Hunter</t>
        </is>
      </c>
      <c r="C753" s="9" t="inlineStr">
        <is>
          <t>NYM</t>
        </is>
      </c>
      <c r="D753" s="9" t="n">
        <v>40</v>
      </c>
      <c r="E753" s="17" t="inlineStr">
        <is>
          <t>R</t>
        </is>
      </c>
      <c r="F753" s="17" t="n"/>
      <c r="G753" s="9" t="n">
        <v>106</v>
      </c>
      <c r="H753" s="9" t="n">
        <v>200</v>
      </c>
      <c r="I753" s="9" t="inlineStr">
        <is>
          <t>Depth (no MLB IP)</t>
        </is>
      </c>
      <c r="J753" s="17" t="inlineStr">
        <is>
          <t>Opening Day</t>
        </is>
      </c>
      <c r="K753" s="11">
        <f>IFERROR(INDEX(Roles!$B$17:$B$20,MATCH(J753,Roles!$A$17:$A$20,0)),1)</f>
        <v/>
      </c>
      <c r="L753" s="18" t="n">
        <v>1</v>
      </c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3">
        <f>SUMPRODUCT(M753:X753,$M$2:$X$2)*$K753*$L753</f>
        <v/>
      </c>
      <c r="Z753" s="14">
        <f>SUM(M753:X753)</f>
        <v/>
      </c>
      <c r="AA753" s="13">
        <f>SUMPRODUCT(M753:X753,$M$3:$X$3)*$K753*$L753</f>
        <v/>
      </c>
      <c r="AB753" s="13">
        <f>SUMPRODUCT(M753:X753,$M$4:$X$4)*$K753*$L753</f>
        <v/>
      </c>
      <c r="AC753" s="15">
        <f>SUMPRODUCT(M753:X753,$M$5:$X$5)*$K753*$L753</f>
        <v/>
      </c>
      <c r="AD753" s="15">
        <f>SUMPRODUCT(M753:X753,$M$6:$X$6)*$K753*$L753</f>
        <v/>
      </c>
      <c r="AE753" s="19" t="n"/>
    </row>
    <row r="754">
      <c r="A754" s="9" t="n">
        <v>592767</v>
      </c>
      <c r="B754" s="9" t="inlineStr">
        <is>
          <t>Drew Smyly</t>
        </is>
      </c>
      <c r="C754" s="9" t="inlineStr">
        <is>
          <t>CHC</t>
        </is>
      </c>
      <c r="D754" s="9" t="n">
        <v>38</v>
      </c>
      <c r="E754" s="17" t="inlineStr">
        <is>
          <t>L</t>
        </is>
      </c>
      <c r="F754" s="17" t="n"/>
      <c r="G754" s="9" t="n">
        <v>257</v>
      </c>
      <c r="H754" s="9" t="n">
        <v>1330</v>
      </c>
      <c r="I754" s="9" t="inlineStr">
        <is>
          <t>Depth (no MLB IP)</t>
        </is>
      </c>
      <c r="J754" s="17" t="inlineStr">
        <is>
          <t>Opening Day</t>
        </is>
      </c>
      <c r="K754" s="11">
        <f>IFERROR(INDEX(Roles!$B$17:$B$20,MATCH(J754,Roles!$A$17:$A$20,0)),1)</f>
        <v/>
      </c>
      <c r="L754" s="18" t="n">
        <v>1</v>
      </c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3">
        <f>SUMPRODUCT(M754:X754,$M$2:$X$2)*$K754*$L754</f>
        <v/>
      </c>
      <c r="Z754" s="14">
        <f>SUM(M754:X754)</f>
        <v/>
      </c>
      <c r="AA754" s="13">
        <f>SUMPRODUCT(M754:X754,$M$3:$X$3)*$K754*$L754</f>
        <v/>
      </c>
      <c r="AB754" s="13">
        <f>SUMPRODUCT(M754:X754,$M$4:$X$4)*$K754*$L754</f>
        <v/>
      </c>
      <c r="AC754" s="15">
        <f>SUMPRODUCT(M754:X754,$M$5:$X$5)*$K754*$L754</f>
        <v/>
      </c>
      <c r="AD754" s="15">
        <f>SUMPRODUCT(M754:X754,$M$6:$X$6)*$K754*$L754</f>
        <v/>
      </c>
      <c r="AE754" s="19" t="n"/>
    </row>
    <row r="755">
      <c r="A755" s="9" t="n">
        <v>668943</v>
      </c>
      <c r="B755" s="9" t="inlineStr">
        <is>
          <t>Ryan Miller</t>
        </is>
      </c>
      <c r="C755" s="9" t="inlineStr">
        <is>
          <t>LAA</t>
        </is>
      </c>
      <c r="D755" s="9" t="n">
        <v>31</v>
      </c>
      <c r="E755" s="17" t="inlineStr">
        <is>
          <t>R</t>
        </is>
      </c>
      <c r="F755" s="17" t="n"/>
      <c r="G755" s="9" t="n">
        <v>58</v>
      </c>
      <c r="H755" s="9" t="n">
        <v>58</v>
      </c>
      <c r="I755" s="9" t="inlineStr">
        <is>
          <t>Depth (no MLB IP)</t>
        </is>
      </c>
      <c r="J755" s="17" t="inlineStr">
        <is>
          <t>Opening Day</t>
        </is>
      </c>
      <c r="K755" s="11">
        <f>IFERROR(INDEX(Roles!$B$17:$B$20,MATCH(J755,Roles!$A$17:$A$20,0)),1)</f>
        <v/>
      </c>
      <c r="L755" s="18" t="n">
        <v>1</v>
      </c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3">
        <f>SUMPRODUCT(M755:X755,$M$2:$X$2)*$K755*$L755</f>
        <v/>
      </c>
      <c r="Z755" s="14">
        <f>SUM(M755:X755)</f>
        <v/>
      </c>
      <c r="AA755" s="13">
        <f>SUMPRODUCT(M755:X755,$M$3:$X$3)*$K755*$L755</f>
        <v/>
      </c>
      <c r="AB755" s="13">
        <f>SUMPRODUCT(M755:X755,$M$4:$X$4)*$K755*$L755</f>
        <v/>
      </c>
      <c r="AC755" s="15">
        <f>SUMPRODUCT(M755:X755,$M$5:$X$5)*$K755*$L755</f>
        <v/>
      </c>
      <c r="AD755" s="15">
        <f>SUMPRODUCT(M755:X755,$M$6:$X$6)*$K755*$L755</f>
        <v/>
      </c>
      <c r="AE755" s="19" t="n"/>
    </row>
    <row r="756">
      <c r="A756" s="9" t="n">
        <v>696147</v>
      </c>
      <c r="B756" s="9" t="inlineStr">
        <is>
          <t>Sam Bachman</t>
        </is>
      </c>
      <c r="C756" s="9" t="inlineStr">
        <is>
          <t>LAA</t>
        </is>
      </c>
      <c r="D756" s="9" t="n">
        <v>27</v>
      </c>
      <c r="E756" s="17" t="inlineStr">
        <is>
          <t>R</t>
        </is>
      </c>
      <c r="F756" s="17" t="n"/>
      <c r="G756" s="9" t="n">
        <v>198</v>
      </c>
      <c r="H756" s="9" t="n">
        <v>369</v>
      </c>
      <c r="I756" s="9" t="inlineStr">
        <is>
          <t>Bullpen Depth Arm</t>
        </is>
      </c>
      <c r="J756" s="17" t="inlineStr">
        <is>
          <t>Opening Day</t>
        </is>
      </c>
      <c r="K756" s="11">
        <f>IFERROR(INDEX(Roles!$B$17:$B$20,MATCH(J756,Roles!$A$17:$A$20,0)),1)</f>
        <v/>
      </c>
      <c r="L756" s="18" t="n">
        <v>1</v>
      </c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3">
        <f>SUMPRODUCT(M756:X756,$M$2:$X$2)*$K756*$L756</f>
        <v/>
      </c>
      <c r="Z756" s="14">
        <f>SUM(M756:X756)</f>
        <v/>
      </c>
      <c r="AA756" s="13">
        <f>SUMPRODUCT(M756:X756,$M$3:$X$3)*$K756*$L756</f>
        <v/>
      </c>
      <c r="AB756" s="13">
        <f>SUMPRODUCT(M756:X756,$M$4:$X$4)*$K756*$L756</f>
        <v/>
      </c>
      <c r="AC756" s="15">
        <f>SUMPRODUCT(M756:X756,$M$5:$X$5)*$K756*$L756</f>
        <v/>
      </c>
      <c r="AD756" s="15">
        <f>SUMPRODUCT(M756:X756,$M$6:$X$6)*$K756*$L756</f>
        <v/>
      </c>
      <c r="AE756" s="19" t="n"/>
    </row>
    <row r="757">
      <c r="A757" s="9" t="n">
        <v>655889</v>
      </c>
      <c r="B757" s="9" t="inlineStr">
        <is>
          <t>Manuel Rodríguez</t>
        </is>
      </c>
      <c r="C757" s="9" t="inlineStr">
        <is>
          <t>TB</t>
        </is>
      </c>
      <c r="D757" s="9" t="n">
        <v>30</v>
      </c>
      <c r="E757" s="17" t="inlineStr">
        <is>
          <t>R</t>
        </is>
      </c>
      <c r="F757" s="17" t="n"/>
      <c r="G757" s="9" t="n">
        <v>24</v>
      </c>
      <c r="H757" s="9" t="n">
        <v>360</v>
      </c>
      <c r="I757" s="9" t="inlineStr">
        <is>
          <t>Bullpen Depth Arm</t>
        </is>
      </c>
      <c r="J757" s="17" t="inlineStr">
        <is>
          <t>Opening Day</t>
        </is>
      </c>
      <c r="K757" s="11">
        <f>IFERROR(INDEX(Roles!$B$17:$B$20,MATCH(J757,Roles!$A$17:$A$20,0)),1)</f>
        <v/>
      </c>
      <c r="L757" s="18" t="n">
        <v>1</v>
      </c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3">
        <f>SUMPRODUCT(M757:X757,$M$2:$X$2)*$K757*$L757</f>
        <v/>
      </c>
      <c r="Z757" s="14">
        <f>SUM(M757:X757)</f>
        <v/>
      </c>
      <c r="AA757" s="13">
        <f>SUMPRODUCT(M757:X757,$M$3:$X$3)*$K757*$L757</f>
        <v/>
      </c>
      <c r="AB757" s="13">
        <f>SUMPRODUCT(M757:X757,$M$4:$X$4)*$K757*$L757</f>
        <v/>
      </c>
      <c r="AC757" s="15">
        <f>SUMPRODUCT(M757:X757,$M$5:$X$5)*$K757*$L757</f>
        <v/>
      </c>
      <c r="AD757" s="15">
        <f>SUMPRODUCT(M757:X757,$M$6:$X$6)*$K757*$L757</f>
        <v/>
      </c>
      <c r="AE757" s="19" t="n"/>
    </row>
    <row r="758">
      <c r="A758" s="9" t="n">
        <v>605155</v>
      </c>
      <c r="B758" s="9" t="inlineStr">
        <is>
          <t>Colten Brewer</t>
        </is>
      </c>
      <c r="C758" s="9" t="inlineStr">
        <is>
          <t>CHC</t>
        </is>
      </c>
      <c r="D758" s="9" t="n">
        <v>34</v>
      </c>
      <c r="E758" s="17" t="inlineStr">
        <is>
          <t>R</t>
        </is>
      </c>
      <c r="F758" s="17" t="n"/>
      <c r="G758" s="9" t="n">
        <v>95</v>
      </c>
      <c r="H758" s="9" t="n">
        <v>129</v>
      </c>
      <c r="I758" s="9" t="inlineStr">
        <is>
          <t>Depth (no MLB IP)</t>
        </is>
      </c>
      <c r="J758" s="17" t="inlineStr">
        <is>
          <t>Opening Day</t>
        </is>
      </c>
      <c r="K758" s="11">
        <f>IFERROR(INDEX(Roles!$B$17:$B$20,MATCH(J758,Roles!$A$17:$A$20,0)),1)</f>
        <v/>
      </c>
      <c r="L758" s="18" t="n">
        <v>1</v>
      </c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3">
        <f>SUMPRODUCT(M758:X758,$M$2:$X$2)*$K758*$L758</f>
        <v/>
      </c>
      <c r="Z758" s="14">
        <f>SUM(M758:X758)</f>
        <v/>
      </c>
      <c r="AA758" s="13">
        <f>SUMPRODUCT(M758:X758,$M$3:$X$3)*$K758*$L758</f>
        <v/>
      </c>
      <c r="AB758" s="13">
        <f>SUMPRODUCT(M758:X758,$M$4:$X$4)*$K758*$L758</f>
        <v/>
      </c>
      <c r="AC758" s="15">
        <f>SUMPRODUCT(M758:X758,$M$5:$X$5)*$K758*$L758</f>
        <v/>
      </c>
      <c r="AD758" s="15">
        <f>SUMPRODUCT(M758:X758,$M$6:$X$6)*$K758*$L758</f>
        <v/>
      </c>
      <c r="AE758" s="19" t="n"/>
    </row>
    <row r="759">
      <c r="A759" s="9" t="n">
        <v>656322</v>
      </c>
      <c r="B759" s="9" t="inlineStr">
        <is>
          <t>Sam Coonrod</t>
        </is>
      </c>
      <c r="C759" s="9" t="inlineStr">
        <is>
          <t>NYM</t>
        </is>
      </c>
      <c r="D759" s="9" t="n">
        <v>34</v>
      </c>
      <c r="E759" s="17" t="inlineStr">
        <is>
          <t>R</t>
        </is>
      </c>
      <c r="F759" s="17" t="n"/>
      <c r="G759" s="9" t="n">
        <v>34</v>
      </c>
      <c r="H759" s="9" t="n">
        <v>92</v>
      </c>
      <c r="I759" s="9" t="inlineStr">
        <is>
          <t>Depth (no MLB IP)</t>
        </is>
      </c>
      <c r="J759" s="17" t="inlineStr">
        <is>
          <t>Opening Day</t>
        </is>
      </c>
      <c r="K759" s="11">
        <f>IFERROR(INDEX(Roles!$B$17:$B$20,MATCH(J759,Roles!$A$17:$A$20,0)),1)</f>
        <v/>
      </c>
      <c r="L759" s="18" t="n">
        <v>1</v>
      </c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3">
        <f>SUMPRODUCT(M759:X759,$M$2:$X$2)*$K759*$L759</f>
        <v/>
      </c>
      <c r="Z759" s="14">
        <f>SUM(M759:X759)</f>
        <v/>
      </c>
      <c r="AA759" s="13">
        <f>SUMPRODUCT(M759:X759,$M$3:$X$3)*$K759*$L759</f>
        <v/>
      </c>
      <c r="AB759" s="13">
        <f>SUMPRODUCT(M759:X759,$M$4:$X$4)*$K759*$L759</f>
        <v/>
      </c>
      <c r="AC759" s="15">
        <f>SUMPRODUCT(M759:X759,$M$5:$X$5)*$K759*$L759</f>
        <v/>
      </c>
      <c r="AD759" s="15">
        <f>SUMPRODUCT(M759:X759,$M$6:$X$6)*$K759*$L759</f>
        <v/>
      </c>
      <c r="AE759" s="19" t="n"/>
    </row>
    <row r="760">
      <c r="A760" s="9" t="n">
        <v>543238</v>
      </c>
      <c r="B760" s="9" t="inlineStr">
        <is>
          <t>Anthony Gose</t>
        </is>
      </c>
      <c r="C760" s="9" t="inlineStr">
        <is>
          <t>KC</t>
        </is>
      </c>
      <c r="D760" s="9" t="n">
        <v>36</v>
      </c>
      <c r="E760" s="17" t="inlineStr">
        <is>
          <t>L</t>
        </is>
      </c>
      <c r="F760" s="17" t="n"/>
      <c r="G760" s="9" t="n">
        <v>31</v>
      </c>
      <c r="H760" s="9" t="n">
        <v>145</v>
      </c>
      <c r="I760" s="9" t="inlineStr">
        <is>
          <t>Bullpen Depth Arm</t>
        </is>
      </c>
      <c r="J760" s="17" t="inlineStr">
        <is>
          <t>Opening Day</t>
        </is>
      </c>
      <c r="K760" s="11">
        <f>IFERROR(INDEX(Roles!$B$17:$B$20,MATCH(J760,Roles!$A$17:$A$20,0)),1)</f>
        <v/>
      </c>
      <c r="L760" s="18" t="n">
        <v>1</v>
      </c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3">
        <f>SUMPRODUCT(M760:X760,$M$2:$X$2)*$K760*$L760</f>
        <v/>
      </c>
      <c r="Z760" s="14">
        <f>SUM(M760:X760)</f>
        <v/>
      </c>
      <c r="AA760" s="13">
        <f>SUMPRODUCT(M760:X760,$M$3:$X$3)*$K760*$L760</f>
        <v/>
      </c>
      <c r="AB760" s="13">
        <f>SUMPRODUCT(M760:X760,$M$4:$X$4)*$K760*$L760</f>
        <v/>
      </c>
      <c r="AC760" s="15">
        <f>SUMPRODUCT(M760:X760,$M$5:$X$5)*$K760*$L760</f>
        <v/>
      </c>
      <c r="AD760" s="15">
        <f>SUMPRODUCT(M760:X760,$M$6:$X$6)*$K760*$L760</f>
        <v/>
      </c>
      <c r="AE760" s="19" t="n"/>
    </row>
    <row r="761">
      <c r="A761" s="9" t="n">
        <v>685068</v>
      </c>
      <c r="B761" s="9" t="inlineStr">
        <is>
          <t>Carson Ragsdale</t>
        </is>
      </c>
      <c r="C761" s="9" t="inlineStr">
        <is>
          <t>BAL</t>
        </is>
      </c>
      <c r="D761" s="9" t="n">
        <v>29</v>
      </c>
      <c r="E761" s="17" t="inlineStr">
        <is>
          <t>R</t>
        </is>
      </c>
      <c r="F761" s="17" t="n"/>
      <c r="G761" s="9" t="n">
        <v>25</v>
      </c>
      <c r="H761" s="9" t="n">
        <v>25</v>
      </c>
      <c r="I761" s="9" t="inlineStr">
        <is>
          <t>Middle Relief</t>
        </is>
      </c>
      <c r="J761" s="17" t="inlineStr">
        <is>
          <t>Opening Day</t>
        </is>
      </c>
      <c r="K761" s="11">
        <f>IFERROR(INDEX(Roles!$B$17:$B$20,MATCH(J761,Roles!$A$17:$A$20,0)),1)</f>
        <v/>
      </c>
      <c r="L761" s="18" t="n">
        <v>1</v>
      </c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3">
        <f>SUMPRODUCT(M761:X761,$M$2:$X$2)*$K761*$L761</f>
        <v/>
      </c>
      <c r="Z761" s="14">
        <f>SUM(M761:X761)</f>
        <v/>
      </c>
      <c r="AA761" s="13">
        <f>SUMPRODUCT(M761:X761,$M$3:$X$3)*$K761*$L761</f>
        <v/>
      </c>
      <c r="AB761" s="13">
        <f>SUMPRODUCT(M761:X761,$M$4:$X$4)*$K761*$L761</f>
        <v/>
      </c>
      <c r="AC761" s="15">
        <f>SUMPRODUCT(M761:X761,$M$5:$X$5)*$K761*$L761</f>
        <v/>
      </c>
      <c r="AD761" s="15">
        <f>SUMPRODUCT(M761:X761,$M$6:$X$6)*$K761*$L761</f>
        <v/>
      </c>
      <c r="AE761" s="19" t="n"/>
    </row>
    <row r="762">
      <c r="A762" s="9" t="n">
        <v>640448</v>
      </c>
      <c r="B762" s="9" t="inlineStr">
        <is>
          <t>Kyle Finnegan</t>
        </is>
      </c>
      <c r="C762" s="9" t="inlineStr">
        <is>
          <t>DET</t>
        </is>
      </c>
      <c r="D762" s="9" t="n">
        <v>35</v>
      </c>
      <c r="E762" s="17" t="inlineStr">
        <is>
          <t>R</t>
        </is>
      </c>
      <c r="F762" s="17" t="n"/>
      <c r="G762" s="9" t="n">
        <v>270</v>
      </c>
      <c r="H762" s="9" t="n">
        <v>1326</v>
      </c>
      <c r="I762" s="9" t="inlineStr">
        <is>
          <t>Bullpen Depth Arm</t>
        </is>
      </c>
      <c r="J762" s="17" t="inlineStr">
        <is>
          <t>Opening Day</t>
        </is>
      </c>
      <c r="K762" s="11">
        <f>IFERROR(INDEX(Roles!$B$17:$B$20,MATCH(J762,Roles!$A$17:$A$20,0)),1)</f>
        <v/>
      </c>
      <c r="L762" s="18" t="n">
        <v>1</v>
      </c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3">
        <f>SUMPRODUCT(M762:X762,$M$2:$X$2)*$K762*$L762</f>
        <v/>
      </c>
      <c r="Z762" s="14">
        <f>SUM(M762:X762)</f>
        <v/>
      </c>
      <c r="AA762" s="13">
        <f>SUMPRODUCT(M762:X762,$M$3:$X$3)*$K762*$L762</f>
        <v/>
      </c>
      <c r="AB762" s="13">
        <f>SUMPRODUCT(M762:X762,$M$4:$X$4)*$K762*$L762</f>
        <v/>
      </c>
      <c r="AC762" s="15">
        <f>SUMPRODUCT(M762:X762,$M$5:$X$5)*$K762*$L762</f>
        <v/>
      </c>
      <c r="AD762" s="15">
        <f>SUMPRODUCT(M762:X762,$M$6:$X$6)*$K762*$L762</f>
        <v/>
      </c>
      <c r="AE762" s="19" t="n"/>
    </row>
    <row r="763">
      <c r="A763" s="9" t="n">
        <v>676910</v>
      </c>
      <c r="B763" s="9" t="inlineStr">
        <is>
          <t>Matt Seelinger</t>
        </is>
      </c>
      <c r="C763" s="9" t="inlineStr"/>
      <c r="D763" s="9" t="n">
        <v>32</v>
      </c>
      <c r="E763" s="17" t="inlineStr">
        <is>
          <t>R</t>
        </is>
      </c>
      <c r="F763" s="17" t="n"/>
      <c r="G763" s="9" t="n">
        <v>15</v>
      </c>
      <c r="H763" s="9" t="n">
        <v>15</v>
      </c>
      <c r="I763" s="9" t="inlineStr">
        <is>
          <t>Depth (no MLB IP)</t>
        </is>
      </c>
      <c r="J763" s="17" t="inlineStr">
        <is>
          <t>Opening Day</t>
        </is>
      </c>
      <c r="K763" s="11">
        <f>IFERROR(INDEX(Roles!$B$17:$B$20,MATCH(J763,Roles!$A$17:$A$20,0)),1)</f>
        <v/>
      </c>
      <c r="L763" s="18" t="n">
        <v>1</v>
      </c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3">
        <f>SUMPRODUCT(M763:X763,$M$2:$X$2)*$K763*$L763</f>
        <v/>
      </c>
      <c r="Z763" s="14">
        <f>SUM(M763:X763)</f>
        <v/>
      </c>
      <c r="AA763" s="13">
        <f>SUMPRODUCT(M763:X763,$M$3:$X$3)*$K763*$L763</f>
        <v/>
      </c>
      <c r="AB763" s="13">
        <f>SUMPRODUCT(M763:X763,$M$4:$X$4)*$K763*$L763</f>
        <v/>
      </c>
      <c r="AC763" s="15">
        <f>SUMPRODUCT(M763:X763,$M$5:$X$5)*$K763*$L763</f>
        <v/>
      </c>
      <c r="AD763" s="15">
        <f>SUMPRODUCT(M763:X763,$M$6:$X$6)*$K763*$L763</f>
        <v/>
      </c>
      <c r="AE763" s="19" t="n"/>
    </row>
    <row r="764">
      <c r="A764" s="9" t="n">
        <v>594943</v>
      </c>
      <c r="B764" s="9" t="inlineStr">
        <is>
          <t>Zach Neal</t>
        </is>
      </c>
      <c r="C764" s="9" t="inlineStr">
        <is>
          <t>OAK</t>
        </is>
      </c>
      <c r="D764" s="9" t="n">
        <v>38</v>
      </c>
      <c r="E764" s="17" t="inlineStr">
        <is>
          <t>R</t>
        </is>
      </c>
      <c r="F764" s="17" t="n"/>
      <c r="G764" s="9" t="n">
        <v>124</v>
      </c>
      <c r="H764" s="9" t="n">
        <v>124</v>
      </c>
      <c r="I764" s="9" t="inlineStr">
        <is>
          <t>Depth (no MLB IP)</t>
        </is>
      </c>
      <c r="J764" s="17" t="inlineStr">
        <is>
          <t>Opening Day</t>
        </is>
      </c>
      <c r="K764" s="11">
        <f>IFERROR(INDEX(Roles!$B$17:$B$20,MATCH(J764,Roles!$A$17:$A$20,0)),1)</f>
        <v/>
      </c>
      <c r="L764" s="18" t="n">
        <v>1</v>
      </c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3">
        <f>SUMPRODUCT(M764:X764,$M$2:$X$2)*$K764*$L764</f>
        <v/>
      </c>
      <c r="Z764" s="14">
        <f>SUM(M764:X764)</f>
        <v/>
      </c>
      <c r="AA764" s="13">
        <f>SUMPRODUCT(M764:X764,$M$3:$X$3)*$K764*$L764</f>
        <v/>
      </c>
      <c r="AB764" s="13">
        <f>SUMPRODUCT(M764:X764,$M$4:$X$4)*$K764*$L764</f>
        <v/>
      </c>
      <c r="AC764" s="15">
        <f>SUMPRODUCT(M764:X764,$M$5:$X$5)*$K764*$L764</f>
        <v/>
      </c>
      <c r="AD764" s="15">
        <f>SUMPRODUCT(M764:X764,$M$6:$X$6)*$K764*$L764</f>
        <v/>
      </c>
      <c r="AE764" s="19" t="n"/>
    </row>
    <row r="765">
      <c r="A765" s="9" t="n">
        <v>663462</v>
      </c>
      <c r="B765" s="9" t="inlineStr">
        <is>
          <t>Isaiah Campbell</t>
        </is>
      </c>
      <c r="C765" s="9" t="inlineStr">
        <is>
          <t>BOS</t>
        </is>
      </c>
      <c r="D765" s="9" t="n">
        <v>29</v>
      </c>
      <c r="E765" s="17" t="inlineStr">
        <is>
          <t>R</t>
        </is>
      </c>
      <c r="F765" s="17" t="n"/>
      <c r="G765" s="9" t="n">
        <v>35</v>
      </c>
      <c r="H765" s="9" t="n">
        <v>192</v>
      </c>
      <c r="I765" s="9" t="inlineStr">
        <is>
          <t>Bullpen Depth Arm</t>
        </is>
      </c>
      <c r="J765" s="17" t="inlineStr">
        <is>
          <t>Opening Day</t>
        </is>
      </c>
      <c r="K765" s="11">
        <f>IFERROR(INDEX(Roles!$B$17:$B$20,MATCH(J765,Roles!$A$17:$A$20,0)),1)</f>
        <v/>
      </c>
      <c r="L765" s="18" t="n">
        <v>1</v>
      </c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3">
        <f>SUMPRODUCT(M765:X765,$M$2:$X$2)*$K765*$L765</f>
        <v/>
      </c>
      <c r="Z765" s="14">
        <f>SUM(M765:X765)</f>
        <v/>
      </c>
      <c r="AA765" s="13">
        <f>SUMPRODUCT(M765:X765,$M$3:$X$3)*$K765*$L765</f>
        <v/>
      </c>
      <c r="AB765" s="13">
        <f>SUMPRODUCT(M765:X765,$M$4:$X$4)*$K765*$L765</f>
        <v/>
      </c>
      <c r="AC765" s="15">
        <f>SUMPRODUCT(M765:X765,$M$5:$X$5)*$K765*$L765</f>
        <v/>
      </c>
      <c r="AD765" s="15">
        <f>SUMPRODUCT(M765:X765,$M$6:$X$6)*$K765*$L765</f>
        <v/>
      </c>
      <c r="AE765" s="19" t="n"/>
    </row>
    <row r="766">
      <c r="A766" s="9" t="n">
        <v>643338</v>
      </c>
      <c r="B766" s="9" t="inlineStr">
        <is>
          <t>Chad Green</t>
        </is>
      </c>
      <c r="C766" s="9" t="inlineStr">
        <is>
          <t>TOR</t>
        </is>
      </c>
      <c r="D766" s="9" t="n">
        <v>36</v>
      </c>
      <c r="E766" s="17" t="inlineStr">
        <is>
          <t>R</t>
        </is>
      </c>
      <c r="F766" s="17" t="n"/>
      <c r="G766" s="9" t="n">
        <v>190</v>
      </c>
      <c r="H766" s="9" t="n">
        <v>514</v>
      </c>
      <c r="I766" s="9" t="inlineStr">
        <is>
          <t>Bullpen Depth Arm</t>
        </is>
      </c>
      <c r="J766" s="17" t="inlineStr">
        <is>
          <t>Opening Day</t>
        </is>
      </c>
      <c r="K766" s="11">
        <f>IFERROR(INDEX(Roles!$B$17:$B$20,MATCH(J766,Roles!$A$17:$A$20,0)),1)</f>
        <v/>
      </c>
      <c r="L766" s="18" t="n">
        <v>1</v>
      </c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3">
        <f>SUMPRODUCT(M766:X766,$M$2:$X$2)*$K766*$L766</f>
        <v/>
      </c>
      <c r="Z766" s="14">
        <f>SUM(M766:X766)</f>
        <v/>
      </c>
      <c r="AA766" s="13">
        <f>SUMPRODUCT(M766:X766,$M$3:$X$3)*$K766*$L766</f>
        <v/>
      </c>
      <c r="AB766" s="13">
        <f>SUMPRODUCT(M766:X766,$M$4:$X$4)*$K766*$L766</f>
        <v/>
      </c>
      <c r="AC766" s="15">
        <f>SUMPRODUCT(M766:X766,$M$5:$X$5)*$K766*$L766</f>
        <v/>
      </c>
      <c r="AD766" s="15">
        <f>SUMPRODUCT(M766:X766,$M$6:$X$6)*$K766*$L766</f>
        <v/>
      </c>
      <c r="AE766" s="19" t="n"/>
    </row>
    <row r="767">
      <c r="A767" s="9" t="n">
        <v>663546</v>
      </c>
      <c r="B767" s="9" t="inlineStr">
        <is>
          <t>Sean Hjelle</t>
        </is>
      </c>
      <c r="C767" s="9" t="inlineStr">
        <is>
          <t>SF</t>
        </is>
      </c>
      <c r="D767" s="9" t="n">
        <v>30</v>
      </c>
      <c r="E767" s="17" t="inlineStr">
        <is>
          <t>R</t>
        </is>
      </c>
      <c r="F767" s="17" t="n"/>
      <c r="G767" s="9" t="n">
        <v>73</v>
      </c>
      <c r="H767" s="9" t="n">
        <v>664</v>
      </c>
      <c r="I767" s="9" t="inlineStr">
        <is>
          <t>Middle Relief</t>
        </is>
      </c>
      <c r="J767" s="17" t="inlineStr">
        <is>
          <t>Opening Day</t>
        </is>
      </c>
      <c r="K767" s="11">
        <f>IFERROR(INDEX(Roles!$B$17:$B$20,MATCH(J767,Roles!$A$17:$A$20,0)),1)</f>
        <v/>
      </c>
      <c r="L767" s="18" t="n">
        <v>1</v>
      </c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3">
        <f>SUMPRODUCT(M767:X767,$M$2:$X$2)*$K767*$L767</f>
        <v/>
      </c>
      <c r="Z767" s="14">
        <f>SUM(M767:X767)</f>
        <v/>
      </c>
      <c r="AA767" s="13">
        <f>SUMPRODUCT(M767:X767,$M$3:$X$3)*$K767*$L767</f>
        <v/>
      </c>
      <c r="AB767" s="13">
        <f>SUMPRODUCT(M767:X767,$M$4:$X$4)*$K767*$L767</f>
        <v/>
      </c>
      <c r="AC767" s="15">
        <f>SUMPRODUCT(M767:X767,$M$5:$X$5)*$K767*$L767</f>
        <v/>
      </c>
      <c r="AD767" s="15">
        <f>SUMPRODUCT(M767:X767,$M$6:$X$6)*$K767*$L767</f>
        <v/>
      </c>
      <c r="AE767" s="19" t="n"/>
    </row>
    <row r="768">
      <c r="A768" s="9" t="n">
        <v>676701</v>
      </c>
      <c r="B768" s="9" t="inlineStr">
        <is>
          <t>Alan Trejo</t>
        </is>
      </c>
      <c r="C768" s="9" t="inlineStr"/>
      <c r="D768" s="9" t="n">
        <v>31</v>
      </c>
      <c r="E768" s="17" t="inlineStr">
        <is>
          <t>R</t>
        </is>
      </c>
      <c r="F768" s="17" t="n"/>
      <c r="G768" s="9" t="n">
        <v>3</v>
      </c>
      <c r="H768" s="9" t="n">
        <v>13</v>
      </c>
      <c r="I768" s="9" t="inlineStr">
        <is>
          <t>Depth (no MLB IP)</t>
        </is>
      </c>
      <c r="J768" s="17" t="inlineStr">
        <is>
          <t>Opening Day</t>
        </is>
      </c>
      <c r="K768" s="11">
        <f>IFERROR(INDEX(Roles!$B$17:$B$20,MATCH(J768,Roles!$A$17:$A$20,0)),1)</f>
        <v/>
      </c>
      <c r="L768" s="18" t="n">
        <v>1</v>
      </c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3">
        <f>SUMPRODUCT(M768:X768,$M$2:$X$2)*$K768*$L768</f>
        <v/>
      </c>
      <c r="Z768" s="14">
        <f>SUM(M768:X768)</f>
        <v/>
      </c>
      <c r="AA768" s="13">
        <f>SUMPRODUCT(M768:X768,$M$3:$X$3)*$K768*$L768</f>
        <v/>
      </c>
      <c r="AB768" s="13">
        <f>SUMPRODUCT(M768:X768,$M$4:$X$4)*$K768*$L768</f>
        <v/>
      </c>
      <c r="AC768" s="15">
        <f>SUMPRODUCT(M768:X768,$M$5:$X$5)*$K768*$L768</f>
        <v/>
      </c>
      <c r="AD768" s="15">
        <f>SUMPRODUCT(M768:X768,$M$6:$X$6)*$K768*$L768</f>
        <v/>
      </c>
      <c r="AE768" s="19" t="n"/>
    </row>
    <row r="769">
      <c r="A769" s="9" t="n">
        <v>682010</v>
      </c>
      <c r="B769" s="9" t="inlineStr">
        <is>
          <t>Lane Ramsey</t>
        </is>
      </c>
      <c r="C769" s="9" t="inlineStr">
        <is>
          <t>CWS</t>
        </is>
      </c>
      <c r="D769" s="9" t="n">
        <v>30</v>
      </c>
      <c r="E769" s="17" t="inlineStr">
        <is>
          <t>R</t>
        </is>
      </c>
      <c r="F769" s="17" t="n"/>
      <c r="G769" s="9" t="n">
        <v>92</v>
      </c>
      <c r="H769" s="9" t="n">
        <v>92</v>
      </c>
      <c r="I769" s="9" t="inlineStr">
        <is>
          <t>Depth (no MLB IP)</t>
        </is>
      </c>
      <c r="J769" s="17" t="inlineStr">
        <is>
          <t>Opening Day</t>
        </is>
      </c>
      <c r="K769" s="11">
        <f>IFERROR(INDEX(Roles!$B$17:$B$20,MATCH(J769,Roles!$A$17:$A$20,0)),1)</f>
        <v/>
      </c>
      <c r="L769" s="18" t="n">
        <v>1</v>
      </c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3">
        <f>SUMPRODUCT(M769:X769,$M$2:$X$2)*$K769*$L769</f>
        <v/>
      </c>
      <c r="Z769" s="14">
        <f>SUM(M769:X769)</f>
        <v/>
      </c>
      <c r="AA769" s="13">
        <f>SUMPRODUCT(M769:X769,$M$3:$X$3)*$K769*$L769</f>
        <v/>
      </c>
      <c r="AB769" s="13">
        <f>SUMPRODUCT(M769:X769,$M$4:$X$4)*$K769*$L769</f>
        <v/>
      </c>
      <c r="AC769" s="15">
        <f>SUMPRODUCT(M769:X769,$M$5:$X$5)*$K769*$L769</f>
        <v/>
      </c>
      <c r="AD769" s="15">
        <f>SUMPRODUCT(M769:X769,$M$6:$X$6)*$K769*$L769</f>
        <v/>
      </c>
      <c r="AE769" s="19" t="n"/>
    </row>
    <row r="770">
      <c r="A770" s="9" t="n">
        <v>650895</v>
      </c>
      <c r="B770" s="9" t="inlineStr">
        <is>
          <t>Diego Castillo</t>
        </is>
      </c>
      <c r="C770" s="9" t="inlineStr">
        <is>
          <t>MIN</t>
        </is>
      </c>
      <c r="D770" s="9" t="n">
        <v>33</v>
      </c>
      <c r="E770" s="17" t="inlineStr">
        <is>
          <t>R</t>
        </is>
      </c>
      <c r="F770" s="17" t="n"/>
      <c r="G770" s="9" t="n">
        <v>43</v>
      </c>
      <c r="H770" s="9" t="n">
        <v>306</v>
      </c>
      <c r="I770" s="9" t="inlineStr">
        <is>
          <t>Depth (no MLB IP)</t>
        </is>
      </c>
      <c r="J770" s="17" t="inlineStr">
        <is>
          <t>Opening Day</t>
        </is>
      </c>
      <c r="K770" s="11">
        <f>IFERROR(INDEX(Roles!$B$17:$B$20,MATCH(J770,Roles!$A$17:$A$20,0)),1)</f>
        <v/>
      </c>
      <c r="L770" s="18" t="n">
        <v>1</v>
      </c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3">
        <f>SUMPRODUCT(M770:X770,$M$2:$X$2)*$K770*$L770</f>
        <v/>
      </c>
      <c r="Z770" s="14">
        <f>SUM(M770:X770)</f>
        <v/>
      </c>
      <c r="AA770" s="13">
        <f>SUMPRODUCT(M770:X770,$M$3:$X$3)*$K770*$L770</f>
        <v/>
      </c>
      <c r="AB770" s="13">
        <f>SUMPRODUCT(M770:X770,$M$4:$X$4)*$K770*$L770</f>
        <v/>
      </c>
      <c r="AC770" s="15">
        <f>SUMPRODUCT(M770:X770,$M$5:$X$5)*$K770*$L770</f>
        <v/>
      </c>
      <c r="AD770" s="15">
        <f>SUMPRODUCT(M770:X770,$M$6:$X$6)*$K770*$L770</f>
        <v/>
      </c>
      <c r="AE770" s="19" t="n"/>
    </row>
    <row r="771">
      <c r="A771" s="9" t="n">
        <v>641927</v>
      </c>
      <c r="B771" s="9" t="inlineStr">
        <is>
          <t>Bailey Ober</t>
        </is>
      </c>
      <c r="C771" s="9" t="inlineStr">
        <is>
          <t>MIN</t>
        </is>
      </c>
      <c r="D771" s="9" t="n">
        <v>31</v>
      </c>
      <c r="E771" s="17" t="inlineStr">
        <is>
          <t>R</t>
        </is>
      </c>
      <c r="F771" s="17" t="n"/>
      <c r="G771" s="9" t="n">
        <v>525</v>
      </c>
      <c r="H771" s="9" t="n">
        <v>2662</v>
      </c>
      <c r="I771" s="9" t="inlineStr">
        <is>
          <t>Mid-Rotation Starter (SP2-3)</t>
        </is>
      </c>
      <c r="J771" s="17" t="inlineStr">
        <is>
          <t>Opening Day</t>
        </is>
      </c>
      <c r="K771" s="11">
        <f>IFERROR(INDEX(Roles!$B$17:$B$20,MATCH(J771,Roles!$A$17:$A$20,0)),1)</f>
        <v/>
      </c>
      <c r="L771" s="18" t="n">
        <v>1</v>
      </c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3">
        <f>SUMPRODUCT(M771:X771,$M$2:$X$2)*$K771*$L771</f>
        <v/>
      </c>
      <c r="Z771" s="14">
        <f>SUM(M771:X771)</f>
        <v/>
      </c>
      <c r="AA771" s="13">
        <f>SUMPRODUCT(M771:X771,$M$3:$X$3)*$K771*$L771</f>
        <v/>
      </c>
      <c r="AB771" s="13">
        <f>SUMPRODUCT(M771:X771,$M$4:$X$4)*$K771*$L771</f>
        <v/>
      </c>
      <c r="AC771" s="15">
        <f>SUMPRODUCT(M771:X771,$M$5:$X$5)*$K771*$L771</f>
        <v/>
      </c>
      <c r="AD771" s="15">
        <f>SUMPRODUCT(M771:X771,$M$6:$X$6)*$K771*$L771</f>
        <v/>
      </c>
      <c r="AE771" s="19" t="n"/>
    </row>
    <row r="772">
      <c r="A772" s="9" t="n">
        <v>606996</v>
      </c>
      <c r="B772" s="9" t="inlineStr">
        <is>
          <t>Kyle Hart</t>
        </is>
      </c>
      <c r="C772" s="9" t="inlineStr">
        <is>
          <t>SD</t>
        </is>
      </c>
      <c r="D772" s="9" t="n">
        <v>34</v>
      </c>
      <c r="E772" s="17" t="inlineStr">
        <is>
          <t>L</t>
        </is>
      </c>
      <c r="F772" s="17" t="n"/>
      <c r="G772" s="9" t="n">
        <v>259</v>
      </c>
      <c r="H772" s="9" t="n">
        <v>438</v>
      </c>
      <c r="I772" s="9" t="inlineStr">
        <is>
          <t>Middle Relief</t>
        </is>
      </c>
      <c r="J772" s="17" t="inlineStr">
        <is>
          <t>Opening Day</t>
        </is>
      </c>
      <c r="K772" s="11">
        <f>IFERROR(INDEX(Roles!$B$17:$B$20,MATCH(J772,Roles!$A$17:$A$20,0)),1)</f>
        <v/>
      </c>
      <c r="L772" s="18" t="n">
        <v>1</v>
      </c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3">
        <f>SUMPRODUCT(M772:X772,$M$2:$X$2)*$K772*$L772</f>
        <v/>
      </c>
      <c r="Z772" s="14">
        <f>SUM(M772:X772)</f>
        <v/>
      </c>
      <c r="AA772" s="13">
        <f>SUMPRODUCT(M772:X772,$M$3:$X$3)*$K772*$L772</f>
        <v/>
      </c>
      <c r="AB772" s="13">
        <f>SUMPRODUCT(M772:X772,$M$4:$X$4)*$K772*$L772</f>
        <v/>
      </c>
      <c r="AC772" s="15">
        <f>SUMPRODUCT(M772:X772,$M$5:$X$5)*$K772*$L772</f>
        <v/>
      </c>
      <c r="AD772" s="15">
        <f>SUMPRODUCT(M772:X772,$M$6:$X$6)*$K772*$L772</f>
        <v/>
      </c>
      <c r="AE772" s="19" t="n"/>
    </row>
    <row r="773">
      <c r="A773" s="9" t="n">
        <v>680736</v>
      </c>
      <c r="B773" s="9" t="inlineStr">
        <is>
          <t>Justin Wrobleski</t>
        </is>
      </c>
      <c r="C773" s="9" t="inlineStr">
        <is>
          <t>LAD</t>
        </is>
      </c>
      <c r="D773" s="9" t="n">
        <v>26</v>
      </c>
      <c r="E773" s="17" t="inlineStr">
        <is>
          <t>L</t>
        </is>
      </c>
      <c r="F773" s="17" t="n"/>
      <c r="G773" s="9" t="n">
        <v>561</v>
      </c>
      <c r="H773" s="9" t="n">
        <v>995</v>
      </c>
      <c r="I773" s="9" t="inlineStr">
        <is>
          <t>End-of-Rotation Starter (SP4-5)</t>
        </is>
      </c>
      <c r="J773" s="17" t="inlineStr">
        <is>
          <t>Opening Day</t>
        </is>
      </c>
      <c r="K773" s="11">
        <f>IFERROR(INDEX(Roles!$B$17:$B$20,MATCH(J773,Roles!$A$17:$A$20,0)),1)</f>
        <v/>
      </c>
      <c r="L773" s="18" t="n">
        <v>1</v>
      </c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3">
        <f>SUMPRODUCT(M773:X773,$M$2:$X$2)*$K773*$L773</f>
        <v/>
      </c>
      <c r="Z773" s="14">
        <f>SUM(M773:X773)</f>
        <v/>
      </c>
      <c r="AA773" s="13">
        <f>SUMPRODUCT(M773:X773,$M$3:$X$3)*$K773*$L773</f>
        <v/>
      </c>
      <c r="AB773" s="13">
        <f>SUMPRODUCT(M773:X773,$M$4:$X$4)*$K773*$L773</f>
        <v/>
      </c>
      <c r="AC773" s="15">
        <f>SUMPRODUCT(M773:X773,$M$5:$X$5)*$K773*$L773</f>
        <v/>
      </c>
      <c r="AD773" s="15">
        <f>SUMPRODUCT(M773:X773,$M$6:$X$6)*$K773*$L773</f>
        <v/>
      </c>
      <c r="AE773" s="19" t="n"/>
    </row>
    <row r="774">
      <c r="A774" s="9" t="n">
        <v>664774</v>
      </c>
      <c r="B774" s="9" t="inlineStr">
        <is>
          <t>LaMonte Wade Jr.</t>
        </is>
      </c>
      <c r="C774" s="9" t="inlineStr"/>
      <c r="D774" s="9" t="n">
        <v>33</v>
      </c>
      <c r="E774" s="17" t="inlineStr">
        <is>
          <t>L</t>
        </is>
      </c>
      <c r="F774" s="17" t="n"/>
      <c r="G774" s="9" t="n">
        <v>6</v>
      </c>
      <c r="H774" s="9" t="n">
        <v>6</v>
      </c>
      <c r="I774" s="9" t="inlineStr">
        <is>
          <t>Depth (no MLB IP)</t>
        </is>
      </c>
      <c r="J774" s="17" t="inlineStr">
        <is>
          <t>Opening Day</t>
        </is>
      </c>
      <c r="K774" s="11">
        <f>IFERROR(INDEX(Roles!$B$17:$B$20,MATCH(J774,Roles!$A$17:$A$20,0)),1)</f>
        <v/>
      </c>
      <c r="L774" s="18" t="n">
        <v>1</v>
      </c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3">
        <f>SUMPRODUCT(M774:X774,$M$2:$X$2)*$K774*$L774</f>
        <v/>
      </c>
      <c r="Z774" s="14">
        <f>SUM(M774:X774)</f>
        <v/>
      </c>
      <c r="AA774" s="13">
        <f>SUMPRODUCT(M774:X774,$M$3:$X$3)*$K774*$L774</f>
        <v/>
      </c>
      <c r="AB774" s="13">
        <f>SUMPRODUCT(M774:X774,$M$4:$X$4)*$K774*$L774</f>
        <v/>
      </c>
      <c r="AC774" s="15">
        <f>SUMPRODUCT(M774:X774,$M$5:$X$5)*$K774*$L774</f>
        <v/>
      </c>
      <c r="AD774" s="15">
        <f>SUMPRODUCT(M774:X774,$M$6:$X$6)*$K774*$L774</f>
        <v/>
      </c>
      <c r="AE774" s="19" t="n"/>
    </row>
    <row r="775">
      <c r="A775" s="9" t="n">
        <v>642152</v>
      </c>
      <c r="B775" s="9" t="inlineStr">
        <is>
          <t>Lou Trivino III</t>
        </is>
      </c>
      <c r="C775" s="9" t="inlineStr">
        <is>
          <t>PHI</t>
        </is>
      </c>
      <c r="D775" s="9" t="n">
        <v>35</v>
      </c>
      <c r="E775" s="17" t="inlineStr">
        <is>
          <t>R</t>
        </is>
      </c>
      <c r="F775" s="17" t="n"/>
      <c r="G775" s="9" t="n">
        <v>36</v>
      </c>
      <c r="H775" s="9" t="n">
        <v>493</v>
      </c>
      <c r="I775" s="9" t="inlineStr">
        <is>
          <t>Bullpen Depth Arm</t>
        </is>
      </c>
      <c r="J775" s="17" t="inlineStr">
        <is>
          <t>Opening Day</t>
        </is>
      </c>
      <c r="K775" s="11">
        <f>IFERROR(INDEX(Roles!$B$17:$B$20,MATCH(J775,Roles!$A$17:$A$20,0)),1)</f>
        <v/>
      </c>
      <c r="L775" s="18" t="n">
        <v>1</v>
      </c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3">
        <f>SUMPRODUCT(M775:X775,$M$2:$X$2)*$K775*$L775</f>
        <v/>
      </c>
      <c r="Z775" s="14">
        <f>SUM(M775:X775)</f>
        <v/>
      </c>
      <c r="AA775" s="13">
        <f>SUMPRODUCT(M775:X775,$M$3:$X$3)*$K775*$L775</f>
        <v/>
      </c>
      <c r="AB775" s="13">
        <f>SUMPRODUCT(M775:X775,$M$4:$X$4)*$K775*$L775</f>
        <v/>
      </c>
      <c r="AC775" s="15">
        <f>SUMPRODUCT(M775:X775,$M$5:$X$5)*$K775*$L775</f>
        <v/>
      </c>
      <c r="AD775" s="15">
        <f>SUMPRODUCT(M775:X775,$M$6:$X$6)*$K775*$L775</f>
        <v/>
      </c>
      <c r="AE775" s="19" t="n"/>
    </row>
    <row r="776">
      <c r="A776" s="9" t="n">
        <v>644433</v>
      </c>
      <c r="B776" s="9" t="inlineStr">
        <is>
          <t>Chadwick Tromp</t>
        </is>
      </c>
      <c r="C776" s="9" t="inlineStr"/>
      <c r="D776" s="9" t="n">
        <v>32</v>
      </c>
      <c r="E776" s="17" t="inlineStr">
        <is>
          <t>R</t>
        </is>
      </c>
      <c r="F776" s="17" t="n"/>
      <c r="G776" s="9" t="n">
        <v>6</v>
      </c>
      <c r="H776" s="9" t="n">
        <v>6</v>
      </c>
      <c r="I776" s="9" t="inlineStr">
        <is>
          <t>Depth (no MLB IP)</t>
        </is>
      </c>
      <c r="J776" s="17" t="inlineStr">
        <is>
          <t>Opening Day</t>
        </is>
      </c>
      <c r="K776" s="11">
        <f>IFERROR(INDEX(Roles!$B$17:$B$20,MATCH(J776,Roles!$A$17:$A$20,0)),1)</f>
        <v/>
      </c>
      <c r="L776" s="18" t="n">
        <v>1</v>
      </c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3">
        <f>SUMPRODUCT(M776:X776,$M$2:$X$2)*$K776*$L776</f>
        <v/>
      </c>
      <c r="Z776" s="14">
        <f>SUM(M776:X776)</f>
        <v/>
      </c>
      <c r="AA776" s="13">
        <f>SUMPRODUCT(M776:X776,$M$3:$X$3)*$K776*$L776</f>
        <v/>
      </c>
      <c r="AB776" s="13">
        <f>SUMPRODUCT(M776:X776,$M$4:$X$4)*$K776*$L776</f>
        <v/>
      </c>
      <c r="AC776" s="15">
        <f>SUMPRODUCT(M776:X776,$M$5:$X$5)*$K776*$L776</f>
        <v/>
      </c>
      <c r="AD776" s="15">
        <f>SUMPRODUCT(M776:X776,$M$6:$X$6)*$K776*$L776</f>
        <v/>
      </c>
      <c r="AE776" s="19" t="n"/>
    </row>
    <row r="777">
      <c r="A777" s="9" t="n">
        <v>676620</v>
      </c>
      <c r="B777" s="9" t="inlineStr">
        <is>
          <t>Blake Weiman</t>
        </is>
      </c>
      <c r="C777" s="9" t="inlineStr">
        <is>
          <t>LAA</t>
        </is>
      </c>
      <c r="D777" s="9" t="n">
        <v>31</v>
      </c>
      <c r="E777" s="17" t="inlineStr">
        <is>
          <t>L</t>
        </is>
      </c>
      <c r="F777" s="17" t="n"/>
      <c r="G777" s="9" t="n">
        <v>61</v>
      </c>
      <c r="H777" s="9" t="n">
        <v>61</v>
      </c>
      <c r="I777" s="9" t="inlineStr">
        <is>
          <t>Middle Relief</t>
        </is>
      </c>
      <c r="J777" s="17" t="inlineStr">
        <is>
          <t>Opening Day</t>
        </is>
      </c>
      <c r="K777" s="11">
        <f>IFERROR(INDEX(Roles!$B$17:$B$20,MATCH(J777,Roles!$A$17:$A$20,0)),1)</f>
        <v/>
      </c>
      <c r="L777" s="18" t="n">
        <v>1</v>
      </c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3">
        <f>SUMPRODUCT(M777:X777,$M$2:$X$2)*$K777*$L777</f>
        <v/>
      </c>
      <c r="Z777" s="14">
        <f>SUM(M777:X777)</f>
        <v/>
      </c>
      <c r="AA777" s="13">
        <f>SUMPRODUCT(M777:X777,$M$3:$X$3)*$K777*$L777</f>
        <v/>
      </c>
      <c r="AB777" s="13">
        <f>SUMPRODUCT(M777:X777,$M$4:$X$4)*$K777*$L777</f>
        <v/>
      </c>
      <c r="AC777" s="15">
        <f>SUMPRODUCT(M777:X777,$M$5:$X$5)*$K777*$L777</f>
        <v/>
      </c>
      <c r="AD777" s="15">
        <f>SUMPRODUCT(M777:X777,$M$6:$X$6)*$K777*$L777</f>
        <v/>
      </c>
      <c r="AE777" s="19" t="n"/>
    </row>
    <row r="778">
      <c r="A778" s="9" t="n">
        <v>657265</v>
      </c>
      <c r="B778" s="9" t="inlineStr">
        <is>
          <t>Peter Strzelecki</t>
        </is>
      </c>
      <c r="C778" s="9" t="inlineStr">
        <is>
          <t>STL</t>
        </is>
      </c>
      <c r="D778" s="9" t="n">
        <v>32</v>
      </c>
      <c r="E778" s="17" t="inlineStr">
        <is>
          <t>R</t>
        </is>
      </c>
      <c r="F778" s="17" t="n"/>
      <c r="G778" s="9" t="n">
        <v>61</v>
      </c>
      <c r="H778" s="9" t="n">
        <v>419</v>
      </c>
      <c r="I778" s="9" t="inlineStr">
        <is>
          <t>Bullpen Depth Arm</t>
        </is>
      </c>
      <c r="J778" s="17" t="inlineStr">
        <is>
          <t>Opening Day</t>
        </is>
      </c>
      <c r="K778" s="11">
        <f>IFERROR(INDEX(Roles!$B$17:$B$20,MATCH(J778,Roles!$A$17:$A$20,0)),1)</f>
        <v/>
      </c>
      <c r="L778" s="18" t="n">
        <v>1</v>
      </c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3">
        <f>SUMPRODUCT(M778:X778,$M$2:$X$2)*$K778*$L778</f>
        <v/>
      </c>
      <c r="Z778" s="14">
        <f>SUM(M778:X778)</f>
        <v/>
      </c>
      <c r="AA778" s="13">
        <f>SUMPRODUCT(M778:X778,$M$3:$X$3)*$K778*$L778</f>
        <v/>
      </c>
      <c r="AB778" s="13">
        <f>SUMPRODUCT(M778:X778,$M$4:$X$4)*$K778*$L778</f>
        <v/>
      </c>
      <c r="AC778" s="15">
        <f>SUMPRODUCT(M778:X778,$M$5:$X$5)*$K778*$L778</f>
        <v/>
      </c>
      <c r="AD778" s="15">
        <f>SUMPRODUCT(M778:X778,$M$6:$X$6)*$K778*$L778</f>
        <v/>
      </c>
      <c r="AE778" s="19" t="n"/>
    </row>
    <row r="779">
      <c r="A779" s="9" t="n">
        <v>646241</v>
      </c>
      <c r="B779" s="9" t="inlineStr">
        <is>
          <t>Enmanuel De Jesus</t>
        </is>
      </c>
      <c r="C779" s="9" t="inlineStr">
        <is>
          <t>DET</t>
        </is>
      </c>
      <c r="D779" s="9" t="n">
        <v>30</v>
      </c>
      <c r="E779" s="17" t="inlineStr">
        <is>
          <t>L</t>
        </is>
      </c>
      <c r="F779" s="17" t="n"/>
      <c r="G779" s="9" t="n">
        <v>178</v>
      </c>
      <c r="H779" s="9" t="n">
        <v>212</v>
      </c>
      <c r="I779" s="9" t="inlineStr">
        <is>
          <t>Bullpen Depth Arm</t>
        </is>
      </c>
      <c r="J779" s="17" t="inlineStr">
        <is>
          <t>Opening Day</t>
        </is>
      </c>
      <c r="K779" s="11">
        <f>IFERROR(INDEX(Roles!$B$17:$B$20,MATCH(J779,Roles!$A$17:$A$20,0)),1)</f>
        <v/>
      </c>
      <c r="L779" s="18" t="n">
        <v>1</v>
      </c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3">
        <f>SUMPRODUCT(M779:X779,$M$2:$X$2)*$K779*$L779</f>
        <v/>
      </c>
      <c r="Z779" s="14">
        <f>SUM(M779:X779)</f>
        <v/>
      </c>
      <c r="AA779" s="13">
        <f>SUMPRODUCT(M779:X779,$M$3:$X$3)*$K779*$L779</f>
        <v/>
      </c>
      <c r="AB779" s="13">
        <f>SUMPRODUCT(M779:X779,$M$4:$X$4)*$K779*$L779</f>
        <v/>
      </c>
      <c r="AC779" s="15">
        <f>SUMPRODUCT(M779:X779,$M$5:$X$5)*$K779*$L779</f>
        <v/>
      </c>
      <c r="AD779" s="15">
        <f>SUMPRODUCT(M779:X779,$M$6:$X$6)*$K779*$L779</f>
        <v/>
      </c>
      <c r="AE779" s="19" t="n"/>
    </row>
    <row r="780">
      <c r="A780" s="9" t="n">
        <v>691094</v>
      </c>
      <c r="B780" s="9" t="inlineStr">
        <is>
          <t>Randy Wynne</t>
        </is>
      </c>
      <c r="C780" s="9" t="inlineStr"/>
      <c r="D780" s="9" t="n">
        <v>34</v>
      </c>
      <c r="E780" s="17" t="inlineStr">
        <is>
          <t>R</t>
        </is>
      </c>
      <c r="F780" s="17" t="n"/>
      <c r="G780" s="9" t="n">
        <v>13</v>
      </c>
      <c r="H780" s="9" t="n">
        <v>24</v>
      </c>
      <c r="I780" s="9" t="inlineStr">
        <is>
          <t>Depth (no MLB IP)</t>
        </is>
      </c>
      <c r="J780" s="17" t="inlineStr">
        <is>
          <t>Opening Day</t>
        </is>
      </c>
      <c r="K780" s="11">
        <f>IFERROR(INDEX(Roles!$B$17:$B$20,MATCH(J780,Roles!$A$17:$A$20,0)),1)</f>
        <v/>
      </c>
      <c r="L780" s="18" t="n">
        <v>1</v>
      </c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3">
        <f>SUMPRODUCT(M780:X780,$M$2:$X$2)*$K780*$L780</f>
        <v/>
      </c>
      <c r="Z780" s="14">
        <f>SUM(M780:X780)</f>
        <v/>
      </c>
      <c r="AA780" s="13">
        <f>SUMPRODUCT(M780:X780,$M$3:$X$3)*$K780*$L780</f>
        <v/>
      </c>
      <c r="AB780" s="13">
        <f>SUMPRODUCT(M780:X780,$M$4:$X$4)*$K780*$L780</f>
        <v/>
      </c>
      <c r="AC780" s="15">
        <f>SUMPRODUCT(M780:X780,$M$5:$X$5)*$K780*$L780</f>
        <v/>
      </c>
      <c r="AD780" s="15">
        <f>SUMPRODUCT(M780:X780,$M$6:$X$6)*$K780*$L780</f>
        <v/>
      </c>
      <c r="AE780" s="19" t="n"/>
    </row>
    <row r="781">
      <c r="A781" s="9" t="n">
        <v>607054</v>
      </c>
      <c r="B781" s="9" t="inlineStr">
        <is>
          <t>Jace Peterson</t>
        </is>
      </c>
      <c r="C781" s="9" t="inlineStr"/>
      <c r="D781" s="9" t="n">
        <v>37</v>
      </c>
      <c r="E781" s="17" t="inlineStr">
        <is>
          <t>R</t>
        </is>
      </c>
      <c r="F781" s="17" t="n"/>
      <c r="G781" s="9" t="n">
        <v>12</v>
      </c>
      <c r="H781" s="9" t="n">
        <v>15</v>
      </c>
      <c r="I781" s="9" t="inlineStr">
        <is>
          <t>Depth (no MLB IP)</t>
        </is>
      </c>
      <c r="J781" s="17" t="inlineStr">
        <is>
          <t>Opening Day</t>
        </is>
      </c>
      <c r="K781" s="11">
        <f>IFERROR(INDEX(Roles!$B$17:$B$20,MATCH(J781,Roles!$A$17:$A$20,0)),1)</f>
        <v/>
      </c>
      <c r="L781" s="18" t="n">
        <v>1</v>
      </c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/>
      <c r="Y781" s="13">
        <f>SUMPRODUCT(M781:X781,$M$2:$X$2)*$K781*$L781</f>
        <v/>
      </c>
      <c r="Z781" s="14">
        <f>SUM(M781:X781)</f>
        <v/>
      </c>
      <c r="AA781" s="13">
        <f>SUMPRODUCT(M781:X781,$M$3:$X$3)*$K781*$L781</f>
        <v/>
      </c>
      <c r="AB781" s="13">
        <f>SUMPRODUCT(M781:X781,$M$4:$X$4)*$K781*$L781</f>
        <v/>
      </c>
      <c r="AC781" s="15">
        <f>SUMPRODUCT(M781:X781,$M$5:$X$5)*$K781*$L781</f>
        <v/>
      </c>
      <c r="AD781" s="15">
        <f>SUMPRODUCT(M781:X781,$M$6:$X$6)*$K781*$L781</f>
        <v/>
      </c>
      <c r="AE781" s="19" t="n"/>
    </row>
    <row r="782">
      <c r="A782" s="9" t="n">
        <v>675989</v>
      </c>
      <c r="B782" s="9" t="inlineStr">
        <is>
          <t>Cody Bolton</t>
        </is>
      </c>
      <c r="C782" s="9" t="inlineStr">
        <is>
          <t>HOU</t>
        </is>
      </c>
      <c r="D782" s="9" t="n">
        <v>29</v>
      </c>
      <c r="E782" s="17" t="inlineStr">
        <is>
          <t>R</t>
        </is>
      </c>
      <c r="F782" s="17" t="n"/>
      <c r="G782" s="9" t="n">
        <v>95</v>
      </c>
      <c r="H782" s="9" t="n">
        <v>295</v>
      </c>
      <c r="I782" s="9" t="inlineStr">
        <is>
          <t>Bullpen Depth Arm</t>
        </is>
      </c>
      <c r="J782" s="17" t="inlineStr">
        <is>
          <t>Opening Day</t>
        </is>
      </c>
      <c r="K782" s="11">
        <f>IFERROR(INDEX(Roles!$B$17:$B$20,MATCH(J782,Roles!$A$17:$A$20,0)),1)</f>
        <v/>
      </c>
      <c r="L782" s="18" t="n">
        <v>1</v>
      </c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/>
      <c r="Y782" s="13">
        <f>SUMPRODUCT(M782:X782,$M$2:$X$2)*$K782*$L782</f>
        <v/>
      </c>
      <c r="Z782" s="14">
        <f>SUM(M782:X782)</f>
        <v/>
      </c>
      <c r="AA782" s="13">
        <f>SUMPRODUCT(M782:X782,$M$3:$X$3)*$K782*$L782</f>
        <v/>
      </c>
      <c r="AB782" s="13">
        <f>SUMPRODUCT(M782:X782,$M$4:$X$4)*$K782*$L782</f>
        <v/>
      </c>
      <c r="AC782" s="15">
        <f>SUMPRODUCT(M782:X782,$M$5:$X$5)*$K782*$L782</f>
        <v/>
      </c>
      <c r="AD782" s="15">
        <f>SUMPRODUCT(M782:X782,$M$6:$X$6)*$K782*$L782</f>
        <v/>
      </c>
      <c r="AE782" s="19" t="n"/>
    </row>
    <row r="783">
      <c r="A783" s="9" t="n">
        <v>664079</v>
      </c>
      <c r="B783" s="9" t="inlineStr">
        <is>
          <t>Tyler Jay</t>
        </is>
      </c>
      <c r="C783" s="9" t="inlineStr">
        <is>
          <t>MIL</t>
        </is>
      </c>
      <c r="D783" s="9" t="n">
        <v>33</v>
      </c>
      <c r="E783" s="17" t="inlineStr">
        <is>
          <t>L</t>
        </is>
      </c>
      <c r="F783" s="17" t="n"/>
      <c r="G783" s="9" t="n">
        <v>36</v>
      </c>
      <c r="H783" s="9" t="n">
        <v>36</v>
      </c>
      <c r="I783" s="9" t="inlineStr">
        <is>
          <t>Depth (no MLB IP)</t>
        </is>
      </c>
      <c r="J783" s="17" t="inlineStr">
        <is>
          <t>Opening Day</t>
        </is>
      </c>
      <c r="K783" s="11">
        <f>IFERROR(INDEX(Roles!$B$17:$B$20,MATCH(J783,Roles!$A$17:$A$20,0)),1)</f>
        <v/>
      </c>
      <c r="L783" s="18" t="n">
        <v>1</v>
      </c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/>
      <c r="Y783" s="13">
        <f>SUMPRODUCT(M783:X783,$M$2:$X$2)*$K783*$L783</f>
        <v/>
      </c>
      <c r="Z783" s="14">
        <f>SUM(M783:X783)</f>
        <v/>
      </c>
      <c r="AA783" s="13">
        <f>SUMPRODUCT(M783:X783,$M$3:$X$3)*$K783*$L783</f>
        <v/>
      </c>
      <c r="AB783" s="13">
        <f>SUMPRODUCT(M783:X783,$M$4:$X$4)*$K783*$L783</f>
        <v/>
      </c>
      <c r="AC783" s="15">
        <f>SUMPRODUCT(M783:X783,$M$5:$X$5)*$K783*$L783</f>
        <v/>
      </c>
      <c r="AD783" s="15">
        <f>SUMPRODUCT(M783:X783,$M$6:$X$6)*$K783*$L783</f>
        <v/>
      </c>
      <c r="AE783" s="19" t="n"/>
    </row>
    <row r="784">
      <c r="A784" s="9" t="n">
        <v>455117</v>
      </c>
      <c r="B784" s="9" t="inlineStr">
        <is>
          <t>Martín Maldonado</t>
        </is>
      </c>
      <c r="C784" s="9" t="inlineStr"/>
      <c r="D784" s="9" t="n">
        <v>40</v>
      </c>
      <c r="E784" s="17" t="inlineStr">
        <is>
          <t>R</t>
        </is>
      </c>
      <c r="F784" s="17" t="n"/>
      <c r="G784" s="9" t="n">
        <v>10</v>
      </c>
      <c r="H784" s="9" t="n">
        <v>10</v>
      </c>
      <c r="I784" s="9" t="inlineStr">
        <is>
          <t>Depth (no MLB IP)</t>
        </is>
      </c>
      <c r="J784" s="17" t="inlineStr">
        <is>
          <t>Opening Day</t>
        </is>
      </c>
      <c r="K784" s="11">
        <f>IFERROR(INDEX(Roles!$B$17:$B$20,MATCH(J784,Roles!$A$17:$A$20,0)),1)</f>
        <v/>
      </c>
      <c r="L784" s="18" t="n">
        <v>1</v>
      </c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/>
      <c r="Y784" s="13">
        <f>SUMPRODUCT(M784:X784,$M$2:$X$2)*$K784*$L784</f>
        <v/>
      </c>
      <c r="Z784" s="14">
        <f>SUM(M784:X784)</f>
        <v/>
      </c>
      <c r="AA784" s="13">
        <f>SUMPRODUCT(M784:X784,$M$3:$X$3)*$K784*$L784</f>
        <v/>
      </c>
      <c r="AB784" s="13">
        <f>SUMPRODUCT(M784:X784,$M$4:$X$4)*$K784*$L784</f>
        <v/>
      </c>
      <c r="AC784" s="15">
        <f>SUMPRODUCT(M784:X784,$M$5:$X$5)*$K784*$L784</f>
        <v/>
      </c>
      <c r="AD784" s="15">
        <f>SUMPRODUCT(M784:X784,$M$6:$X$6)*$K784*$L784</f>
        <v/>
      </c>
      <c r="AE784" s="19" t="n"/>
    </row>
    <row r="785">
      <c r="A785" s="9" t="n">
        <v>622110</v>
      </c>
      <c r="B785" s="9" t="inlineStr">
        <is>
          <t>Matt Duffy</t>
        </is>
      </c>
      <c r="C785" s="9" t="inlineStr"/>
      <c r="D785" s="9" t="n">
        <v>36</v>
      </c>
      <c r="E785" s="17" t="inlineStr">
        <is>
          <t>R</t>
        </is>
      </c>
      <c r="F785" s="17" t="n"/>
      <c r="G785" s="9" t="n">
        <v>10</v>
      </c>
      <c r="H785" s="9" t="n">
        <v>10</v>
      </c>
      <c r="I785" s="9" t="inlineStr">
        <is>
          <t>Depth (no MLB IP)</t>
        </is>
      </c>
      <c r="J785" s="17" t="inlineStr">
        <is>
          <t>Opening Day</t>
        </is>
      </c>
      <c r="K785" s="11">
        <f>IFERROR(INDEX(Roles!$B$17:$B$20,MATCH(J785,Roles!$A$17:$A$20,0)),1)</f>
        <v/>
      </c>
      <c r="L785" s="18" t="n">
        <v>1</v>
      </c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/>
      <c r="Y785" s="13">
        <f>SUMPRODUCT(M785:X785,$M$2:$X$2)*$K785*$L785</f>
        <v/>
      </c>
      <c r="Z785" s="14">
        <f>SUM(M785:X785)</f>
        <v/>
      </c>
      <c r="AA785" s="13">
        <f>SUMPRODUCT(M785:X785,$M$3:$X$3)*$K785*$L785</f>
        <v/>
      </c>
      <c r="AB785" s="13">
        <f>SUMPRODUCT(M785:X785,$M$4:$X$4)*$K785*$L785</f>
        <v/>
      </c>
      <c r="AC785" s="15">
        <f>SUMPRODUCT(M785:X785,$M$5:$X$5)*$K785*$L785</f>
        <v/>
      </c>
      <c r="AD785" s="15">
        <f>SUMPRODUCT(M785:X785,$M$6:$X$6)*$K785*$L785</f>
        <v/>
      </c>
      <c r="AE785" s="19" t="n"/>
    </row>
    <row r="786">
      <c r="A786" s="9" t="n">
        <v>542208</v>
      </c>
      <c r="B786" s="9" t="inlineStr">
        <is>
          <t>Carlos Pérez</t>
        </is>
      </c>
      <c r="C786" s="9" t="inlineStr"/>
      <c r="D786" s="9" t="n">
        <v>36</v>
      </c>
      <c r="E786" s="17" t="inlineStr">
        <is>
          <t>R</t>
        </is>
      </c>
      <c r="F786" s="17" t="n"/>
      <c r="G786" s="9" t="n">
        <v>10</v>
      </c>
      <c r="H786" s="9" t="n">
        <v>10</v>
      </c>
      <c r="I786" s="9" t="inlineStr">
        <is>
          <t>Depth (no MLB IP)</t>
        </is>
      </c>
      <c r="J786" s="17" t="inlineStr">
        <is>
          <t>Opening Day</t>
        </is>
      </c>
      <c r="K786" s="11">
        <f>IFERROR(INDEX(Roles!$B$17:$B$20,MATCH(J786,Roles!$A$17:$A$20,0)),1)</f>
        <v/>
      </c>
      <c r="L786" s="18" t="n">
        <v>1</v>
      </c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/>
      <c r="Y786" s="13">
        <f>SUMPRODUCT(M786:X786,$M$2:$X$2)*$K786*$L786</f>
        <v/>
      </c>
      <c r="Z786" s="14">
        <f>SUM(M786:X786)</f>
        <v/>
      </c>
      <c r="AA786" s="13">
        <f>SUMPRODUCT(M786:X786,$M$3:$X$3)*$K786*$L786</f>
        <v/>
      </c>
      <c r="AB786" s="13">
        <f>SUMPRODUCT(M786:X786,$M$4:$X$4)*$K786*$L786</f>
        <v/>
      </c>
      <c r="AC786" s="15">
        <f>SUMPRODUCT(M786:X786,$M$5:$X$5)*$K786*$L786</f>
        <v/>
      </c>
      <c r="AD786" s="15">
        <f>SUMPRODUCT(M786:X786,$M$6:$X$6)*$K786*$L786</f>
        <v/>
      </c>
      <c r="AE786" s="19" t="n"/>
    </row>
    <row r="787">
      <c r="A787" s="9" t="n">
        <v>689690</v>
      </c>
      <c r="B787" s="9" t="inlineStr">
        <is>
          <t>Alek Jacob</t>
        </is>
      </c>
      <c r="C787" s="9" t="inlineStr">
        <is>
          <t>SD</t>
        </is>
      </c>
      <c r="D787" s="9" t="n">
        <v>29</v>
      </c>
      <c r="E787" s="17" t="inlineStr">
        <is>
          <t>R</t>
        </is>
      </c>
      <c r="F787" s="17" t="n"/>
      <c r="G787" s="9" t="n">
        <v>23</v>
      </c>
      <c r="H787" s="9" t="n">
        <v>243</v>
      </c>
      <c r="I787" s="9" t="inlineStr">
        <is>
          <t>Bullpen Depth Arm</t>
        </is>
      </c>
      <c r="J787" s="17" t="inlineStr">
        <is>
          <t>Opening Day</t>
        </is>
      </c>
      <c r="K787" s="11">
        <f>IFERROR(INDEX(Roles!$B$17:$B$20,MATCH(J787,Roles!$A$17:$A$20,0)),1)</f>
        <v/>
      </c>
      <c r="L787" s="18" t="n">
        <v>1</v>
      </c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/>
      <c r="Y787" s="13">
        <f>SUMPRODUCT(M787:X787,$M$2:$X$2)*$K787*$L787</f>
        <v/>
      </c>
      <c r="Z787" s="14">
        <f>SUM(M787:X787)</f>
        <v/>
      </c>
      <c r="AA787" s="13">
        <f>SUMPRODUCT(M787:X787,$M$3:$X$3)*$K787*$L787</f>
        <v/>
      </c>
      <c r="AB787" s="13">
        <f>SUMPRODUCT(M787:X787,$M$4:$X$4)*$K787*$L787</f>
        <v/>
      </c>
      <c r="AC787" s="15">
        <f>SUMPRODUCT(M787:X787,$M$5:$X$5)*$K787*$L787</f>
        <v/>
      </c>
      <c r="AD787" s="15">
        <f>SUMPRODUCT(M787:X787,$M$6:$X$6)*$K787*$L787</f>
        <v/>
      </c>
      <c r="AE787" s="19" t="n"/>
    </row>
    <row r="788">
      <c r="A788" s="9" t="n">
        <v>683021</v>
      </c>
      <c r="B788" s="9" t="inlineStr">
        <is>
          <t>Michael Stefanic</t>
        </is>
      </c>
      <c r="C788" s="9" t="inlineStr"/>
      <c r="D788" s="9" t="n">
        <v>31</v>
      </c>
      <c r="E788" s="17" t="inlineStr">
        <is>
          <t>R</t>
        </is>
      </c>
      <c r="F788" s="17" t="n"/>
      <c r="G788" s="9" t="n">
        <v>3</v>
      </c>
      <c r="H788" s="9" t="n">
        <v>8</v>
      </c>
      <c r="I788" s="9" t="inlineStr">
        <is>
          <t>Depth (no MLB IP)</t>
        </is>
      </c>
      <c r="J788" s="17" t="inlineStr">
        <is>
          <t>Opening Day</t>
        </is>
      </c>
      <c r="K788" s="11">
        <f>IFERROR(INDEX(Roles!$B$17:$B$20,MATCH(J788,Roles!$A$17:$A$20,0)),1)</f>
        <v/>
      </c>
      <c r="L788" s="18" t="n">
        <v>1</v>
      </c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/>
      <c r="Y788" s="13">
        <f>SUMPRODUCT(M788:X788,$M$2:$X$2)*$K788*$L788</f>
        <v/>
      </c>
      <c r="Z788" s="14">
        <f>SUM(M788:X788)</f>
        <v/>
      </c>
      <c r="AA788" s="13">
        <f>SUMPRODUCT(M788:X788,$M$3:$X$3)*$K788*$L788</f>
        <v/>
      </c>
      <c r="AB788" s="13">
        <f>SUMPRODUCT(M788:X788,$M$4:$X$4)*$K788*$L788</f>
        <v/>
      </c>
      <c r="AC788" s="15">
        <f>SUMPRODUCT(M788:X788,$M$5:$X$5)*$K788*$L788</f>
        <v/>
      </c>
      <c r="AD788" s="15">
        <f>SUMPRODUCT(M788:X788,$M$6:$X$6)*$K788*$L788</f>
        <v/>
      </c>
      <c r="AE788" s="19" t="n"/>
    </row>
    <row r="789">
      <c r="A789" s="9" t="n">
        <v>506702</v>
      </c>
      <c r="B789" s="9" t="inlineStr">
        <is>
          <t>Sandy León</t>
        </is>
      </c>
      <c r="C789" s="9" t="inlineStr"/>
      <c r="D789" s="9" t="n">
        <v>38</v>
      </c>
      <c r="E789" s="17" t="inlineStr">
        <is>
          <t>R</t>
        </is>
      </c>
      <c r="F789" s="17" t="n"/>
      <c r="G789" s="9" t="n">
        <v>5</v>
      </c>
      <c r="H789" s="9" t="n">
        <v>11</v>
      </c>
      <c r="I789" s="9" t="inlineStr">
        <is>
          <t>Depth (no MLB IP)</t>
        </is>
      </c>
      <c r="J789" s="17" t="inlineStr">
        <is>
          <t>Opening Day</t>
        </is>
      </c>
      <c r="K789" s="11">
        <f>IFERROR(INDEX(Roles!$B$17:$B$20,MATCH(J789,Roles!$A$17:$A$20,0)),1)</f>
        <v/>
      </c>
      <c r="L789" s="18" t="n">
        <v>1</v>
      </c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/>
      <c r="Y789" s="13">
        <f>SUMPRODUCT(M789:X789,$M$2:$X$2)*$K789*$L789</f>
        <v/>
      </c>
      <c r="Z789" s="14">
        <f>SUM(M789:X789)</f>
        <v/>
      </c>
      <c r="AA789" s="13">
        <f>SUMPRODUCT(M789:X789,$M$3:$X$3)*$K789*$L789</f>
        <v/>
      </c>
      <c r="AB789" s="13">
        <f>SUMPRODUCT(M789:X789,$M$4:$X$4)*$K789*$L789</f>
        <v/>
      </c>
      <c r="AC789" s="15">
        <f>SUMPRODUCT(M789:X789,$M$5:$X$5)*$K789*$L789</f>
        <v/>
      </c>
      <c r="AD789" s="15">
        <f>SUMPRODUCT(M789:X789,$M$6:$X$6)*$K789*$L789</f>
        <v/>
      </c>
      <c r="AE789" s="19" t="n"/>
    </row>
    <row r="790">
      <c r="A790" s="9" t="n">
        <v>661440</v>
      </c>
      <c r="B790" s="9" t="inlineStr">
        <is>
          <t>Mauricio Llovera</t>
        </is>
      </c>
      <c r="C790" s="9" t="inlineStr">
        <is>
          <t>BOS</t>
        </is>
      </c>
      <c r="D790" s="9" t="n">
        <v>31</v>
      </c>
      <c r="E790" s="17" t="inlineStr">
        <is>
          <t>R</t>
        </is>
      </c>
      <c r="F790" s="17" t="n"/>
      <c r="G790" s="9" t="n">
        <v>160</v>
      </c>
      <c r="H790" s="9" t="n">
        <v>232</v>
      </c>
      <c r="I790" s="9" t="inlineStr">
        <is>
          <t>Depth (no MLB IP)</t>
        </is>
      </c>
      <c r="J790" s="17" t="inlineStr">
        <is>
          <t>Opening Day</t>
        </is>
      </c>
      <c r="K790" s="11">
        <f>IFERROR(INDEX(Roles!$B$17:$B$20,MATCH(J790,Roles!$A$17:$A$20,0)),1)</f>
        <v/>
      </c>
      <c r="L790" s="18" t="n">
        <v>1</v>
      </c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/>
      <c r="Y790" s="13">
        <f>SUMPRODUCT(M790:X790,$M$2:$X$2)*$K790*$L790</f>
        <v/>
      </c>
      <c r="Z790" s="14">
        <f>SUM(M790:X790)</f>
        <v/>
      </c>
      <c r="AA790" s="13">
        <f>SUMPRODUCT(M790:X790,$M$3:$X$3)*$K790*$L790</f>
        <v/>
      </c>
      <c r="AB790" s="13">
        <f>SUMPRODUCT(M790:X790,$M$4:$X$4)*$K790*$L790</f>
        <v/>
      </c>
      <c r="AC790" s="15">
        <f>SUMPRODUCT(M790:X790,$M$5:$X$5)*$K790*$L790</f>
        <v/>
      </c>
      <c r="AD790" s="15">
        <f>SUMPRODUCT(M790:X790,$M$6:$X$6)*$K790*$L790</f>
        <v/>
      </c>
      <c r="AE790" s="19" t="n"/>
    </row>
    <row r="791">
      <c r="A791" s="9" t="n">
        <v>669160</v>
      </c>
      <c r="B791" s="9" t="inlineStr">
        <is>
          <t>Dustin May</t>
        </is>
      </c>
      <c r="C791" s="9" t="inlineStr">
        <is>
          <t>MIL</t>
        </is>
      </c>
      <c r="D791" s="9" t="n">
        <v>29</v>
      </c>
      <c r="E791" s="17" t="inlineStr">
        <is>
          <t>R</t>
        </is>
      </c>
      <c r="F791" s="17" t="n"/>
      <c r="G791" s="9" t="n">
        <v>584</v>
      </c>
      <c r="H791" s="9" t="n">
        <v>1482</v>
      </c>
      <c r="I791" s="9" t="inlineStr">
        <is>
          <t>Mid-Rotation Starter (SP2-3)</t>
        </is>
      </c>
      <c r="J791" s="17" t="inlineStr">
        <is>
          <t>Opening Day</t>
        </is>
      </c>
      <c r="K791" s="11">
        <f>IFERROR(INDEX(Roles!$B$17:$B$20,MATCH(J791,Roles!$A$17:$A$20,0)),1)</f>
        <v/>
      </c>
      <c r="L791" s="18" t="n">
        <v>1</v>
      </c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/>
      <c r="Y791" s="13">
        <f>SUMPRODUCT(M791:X791,$M$2:$X$2)*$K791*$L791</f>
        <v/>
      </c>
      <c r="Z791" s="14">
        <f>SUM(M791:X791)</f>
        <v/>
      </c>
      <c r="AA791" s="13">
        <f>SUMPRODUCT(M791:X791,$M$3:$X$3)*$K791*$L791</f>
        <v/>
      </c>
      <c r="AB791" s="13">
        <f>SUMPRODUCT(M791:X791,$M$4:$X$4)*$K791*$L791</f>
        <v/>
      </c>
      <c r="AC791" s="15">
        <f>SUMPRODUCT(M791:X791,$M$5:$X$5)*$K791*$L791</f>
        <v/>
      </c>
      <c r="AD791" s="15">
        <f>SUMPRODUCT(M791:X791,$M$6:$X$6)*$K791*$L791</f>
        <v/>
      </c>
      <c r="AE791" s="19" t="n"/>
    </row>
    <row r="792">
      <c r="A792" s="9" t="n">
        <v>656550</v>
      </c>
      <c r="B792" s="9" t="inlineStr">
        <is>
          <t>Grant Holmes</t>
        </is>
      </c>
      <c r="C792" s="9" t="inlineStr">
        <is>
          <t>ATL</t>
        </is>
      </c>
      <c r="D792" s="9" t="n">
        <v>31</v>
      </c>
      <c r="E792" s="17" t="inlineStr">
        <is>
          <t>R</t>
        </is>
      </c>
      <c r="F792" s="17" t="n"/>
      <c r="G792" s="9" t="n">
        <v>601</v>
      </c>
      <c r="H792" s="9" t="n">
        <v>1375</v>
      </c>
      <c r="I792" s="9" t="inlineStr">
        <is>
          <t>End-of-Rotation Starter (SP4-5)</t>
        </is>
      </c>
      <c r="J792" s="17" t="inlineStr">
        <is>
          <t>Opening Day</t>
        </is>
      </c>
      <c r="K792" s="11">
        <f>IFERROR(INDEX(Roles!$B$17:$B$20,MATCH(J792,Roles!$A$17:$A$20,0)),1)</f>
        <v/>
      </c>
      <c r="L792" s="18" t="n">
        <v>1</v>
      </c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/>
      <c r="Y792" s="13">
        <f>SUMPRODUCT(M792:X792,$M$2:$X$2)*$K792*$L792</f>
        <v/>
      </c>
      <c r="Z792" s="14">
        <f>SUM(M792:X792)</f>
        <v/>
      </c>
      <c r="AA792" s="13">
        <f>SUMPRODUCT(M792:X792,$M$3:$X$3)*$K792*$L792</f>
        <v/>
      </c>
      <c r="AB792" s="13">
        <f>SUMPRODUCT(M792:X792,$M$4:$X$4)*$K792*$L792</f>
        <v/>
      </c>
      <c r="AC792" s="15">
        <f>SUMPRODUCT(M792:X792,$M$5:$X$5)*$K792*$L792</f>
        <v/>
      </c>
      <c r="AD792" s="15">
        <f>SUMPRODUCT(M792:X792,$M$6:$X$6)*$K792*$L792</f>
        <v/>
      </c>
      <c r="AE792" s="19" t="n"/>
    </row>
    <row r="793">
      <c r="A793" s="9" t="n">
        <v>572008</v>
      </c>
      <c r="B793" s="9" t="inlineStr">
        <is>
          <t>Chris Owings</t>
        </is>
      </c>
      <c r="C793" s="9" t="inlineStr"/>
      <c r="D793" s="9" t="n">
        <v>35</v>
      </c>
      <c r="E793" s="17" t="inlineStr">
        <is>
          <t>R</t>
        </is>
      </c>
      <c r="F793" s="17" t="n"/>
      <c r="G793" s="9" t="n">
        <v>6</v>
      </c>
      <c r="H793" s="9" t="n">
        <v>11</v>
      </c>
      <c r="I793" s="9" t="inlineStr">
        <is>
          <t>Depth (no MLB IP)</t>
        </is>
      </c>
      <c r="J793" s="17" t="inlineStr">
        <is>
          <t>Opening Day</t>
        </is>
      </c>
      <c r="K793" s="11">
        <f>IFERROR(INDEX(Roles!$B$17:$B$20,MATCH(J793,Roles!$A$17:$A$20,0)),1)</f>
        <v/>
      </c>
      <c r="L793" s="18" t="n">
        <v>1</v>
      </c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/>
      <c r="Y793" s="13">
        <f>SUMPRODUCT(M793:X793,$M$2:$X$2)*$K793*$L793</f>
        <v/>
      </c>
      <c r="Z793" s="14">
        <f>SUM(M793:X793)</f>
        <v/>
      </c>
      <c r="AA793" s="13">
        <f>SUMPRODUCT(M793:X793,$M$3:$X$3)*$K793*$L793</f>
        <v/>
      </c>
      <c r="AB793" s="13">
        <f>SUMPRODUCT(M793:X793,$M$4:$X$4)*$K793*$L793</f>
        <v/>
      </c>
      <c r="AC793" s="15">
        <f>SUMPRODUCT(M793:X793,$M$5:$X$5)*$K793*$L793</f>
        <v/>
      </c>
      <c r="AD793" s="15">
        <f>SUMPRODUCT(M793:X793,$M$6:$X$6)*$K793*$L793</f>
        <v/>
      </c>
      <c r="AE793" s="19" t="n"/>
    </row>
    <row r="794">
      <c r="A794" s="9" t="n">
        <v>663804</v>
      </c>
      <c r="B794" s="9" t="inlineStr">
        <is>
          <t>Jackson Kowar</t>
        </is>
      </c>
      <c r="C794" s="9" t="inlineStr">
        <is>
          <t>SEA</t>
        </is>
      </c>
      <c r="D794" s="9" t="n">
        <v>30</v>
      </c>
      <c r="E794" s="17" t="inlineStr">
        <is>
          <t>R</t>
        </is>
      </c>
      <c r="F794" s="17" t="n"/>
      <c r="G794" s="9" t="n">
        <v>71</v>
      </c>
      <c r="H794" s="9" t="n">
        <v>290</v>
      </c>
      <c r="I794" s="9" t="inlineStr">
        <is>
          <t>Bullpen Depth Arm</t>
        </is>
      </c>
      <c r="J794" s="17" t="inlineStr">
        <is>
          <t>Opening Day</t>
        </is>
      </c>
      <c r="K794" s="11">
        <f>IFERROR(INDEX(Roles!$B$17:$B$20,MATCH(J794,Roles!$A$17:$A$20,0)),1)</f>
        <v/>
      </c>
      <c r="L794" s="18" t="n">
        <v>1</v>
      </c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/>
      <c r="Y794" s="13">
        <f>SUMPRODUCT(M794:X794,$M$2:$X$2)*$K794*$L794</f>
        <v/>
      </c>
      <c r="Z794" s="14">
        <f>SUM(M794:X794)</f>
        <v/>
      </c>
      <c r="AA794" s="13">
        <f>SUMPRODUCT(M794:X794,$M$3:$X$3)*$K794*$L794</f>
        <v/>
      </c>
      <c r="AB794" s="13">
        <f>SUMPRODUCT(M794:X794,$M$4:$X$4)*$K794*$L794</f>
        <v/>
      </c>
      <c r="AC794" s="15">
        <f>SUMPRODUCT(M794:X794,$M$5:$X$5)*$K794*$L794</f>
        <v/>
      </c>
      <c r="AD794" s="15">
        <f>SUMPRODUCT(M794:X794,$M$6:$X$6)*$K794*$L794</f>
        <v/>
      </c>
      <c r="AE794" s="19" t="n"/>
    </row>
    <row r="795">
      <c r="A795" s="9" t="n">
        <v>621368</v>
      </c>
      <c r="B795" s="9" t="inlineStr">
        <is>
          <t>Taylor Hearn</t>
        </is>
      </c>
      <c r="C795" s="9" t="inlineStr">
        <is>
          <t>KC</t>
        </is>
      </c>
      <c r="D795" s="9" t="n">
        <v>32</v>
      </c>
      <c r="E795" s="17" t="inlineStr">
        <is>
          <t>L</t>
        </is>
      </c>
      <c r="F795" s="17" t="n"/>
      <c r="G795" s="9" t="n">
        <v>76</v>
      </c>
      <c r="H795" s="9" t="n">
        <v>525</v>
      </c>
      <c r="I795" s="9" t="inlineStr">
        <is>
          <t>Depth (no MLB IP)</t>
        </is>
      </c>
      <c r="J795" s="17" t="inlineStr">
        <is>
          <t>Opening Day</t>
        </is>
      </c>
      <c r="K795" s="11">
        <f>IFERROR(INDEX(Roles!$B$17:$B$20,MATCH(J795,Roles!$A$17:$A$20,0)),1)</f>
        <v/>
      </c>
      <c r="L795" s="18" t="n">
        <v>1</v>
      </c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/>
      <c r="Y795" s="13">
        <f>SUMPRODUCT(M795:X795,$M$2:$X$2)*$K795*$L795</f>
        <v/>
      </c>
      <c r="Z795" s="14">
        <f>SUM(M795:X795)</f>
        <v/>
      </c>
      <c r="AA795" s="13">
        <f>SUMPRODUCT(M795:X795,$M$3:$X$3)*$K795*$L795</f>
        <v/>
      </c>
      <c r="AB795" s="13">
        <f>SUMPRODUCT(M795:X795,$M$4:$X$4)*$K795*$L795</f>
        <v/>
      </c>
      <c r="AC795" s="15">
        <f>SUMPRODUCT(M795:X795,$M$5:$X$5)*$K795*$L795</f>
        <v/>
      </c>
      <c r="AD795" s="15">
        <f>SUMPRODUCT(M795:X795,$M$6:$X$6)*$K795*$L795</f>
        <v/>
      </c>
      <c r="AE795" s="19" t="n"/>
    </row>
    <row r="796">
      <c r="A796" s="9" t="n">
        <v>663704</v>
      </c>
      <c r="B796" s="9" t="inlineStr">
        <is>
          <t>James McArthur</t>
        </is>
      </c>
      <c r="C796" s="9" t="inlineStr">
        <is>
          <t>KC</t>
        </is>
      </c>
      <c r="D796" s="9" t="n">
        <v>30</v>
      </c>
      <c r="E796" s="17" t="inlineStr">
        <is>
          <t>R</t>
        </is>
      </c>
      <c r="F796" s="17" t="n"/>
      <c r="G796" s="9" t="n">
        <v>247</v>
      </c>
      <c r="H796" s="9" t="n">
        <v>337</v>
      </c>
      <c r="I796" s="9" t="inlineStr">
        <is>
          <t>Depth (no MLB IP)</t>
        </is>
      </c>
      <c r="J796" s="17" t="inlineStr">
        <is>
          <t>Opening Day</t>
        </is>
      </c>
      <c r="K796" s="11">
        <f>IFERROR(INDEX(Roles!$B$17:$B$20,MATCH(J796,Roles!$A$17:$A$20,0)),1)</f>
        <v/>
      </c>
      <c r="L796" s="18" t="n">
        <v>1</v>
      </c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/>
      <c r="Y796" s="13">
        <f>SUMPRODUCT(M796:X796,$M$2:$X$2)*$K796*$L796</f>
        <v/>
      </c>
      <c r="Z796" s="14">
        <f>SUM(M796:X796)</f>
        <v/>
      </c>
      <c r="AA796" s="13">
        <f>SUMPRODUCT(M796:X796,$M$3:$X$3)*$K796*$L796</f>
        <v/>
      </c>
      <c r="AB796" s="13">
        <f>SUMPRODUCT(M796:X796,$M$4:$X$4)*$K796*$L796</f>
        <v/>
      </c>
      <c r="AC796" s="15">
        <f>SUMPRODUCT(M796:X796,$M$5:$X$5)*$K796*$L796</f>
        <v/>
      </c>
      <c r="AD796" s="15">
        <f>SUMPRODUCT(M796:X796,$M$6:$X$6)*$K796*$L796</f>
        <v/>
      </c>
      <c r="AE796" s="19" t="n"/>
    </row>
    <row r="797">
      <c r="A797" s="9" t="n">
        <v>502171</v>
      </c>
      <c r="B797" s="9" t="inlineStr">
        <is>
          <t>Alex Cobb</t>
        </is>
      </c>
      <c r="C797" s="9" t="inlineStr">
        <is>
          <t>CLE</t>
        </is>
      </c>
      <c r="D797" s="9" t="n">
        <v>39</v>
      </c>
      <c r="E797" s="17" t="inlineStr">
        <is>
          <t>R</t>
        </is>
      </c>
      <c r="F797" s="17" t="n"/>
      <c r="G797" s="9" t="n">
        <v>62</v>
      </c>
      <c r="H797" s="9" t="n">
        <v>1339</v>
      </c>
      <c r="I797" s="9" t="inlineStr">
        <is>
          <t>Depth (no MLB IP)</t>
        </is>
      </c>
      <c r="J797" s="17" t="inlineStr">
        <is>
          <t>Opening Day</t>
        </is>
      </c>
      <c r="K797" s="11">
        <f>IFERROR(INDEX(Roles!$B$17:$B$20,MATCH(J797,Roles!$A$17:$A$20,0)),1)</f>
        <v/>
      </c>
      <c r="L797" s="18" t="n">
        <v>1</v>
      </c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/>
      <c r="Y797" s="13">
        <f>SUMPRODUCT(M797:X797,$M$2:$X$2)*$K797*$L797</f>
        <v/>
      </c>
      <c r="Z797" s="14">
        <f>SUM(M797:X797)</f>
        <v/>
      </c>
      <c r="AA797" s="13">
        <f>SUMPRODUCT(M797:X797,$M$3:$X$3)*$K797*$L797</f>
        <v/>
      </c>
      <c r="AB797" s="13">
        <f>SUMPRODUCT(M797:X797,$M$4:$X$4)*$K797*$L797</f>
        <v/>
      </c>
      <c r="AC797" s="15">
        <f>SUMPRODUCT(M797:X797,$M$5:$X$5)*$K797*$L797</f>
        <v/>
      </c>
      <c r="AD797" s="15">
        <f>SUMPRODUCT(M797:X797,$M$6:$X$6)*$K797*$L797</f>
        <v/>
      </c>
      <c r="AE797" s="19" t="n"/>
    </row>
    <row r="798">
      <c r="A798" s="9" t="n">
        <v>681751</v>
      </c>
      <c r="B798" s="9" t="inlineStr">
        <is>
          <t>Lazaro Estrada</t>
        </is>
      </c>
      <c r="C798" s="9" t="inlineStr">
        <is>
          <t>TOR</t>
        </is>
      </c>
      <c r="D798" s="9" t="n">
        <v>28</v>
      </c>
      <c r="E798" s="17" t="inlineStr">
        <is>
          <t>R</t>
        </is>
      </c>
      <c r="F798" s="17" t="n"/>
      <c r="G798" s="9" t="n">
        <v>57</v>
      </c>
      <c r="H798" s="9" t="n">
        <v>92</v>
      </c>
      <c r="I798" s="9" t="inlineStr">
        <is>
          <t>Bullpen Depth Arm</t>
        </is>
      </c>
      <c r="J798" s="17" t="inlineStr">
        <is>
          <t>Opening Day</t>
        </is>
      </c>
      <c r="K798" s="11">
        <f>IFERROR(INDEX(Roles!$B$17:$B$20,MATCH(J798,Roles!$A$17:$A$20,0)),1)</f>
        <v/>
      </c>
      <c r="L798" s="18" t="n">
        <v>1</v>
      </c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/>
      <c r="Y798" s="13">
        <f>SUMPRODUCT(M798:X798,$M$2:$X$2)*$K798*$L798</f>
        <v/>
      </c>
      <c r="Z798" s="14">
        <f>SUM(M798:X798)</f>
        <v/>
      </c>
      <c r="AA798" s="13">
        <f>SUMPRODUCT(M798:X798,$M$3:$X$3)*$K798*$L798</f>
        <v/>
      </c>
      <c r="AB798" s="13">
        <f>SUMPRODUCT(M798:X798,$M$4:$X$4)*$K798*$L798</f>
        <v/>
      </c>
      <c r="AC798" s="15">
        <f>SUMPRODUCT(M798:X798,$M$5:$X$5)*$K798*$L798</f>
        <v/>
      </c>
      <c r="AD798" s="15">
        <f>SUMPRODUCT(M798:X798,$M$6:$X$6)*$K798*$L798</f>
        <v/>
      </c>
      <c r="AE798" s="19" t="n"/>
    </row>
    <row r="799">
      <c r="A799" s="9" t="n">
        <v>684516</v>
      </c>
      <c r="B799" s="9" t="inlineStr">
        <is>
          <t>Hancel Rincon</t>
        </is>
      </c>
      <c r="C799" s="9" t="inlineStr"/>
      <c r="D799" s="9" t="n">
        <v>25</v>
      </c>
      <c r="E799" s="17" t="inlineStr">
        <is>
          <t>R</t>
        </is>
      </c>
      <c r="F799" s="17" t="n"/>
      <c r="G799" s="9" t="n">
        <v>11</v>
      </c>
      <c r="H799" s="9" t="n">
        <v>11</v>
      </c>
      <c r="I799" s="9" t="inlineStr">
        <is>
          <t>Depth (no MLB IP)</t>
        </is>
      </c>
      <c r="J799" s="17" t="inlineStr">
        <is>
          <t>Opening Day</t>
        </is>
      </c>
      <c r="K799" s="11">
        <f>IFERROR(INDEX(Roles!$B$17:$B$20,MATCH(J799,Roles!$A$17:$A$20,0)),1)</f>
        <v/>
      </c>
      <c r="L799" s="18" t="n">
        <v>1</v>
      </c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/>
      <c r="Y799" s="13">
        <f>SUMPRODUCT(M799:X799,$M$2:$X$2)*$K799*$L799</f>
        <v/>
      </c>
      <c r="Z799" s="14">
        <f>SUM(M799:X799)</f>
        <v/>
      </c>
      <c r="AA799" s="13">
        <f>SUMPRODUCT(M799:X799,$M$3:$X$3)*$K799*$L799</f>
        <v/>
      </c>
      <c r="AB799" s="13">
        <f>SUMPRODUCT(M799:X799,$M$4:$X$4)*$K799*$L799</f>
        <v/>
      </c>
      <c r="AC799" s="15">
        <f>SUMPRODUCT(M799:X799,$M$5:$X$5)*$K799*$L799</f>
        <v/>
      </c>
      <c r="AD799" s="15">
        <f>SUMPRODUCT(M799:X799,$M$6:$X$6)*$K799*$L799</f>
        <v/>
      </c>
      <c r="AE799" s="19" t="n"/>
    </row>
    <row r="800">
      <c r="A800" s="9" t="n">
        <v>681084</v>
      </c>
      <c r="B800" s="9" t="inlineStr">
        <is>
          <t>Tanner Andrews</t>
        </is>
      </c>
      <c r="C800" s="9" t="inlineStr"/>
      <c r="D800" s="9" t="n">
        <v>31</v>
      </c>
      <c r="E800" s="17" t="inlineStr">
        <is>
          <t>R</t>
        </is>
      </c>
      <c r="F800" s="17" t="n"/>
      <c r="G800" s="9" t="n">
        <v>11</v>
      </c>
      <c r="H800" s="9" t="n">
        <v>11</v>
      </c>
      <c r="I800" s="9" t="inlineStr">
        <is>
          <t>Depth (no MLB IP)</t>
        </is>
      </c>
      <c r="J800" s="17" t="inlineStr">
        <is>
          <t>Opening Day</t>
        </is>
      </c>
      <c r="K800" s="11">
        <f>IFERROR(INDEX(Roles!$B$17:$B$20,MATCH(J800,Roles!$A$17:$A$20,0)),1)</f>
        <v/>
      </c>
      <c r="L800" s="18" t="n">
        <v>1</v>
      </c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/>
      <c r="Y800" s="13">
        <f>SUMPRODUCT(M800:X800,$M$2:$X$2)*$K800*$L800</f>
        <v/>
      </c>
      <c r="Z800" s="14">
        <f>SUM(M800:X800)</f>
        <v/>
      </c>
      <c r="AA800" s="13">
        <f>SUMPRODUCT(M800:X800,$M$3:$X$3)*$K800*$L800</f>
        <v/>
      </c>
      <c r="AB800" s="13">
        <f>SUMPRODUCT(M800:X800,$M$4:$X$4)*$K800*$L800</f>
        <v/>
      </c>
      <c r="AC800" s="15">
        <f>SUMPRODUCT(M800:X800,$M$5:$X$5)*$K800*$L800</f>
        <v/>
      </c>
      <c r="AD800" s="15">
        <f>SUMPRODUCT(M800:X800,$M$6:$X$6)*$K800*$L800</f>
        <v/>
      </c>
      <c r="AE800" s="19" t="n"/>
    </row>
    <row r="801">
      <c r="A801" s="9" t="n">
        <v>656492</v>
      </c>
      <c r="B801" s="9" t="inlineStr">
        <is>
          <t>Foster Griffin</t>
        </is>
      </c>
      <c r="C801" s="9" t="inlineStr">
        <is>
          <t>CLE</t>
        </is>
      </c>
      <c r="D801" s="9" t="n">
        <v>31</v>
      </c>
      <c r="E801" s="17" t="inlineStr">
        <is>
          <t>L</t>
        </is>
      </c>
      <c r="F801" s="17" t="n"/>
      <c r="G801" s="9" t="n">
        <v>693</v>
      </c>
      <c r="H801" s="9" t="n">
        <v>725</v>
      </c>
      <c r="I801" s="9" t="inlineStr">
        <is>
          <t>Mid-Rotation Starter (SP2-3)</t>
        </is>
      </c>
      <c r="J801" s="17" t="inlineStr">
        <is>
          <t>Opening Day</t>
        </is>
      </c>
      <c r="K801" s="11">
        <f>IFERROR(INDEX(Roles!$B$17:$B$20,MATCH(J801,Roles!$A$17:$A$20,0)),1)</f>
        <v/>
      </c>
      <c r="L801" s="18" t="n">
        <v>1</v>
      </c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/>
      <c r="Y801" s="13">
        <f>SUMPRODUCT(M801:X801,$M$2:$X$2)*$K801*$L801</f>
        <v/>
      </c>
      <c r="Z801" s="14">
        <f>SUM(M801:X801)</f>
        <v/>
      </c>
      <c r="AA801" s="13">
        <f>SUMPRODUCT(M801:X801,$M$3:$X$3)*$K801*$L801</f>
        <v/>
      </c>
      <c r="AB801" s="13">
        <f>SUMPRODUCT(M801:X801,$M$4:$X$4)*$K801*$L801</f>
        <v/>
      </c>
      <c r="AC801" s="15">
        <f>SUMPRODUCT(M801:X801,$M$5:$X$5)*$K801*$L801</f>
        <v/>
      </c>
      <c r="AD801" s="15">
        <f>SUMPRODUCT(M801:X801,$M$6:$X$6)*$K801*$L801</f>
        <v/>
      </c>
      <c r="AE801" s="19" t="n"/>
    </row>
    <row r="802">
      <c r="A802" s="9" t="n">
        <v>700249</v>
      </c>
      <c r="B802" s="9" t="inlineStr">
        <is>
          <t>Cade Povich</t>
        </is>
      </c>
      <c r="C802" s="9" t="inlineStr">
        <is>
          <t>BAL</t>
        </is>
      </c>
      <c r="D802" s="9" t="n">
        <v>27</v>
      </c>
      <c r="E802" s="17" t="inlineStr">
        <is>
          <t>L</t>
        </is>
      </c>
      <c r="F802" s="17" t="n"/>
      <c r="G802" s="9" t="n">
        <v>142</v>
      </c>
      <c r="H802" s="9" t="n">
        <v>982</v>
      </c>
      <c r="I802" s="9" t="inlineStr">
        <is>
          <t>Mid-Rotation Starter (SP2-3)</t>
        </is>
      </c>
      <c r="J802" s="17" t="inlineStr">
        <is>
          <t>Opening Day</t>
        </is>
      </c>
      <c r="K802" s="11">
        <f>IFERROR(INDEX(Roles!$B$17:$B$20,MATCH(J802,Roles!$A$17:$A$20,0)),1)</f>
        <v/>
      </c>
      <c r="L802" s="18" t="n">
        <v>1</v>
      </c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/>
      <c r="Y802" s="13">
        <f>SUMPRODUCT(M802:X802,$M$2:$X$2)*$K802*$L802</f>
        <v/>
      </c>
      <c r="Z802" s="14">
        <f>SUM(M802:X802)</f>
        <v/>
      </c>
      <c r="AA802" s="13">
        <f>SUMPRODUCT(M802:X802,$M$3:$X$3)*$K802*$L802</f>
        <v/>
      </c>
      <c r="AB802" s="13">
        <f>SUMPRODUCT(M802:X802,$M$4:$X$4)*$K802*$L802</f>
        <v/>
      </c>
      <c r="AC802" s="15">
        <f>SUMPRODUCT(M802:X802,$M$5:$X$5)*$K802*$L802</f>
        <v/>
      </c>
      <c r="AD802" s="15">
        <f>SUMPRODUCT(M802:X802,$M$6:$X$6)*$K802*$L802</f>
        <v/>
      </c>
      <c r="AE802" s="19" t="n"/>
    </row>
    <row r="803">
      <c r="A803" s="9" t="n">
        <v>607179</v>
      </c>
      <c r="B803" s="9" t="inlineStr">
        <is>
          <t>Jordan Weems</t>
        </is>
      </c>
      <c r="C803" s="9" t="inlineStr">
        <is>
          <t>WSH</t>
        </is>
      </c>
      <c r="D803" s="9" t="n">
        <v>34</v>
      </c>
      <c r="E803" s="17" t="inlineStr">
        <is>
          <t>R</t>
        </is>
      </c>
      <c r="F803" s="17" t="n"/>
      <c r="G803" s="9" t="n">
        <v>23</v>
      </c>
      <c r="H803" s="9" t="n">
        <v>617</v>
      </c>
      <c r="I803" s="9" t="inlineStr">
        <is>
          <t>Depth (no MLB IP)</t>
        </is>
      </c>
      <c r="J803" s="17" t="inlineStr">
        <is>
          <t>Opening Day</t>
        </is>
      </c>
      <c r="K803" s="11">
        <f>IFERROR(INDEX(Roles!$B$17:$B$20,MATCH(J803,Roles!$A$17:$A$20,0)),1)</f>
        <v/>
      </c>
      <c r="L803" s="18" t="n">
        <v>1</v>
      </c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/>
      <c r="Y803" s="13">
        <f>SUMPRODUCT(M803:X803,$M$2:$X$2)*$K803*$L803</f>
        <v/>
      </c>
      <c r="Z803" s="14">
        <f>SUM(M803:X803)</f>
        <v/>
      </c>
      <c r="AA803" s="13">
        <f>SUMPRODUCT(M803:X803,$M$3:$X$3)*$K803*$L803</f>
        <v/>
      </c>
      <c r="AB803" s="13">
        <f>SUMPRODUCT(M803:X803,$M$4:$X$4)*$K803*$L803</f>
        <v/>
      </c>
      <c r="AC803" s="15">
        <f>SUMPRODUCT(M803:X803,$M$5:$X$5)*$K803*$L803</f>
        <v/>
      </c>
      <c r="AD803" s="15">
        <f>SUMPRODUCT(M803:X803,$M$6:$X$6)*$K803*$L803</f>
        <v/>
      </c>
      <c r="AE803" s="19" t="n"/>
    </row>
    <row r="804">
      <c r="A804" s="9" t="n">
        <v>666659</v>
      </c>
      <c r="B804" s="9" t="inlineStr">
        <is>
          <t>Sauryn Lao</t>
        </is>
      </c>
      <c r="C804" s="9" t="inlineStr">
        <is>
          <t>WSH</t>
        </is>
      </c>
      <c r="D804" s="9" t="n">
        <v>27</v>
      </c>
      <c r="E804" s="17" t="inlineStr">
        <is>
          <t>R</t>
        </is>
      </c>
      <c r="F804" s="17" t="n"/>
      <c r="G804" s="9" t="n">
        <v>49</v>
      </c>
      <c r="H804" s="9" t="n">
        <v>49</v>
      </c>
      <c r="I804" s="9" t="inlineStr">
        <is>
          <t>Bullpen Depth Arm</t>
        </is>
      </c>
      <c r="J804" s="17" t="inlineStr">
        <is>
          <t>Opening Day</t>
        </is>
      </c>
      <c r="K804" s="11">
        <f>IFERROR(INDEX(Roles!$B$17:$B$20,MATCH(J804,Roles!$A$17:$A$20,0)),1)</f>
        <v/>
      </c>
      <c r="L804" s="18" t="n">
        <v>1</v>
      </c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/>
      <c r="Y804" s="13">
        <f>SUMPRODUCT(M804:X804,$M$2:$X$2)*$K804*$L804</f>
        <v/>
      </c>
      <c r="Z804" s="14">
        <f>SUM(M804:X804)</f>
        <v/>
      </c>
      <c r="AA804" s="13">
        <f>SUMPRODUCT(M804:X804,$M$3:$X$3)*$K804*$L804</f>
        <v/>
      </c>
      <c r="AB804" s="13">
        <f>SUMPRODUCT(M804:X804,$M$4:$X$4)*$K804*$L804</f>
        <v/>
      </c>
      <c r="AC804" s="15">
        <f>SUMPRODUCT(M804:X804,$M$5:$X$5)*$K804*$L804</f>
        <v/>
      </c>
      <c r="AD804" s="15">
        <f>SUMPRODUCT(M804:X804,$M$6:$X$6)*$K804*$L804</f>
        <v/>
      </c>
      <c r="AE804" s="19" t="n"/>
    </row>
    <row r="805">
      <c r="A805" s="9" t="n">
        <v>670223</v>
      </c>
      <c r="B805" s="9" t="inlineStr">
        <is>
          <t>Matt Mervis</t>
        </is>
      </c>
      <c r="C805" s="9" t="inlineStr"/>
      <c r="D805" s="9" t="n">
        <v>29</v>
      </c>
      <c r="E805" s="17" t="inlineStr">
        <is>
          <t>R</t>
        </is>
      </c>
      <c r="F805" s="17" t="n"/>
      <c r="G805" s="9" t="n">
        <v>9</v>
      </c>
      <c r="H805" s="9" t="n">
        <v>9</v>
      </c>
      <c r="I805" s="9" t="inlineStr">
        <is>
          <t>Depth (no MLB IP)</t>
        </is>
      </c>
      <c r="J805" s="17" t="inlineStr">
        <is>
          <t>Opening Day</t>
        </is>
      </c>
      <c r="K805" s="11">
        <f>IFERROR(INDEX(Roles!$B$17:$B$20,MATCH(J805,Roles!$A$17:$A$20,0)),1)</f>
        <v/>
      </c>
      <c r="L805" s="18" t="n">
        <v>1</v>
      </c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/>
      <c r="Y805" s="13">
        <f>SUMPRODUCT(M805:X805,$M$2:$X$2)*$K805*$L805</f>
        <v/>
      </c>
      <c r="Z805" s="14">
        <f>SUM(M805:X805)</f>
        <v/>
      </c>
      <c r="AA805" s="13">
        <f>SUMPRODUCT(M805:X805,$M$3:$X$3)*$K805*$L805</f>
        <v/>
      </c>
      <c r="AB805" s="13">
        <f>SUMPRODUCT(M805:X805,$M$4:$X$4)*$K805*$L805</f>
        <v/>
      </c>
      <c r="AC805" s="15">
        <f>SUMPRODUCT(M805:X805,$M$5:$X$5)*$K805*$L805</f>
        <v/>
      </c>
      <c r="AD805" s="15">
        <f>SUMPRODUCT(M805:X805,$M$6:$X$6)*$K805*$L805</f>
        <v/>
      </c>
      <c r="AE805" s="19" t="n"/>
    </row>
    <row r="806">
      <c r="A806" s="9" t="n">
        <v>668874</v>
      </c>
      <c r="B806" s="9" t="inlineStr">
        <is>
          <t>Blair Henley</t>
        </is>
      </c>
      <c r="C806" s="9" t="inlineStr"/>
      <c r="D806" s="9" t="n">
        <v>30</v>
      </c>
      <c r="E806" s="17" t="inlineStr">
        <is>
          <t>R</t>
        </is>
      </c>
      <c r="F806" s="17" t="n"/>
      <c r="G806" s="9" t="n">
        <v>9</v>
      </c>
      <c r="H806" s="9" t="n">
        <v>9</v>
      </c>
      <c r="I806" s="9" t="inlineStr">
        <is>
          <t>Depth (no MLB IP)</t>
        </is>
      </c>
      <c r="J806" s="17" t="inlineStr">
        <is>
          <t>Opening Day</t>
        </is>
      </c>
      <c r="K806" s="11">
        <f>IFERROR(INDEX(Roles!$B$17:$B$20,MATCH(J806,Roles!$A$17:$A$20,0)),1)</f>
        <v/>
      </c>
      <c r="L806" s="18" t="n">
        <v>1</v>
      </c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/>
      <c r="Y806" s="13">
        <f>SUMPRODUCT(M806:X806,$M$2:$X$2)*$K806*$L806</f>
        <v/>
      </c>
      <c r="Z806" s="14">
        <f>SUM(M806:X806)</f>
        <v/>
      </c>
      <c r="AA806" s="13">
        <f>SUMPRODUCT(M806:X806,$M$3:$X$3)*$K806*$L806</f>
        <v/>
      </c>
      <c r="AB806" s="13">
        <f>SUMPRODUCT(M806:X806,$M$4:$X$4)*$K806*$L806</f>
        <v/>
      </c>
      <c r="AC806" s="15">
        <f>SUMPRODUCT(M806:X806,$M$5:$X$5)*$K806*$L806</f>
        <v/>
      </c>
      <c r="AD806" s="15">
        <f>SUMPRODUCT(M806:X806,$M$6:$X$6)*$K806*$L806</f>
        <v/>
      </c>
      <c r="AE806" s="19" t="n"/>
    </row>
    <row r="807">
      <c r="A807" s="9" t="n">
        <v>694738</v>
      </c>
      <c r="B807" s="9" t="inlineStr">
        <is>
          <t>Landen Roupp</t>
        </is>
      </c>
      <c r="C807" s="9" t="inlineStr">
        <is>
          <t>SF</t>
        </is>
      </c>
      <c r="D807" s="9" t="n">
        <v>28</v>
      </c>
      <c r="E807" s="17" t="inlineStr">
        <is>
          <t>R</t>
        </is>
      </c>
      <c r="F807" s="17" t="n"/>
      <c r="G807" s="9" t="n">
        <v>657</v>
      </c>
      <c r="H807" s="9" t="n">
        <v>1350</v>
      </c>
      <c r="I807" s="9" t="inlineStr">
        <is>
          <t>End-of-Rotation Starter (SP4-5)</t>
        </is>
      </c>
      <c r="J807" s="17" t="inlineStr">
        <is>
          <t>Opening Day</t>
        </is>
      </c>
      <c r="K807" s="11">
        <f>IFERROR(INDEX(Roles!$B$17:$B$20,MATCH(J807,Roles!$A$17:$A$20,0)),1)</f>
        <v/>
      </c>
      <c r="L807" s="18" t="n">
        <v>1</v>
      </c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/>
      <c r="Y807" s="13">
        <f>SUMPRODUCT(M807:X807,$M$2:$X$2)*$K807*$L807</f>
        <v/>
      </c>
      <c r="Z807" s="14">
        <f>SUM(M807:X807)</f>
        <v/>
      </c>
      <c r="AA807" s="13">
        <f>SUMPRODUCT(M807:X807,$M$3:$X$3)*$K807*$L807</f>
        <v/>
      </c>
      <c r="AB807" s="13">
        <f>SUMPRODUCT(M807:X807,$M$4:$X$4)*$K807*$L807</f>
        <v/>
      </c>
      <c r="AC807" s="15">
        <f>SUMPRODUCT(M807:X807,$M$5:$X$5)*$K807*$L807</f>
        <v/>
      </c>
      <c r="AD807" s="15">
        <f>SUMPRODUCT(M807:X807,$M$6:$X$6)*$K807*$L807</f>
        <v/>
      </c>
      <c r="AE807" s="19" t="n"/>
    </row>
    <row r="808">
      <c r="A808" s="9" t="n">
        <v>660761</v>
      </c>
      <c r="B808" s="9" t="inlineStr">
        <is>
          <t>José Suarez</t>
        </is>
      </c>
      <c r="C808" s="9" t="inlineStr">
        <is>
          <t>OAK</t>
        </is>
      </c>
      <c r="D808" s="9" t="n">
        <v>29</v>
      </c>
      <c r="E808" s="17" t="inlineStr">
        <is>
          <t>L</t>
        </is>
      </c>
      <c r="F808" s="17" t="n"/>
      <c r="G808" s="9" t="n">
        <v>277</v>
      </c>
      <c r="H808" s="9" t="n">
        <v>1225</v>
      </c>
      <c r="I808" s="9" t="inlineStr">
        <is>
          <t>Bullpen Depth Arm</t>
        </is>
      </c>
      <c r="J808" s="17" t="inlineStr">
        <is>
          <t>Opening Day</t>
        </is>
      </c>
      <c r="K808" s="11">
        <f>IFERROR(INDEX(Roles!$B$17:$B$20,MATCH(J808,Roles!$A$17:$A$20,0)),1)</f>
        <v/>
      </c>
      <c r="L808" s="18" t="n">
        <v>1</v>
      </c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/>
      <c r="Y808" s="13">
        <f>SUMPRODUCT(M808:X808,$M$2:$X$2)*$K808*$L808</f>
        <v/>
      </c>
      <c r="Z808" s="14">
        <f>SUM(M808:X808)</f>
        <v/>
      </c>
      <c r="AA808" s="13">
        <f>SUMPRODUCT(M808:X808,$M$3:$X$3)*$K808*$L808</f>
        <v/>
      </c>
      <c r="AB808" s="13">
        <f>SUMPRODUCT(M808:X808,$M$4:$X$4)*$K808*$L808</f>
        <v/>
      </c>
      <c r="AC808" s="15">
        <f>SUMPRODUCT(M808:X808,$M$5:$X$5)*$K808*$L808</f>
        <v/>
      </c>
      <c r="AD808" s="15">
        <f>SUMPRODUCT(M808:X808,$M$6:$X$6)*$K808*$L808</f>
        <v/>
      </c>
      <c r="AE808" s="19" t="n"/>
    </row>
    <row r="809">
      <c r="A809" s="9" t="n">
        <v>694397</v>
      </c>
      <c r="B809" s="9" t="inlineStr">
        <is>
          <t>Marco Raya</t>
        </is>
      </c>
      <c r="C809" s="9" t="inlineStr">
        <is>
          <t>MIN</t>
        </is>
      </c>
      <c r="D809" s="9" t="n">
        <v>24</v>
      </c>
      <c r="E809" s="17" t="inlineStr">
        <is>
          <t>R</t>
        </is>
      </c>
      <c r="F809" s="17" t="n"/>
      <c r="G809" s="9" t="n">
        <v>25</v>
      </c>
      <c r="H809" s="9" t="n">
        <v>25</v>
      </c>
      <c r="I809" s="9" t="inlineStr">
        <is>
          <t>Bullpen Depth Arm</t>
        </is>
      </c>
      <c r="J809" s="17" t="inlineStr">
        <is>
          <t>Opening Day</t>
        </is>
      </c>
      <c r="K809" s="11">
        <f>IFERROR(INDEX(Roles!$B$17:$B$20,MATCH(J809,Roles!$A$17:$A$20,0)),1)</f>
        <v/>
      </c>
      <c r="L809" s="18" t="n">
        <v>1</v>
      </c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/>
      <c r="Y809" s="13">
        <f>SUMPRODUCT(M809:X809,$M$2:$X$2)*$K809*$L809</f>
        <v/>
      </c>
      <c r="Z809" s="14">
        <f>SUM(M809:X809)</f>
        <v/>
      </c>
      <c r="AA809" s="13">
        <f>SUMPRODUCT(M809:X809,$M$3:$X$3)*$K809*$L809</f>
        <v/>
      </c>
      <c r="AB809" s="13">
        <f>SUMPRODUCT(M809:X809,$M$4:$X$4)*$K809*$L809</f>
        <v/>
      </c>
      <c r="AC809" s="15">
        <f>SUMPRODUCT(M809:X809,$M$5:$X$5)*$K809*$L809</f>
        <v/>
      </c>
      <c r="AD809" s="15">
        <f>SUMPRODUCT(M809:X809,$M$6:$X$6)*$K809*$L809</f>
        <v/>
      </c>
      <c r="AE809" s="19" t="n"/>
    </row>
    <row r="810">
      <c r="A810" s="9" t="n">
        <v>519141</v>
      </c>
      <c r="B810" s="9" t="inlineStr">
        <is>
          <t>Drew Pomeranz</t>
        </is>
      </c>
      <c r="C810" s="9" t="inlineStr">
        <is>
          <t>CHC</t>
        </is>
      </c>
      <c r="D810" s="9" t="n">
        <v>38</v>
      </c>
      <c r="E810" s="17" t="inlineStr">
        <is>
          <t>L</t>
        </is>
      </c>
      <c r="F810" s="17" t="n"/>
      <c r="G810" s="9" t="n">
        <v>135</v>
      </c>
      <c r="H810" s="9" t="n">
        <v>338</v>
      </c>
      <c r="I810" s="9" t="inlineStr">
        <is>
          <t>Bullpen Depth Arm</t>
        </is>
      </c>
      <c r="J810" s="17" t="inlineStr">
        <is>
          <t>Opening Day</t>
        </is>
      </c>
      <c r="K810" s="11">
        <f>IFERROR(INDEX(Roles!$B$17:$B$20,MATCH(J810,Roles!$A$17:$A$20,0)),1)</f>
        <v/>
      </c>
      <c r="L810" s="18" t="n">
        <v>1</v>
      </c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/>
      <c r="Y810" s="13">
        <f>SUMPRODUCT(M810:X810,$M$2:$X$2)*$K810*$L810</f>
        <v/>
      </c>
      <c r="Z810" s="14">
        <f>SUM(M810:X810)</f>
        <v/>
      </c>
      <c r="AA810" s="13">
        <f>SUMPRODUCT(M810:X810,$M$3:$X$3)*$K810*$L810</f>
        <v/>
      </c>
      <c r="AB810" s="13">
        <f>SUMPRODUCT(M810:X810,$M$4:$X$4)*$K810*$L810</f>
        <v/>
      </c>
      <c r="AC810" s="15">
        <f>SUMPRODUCT(M810:X810,$M$5:$X$5)*$K810*$L810</f>
        <v/>
      </c>
      <c r="AD810" s="15">
        <f>SUMPRODUCT(M810:X810,$M$6:$X$6)*$K810*$L810</f>
        <v/>
      </c>
      <c r="AE810" s="19" t="n"/>
    </row>
    <row r="811">
      <c r="A811" s="9" t="n">
        <v>664139</v>
      </c>
      <c r="B811" s="9" t="inlineStr">
        <is>
          <t>Ian Gibaut</t>
        </is>
      </c>
      <c r="C811" s="9" t="inlineStr">
        <is>
          <t>CIN</t>
        </is>
      </c>
      <c r="D811" s="9" t="n">
        <v>33</v>
      </c>
      <c r="E811" s="17" t="inlineStr">
        <is>
          <t>R</t>
        </is>
      </c>
      <c r="F811" s="17" t="n"/>
      <c r="G811" s="9" t="n">
        <v>109</v>
      </c>
      <c r="H811" s="9" t="n">
        <v>597</v>
      </c>
      <c r="I811" s="9" t="inlineStr">
        <is>
          <t>Bullpen Depth Arm</t>
        </is>
      </c>
      <c r="J811" s="17" t="inlineStr">
        <is>
          <t>Opening Day</t>
        </is>
      </c>
      <c r="K811" s="11">
        <f>IFERROR(INDEX(Roles!$B$17:$B$20,MATCH(J811,Roles!$A$17:$A$20,0)),1)</f>
        <v/>
      </c>
      <c r="L811" s="18" t="n">
        <v>1</v>
      </c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/>
      <c r="Y811" s="13">
        <f>SUMPRODUCT(M811:X811,$M$2:$X$2)*$K811*$L811</f>
        <v/>
      </c>
      <c r="Z811" s="14">
        <f>SUM(M811:X811)</f>
        <v/>
      </c>
      <c r="AA811" s="13">
        <f>SUMPRODUCT(M811:X811,$M$3:$X$3)*$K811*$L811</f>
        <v/>
      </c>
      <c r="AB811" s="13">
        <f>SUMPRODUCT(M811:X811,$M$4:$X$4)*$K811*$L811</f>
        <v/>
      </c>
      <c r="AC811" s="15">
        <f>SUMPRODUCT(M811:X811,$M$5:$X$5)*$K811*$L811</f>
        <v/>
      </c>
      <c r="AD811" s="15">
        <f>SUMPRODUCT(M811:X811,$M$6:$X$6)*$K811*$L811</f>
        <v/>
      </c>
      <c r="AE811" s="19" t="n"/>
    </row>
    <row r="812">
      <c r="A812" s="9" t="n">
        <v>670102</v>
      </c>
      <c r="B812" s="9" t="inlineStr">
        <is>
          <t>Bowden Francis</t>
        </is>
      </c>
      <c r="C812" s="9" t="inlineStr">
        <is>
          <t>TOR</t>
        </is>
      </c>
      <c r="D812" s="9" t="n">
        <v>31</v>
      </c>
      <c r="E812" s="17" t="inlineStr">
        <is>
          <t>R</t>
        </is>
      </c>
      <c r="F812" s="17" t="n"/>
      <c r="G812" s="9" t="n">
        <v>288</v>
      </c>
      <c r="H812" s="9" t="n">
        <v>835</v>
      </c>
      <c r="I812" s="9" t="inlineStr">
        <is>
          <t>End-of-Rotation Starter (SP4-5)</t>
        </is>
      </c>
      <c r="J812" s="17" t="inlineStr">
        <is>
          <t>Opening Day</t>
        </is>
      </c>
      <c r="K812" s="11">
        <f>IFERROR(INDEX(Roles!$B$17:$B$20,MATCH(J812,Roles!$A$17:$A$20,0)),1)</f>
        <v/>
      </c>
      <c r="L812" s="18" t="n">
        <v>1</v>
      </c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/>
      <c r="Y812" s="13">
        <f>SUMPRODUCT(M812:X812,$M$2:$X$2)*$K812*$L812</f>
        <v/>
      </c>
      <c r="Z812" s="14">
        <f>SUM(M812:X812)</f>
        <v/>
      </c>
      <c r="AA812" s="13">
        <f>SUMPRODUCT(M812:X812,$M$3:$X$3)*$K812*$L812</f>
        <v/>
      </c>
      <c r="AB812" s="13">
        <f>SUMPRODUCT(M812:X812,$M$4:$X$4)*$K812*$L812</f>
        <v/>
      </c>
      <c r="AC812" s="15">
        <f>SUMPRODUCT(M812:X812,$M$5:$X$5)*$K812*$L812</f>
        <v/>
      </c>
      <c r="AD812" s="15">
        <f>SUMPRODUCT(M812:X812,$M$6:$X$6)*$K812*$L812</f>
        <v/>
      </c>
      <c r="AE812" s="19" t="n"/>
    </row>
    <row r="813">
      <c r="A813" s="9" t="n">
        <v>613564</v>
      </c>
      <c r="B813" s="9" t="inlineStr">
        <is>
          <t>Jason Vosler</t>
        </is>
      </c>
      <c r="C813" s="9" t="inlineStr"/>
      <c r="D813" s="9" t="n">
        <v>33</v>
      </c>
      <c r="E813" s="17" t="inlineStr">
        <is>
          <t>R</t>
        </is>
      </c>
      <c r="F813" s="17" t="n"/>
      <c r="G813" s="9" t="n">
        <v>11</v>
      </c>
      <c r="H813" s="9" t="n">
        <v>11</v>
      </c>
      <c r="I813" s="9" t="inlineStr">
        <is>
          <t>Depth (no MLB IP)</t>
        </is>
      </c>
      <c r="J813" s="17" t="inlineStr">
        <is>
          <t>Opening Day</t>
        </is>
      </c>
      <c r="K813" s="11">
        <f>IFERROR(INDEX(Roles!$B$17:$B$20,MATCH(J813,Roles!$A$17:$A$20,0)),1)</f>
        <v/>
      </c>
      <c r="L813" s="18" t="n">
        <v>1</v>
      </c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/>
      <c r="Y813" s="13">
        <f>SUMPRODUCT(M813:X813,$M$2:$X$2)*$K813*$L813</f>
        <v/>
      </c>
      <c r="Z813" s="14">
        <f>SUM(M813:X813)</f>
        <v/>
      </c>
      <c r="AA813" s="13">
        <f>SUMPRODUCT(M813:X813,$M$3:$X$3)*$K813*$L813</f>
        <v/>
      </c>
      <c r="AB813" s="13">
        <f>SUMPRODUCT(M813:X813,$M$4:$X$4)*$K813*$L813</f>
        <v/>
      </c>
      <c r="AC813" s="15">
        <f>SUMPRODUCT(M813:X813,$M$5:$X$5)*$K813*$L813</f>
        <v/>
      </c>
      <c r="AD813" s="15">
        <f>SUMPRODUCT(M813:X813,$M$6:$X$6)*$K813*$L813</f>
        <v/>
      </c>
      <c r="AE813" s="19" t="n"/>
    </row>
    <row r="814">
      <c r="A814" s="9" t="n">
        <v>571527</v>
      </c>
      <c r="B814" s="9" t="inlineStr">
        <is>
          <t>David Buchanan</t>
        </is>
      </c>
      <c r="C814" s="9" t="inlineStr"/>
      <c r="D814" s="9" t="n">
        <v>38</v>
      </c>
      <c r="E814" s="17" t="inlineStr">
        <is>
          <t>R</t>
        </is>
      </c>
      <c r="F814" s="17" t="n"/>
      <c r="G814" s="9" t="n">
        <v>14</v>
      </c>
      <c r="H814" s="9" t="n">
        <v>14</v>
      </c>
      <c r="I814" s="9" t="inlineStr">
        <is>
          <t>Depth (no MLB IP)</t>
        </is>
      </c>
      <c r="J814" s="17" t="inlineStr">
        <is>
          <t>Opening Day</t>
        </is>
      </c>
      <c r="K814" s="11">
        <f>IFERROR(INDEX(Roles!$B$17:$B$20,MATCH(J814,Roles!$A$17:$A$20,0)),1)</f>
        <v/>
      </c>
      <c r="L814" s="18" t="n">
        <v>1</v>
      </c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/>
      <c r="Y814" s="13">
        <f>SUMPRODUCT(M814:X814,$M$2:$X$2)*$K814*$L814</f>
        <v/>
      </c>
      <c r="Z814" s="14">
        <f>SUM(M814:X814)</f>
        <v/>
      </c>
      <c r="AA814" s="13">
        <f>SUMPRODUCT(M814:X814,$M$3:$X$3)*$K814*$L814</f>
        <v/>
      </c>
      <c r="AB814" s="13">
        <f>SUMPRODUCT(M814:X814,$M$4:$X$4)*$K814*$L814</f>
        <v/>
      </c>
      <c r="AC814" s="15">
        <f>SUMPRODUCT(M814:X814,$M$5:$X$5)*$K814*$L814</f>
        <v/>
      </c>
      <c r="AD814" s="15">
        <f>SUMPRODUCT(M814:X814,$M$6:$X$6)*$K814*$L814</f>
        <v/>
      </c>
      <c r="AE814" s="19" t="n"/>
    </row>
    <row r="815">
      <c r="A815" s="9" t="n">
        <v>676961</v>
      </c>
      <c r="B815" s="9" t="inlineStr">
        <is>
          <t>Caleb Boushley</t>
        </is>
      </c>
      <c r="C815" s="9" t="inlineStr">
        <is>
          <t>TEX</t>
        </is>
      </c>
      <c r="D815" s="9" t="n">
        <v>33</v>
      </c>
      <c r="E815" s="17" t="inlineStr">
        <is>
          <t>R</t>
        </is>
      </c>
      <c r="F815" s="17" t="n"/>
      <c r="G815" s="9" t="n">
        <v>193</v>
      </c>
      <c r="H815" s="9" t="n">
        <v>223</v>
      </c>
      <c r="I815" s="9" t="inlineStr">
        <is>
          <t>Bullpen Depth Arm</t>
        </is>
      </c>
      <c r="J815" s="17" t="inlineStr">
        <is>
          <t>Opening Day</t>
        </is>
      </c>
      <c r="K815" s="11">
        <f>IFERROR(INDEX(Roles!$B$17:$B$20,MATCH(J815,Roles!$A$17:$A$20,0)),1)</f>
        <v/>
      </c>
      <c r="L815" s="18" t="n">
        <v>1</v>
      </c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/>
      <c r="Y815" s="13">
        <f>SUMPRODUCT(M815:X815,$M$2:$X$2)*$K815*$L815</f>
        <v/>
      </c>
      <c r="Z815" s="14">
        <f>SUM(M815:X815)</f>
        <v/>
      </c>
      <c r="AA815" s="13">
        <f>SUMPRODUCT(M815:X815,$M$3:$X$3)*$K815*$L815</f>
        <v/>
      </c>
      <c r="AB815" s="13">
        <f>SUMPRODUCT(M815:X815,$M$4:$X$4)*$K815*$L815</f>
        <v/>
      </c>
      <c r="AC815" s="15">
        <f>SUMPRODUCT(M815:X815,$M$5:$X$5)*$K815*$L815</f>
        <v/>
      </c>
      <c r="AD815" s="15">
        <f>SUMPRODUCT(M815:X815,$M$6:$X$6)*$K815*$L815</f>
        <v/>
      </c>
      <c r="AE815" s="19" t="n"/>
    </row>
    <row r="816">
      <c r="A816" s="9" t="n">
        <v>680837</v>
      </c>
      <c r="B816" s="9" t="inlineStr">
        <is>
          <t>Ryan Fitzgerald</t>
        </is>
      </c>
      <c r="C816" s="9" t="inlineStr"/>
      <c r="D816" s="9" t="n">
        <v>33</v>
      </c>
      <c r="E816" s="17" t="inlineStr">
        <is>
          <t>R</t>
        </is>
      </c>
      <c r="F816" s="17" t="n"/>
      <c r="G816" s="9" t="n">
        <v>8</v>
      </c>
      <c r="H816" s="9" t="n">
        <v>8</v>
      </c>
      <c r="I816" s="9" t="inlineStr">
        <is>
          <t>Depth (no MLB IP)</t>
        </is>
      </c>
      <c r="J816" s="17" t="inlineStr">
        <is>
          <t>Opening Day</t>
        </is>
      </c>
      <c r="K816" s="11">
        <f>IFERROR(INDEX(Roles!$B$17:$B$20,MATCH(J816,Roles!$A$17:$A$20,0)),1)</f>
        <v/>
      </c>
      <c r="L816" s="18" t="n">
        <v>1</v>
      </c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/>
      <c r="Y816" s="13">
        <f>SUMPRODUCT(M816:X816,$M$2:$X$2)*$K816*$L816</f>
        <v/>
      </c>
      <c r="Z816" s="14">
        <f>SUM(M816:X816)</f>
        <v/>
      </c>
      <c r="AA816" s="13">
        <f>SUMPRODUCT(M816:X816,$M$3:$X$3)*$K816*$L816</f>
        <v/>
      </c>
      <c r="AB816" s="13">
        <f>SUMPRODUCT(M816:X816,$M$4:$X$4)*$K816*$L816</f>
        <v/>
      </c>
      <c r="AC816" s="15">
        <f>SUMPRODUCT(M816:X816,$M$5:$X$5)*$K816*$L816</f>
        <v/>
      </c>
      <c r="AD816" s="15">
        <f>SUMPRODUCT(M816:X816,$M$6:$X$6)*$K816*$L816</f>
        <v/>
      </c>
      <c r="AE816" s="19" t="n"/>
    </row>
    <row r="817">
      <c r="A817" s="9" t="n">
        <v>669707</v>
      </c>
      <c r="B817" s="9" t="inlineStr">
        <is>
          <t>Jared Triolo</t>
        </is>
      </c>
      <c r="C817" s="9" t="inlineStr"/>
      <c r="D817" s="9" t="n">
        <v>29</v>
      </c>
      <c r="E817" s="17" t="inlineStr">
        <is>
          <t>R</t>
        </is>
      </c>
      <c r="F817" s="17" t="n"/>
      <c r="G817" s="9" t="n">
        <v>8</v>
      </c>
      <c r="H817" s="9" t="n">
        <v>8</v>
      </c>
      <c r="I817" s="9" t="inlineStr">
        <is>
          <t>Depth (no MLB IP)</t>
        </is>
      </c>
      <c r="J817" s="17" t="inlineStr">
        <is>
          <t>Opening Day</t>
        </is>
      </c>
      <c r="K817" s="11">
        <f>IFERROR(INDEX(Roles!$B$17:$B$20,MATCH(J817,Roles!$A$17:$A$20,0)),1)</f>
        <v/>
      </c>
      <c r="L817" s="18" t="n">
        <v>1</v>
      </c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/>
      <c r="Y817" s="13">
        <f>SUMPRODUCT(M817:X817,$M$2:$X$2)*$K817*$L817</f>
        <v/>
      </c>
      <c r="Z817" s="14">
        <f>SUM(M817:X817)</f>
        <v/>
      </c>
      <c r="AA817" s="13">
        <f>SUMPRODUCT(M817:X817,$M$3:$X$3)*$K817*$L817</f>
        <v/>
      </c>
      <c r="AB817" s="13">
        <f>SUMPRODUCT(M817:X817,$M$4:$X$4)*$K817*$L817</f>
        <v/>
      </c>
      <c r="AC817" s="15">
        <f>SUMPRODUCT(M817:X817,$M$5:$X$5)*$K817*$L817</f>
        <v/>
      </c>
      <c r="AD817" s="15">
        <f>SUMPRODUCT(M817:X817,$M$6:$X$6)*$K817*$L817</f>
        <v/>
      </c>
      <c r="AE817" s="19" t="n"/>
    </row>
    <row r="818">
      <c r="A818" s="9" t="n">
        <v>647351</v>
      </c>
      <c r="B818" s="9" t="inlineStr">
        <is>
          <t>Abraham Toro</t>
        </is>
      </c>
      <c r="C818" s="9" t="inlineStr"/>
      <c r="D818" s="9" t="n">
        <v>30</v>
      </c>
      <c r="E818" s="17" t="inlineStr">
        <is>
          <t>R</t>
        </is>
      </c>
      <c r="F818" s="17" t="n"/>
      <c r="G818" s="9" t="n">
        <v>8</v>
      </c>
      <c r="H818" s="9" t="n">
        <v>8</v>
      </c>
      <c r="I818" s="9" t="inlineStr">
        <is>
          <t>Depth (no MLB IP)</t>
        </is>
      </c>
      <c r="J818" s="17" t="inlineStr">
        <is>
          <t>Opening Day</t>
        </is>
      </c>
      <c r="K818" s="11">
        <f>IFERROR(INDEX(Roles!$B$17:$B$20,MATCH(J818,Roles!$A$17:$A$20,0)),1)</f>
        <v/>
      </c>
      <c r="L818" s="18" t="n">
        <v>1</v>
      </c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/>
      <c r="Y818" s="13">
        <f>SUMPRODUCT(M818:X818,$M$2:$X$2)*$K818*$L818</f>
        <v/>
      </c>
      <c r="Z818" s="14">
        <f>SUM(M818:X818)</f>
        <v/>
      </c>
      <c r="AA818" s="13">
        <f>SUMPRODUCT(M818:X818,$M$3:$X$3)*$K818*$L818</f>
        <v/>
      </c>
      <c r="AB818" s="13">
        <f>SUMPRODUCT(M818:X818,$M$4:$X$4)*$K818*$L818</f>
        <v/>
      </c>
      <c r="AC818" s="15">
        <f>SUMPRODUCT(M818:X818,$M$5:$X$5)*$K818*$L818</f>
        <v/>
      </c>
      <c r="AD818" s="15">
        <f>SUMPRODUCT(M818:X818,$M$6:$X$6)*$K818*$L818</f>
        <v/>
      </c>
      <c r="AE818" s="19" t="n"/>
    </row>
    <row r="819">
      <c r="A819" s="9" t="n">
        <v>669717</v>
      </c>
      <c r="B819" s="9" t="inlineStr">
        <is>
          <t>Will Wilson</t>
        </is>
      </c>
      <c r="C819" s="9" t="inlineStr"/>
      <c r="D819" s="9" t="n">
        <v>28</v>
      </c>
      <c r="E819" s="17" t="inlineStr">
        <is>
          <t>R</t>
        </is>
      </c>
      <c r="F819" s="17" t="n"/>
      <c r="G819" s="9" t="n">
        <v>8</v>
      </c>
      <c r="H819" s="9" t="n">
        <v>8</v>
      </c>
      <c r="I819" s="9" t="inlineStr">
        <is>
          <t>Depth (no MLB IP)</t>
        </is>
      </c>
      <c r="J819" s="17" t="inlineStr">
        <is>
          <t>Opening Day</t>
        </is>
      </c>
      <c r="K819" s="11">
        <f>IFERROR(INDEX(Roles!$B$17:$B$20,MATCH(J819,Roles!$A$17:$A$20,0)),1)</f>
        <v/>
      </c>
      <c r="L819" s="18" t="n">
        <v>1</v>
      </c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/>
      <c r="Y819" s="13">
        <f>SUMPRODUCT(M819:X819,$M$2:$X$2)*$K819*$L819</f>
        <v/>
      </c>
      <c r="Z819" s="14">
        <f>SUM(M819:X819)</f>
        <v/>
      </c>
      <c r="AA819" s="13">
        <f>SUMPRODUCT(M819:X819,$M$3:$X$3)*$K819*$L819</f>
        <v/>
      </c>
      <c r="AB819" s="13">
        <f>SUMPRODUCT(M819:X819,$M$4:$X$4)*$K819*$L819</f>
        <v/>
      </c>
      <c r="AC819" s="15">
        <f>SUMPRODUCT(M819:X819,$M$5:$X$5)*$K819*$L819</f>
        <v/>
      </c>
      <c r="AD819" s="15">
        <f>SUMPRODUCT(M819:X819,$M$6:$X$6)*$K819*$L819</f>
        <v/>
      </c>
      <c r="AE819" s="19" t="n"/>
    </row>
    <row r="820">
      <c r="A820" s="9" t="n">
        <v>622786</v>
      </c>
      <c r="B820" s="9" t="inlineStr">
        <is>
          <t>Jesus Tinoco</t>
        </is>
      </c>
      <c r="C820" s="9" t="inlineStr">
        <is>
          <t>MIA</t>
        </is>
      </c>
      <c r="D820" s="9" t="n">
        <v>32</v>
      </c>
      <c r="E820" s="17" t="inlineStr">
        <is>
          <t>R</t>
        </is>
      </c>
      <c r="F820" s="17" t="n"/>
      <c r="G820" s="9" t="n">
        <v>80</v>
      </c>
      <c r="H820" s="9" t="n">
        <v>326</v>
      </c>
      <c r="I820" s="9" t="inlineStr">
        <is>
          <t>Middle Relief</t>
        </is>
      </c>
      <c r="J820" s="17" t="inlineStr">
        <is>
          <t>Opening Day</t>
        </is>
      </c>
      <c r="K820" s="11">
        <f>IFERROR(INDEX(Roles!$B$17:$B$20,MATCH(J820,Roles!$A$17:$A$20,0)),1)</f>
        <v/>
      </c>
      <c r="L820" s="18" t="n">
        <v>1</v>
      </c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/>
      <c r="Y820" s="13">
        <f>SUMPRODUCT(M820:X820,$M$2:$X$2)*$K820*$L820</f>
        <v/>
      </c>
      <c r="Z820" s="14">
        <f>SUM(M820:X820)</f>
        <v/>
      </c>
      <c r="AA820" s="13">
        <f>SUMPRODUCT(M820:X820,$M$3:$X$3)*$K820*$L820</f>
        <v/>
      </c>
      <c r="AB820" s="13">
        <f>SUMPRODUCT(M820:X820,$M$4:$X$4)*$K820*$L820</f>
        <v/>
      </c>
      <c r="AC820" s="15">
        <f>SUMPRODUCT(M820:X820,$M$5:$X$5)*$K820*$L820</f>
        <v/>
      </c>
      <c r="AD820" s="15">
        <f>SUMPRODUCT(M820:X820,$M$6:$X$6)*$K820*$L820</f>
        <v/>
      </c>
      <c r="AE820" s="19" t="n"/>
    </row>
    <row r="821">
      <c r="A821" s="9" t="n">
        <v>666215</v>
      </c>
      <c r="B821" s="9" t="inlineStr">
        <is>
          <t>Forrest Whitley</t>
        </is>
      </c>
      <c r="C821" s="9" t="inlineStr">
        <is>
          <t>TB</t>
        </is>
      </c>
      <c r="D821" s="9" t="n">
        <v>29</v>
      </c>
      <c r="E821" s="17" t="inlineStr">
        <is>
          <t>R</t>
        </is>
      </c>
      <c r="F821" s="17" t="n"/>
      <c r="G821" s="9" t="n">
        <v>66</v>
      </c>
      <c r="H821" s="9" t="n">
        <v>86</v>
      </c>
      <c r="I821" s="9" t="inlineStr">
        <is>
          <t>Bullpen Depth Arm</t>
        </is>
      </c>
      <c r="J821" s="17" t="inlineStr">
        <is>
          <t>Opening Day</t>
        </is>
      </c>
      <c r="K821" s="11">
        <f>IFERROR(INDEX(Roles!$B$17:$B$20,MATCH(J821,Roles!$A$17:$A$20,0)),1)</f>
        <v/>
      </c>
      <c r="L821" s="18" t="n">
        <v>1</v>
      </c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/>
      <c r="Y821" s="13">
        <f>SUMPRODUCT(M821:X821,$M$2:$X$2)*$K821*$L821</f>
        <v/>
      </c>
      <c r="Z821" s="14">
        <f>SUM(M821:X821)</f>
        <v/>
      </c>
      <c r="AA821" s="13">
        <f>SUMPRODUCT(M821:X821,$M$3:$X$3)*$K821*$L821</f>
        <v/>
      </c>
      <c r="AB821" s="13">
        <f>SUMPRODUCT(M821:X821,$M$4:$X$4)*$K821*$L821</f>
        <v/>
      </c>
      <c r="AC821" s="15">
        <f>SUMPRODUCT(M821:X821,$M$5:$X$5)*$K821*$L821</f>
        <v/>
      </c>
      <c r="AD821" s="15">
        <f>SUMPRODUCT(M821:X821,$M$6:$X$6)*$K821*$L821</f>
        <v/>
      </c>
      <c r="AE821" s="19" t="n"/>
    </row>
    <row r="822">
      <c r="A822" s="9" t="n">
        <v>572403</v>
      </c>
      <c r="B822" s="9" t="inlineStr">
        <is>
          <t>Drew VerHagen</t>
        </is>
      </c>
      <c r="C822" s="9" t="inlineStr">
        <is>
          <t>STL</t>
        </is>
      </c>
      <c r="D822" s="9" t="n">
        <v>36</v>
      </c>
      <c r="E822" s="17" t="inlineStr">
        <is>
          <t>R</t>
        </is>
      </c>
      <c r="F822" s="17" t="n"/>
      <c r="G822" s="9" t="n">
        <v>268</v>
      </c>
      <c r="H822" s="9" t="n">
        <v>374</v>
      </c>
      <c r="I822" s="9" t="inlineStr">
        <is>
          <t>Depth (no MLB IP)</t>
        </is>
      </c>
      <c r="J822" s="17" t="inlineStr">
        <is>
          <t>Opening Day</t>
        </is>
      </c>
      <c r="K822" s="11">
        <f>IFERROR(INDEX(Roles!$B$17:$B$20,MATCH(J822,Roles!$A$17:$A$20,0)),1)</f>
        <v/>
      </c>
      <c r="L822" s="18" t="n">
        <v>1</v>
      </c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/>
      <c r="Y822" s="13">
        <f>SUMPRODUCT(M822:X822,$M$2:$X$2)*$K822*$L822</f>
        <v/>
      </c>
      <c r="Z822" s="14">
        <f>SUM(M822:X822)</f>
        <v/>
      </c>
      <c r="AA822" s="13">
        <f>SUMPRODUCT(M822:X822,$M$3:$X$3)*$K822*$L822</f>
        <v/>
      </c>
      <c r="AB822" s="13">
        <f>SUMPRODUCT(M822:X822,$M$4:$X$4)*$K822*$L822</f>
        <v/>
      </c>
      <c r="AC822" s="15">
        <f>SUMPRODUCT(M822:X822,$M$5:$X$5)*$K822*$L822</f>
        <v/>
      </c>
      <c r="AD822" s="15">
        <f>SUMPRODUCT(M822:X822,$M$6:$X$6)*$K822*$L822</f>
        <v/>
      </c>
      <c r="AE822" s="19" t="n"/>
    </row>
    <row r="823">
      <c r="A823" s="9" t="n">
        <v>543391</v>
      </c>
      <c r="B823" s="9" t="inlineStr">
        <is>
          <t>Casey Kelly</t>
        </is>
      </c>
      <c r="C823" s="9" t="inlineStr"/>
      <c r="D823" s="9" t="n">
        <v>37</v>
      </c>
      <c r="E823" s="17" t="inlineStr">
        <is>
          <t>R</t>
        </is>
      </c>
      <c r="F823" s="17" t="n"/>
      <c r="G823" s="9" t="n">
        <v>6</v>
      </c>
      <c r="H823" s="9" t="n">
        <v>27</v>
      </c>
      <c r="I823" s="9" t="inlineStr">
        <is>
          <t>Depth (no MLB IP)</t>
        </is>
      </c>
      <c r="J823" s="17" t="inlineStr">
        <is>
          <t>Opening Day</t>
        </is>
      </c>
      <c r="K823" s="11">
        <f>IFERROR(INDEX(Roles!$B$17:$B$20,MATCH(J823,Roles!$A$17:$A$20,0)),1)</f>
        <v/>
      </c>
      <c r="L823" s="18" t="n">
        <v>1</v>
      </c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/>
      <c r="Y823" s="13">
        <f>SUMPRODUCT(M823:X823,$M$2:$X$2)*$K823*$L823</f>
        <v/>
      </c>
      <c r="Z823" s="14">
        <f>SUM(M823:X823)</f>
        <v/>
      </c>
      <c r="AA823" s="13">
        <f>SUMPRODUCT(M823:X823,$M$3:$X$3)*$K823*$L823</f>
        <v/>
      </c>
      <c r="AB823" s="13">
        <f>SUMPRODUCT(M823:X823,$M$4:$X$4)*$K823*$L823</f>
        <v/>
      </c>
      <c r="AC823" s="15">
        <f>SUMPRODUCT(M823:X823,$M$5:$X$5)*$K823*$L823</f>
        <v/>
      </c>
      <c r="AD823" s="15">
        <f>SUMPRODUCT(M823:X823,$M$6:$X$6)*$K823*$L823</f>
        <v/>
      </c>
      <c r="AE823" s="19" t="n"/>
    </row>
    <row r="824">
      <c r="A824" s="9" t="n">
        <v>702153</v>
      </c>
      <c r="B824" s="9" t="inlineStr">
        <is>
          <t>Brian Fitzpatrick</t>
        </is>
      </c>
      <c r="C824" s="9" t="inlineStr">
        <is>
          <t>MIL</t>
        </is>
      </c>
      <c r="D824" s="9" t="n">
        <v>27</v>
      </c>
      <c r="E824" s="17" t="inlineStr">
        <is>
          <t>L</t>
        </is>
      </c>
      <c r="F824" s="17" t="n"/>
      <c r="G824" s="9" t="n">
        <v>30</v>
      </c>
      <c r="H824" s="9" t="n">
        <v>30</v>
      </c>
      <c r="I824" s="9" t="inlineStr">
        <is>
          <t>Bullpen Depth Arm</t>
        </is>
      </c>
      <c r="J824" s="17" t="inlineStr">
        <is>
          <t>Opening Day</t>
        </is>
      </c>
      <c r="K824" s="11">
        <f>IFERROR(INDEX(Roles!$B$17:$B$20,MATCH(J824,Roles!$A$17:$A$20,0)),1)</f>
        <v/>
      </c>
      <c r="L824" s="18" t="n">
        <v>1</v>
      </c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/>
      <c r="Y824" s="13">
        <f>SUMPRODUCT(M824:X824,$M$2:$X$2)*$K824*$L824</f>
        <v/>
      </c>
      <c r="Z824" s="14">
        <f>SUM(M824:X824)</f>
        <v/>
      </c>
      <c r="AA824" s="13">
        <f>SUMPRODUCT(M824:X824,$M$3:$X$3)*$K824*$L824</f>
        <v/>
      </c>
      <c r="AB824" s="13">
        <f>SUMPRODUCT(M824:X824,$M$4:$X$4)*$K824*$L824</f>
        <v/>
      </c>
      <c r="AC824" s="15">
        <f>SUMPRODUCT(M824:X824,$M$5:$X$5)*$K824*$L824</f>
        <v/>
      </c>
      <c r="AD824" s="15">
        <f>SUMPRODUCT(M824:X824,$M$6:$X$6)*$K824*$L824</f>
        <v/>
      </c>
      <c r="AE824" s="19" t="n"/>
    </row>
    <row r="825">
      <c r="A825" s="9" t="n">
        <v>686972</v>
      </c>
      <c r="B825" s="9" t="inlineStr">
        <is>
          <t>Cole Waites</t>
        </is>
      </c>
      <c r="C825" s="9" t="inlineStr">
        <is>
          <t>SF</t>
        </is>
      </c>
      <c r="D825" s="9" t="n">
        <v>29</v>
      </c>
      <c r="E825" s="17" t="inlineStr">
        <is>
          <t>R</t>
        </is>
      </c>
      <c r="F825" s="17" t="n"/>
      <c r="G825" s="9" t="n">
        <v>15</v>
      </c>
      <c r="H825" s="9" t="n">
        <v>40</v>
      </c>
      <c r="I825" s="9" t="inlineStr">
        <is>
          <t>Depth (no MLB IP)</t>
        </is>
      </c>
      <c r="J825" s="17" t="inlineStr">
        <is>
          <t>Opening Day</t>
        </is>
      </c>
      <c r="K825" s="11">
        <f>IFERROR(INDEX(Roles!$B$17:$B$20,MATCH(J825,Roles!$A$17:$A$20,0)),1)</f>
        <v/>
      </c>
      <c r="L825" s="18" t="n">
        <v>1</v>
      </c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/>
      <c r="Y825" s="13">
        <f>SUMPRODUCT(M825:X825,$M$2:$X$2)*$K825*$L825</f>
        <v/>
      </c>
      <c r="Z825" s="14">
        <f>SUM(M825:X825)</f>
        <v/>
      </c>
      <c r="AA825" s="13">
        <f>SUMPRODUCT(M825:X825,$M$3:$X$3)*$K825*$L825</f>
        <v/>
      </c>
      <c r="AB825" s="13">
        <f>SUMPRODUCT(M825:X825,$M$4:$X$4)*$K825*$L825</f>
        <v/>
      </c>
      <c r="AC825" s="15">
        <f>SUMPRODUCT(M825:X825,$M$5:$X$5)*$K825*$L825</f>
        <v/>
      </c>
      <c r="AD825" s="15">
        <f>SUMPRODUCT(M825:X825,$M$6:$X$6)*$K825*$L825</f>
        <v/>
      </c>
      <c r="AE825" s="19" t="n"/>
    </row>
    <row r="826">
      <c r="A826" s="9" t="n">
        <v>686780</v>
      </c>
      <c r="B826" s="9" t="inlineStr">
        <is>
          <t>Pedro Pagés</t>
        </is>
      </c>
      <c r="C826" s="9" t="inlineStr"/>
      <c r="D826" s="9" t="n">
        <v>28</v>
      </c>
      <c r="E826" s="17" t="inlineStr">
        <is>
          <t>R</t>
        </is>
      </c>
      <c r="F826" s="17" t="n"/>
      <c r="G826" s="9" t="n">
        <v>7</v>
      </c>
      <c r="H826" s="9" t="n">
        <v>7</v>
      </c>
      <c r="I826" s="9" t="inlineStr">
        <is>
          <t>Depth (no MLB IP)</t>
        </is>
      </c>
      <c r="J826" s="17" t="inlineStr">
        <is>
          <t>Opening Day</t>
        </is>
      </c>
      <c r="K826" s="11">
        <f>IFERROR(INDEX(Roles!$B$17:$B$20,MATCH(J826,Roles!$A$17:$A$20,0)),1)</f>
        <v/>
      </c>
      <c r="L826" s="18" t="n">
        <v>1</v>
      </c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/>
      <c r="Y826" s="13">
        <f>SUMPRODUCT(M826:X826,$M$2:$X$2)*$K826*$L826</f>
        <v/>
      </c>
      <c r="Z826" s="14">
        <f>SUM(M826:X826)</f>
        <v/>
      </c>
      <c r="AA826" s="13">
        <f>SUMPRODUCT(M826:X826,$M$3:$X$3)*$K826*$L826</f>
        <v/>
      </c>
      <c r="AB826" s="13">
        <f>SUMPRODUCT(M826:X826,$M$4:$X$4)*$K826*$L826</f>
        <v/>
      </c>
      <c r="AC826" s="15">
        <f>SUMPRODUCT(M826:X826,$M$5:$X$5)*$K826*$L826</f>
        <v/>
      </c>
      <c r="AD826" s="15">
        <f>SUMPRODUCT(M826:X826,$M$6:$X$6)*$K826*$L826</f>
        <v/>
      </c>
      <c r="AE826" s="19" t="n"/>
    </row>
    <row r="827">
      <c r="A827" s="9" t="n">
        <v>681517</v>
      </c>
      <c r="B827" s="9" t="inlineStr">
        <is>
          <t>Kyle Leahy</t>
        </is>
      </c>
      <c r="C827" s="9" t="inlineStr">
        <is>
          <t>STL</t>
        </is>
      </c>
      <c r="D827" s="9" t="n">
        <v>30</v>
      </c>
      <c r="E827" s="17" t="inlineStr">
        <is>
          <t>R</t>
        </is>
      </c>
      <c r="F827" s="17" t="n"/>
      <c r="G827" s="9" t="n">
        <v>570</v>
      </c>
      <c r="H827" s="9" t="n">
        <v>1139</v>
      </c>
      <c r="I827" s="9" t="inlineStr">
        <is>
          <t>Middle Relief</t>
        </is>
      </c>
      <c r="J827" s="17" t="inlineStr">
        <is>
          <t>Opening Day</t>
        </is>
      </c>
      <c r="K827" s="11">
        <f>IFERROR(INDEX(Roles!$B$17:$B$20,MATCH(J827,Roles!$A$17:$A$20,0)),1)</f>
        <v/>
      </c>
      <c r="L827" s="18" t="n">
        <v>1</v>
      </c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/>
      <c r="Y827" s="13">
        <f>SUMPRODUCT(M827:X827,$M$2:$X$2)*$K827*$L827</f>
        <v/>
      </c>
      <c r="Z827" s="14">
        <f>SUM(M827:X827)</f>
        <v/>
      </c>
      <c r="AA827" s="13">
        <f>SUMPRODUCT(M827:X827,$M$3:$X$3)*$K827*$L827</f>
        <v/>
      </c>
      <c r="AB827" s="13">
        <f>SUMPRODUCT(M827:X827,$M$4:$X$4)*$K827*$L827</f>
        <v/>
      </c>
      <c r="AC827" s="15">
        <f>SUMPRODUCT(M827:X827,$M$5:$X$5)*$K827*$L827</f>
        <v/>
      </c>
      <c r="AD827" s="15">
        <f>SUMPRODUCT(M827:X827,$M$6:$X$6)*$K827*$L827</f>
        <v/>
      </c>
      <c r="AE827" s="19" t="n"/>
    </row>
    <row r="828">
      <c r="A828" s="9" t="n">
        <v>693312</v>
      </c>
      <c r="B828" s="9" t="inlineStr">
        <is>
          <t>Kyle Nicolas</t>
        </is>
      </c>
      <c r="C828" s="9" t="inlineStr">
        <is>
          <t>CIN</t>
        </is>
      </c>
      <c r="D828" s="9" t="n">
        <v>28</v>
      </c>
      <c r="E828" s="17" t="inlineStr">
        <is>
          <t>R</t>
        </is>
      </c>
      <c r="F828" s="17" t="n"/>
      <c r="G828" s="9" t="n">
        <v>42</v>
      </c>
      <c r="H828" s="9" t="n">
        <v>478</v>
      </c>
      <c r="I828" s="9" t="inlineStr">
        <is>
          <t>Bullpen Depth Arm</t>
        </is>
      </c>
      <c r="J828" s="17" t="inlineStr">
        <is>
          <t>Opening Day</t>
        </is>
      </c>
      <c r="K828" s="11">
        <f>IFERROR(INDEX(Roles!$B$17:$B$20,MATCH(J828,Roles!$A$17:$A$20,0)),1)</f>
        <v/>
      </c>
      <c r="L828" s="18" t="n">
        <v>1</v>
      </c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/>
      <c r="Y828" s="13">
        <f>SUMPRODUCT(M828:X828,$M$2:$X$2)*$K828*$L828</f>
        <v/>
      </c>
      <c r="Z828" s="14">
        <f>SUM(M828:X828)</f>
        <v/>
      </c>
      <c r="AA828" s="13">
        <f>SUMPRODUCT(M828:X828,$M$3:$X$3)*$K828*$L828</f>
        <v/>
      </c>
      <c r="AB828" s="13">
        <f>SUMPRODUCT(M828:X828,$M$4:$X$4)*$K828*$L828</f>
        <v/>
      </c>
      <c r="AC828" s="15">
        <f>SUMPRODUCT(M828:X828,$M$5:$X$5)*$K828*$L828</f>
        <v/>
      </c>
      <c r="AD828" s="15">
        <f>SUMPRODUCT(M828:X828,$M$6:$X$6)*$K828*$L828</f>
        <v/>
      </c>
      <c r="AE828" s="19" t="n"/>
    </row>
    <row r="829">
      <c r="A829" s="9" t="n">
        <v>606115</v>
      </c>
      <c r="B829" s="9" t="inlineStr">
        <is>
          <t>Orlando Arcia</t>
        </is>
      </c>
      <c r="C829" s="9" t="inlineStr"/>
      <c r="D829" s="9" t="n">
        <v>32</v>
      </c>
      <c r="E829" s="17" t="inlineStr">
        <is>
          <t>R</t>
        </is>
      </c>
      <c r="F829" s="17" t="n"/>
      <c r="G829" s="9" t="n">
        <v>5</v>
      </c>
      <c r="H829" s="9" t="n">
        <v>9</v>
      </c>
      <c r="I829" s="9" t="inlineStr">
        <is>
          <t>Depth (no MLB IP)</t>
        </is>
      </c>
      <c r="J829" s="17" t="inlineStr">
        <is>
          <t>Opening Day</t>
        </is>
      </c>
      <c r="K829" s="11">
        <f>IFERROR(INDEX(Roles!$B$17:$B$20,MATCH(J829,Roles!$A$17:$A$20,0)),1)</f>
        <v/>
      </c>
      <c r="L829" s="18" t="n">
        <v>1</v>
      </c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/>
      <c r="Y829" s="13">
        <f>SUMPRODUCT(M829:X829,$M$2:$X$2)*$K829*$L829</f>
        <v/>
      </c>
      <c r="Z829" s="14">
        <f>SUM(M829:X829)</f>
        <v/>
      </c>
      <c r="AA829" s="13">
        <f>SUMPRODUCT(M829:X829,$M$3:$X$3)*$K829*$L829</f>
        <v/>
      </c>
      <c r="AB829" s="13">
        <f>SUMPRODUCT(M829:X829,$M$4:$X$4)*$K829*$L829</f>
        <v/>
      </c>
      <c r="AC829" s="15">
        <f>SUMPRODUCT(M829:X829,$M$5:$X$5)*$K829*$L829</f>
        <v/>
      </c>
      <c r="AD829" s="15">
        <f>SUMPRODUCT(M829:X829,$M$6:$X$6)*$K829*$L829</f>
        <v/>
      </c>
      <c r="AE829" s="19" t="n"/>
    </row>
    <row r="830">
      <c r="A830" s="9" t="n">
        <v>687003</v>
      </c>
      <c r="B830" s="9" t="inlineStr">
        <is>
          <t>Brian Van Belle</t>
        </is>
      </c>
      <c r="C830" s="9" t="inlineStr">
        <is>
          <t>TB</t>
        </is>
      </c>
      <c r="D830" s="9" t="n">
        <v>30</v>
      </c>
      <c r="E830" s="17" t="inlineStr">
        <is>
          <t>R</t>
        </is>
      </c>
      <c r="F830" s="17" t="n"/>
      <c r="G830" s="9" t="n">
        <v>36</v>
      </c>
      <c r="H830" s="9" t="n">
        <v>36</v>
      </c>
      <c r="I830" s="9" t="inlineStr">
        <is>
          <t>Bullpen Depth Arm</t>
        </is>
      </c>
      <c r="J830" s="17" t="inlineStr">
        <is>
          <t>Opening Day</t>
        </is>
      </c>
      <c r="K830" s="11">
        <f>IFERROR(INDEX(Roles!$B$17:$B$20,MATCH(J830,Roles!$A$17:$A$20,0)),1)</f>
        <v/>
      </c>
      <c r="L830" s="18" t="n">
        <v>1</v>
      </c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/>
      <c r="Y830" s="13">
        <f>SUMPRODUCT(M830:X830,$M$2:$X$2)*$K830*$L830</f>
        <v/>
      </c>
      <c r="Z830" s="14">
        <f>SUM(M830:X830)</f>
        <v/>
      </c>
      <c r="AA830" s="13">
        <f>SUMPRODUCT(M830:X830,$M$3:$X$3)*$K830*$L830</f>
        <v/>
      </c>
      <c r="AB830" s="13">
        <f>SUMPRODUCT(M830:X830,$M$4:$X$4)*$K830*$L830</f>
        <v/>
      </c>
      <c r="AC830" s="15">
        <f>SUMPRODUCT(M830:X830,$M$5:$X$5)*$K830*$L830</f>
        <v/>
      </c>
      <c r="AD830" s="15">
        <f>SUMPRODUCT(M830:X830,$M$6:$X$6)*$K830*$L830</f>
        <v/>
      </c>
      <c r="AE830" s="19" t="n"/>
    </row>
    <row r="831">
      <c r="A831" s="9" t="n">
        <v>672782</v>
      </c>
      <c r="B831" s="9" t="inlineStr">
        <is>
          <t>Yoendrys Gómez</t>
        </is>
      </c>
      <c r="C831" s="9" t="inlineStr">
        <is>
          <t>MIN</t>
        </is>
      </c>
      <c r="D831" s="9" t="n">
        <v>27</v>
      </c>
      <c r="E831" s="17" t="inlineStr">
        <is>
          <t>R</t>
        </is>
      </c>
      <c r="F831" s="17" t="n"/>
      <c r="G831" s="9" t="n">
        <v>281</v>
      </c>
      <c r="H831" s="9" t="n">
        <v>620</v>
      </c>
      <c r="I831" s="9" t="inlineStr">
        <is>
          <t>Bullpen Depth Arm</t>
        </is>
      </c>
      <c r="J831" s="17" t="inlineStr">
        <is>
          <t>Opening Day</t>
        </is>
      </c>
      <c r="K831" s="11">
        <f>IFERROR(INDEX(Roles!$B$17:$B$20,MATCH(J831,Roles!$A$17:$A$20,0)),1)</f>
        <v/>
      </c>
      <c r="L831" s="18" t="n">
        <v>1</v>
      </c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/>
      <c r="Y831" s="13">
        <f>SUMPRODUCT(M831:X831,$M$2:$X$2)*$K831*$L831</f>
        <v/>
      </c>
      <c r="Z831" s="14">
        <f>SUM(M831:X831)</f>
        <v/>
      </c>
      <c r="AA831" s="13">
        <f>SUMPRODUCT(M831:X831,$M$3:$X$3)*$K831*$L831</f>
        <v/>
      </c>
      <c r="AB831" s="13">
        <f>SUMPRODUCT(M831:X831,$M$4:$X$4)*$K831*$L831</f>
        <v/>
      </c>
      <c r="AC831" s="15">
        <f>SUMPRODUCT(M831:X831,$M$5:$X$5)*$K831*$L831</f>
        <v/>
      </c>
      <c r="AD831" s="15">
        <f>SUMPRODUCT(M831:X831,$M$6:$X$6)*$K831*$L831</f>
        <v/>
      </c>
      <c r="AE831" s="19" t="n"/>
    </row>
    <row r="832">
      <c r="A832" s="9" t="n">
        <v>701487</v>
      </c>
      <c r="B832" s="9" t="inlineStr">
        <is>
          <t>Pierson Ohl</t>
        </is>
      </c>
      <c r="C832" s="9" t="inlineStr">
        <is>
          <t>MIN</t>
        </is>
      </c>
      <c r="D832" s="9" t="n">
        <v>27</v>
      </c>
      <c r="E832" s="17" t="inlineStr">
        <is>
          <t>R</t>
        </is>
      </c>
      <c r="F832" s="17" t="n"/>
      <c r="G832" s="9" t="n">
        <v>133</v>
      </c>
      <c r="H832" s="9" t="n">
        <v>133</v>
      </c>
      <c r="I832" s="9" t="inlineStr">
        <is>
          <t>Bullpen Depth Arm</t>
        </is>
      </c>
      <c r="J832" s="17" t="inlineStr">
        <is>
          <t>Opening Day</t>
        </is>
      </c>
      <c r="K832" s="11">
        <f>IFERROR(INDEX(Roles!$B$17:$B$20,MATCH(J832,Roles!$A$17:$A$20,0)),1)</f>
        <v/>
      </c>
      <c r="L832" s="18" t="n">
        <v>1</v>
      </c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/>
      <c r="Y832" s="13">
        <f>SUMPRODUCT(M832:X832,$M$2:$X$2)*$K832*$L832</f>
        <v/>
      </c>
      <c r="Z832" s="14">
        <f>SUM(M832:X832)</f>
        <v/>
      </c>
      <c r="AA832" s="13">
        <f>SUMPRODUCT(M832:X832,$M$3:$X$3)*$K832*$L832</f>
        <v/>
      </c>
      <c r="AB832" s="13">
        <f>SUMPRODUCT(M832:X832,$M$4:$X$4)*$K832*$L832</f>
        <v/>
      </c>
      <c r="AC832" s="15">
        <f>SUMPRODUCT(M832:X832,$M$5:$X$5)*$K832*$L832</f>
        <v/>
      </c>
      <c r="AD832" s="15">
        <f>SUMPRODUCT(M832:X832,$M$6:$X$6)*$K832*$L832</f>
        <v/>
      </c>
      <c r="AE832" s="19" t="n"/>
    </row>
    <row r="833">
      <c r="A833" s="9" t="n">
        <v>663989</v>
      </c>
      <c r="B833" s="9" t="inlineStr">
        <is>
          <t>Nick Vespi</t>
        </is>
      </c>
      <c r="C833" s="9" t="inlineStr">
        <is>
          <t>BAL</t>
        </is>
      </c>
      <c r="D833" s="9" t="n">
        <v>31</v>
      </c>
      <c r="E833" s="17" t="inlineStr">
        <is>
          <t>L</t>
        </is>
      </c>
      <c r="F833" s="17" t="n"/>
      <c r="G833" s="9" t="n">
        <v>49</v>
      </c>
      <c r="H833" s="9" t="n">
        <v>220</v>
      </c>
      <c r="I833" s="9" t="inlineStr">
        <is>
          <t>Depth (no MLB IP)</t>
        </is>
      </c>
      <c r="J833" s="17" t="inlineStr">
        <is>
          <t>Opening Day</t>
        </is>
      </c>
      <c r="K833" s="11">
        <f>IFERROR(INDEX(Roles!$B$17:$B$20,MATCH(J833,Roles!$A$17:$A$20,0)),1)</f>
        <v/>
      </c>
      <c r="L833" s="18" t="n">
        <v>1</v>
      </c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/>
      <c r="Y833" s="13">
        <f>SUMPRODUCT(M833:X833,$M$2:$X$2)*$K833*$L833</f>
        <v/>
      </c>
      <c r="Z833" s="14">
        <f>SUM(M833:X833)</f>
        <v/>
      </c>
      <c r="AA833" s="13">
        <f>SUMPRODUCT(M833:X833,$M$3:$X$3)*$K833*$L833</f>
        <v/>
      </c>
      <c r="AB833" s="13">
        <f>SUMPRODUCT(M833:X833,$M$4:$X$4)*$K833*$L833</f>
        <v/>
      </c>
      <c r="AC833" s="15">
        <f>SUMPRODUCT(M833:X833,$M$5:$X$5)*$K833*$L833</f>
        <v/>
      </c>
      <c r="AD833" s="15">
        <f>SUMPRODUCT(M833:X833,$M$6:$X$6)*$K833*$L833</f>
        <v/>
      </c>
      <c r="AE833" s="19" t="n"/>
    </row>
    <row r="834">
      <c r="A834" s="9" t="n">
        <v>686842</v>
      </c>
      <c r="B834" s="9" t="inlineStr">
        <is>
          <t>McKinley Moore</t>
        </is>
      </c>
      <c r="C834" s="9" t="inlineStr"/>
      <c r="D834" s="9" t="n">
        <v>28</v>
      </c>
      <c r="E834" s="17" t="inlineStr">
        <is>
          <t>R</t>
        </is>
      </c>
      <c r="F834" s="17" t="n"/>
      <c r="G834" s="9" t="n">
        <v>21</v>
      </c>
      <c r="H834" s="9" t="n">
        <v>21</v>
      </c>
      <c r="I834" s="9" t="inlineStr">
        <is>
          <t>Depth (no MLB IP)</t>
        </is>
      </c>
      <c r="J834" s="17" t="inlineStr">
        <is>
          <t>Opening Day</t>
        </is>
      </c>
      <c r="K834" s="11">
        <f>IFERROR(INDEX(Roles!$B$17:$B$20,MATCH(J834,Roles!$A$17:$A$20,0)),1)</f>
        <v/>
      </c>
      <c r="L834" s="18" t="n">
        <v>1</v>
      </c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/>
      <c r="Y834" s="13">
        <f>SUMPRODUCT(M834:X834,$M$2:$X$2)*$K834*$L834</f>
        <v/>
      </c>
      <c r="Z834" s="14">
        <f>SUM(M834:X834)</f>
        <v/>
      </c>
      <c r="AA834" s="13">
        <f>SUMPRODUCT(M834:X834,$M$3:$X$3)*$K834*$L834</f>
        <v/>
      </c>
      <c r="AB834" s="13">
        <f>SUMPRODUCT(M834:X834,$M$4:$X$4)*$K834*$L834</f>
        <v/>
      </c>
      <c r="AC834" s="15">
        <f>SUMPRODUCT(M834:X834,$M$5:$X$5)*$K834*$L834</f>
        <v/>
      </c>
      <c r="AD834" s="15">
        <f>SUMPRODUCT(M834:X834,$M$6:$X$6)*$K834*$L834</f>
        <v/>
      </c>
      <c r="AE834" s="19" t="n"/>
    </row>
    <row r="835">
      <c r="A835" s="9" t="n">
        <v>682073</v>
      </c>
      <c r="B835" s="9" t="inlineStr">
        <is>
          <t>David Hensley</t>
        </is>
      </c>
      <c r="C835" s="9" t="inlineStr"/>
      <c r="D835" s="9" t="n">
        <v>31</v>
      </c>
      <c r="E835" s="17" t="inlineStr">
        <is>
          <t>R</t>
        </is>
      </c>
      <c r="F835" s="17" t="n"/>
      <c r="G835" s="9" t="n">
        <v>10</v>
      </c>
      <c r="H835" s="9" t="n">
        <v>10</v>
      </c>
      <c r="I835" s="9" t="inlineStr">
        <is>
          <t>Depth (no MLB IP)</t>
        </is>
      </c>
      <c r="J835" s="17" t="inlineStr">
        <is>
          <t>Opening Day</t>
        </is>
      </c>
      <c r="K835" s="11">
        <f>IFERROR(INDEX(Roles!$B$17:$B$20,MATCH(J835,Roles!$A$17:$A$20,0)),1)</f>
        <v/>
      </c>
      <c r="L835" s="18" t="n">
        <v>1</v>
      </c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/>
      <c r="Y835" s="13">
        <f>SUMPRODUCT(M835:X835,$M$2:$X$2)*$K835*$L835</f>
        <v/>
      </c>
      <c r="Z835" s="14">
        <f>SUM(M835:X835)</f>
        <v/>
      </c>
      <c r="AA835" s="13">
        <f>SUMPRODUCT(M835:X835,$M$3:$X$3)*$K835*$L835</f>
        <v/>
      </c>
      <c r="AB835" s="13">
        <f>SUMPRODUCT(M835:X835,$M$4:$X$4)*$K835*$L835</f>
        <v/>
      </c>
      <c r="AC835" s="15">
        <f>SUMPRODUCT(M835:X835,$M$5:$X$5)*$K835*$L835</f>
        <v/>
      </c>
      <c r="AD835" s="15">
        <f>SUMPRODUCT(M835:X835,$M$6:$X$6)*$K835*$L835</f>
        <v/>
      </c>
      <c r="AE835" s="19" t="n"/>
    </row>
    <row r="836">
      <c r="A836" s="9" t="n">
        <v>622268</v>
      </c>
      <c r="B836" s="9" t="inlineStr">
        <is>
          <t>Donovan Walton</t>
        </is>
      </c>
      <c r="C836" s="9" t="inlineStr"/>
      <c r="D836" s="9" t="n">
        <v>33</v>
      </c>
      <c r="E836" s="17" t="inlineStr">
        <is>
          <t>R</t>
        </is>
      </c>
      <c r="F836" s="17" t="n"/>
      <c r="G836" s="9" t="n">
        <v>5</v>
      </c>
      <c r="H836" s="9" t="n">
        <v>12</v>
      </c>
      <c r="I836" s="9" t="inlineStr">
        <is>
          <t>Depth (no MLB IP)</t>
        </is>
      </c>
      <c r="J836" s="17" t="inlineStr">
        <is>
          <t>Opening Day</t>
        </is>
      </c>
      <c r="K836" s="11">
        <f>IFERROR(INDEX(Roles!$B$17:$B$20,MATCH(J836,Roles!$A$17:$A$20,0)),1)</f>
        <v/>
      </c>
      <c r="L836" s="18" t="n">
        <v>1</v>
      </c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/>
      <c r="Y836" s="13">
        <f>SUMPRODUCT(M836:X836,$M$2:$X$2)*$K836*$L836</f>
        <v/>
      </c>
      <c r="Z836" s="14">
        <f>SUM(M836:X836)</f>
        <v/>
      </c>
      <c r="AA836" s="13">
        <f>SUMPRODUCT(M836:X836,$M$3:$X$3)*$K836*$L836</f>
        <v/>
      </c>
      <c r="AB836" s="13">
        <f>SUMPRODUCT(M836:X836,$M$4:$X$4)*$K836*$L836</f>
        <v/>
      </c>
      <c r="AC836" s="15">
        <f>SUMPRODUCT(M836:X836,$M$5:$X$5)*$K836*$L836</f>
        <v/>
      </c>
      <c r="AD836" s="15">
        <f>SUMPRODUCT(M836:X836,$M$6:$X$6)*$K836*$L836</f>
        <v/>
      </c>
      <c r="AE836" s="19" t="n"/>
    </row>
    <row r="837">
      <c r="A837" s="9" t="n">
        <v>656924</v>
      </c>
      <c r="B837" s="9" t="inlineStr">
        <is>
          <t>Ryder Ryan</t>
        </is>
      </c>
      <c r="C837" s="9" t="inlineStr">
        <is>
          <t>PIT</t>
        </is>
      </c>
      <c r="D837" s="9" t="n">
        <v>32</v>
      </c>
      <c r="E837" s="17" t="inlineStr">
        <is>
          <t>R</t>
        </is>
      </c>
      <c r="F837" s="17" t="n"/>
      <c r="G837" s="9" t="n">
        <v>93</v>
      </c>
      <c r="H837" s="9" t="n">
        <v>97</v>
      </c>
      <c r="I837" s="9" t="inlineStr">
        <is>
          <t>Depth (no MLB IP)</t>
        </is>
      </c>
      <c r="J837" s="17" t="inlineStr">
        <is>
          <t>Opening Day</t>
        </is>
      </c>
      <c r="K837" s="11">
        <f>IFERROR(INDEX(Roles!$B$17:$B$20,MATCH(J837,Roles!$A$17:$A$20,0)),1)</f>
        <v/>
      </c>
      <c r="L837" s="18" t="n">
        <v>1</v>
      </c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/>
      <c r="Y837" s="13">
        <f>SUMPRODUCT(M837:X837,$M$2:$X$2)*$K837*$L837</f>
        <v/>
      </c>
      <c r="Z837" s="14">
        <f>SUM(M837:X837)</f>
        <v/>
      </c>
      <c r="AA837" s="13">
        <f>SUMPRODUCT(M837:X837,$M$3:$X$3)*$K837*$L837</f>
        <v/>
      </c>
      <c r="AB837" s="13">
        <f>SUMPRODUCT(M837:X837,$M$4:$X$4)*$K837*$L837</f>
        <v/>
      </c>
      <c r="AC837" s="15">
        <f>SUMPRODUCT(M837:X837,$M$5:$X$5)*$K837*$L837</f>
        <v/>
      </c>
      <c r="AD837" s="15">
        <f>SUMPRODUCT(M837:X837,$M$6:$X$6)*$K837*$L837</f>
        <v/>
      </c>
      <c r="AE837" s="19" t="n"/>
    </row>
    <row r="838">
      <c r="A838" s="9" t="n">
        <v>663967</v>
      </c>
      <c r="B838" s="9" t="inlineStr">
        <is>
          <t>César Salazar</t>
        </is>
      </c>
      <c r="C838" s="9" t="inlineStr"/>
      <c r="D838" s="9" t="n">
        <v>31</v>
      </c>
      <c r="E838" s="17" t="inlineStr">
        <is>
          <t>R</t>
        </is>
      </c>
      <c r="F838" s="17" t="n"/>
      <c r="G838" s="9" t="n">
        <v>4</v>
      </c>
      <c r="H838" s="9" t="n">
        <v>8</v>
      </c>
      <c r="I838" s="9" t="inlineStr">
        <is>
          <t>Depth (no MLB IP)</t>
        </is>
      </c>
      <c r="J838" s="17" t="inlineStr">
        <is>
          <t>Opening Day</t>
        </is>
      </c>
      <c r="K838" s="11">
        <f>IFERROR(INDEX(Roles!$B$17:$B$20,MATCH(J838,Roles!$A$17:$A$20,0)),1)</f>
        <v/>
      </c>
      <c r="L838" s="18" t="n">
        <v>1</v>
      </c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/>
      <c r="Y838" s="13">
        <f>SUMPRODUCT(M838:X838,$M$2:$X$2)*$K838*$L838</f>
        <v/>
      </c>
      <c r="Z838" s="14">
        <f>SUM(M838:X838)</f>
        <v/>
      </c>
      <c r="AA838" s="13">
        <f>SUMPRODUCT(M838:X838,$M$3:$X$3)*$K838*$L838</f>
        <v/>
      </c>
      <c r="AB838" s="13">
        <f>SUMPRODUCT(M838:X838,$M$4:$X$4)*$K838*$L838</f>
        <v/>
      </c>
      <c r="AC838" s="15">
        <f>SUMPRODUCT(M838:X838,$M$5:$X$5)*$K838*$L838</f>
        <v/>
      </c>
      <c r="AD838" s="15">
        <f>SUMPRODUCT(M838:X838,$M$6:$X$6)*$K838*$L838</f>
        <v/>
      </c>
      <c r="AE838" s="19" t="n"/>
    </row>
    <row r="839">
      <c r="A839" s="9" t="n">
        <v>671382</v>
      </c>
      <c r="B839" s="9" t="inlineStr">
        <is>
          <t>Cameron Foster</t>
        </is>
      </c>
      <c r="C839" s="9" t="inlineStr">
        <is>
          <t>BAL</t>
        </is>
      </c>
      <c r="D839" s="9" t="n">
        <v>28</v>
      </c>
      <c r="E839" s="17" t="inlineStr">
        <is>
          <t>R</t>
        </is>
      </c>
      <c r="F839" s="17" t="n"/>
      <c r="G839" s="9" t="n">
        <v>49</v>
      </c>
      <c r="H839" s="9" t="n">
        <v>49</v>
      </c>
      <c r="I839" s="9" t="inlineStr">
        <is>
          <t>Bullpen Depth Arm</t>
        </is>
      </c>
      <c r="J839" s="17" t="inlineStr">
        <is>
          <t>Opening Day</t>
        </is>
      </c>
      <c r="K839" s="11">
        <f>IFERROR(INDEX(Roles!$B$17:$B$20,MATCH(J839,Roles!$A$17:$A$20,0)),1)</f>
        <v/>
      </c>
      <c r="L839" s="18" t="n">
        <v>1</v>
      </c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/>
      <c r="Y839" s="13">
        <f>SUMPRODUCT(M839:X839,$M$2:$X$2)*$K839*$L839</f>
        <v/>
      </c>
      <c r="Z839" s="14">
        <f>SUM(M839:X839)</f>
        <v/>
      </c>
      <c r="AA839" s="13">
        <f>SUMPRODUCT(M839:X839,$M$3:$X$3)*$K839*$L839</f>
        <v/>
      </c>
      <c r="AB839" s="13">
        <f>SUMPRODUCT(M839:X839,$M$4:$X$4)*$K839*$L839</f>
        <v/>
      </c>
      <c r="AC839" s="15">
        <f>SUMPRODUCT(M839:X839,$M$5:$X$5)*$K839*$L839</f>
        <v/>
      </c>
      <c r="AD839" s="15">
        <f>SUMPRODUCT(M839:X839,$M$6:$X$6)*$K839*$L839</f>
        <v/>
      </c>
      <c r="AE839" s="19" t="n"/>
    </row>
    <row r="840">
      <c r="A840" s="9" t="n">
        <v>678215</v>
      </c>
      <c r="B840" s="9" t="inlineStr">
        <is>
          <t>Luarbert Arias</t>
        </is>
      </c>
      <c r="C840" s="9" t="inlineStr">
        <is>
          <t>MIA</t>
        </is>
      </c>
      <c r="D840" s="9" t="n">
        <v>26</v>
      </c>
      <c r="E840" s="17" t="inlineStr">
        <is>
          <t>R</t>
        </is>
      </c>
      <c r="F840" s="17" t="n"/>
      <c r="G840" s="9" t="n">
        <v>55</v>
      </c>
      <c r="H840" s="9" t="n">
        <v>55</v>
      </c>
      <c r="I840" s="9" t="inlineStr">
        <is>
          <t>Bullpen Depth Arm</t>
        </is>
      </c>
      <c r="J840" s="17" t="inlineStr">
        <is>
          <t>Opening Day</t>
        </is>
      </c>
      <c r="K840" s="11">
        <f>IFERROR(INDEX(Roles!$B$17:$B$20,MATCH(J840,Roles!$A$17:$A$20,0)),1)</f>
        <v/>
      </c>
      <c r="L840" s="18" t="n">
        <v>1</v>
      </c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/>
      <c r="Y840" s="13">
        <f>SUMPRODUCT(M840:X840,$M$2:$X$2)*$K840*$L840</f>
        <v/>
      </c>
      <c r="Z840" s="14">
        <f>SUM(M840:X840)</f>
        <v/>
      </c>
      <c r="AA840" s="13">
        <f>SUMPRODUCT(M840:X840,$M$3:$X$3)*$K840*$L840</f>
        <v/>
      </c>
      <c r="AB840" s="13">
        <f>SUMPRODUCT(M840:X840,$M$4:$X$4)*$K840*$L840</f>
        <v/>
      </c>
      <c r="AC840" s="15">
        <f>SUMPRODUCT(M840:X840,$M$5:$X$5)*$K840*$L840</f>
        <v/>
      </c>
      <c r="AD840" s="15">
        <f>SUMPRODUCT(M840:X840,$M$6:$X$6)*$K840*$L840</f>
        <v/>
      </c>
      <c r="AE840" s="19" t="n"/>
    </row>
    <row r="841">
      <c r="A841" s="9" t="n">
        <v>621107</v>
      </c>
      <c r="B841" s="9" t="inlineStr">
        <is>
          <t>Zach Eflin</t>
        </is>
      </c>
      <c r="C841" s="9" t="inlineStr">
        <is>
          <t>BAL</t>
        </is>
      </c>
      <c r="D841" s="9" t="n">
        <v>33</v>
      </c>
      <c r="E841" s="17" t="inlineStr">
        <is>
          <t>R</t>
        </is>
      </c>
      <c r="F841" s="17" t="n"/>
      <c r="G841" s="9" t="n">
        <v>17</v>
      </c>
      <c r="H841" s="9" t="n">
        <v>2026</v>
      </c>
      <c r="I841" s="9" t="inlineStr">
        <is>
          <t>Mid-Rotation Starter (SP2-3)</t>
        </is>
      </c>
      <c r="J841" s="17" t="inlineStr">
        <is>
          <t>Opening Day</t>
        </is>
      </c>
      <c r="K841" s="11">
        <f>IFERROR(INDEX(Roles!$B$17:$B$20,MATCH(J841,Roles!$A$17:$A$20,0)),1)</f>
        <v/>
      </c>
      <c r="L841" s="18" t="n">
        <v>1</v>
      </c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/>
      <c r="Y841" s="13">
        <f>SUMPRODUCT(M841:X841,$M$2:$X$2)*$K841*$L841</f>
        <v/>
      </c>
      <c r="Z841" s="14">
        <f>SUM(M841:X841)</f>
        <v/>
      </c>
      <c r="AA841" s="13">
        <f>SUMPRODUCT(M841:X841,$M$3:$X$3)*$K841*$L841</f>
        <v/>
      </c>
      <c r="AB841" s="13">
        <f>SUMPRODUCT(M841:X841,$M$4:$X$4)*$K841*$L841</f>
        <v/>
      </c>
      <c r="AC841" s="15">
        <f>SUMPRODUCT(M841:X841,$M$5:$X$5)*$K841*$L841</f>
        <v/>
      </c>
      <c r="AD841" s="15">
        <f>SUMPRODUCT(M841:X841,$M$6:$X$6)*$K841*$L841</f>
        <v/>
      </c>
      <c r="AE841" s="19" t="n"/>
    </row>
    <row r="842">
      <c r="A842" s="9" t="n">
        <v>669450</v>
      </c>
      <c r="B842" s="9" t="inlineStr">
        <is>
          <t>Cooper Hummel</t>
        </is>
      </c>
      <c r="C842" s="9" t="inlineStr"/>
      <c r="D842" s="9" t="n">
        <v>32</v>
      </c>
      <c r="E842" s="17" t="inlineStr">
        <is>
          <t>R</t>
        </is>
      </c>
      <c r="F842" s="17" t="n"/>
      <c r="G842" s="9" t="n">
        <v>9</v>
      </c>
      <c r="H842" s="9" t="n">
        <v>9</v>
      </c>
      <c r="I842" s="9" t="inlineStr">
        <is>
          <t>Depth (no MLB IP)</t>
        </is>
      </c>
      <c r="J842" s="17" t="inlineStr">
        <is>
          <t>Opening Day</t>
        </is>
      </c>
      <c r="K842" s="11">
        <f>IFERROR(INDEX(Roles!$B$17:$B$20,MATCH(J842,Roles!$A$17:$A$20,0)),1)</f>
        <v/>
      </c>
      <c r="L842" s="18" t="n">
        <v>1</v>
      </c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/>
      <c r="Y842" s="13">
        <f>SUMPRODUCT(M842:X842,$M$2:$X$2)*$K842*$L842</f>
        <v/>
      </c>
      <c r="Z842" s="14">
        <f>SUM(M842:X842)</f>
        <v/>
      </c>
      <c r="AA842" s="13">
        <f>SUMPRODUCT(M842:X842,$M$3:$X$3)*$K842*$L842</f>
        <v/>
      </c>
      <c r="AB842" s="13">
        <f>SUMPRODUCT(M842:X842,$M$4:$X$4)*$K842*$L842</f>
        <v/>
      </c>
      <c r="AC842" s="15">
        <f>SUMPRODUCT(M842:X842,$M$5:$X$5)*$K842*$L842</f>
        <v/>
      </c>
      <c r="AD842" s="15">
        <f>SUMPRODUCT(M842:X842,$M$6:$X$6)*$K842*$L842</f>
        <v/>
      </c>
      <c r="AE842" s="19" t="n"/>
    </row>
    <row r="843">
      <c r="A843" s="9" t="n">
        <v>676609</v>
      </c>
      <c r="B843" s="9" t="inlineStr">
        <is>
          <t>José Caballero</t>
        </is>
      </c>
      <c r="C843" s="9" t="inlineStr"/>
      <c r="D843" s="9" t="n">
        <v>30</v>
      </c>
      <c r="E843" s="17" t="inlineStr">
        <is>
          <t>R</t>
        </is>
      </c>
      <c r="F843" s="17" t="n"/>
      <c r="G843" s="9" t="n">
        <v>9</v>
      </c>
      <c r="H843" s="9" t="n">
        <v>9</v>
      </c>
      <c r="I843" s="9" t="inlineStr">
        <is>
          <t>Depth (no MLB IP)</t>
        </is>
      </c>
      <c r="J843" s="17" t="inlineStr">
        <is>
          <t>Opening Day</t>
        </is>
      </c>
      <c r="K843" s="11">
        <f>IFERROR(INDEX(Roles!$B$17:$B$20,MATCH(J843,Roles!$A$17:$A$20,0)),1)</f>
        <v/>
      </c>
      <c r="L843" s="18" t="n">
        <v>1</v>
      </c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/>
      <c r="Y843" s="13">
        <f>SUMPRODUCT(M843:X843,$M$2:$X$2)*$K843*$L843</f>
        <v/>
      </c>
      <c r="Z843" s="14">
        <f>SUM(M843:X843)</f>
        <v/>
      </c>
      <c r="AA843" s="13">
        <f>SUMPRODUCT(M843:X843,$M$3:$X$3)*$K843*$L843</f>
        <v/>
      </c>
      <c r="AB843" s="13">
        <f>SUMPRODUCT(M843:X843,$M$4:$X$4)*$K843*$L843</f>
        <v/>
      </c>
      <c r="AC843" s="15">
        <f>SUMPRODUCT(M843:X843,$M$5:$X$5)*$K843*$L843</f>
        <v/>
      </c>
      <c r="AD843" s="15">
        <f>SUMPRODUCT(M843:X843,$M$6:$X$6)*$K843*$L843</f>
        <v/>
      </c>
      <c r="AE843" s="19" t="n"/>
    </row>
    <row r="844">
      <c r="A844" s="9" t="n">
        <v>641582</v>
      </c>
      <c r="B844" s="9" t="inlineStr">
        <is>
          <t>Matt Foster</t>
        </is>
      </c>
      <c r="C844" s="9" t="inlineStr">
        <is>
          <t>CWS</t>
        </is>
      </c>
      <c r="D844" s="9" t="n">
        <v>32</v>
      </c>
      <c r="E844" s="17" t="inlineStr">
        <is>
          <t>R</t>
        </is>
      </c>
      <c r="F844" s="17" t="n"/>
      <c r="G844" s="9" t="n">
        <v>30</v>
      </c>
      <c r="H844" s="9" t="n">
        <v>223</v>
      </c>
      <c r="I844" s="9" t="inlineStr">
        <is>
          <t>Depth (no MLB IP)</t>
        </is>
      </c>
      <c r="J844" s="17" t="inlineStr">
        <is>
          <t>Opening Day</t>
        </is>
      </c>
      <c r="K844" s="11">
        <f>IFERROR(INDEX(Roles!$B$17:$B$20,MATCH(J844,Roles!$A$17:$A$20,0)),1)</f>
        <v/>
      </c>
      <c r="L844" s="18" t="n">
        <v>1</v>
      </c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/>
      <c r="Y844" s="13">
        <f>SUMPRODUCT(M844:X844,$M$2:$X$2)*$K844*$L844</f>
        <v/>
      </c>
      <c r="Z844" s="14">
        <f>SUM(M844:X844)</f>
        <v/>
      </c>
      <c r="AA844" s="13">
        <f>SUMPRODUCT(M844:X844,$M$3:$X$3)*$K844*$L844</f>
        <v/>
      </c>
      <c r="AB844" s="13">
        <f>SUMPRODUCT(M844:X844,$M$4:$X$4)*$K844*$L844</f>
        <v/>
      </c>
      <c r="AC844" s="15">
        <f>SUMPRODUCT(M844:X844,$M$5:$X$5)*$K844*$L844</f>
        <v/>
      </c>
      <c r="AD844" s="15">
        <f>SUMPRODUCT(M844:X844,$M$6:$X$6)*$K844*$L844</f>
        <v/>
      </c>
      <c r="AE844" s="19" t="n"/>
    </row>
    <row r="845">
      <c r="A845" s="9" t="n">
        <v>670871</v>
      </c>
      <c r="B845" s="9" t="inlineStr">
        <is>
          <t>Guillo Zuñiga</t>
        </is>
      </c>
      <c r="C845" s="9" t="inlineStr">
        <is>
          <t>LAA</t>
        </is>
      </c>
      <c r="D845" s="9" t="n">
        <v>28</v>
      </c>
      <c r="E845" s="17" t="inlineStr">
        <is>
          <t>R</t>
        </is>
      </c>
      <c r="F845" s="17" t="n"/>
      <c r="G845" s="9" t="n">
        <v>4</v>
      </c>
      <c r="H845" s="9" t="n">
        <v>88</v>
      </c>
      <c r="I845" s="9" t="inlineStr">
        <is>
          <t>Depth (no MLB IP)</t>
        </is>
      </c>
      <c r="J845" s="17" t="inlineStr">
        <is>
          <t>Opening Day</t>
        </is>
      </c>
      <c r="K845" s="11">
        <f>IFERROR(INDEX(Roles!$B$17:$B$20,MATCH(J845,Roles!$A$17:$A$20,0)),1)</f>
        <v/>
      </c>
      <c r="L845" s="18" t="n">
        <v>1</v>
      </c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/>
      <c r="Y845" s="13">
        <f>SUMPRODUCT(M845:X845,$M$2:$X$2)*$K845*$L845</f>
        <v/>
      </c>
      <c r="Z845" s="14">
        <f>SUM(M845:X845)</f>
        <v/>
      </c>
      <c r="AA845" s="13">
        <f>SUMPRODUCT(M845:X845,$M$3:$X$3)*$K845*$L845</f>
        <v/>
      </c>
      <c r="AB845" s="13">
        <f>SUMPRODUCT(M845:X845,$M$4:$X$4)*$K845*$L845</f>
        <v/>
      </c>
      <c r="AC845" s="15">
        <f>SUMPRODUCT(M845:X845,$M$5:$X$5)*$K845*$L845</f>
        <v/>
      </c>
      <c r="AD845" s="15">
        <f>SUMPRODUCT(M845:X845,$M$6:$X$6)*$K845*$L845</f>
        <v/>
      </c>
      <c r="AE845" s="19" t="n"/>
    </row>
    <row r="846">
      <c r="A846" s="9" t="n">
        <v>674384</v>
      </c>
      <c r="B846" s="9" t="inlineStr">
        <is>
          <t>Eduarniel Núñez</t>
        </is>
      </c>
      <c r="C846" s="9" t="inlineStr">
        <is>
          <t>OAK</t>
        </is>
      </c>
      <c r="D846" s="9" t="n">
        <v>28</v>
      </c>
      <c r="E846" s="17" t="inlineStr">
        <is>
          <t>R</t>
        </is>
      </c>
      <c r="F846" s="17" t="n"/>
      <c r="G846" s="9" t="n">
        <v>60</v>
      </c>
      <c r="H846" s="9" t="n">
        <v>60</v>
      </c>
      <c r="I846" s="9" t="inlineStr">
        <is>
          <t>Bullpen Depth Arm</t>
        </is>
      </c>
      <c r="J846" s="17" t="inlineStr">
        <is>
          <t>Opening Day</t>
        </is>
      </c>
      <c r="K846" s="11">
        <f>IFERROR(INDEX(Roles!$B$17:$B$20,MATCH(J846,Roles!$A$17:$A$20,0)),1)</f>
        <v/>
      </c>
      <c r="L846" s="18" t="n">
        <v>1</v>
      </c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/>
      <c r="Y846" s="13">
        <f>SUMPRODUCT(M846:X846,$M$2:$X$2)*$K846*$L846</f>
        <v/>
      </c>
      <c r="Z846" s="14">
        <f>SUM(M846:X846)</f>
        <v/>
      </c>
      <c r="AA846" s="13">
        <f>SUMPRODUCT(M846:X846,$M$3:$X$3)*$K846*$L846</f>
        <v/>
      </c>
      <c r="AB846" s="13">
        <f>SUMPRODUCT(M846:X846,$M$4:$X$4)*$K846*$L846</f>
        <v/>
      </c>
      <c r="AC846" s="15">
        <f>SUMPRODUCT(M846:X846,$M$5:$X$5)*$K846*$L846</f>
        <v/>
      </c>
      <c r="AD846" s="15">
        <f>SUMPRODUCT(M846:X846,$M$6:$X$6)*$K846*$L846</f>
        <v/>
      </c>
      <c r="AE846" s="19" t="n"/>
    </row>
    <row r="847">
      <c r="A847" s="9" t="n">
        <v>702047</v>
      </c>
      <c r="B847" s="9" t="inlineStr">
        <is>
          <t>Alex Cook</t>
        </is>
      </c>
      <c r="C847" s="9" t="inlineStr"/>
      <c r="D847" s="9" t="n">
        <v>26</v>
      </c>
      <c r="E847" s="17" t="inlineStr">
        <is>
          <t>R</t>
        </is>
      </c>
      <c r="F847" s="17" t="n"/>
      <c r="G847" s="9" t="n">
        <v>17</v>
      </c>
      <c r="H847" s="9" t="n">
        <v>17</v>
      </c>
      <c r="I847" s="9" t="inlineStr">
        <is>
          <t>Depth (no MLB IP)</t>
        </is>
      </c>
      <c r="J847" s="17" t="inlineStr">
        <is>
          <t>Opening Day</t>
        </is>
      </c>
      <c r="K847" s="11">
        <f>IFERROR(INDEX(Roles!$B$17:$B$20,MATCH(J847,Roles!$A$17:$A$20,0)),1)</f>
        <v/>
      </c>
      <c r="L847" s="18" t="n">
        <v>1</v>
      </c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/>
      <c r="Y847" s="13">
        <f>SUMPRODUCT(M847:X847,$M$2:$X$2)*$K847*$L847</f>
        <v/>
      </c>
      <c r="Z847" s="14">
        <f>SUM(M847:X847)</f>
        <v/>
      </c>
      <c r="AA847" s="13">
        <f>SUMPRODUCT(M847:X847,$M$3:$X$3)*$K847*$L847</f>
        <v/>
      </c>
      <c r="AB847" s="13">
        <f>SUMPRODUCT(M847:X847,$M$4:$X$4)*$K847*$L847</f>
        <v/>
      </c>
      <c r="AC847" s="15">
        <f>SUMPRODUCT(M847:X847,$M$5:$X$5)*$K847*$L847</f>
        <v/>
      </c>
      <c r="AD847" s="15">
        <f>SUMPRODUCT(M847:X847,$M$6:$X$6)*$K847*$L847</f>
        <v/>
      </c>
      <c r="AE847" s="19" t="n"/>
    </row>
    <row r="848">
      <c r="A848" s="9" t="n">
        <v>642758</v>
      </c>
      <c r="B848" s="9" t="inlineStr">
        <is>
          <t>Domingo Acevedo</t>
        </is>
      </c>
      <c r="C848" s="9" t="inlineStr">
        <is>
          <t>OAK</t>
        </is>
      </c>
      <c r="D848" s="9" t="n">
        <v>33</v>
      </c>
      <c r="E848" s="17" t="inlineStr">
        <is>
          <t>R</t>
        </is>
      </c>
      <c r="F848" s="17" t="n"/>
      <c r="G848" s="9" t="n">
        <v>47</v>
      </c>
      <c r="H848" s="9" t="n">
        <v>313</v>
      </c>
      <c r="I848" s="9" t="inlineStr">
        <is>
          <t>Depth (no MLB IP)</t>
        </is>
      </c>
      <c r="J848" s="17" t="inlineStr">
        <is>
          <t>Opening Day</t>
        </is>
      </c>
      <c r="K848" s="11">
        <f>IFERROR(INDEX(Roles!$B$17:$B$20,MATCH(J848,Roles!$A$17:$A$20,0)),1)</f>
        <v/>
      </c>
      <c r="L848" s="18" t="n">
        <v>1</v>
      </c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/>
      <c r="Y848" s="13">
        <f>SUMPRODUCT(M848:X848,$M$2:$X$2)*$K848*$L848</f>
        <v/>
      </c>
      <c r="Z848" s="14">
        <f>SUM(M848:X848)</f>
        <v/>
      </c>
      <c r="AA848" s="13">
        <f>SUMPRODUCT(M848:X848,$M$3:$X$3)*$K848*$L848</f>
        <v/>
      </c>
      <c r="AB848" s="13">
        <f>SUMPRODUCT(M848:X848,$M$4:$X$4)*$K848*$L848</f>
        <v/>
      </c>
      <c r="AC848" s="15">
        <f>SUMPRODUCT(M848:X848,$M$5:$X$5)*$K848*$L848</f>
        <v/>
      </c>
      <c r="AD848" s="15">
        <f>SUMPRODUCT(M848:X848,$M$6:$X$6)*$K848*$L848</f>
        <v/>
      </c>
      <c r="AE848" s="19" t="n"/>
    </row>
    <row r="849">
      <c r="A849" s="9" t="n">
        <v>571510</v>
      </c>
      <c r="B849" s="9" t="inlineStr">
        <is>
          <t>Matthew Boyd</t>
        </is>
      </c>
      <c r="C849" s="9" t="inlineStr">
        <is>
          <t>CHC</t>
        </is>
      </c>
      <c r="D849" s="9" t="n">
        <v>36</v>
      </c>
      <c r="E849" s="17" t="inlineStr">
        <is>
          <t>L</t>
        </is>
      </c>
      <c r="F849" s="17" t="n"/>
      <c r="G849" s="9" t="n">
        <v>474</v>
      </c>
      <c r="H849" s="9" t="n">
        <v>1714</v>
      </c>
      <c r="I849" s="9" t="inlineStr">
        <is>
          <t>Mid-Rotation Starter (SP2-3)</t>
        </is>
      </c>
      <c r="J849" s="17" t="inlineStr">
        <is>
          <t>Opening Day</t>
        </is>
      </c>
      <c r="K849" s="11">
        <f>IFERROR(INDEX(Roles!$B$17:$B$20,MATCH(J849,Roles!$A$17:$A$20,0)),1)</f>
        <v/>
      </c>
      <c r="L849" s="18" t="n">
        <v>1</v>
      </c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/>
      <c r="Y849" s="13">
        <f>SUMPRODUCT(M849:X849,$M$2:$X$2)*$K849*$L849</f>
        <v/>
      </c>
      <c r="Z849" s="14">
        <f>SUM(M849:X849)</f>
        <v/>
      </c>
      <c r="AA849" s="13">
        <f>SUMPRODUCT(M849:X849,$M$3:$X$3)*$K849*$L849</f>
        <v/>
      </c>
      <c r="AB849" s="13">
        <f>SUMPRODUCT(M849:X849,$M$4:$X$4)*$K849*$L849</f>
        <v/>
      </c>
      <c r="AC849" s="15">
        <f>SUMPRODUCT(M849:X849,$M$5:$X$5)*$K849*$L849</f>
        <v/>
      </c>
      <c r="AD849" s="15">
        <f>SUMPRODUCT(M849:X849,$M$6:$X$6)*$K849*$L849</f>
        <v/>
      </c>
      <c r="AE849" s="19" t="n"/>
    </row>
    <row r="850">
      <c r="A850" s="9" t="n">
        <v>694360</v>
      </c>
      <c r="B850" s="9" t="inlineStr">
        <is>
          <t>Beck Way</t>
        </is>
      </c>
      <c r="C850" s="9" t="inlineStr">
        <is>
          <t>KC</t>
        </is>
      </c>
      <c r="D850" s="9" t="n">
        <v>27</v>
      </c>
      <c r="E850" s="17" t="inlineStr">
        <is>
          <t>R</t>
        </is>
      </c>
      <c r="F850" s="17" t="n"/>
      <c r="G850" s="9" t="n">
        <v>105</v>
      </c>
      <c r="H850" s="9" t="n">
        <v>105</v>
      </c>
      <c r="I850" s="9" t="inlineStr">
        <is>
          <t>Bullpen Depth Arm</t>
        </is>
      </c>
      <c r="J850" s="17" t="inlineStr">
        <is>
          <t>Opening Day</t>
        </is>
      </c>
      <c r="K850" s="11">
        <f>IFERROR(INDEX(Roles!$B$17:$B$20,MATCH(J850,Roles!$A$17:$A$20,0)),1)</f>
        <v/>
      </c>
      <c r="L850" s="18" t="n">
        <v>1</v>
      </c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/>
      <c r="Y850" s="13">
        <f>SUMPRODUCT(M850:X850,$M$2:$X$2)*$K850*$L850</f>
        <v/>
      </c>
      <c r="Z850" s="14">
        <f>SUM(M850:X850)</f>
        <v/>
      </c>
      <c r="AA850" s="13">
        <f>SUMPRODUCT(M850:X850,$M$3:$X$3)*$K850*$L850</f>
        <v/>
      </c>
      <c r="AB850" s="13">
        <f>SUMPRODUCT(M850:X850,$M$4:$X$4)*$K850*$L850</f>
        <v/>
      </c>
      <c r="AC850" s="15">
        <f>SUMPRODUCT(M850:X850,$M$5:$X$5)*$K850*$L850</f>
        <v/>
      </c>
      <c r="AD850" s="15">
        <f>SUMPRODUCT(M850:X850,$M$6:$X$6)*$K850*$L850</f>
        <v/>
      </c>
      <c r="AE850" s="19" t="n"/>
    </row>
    <row r="851">
      <c r="A851" s="9" t="n">
        <v>621399</v>
      </c>
      <c r="B851" s="9" t="inlineStr">
        <is>
          <t>Brady Feigl</t>
        </is>
      </c>
      <c r="C851" s="9" t="inlineStr"/>
      <c r="D851" s="9" t="n">
        <v>36</v>
      </c>
      <c r="E851" s="17" t="inlineStr">
        <is>
          <t>L</t>
        </is>
      </c>
      <c r="F851" s="17" t="n"/>
      <c r="G851" s="9" t="n">
        <v>11</v>
      </c>
      <c r="H851" s="9" t="n">
        <v>11</v>
      </c>
      <c r="I851" s="9" t="inlineStr">
        <is>
          <t>Depth (no MLB IP)</t>
        </is>
      </c>
      <c r="J851" s="17" t="inlineStr">
        <is>
          <t>Opening Day</t>
        </is>
      </c>
      <c r="K851" s="11">
        <f>IFERROR(INDEX(Roles!$B$17:$B$20,MATCH(J851,Roles!$A$17:$A$20,0)),1)</f>
        <v/>
      </c>
      <c r="L851" s="18" t="n">
        <v>1</v>
      </c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/>
      <c r="Y851" s="13">
        <f>SUMPRODUCT(M851:X851,$M$2:$X$2)*$K851*$L851</f>
        <v/>
      </c>
      <c r="Z851" s="14">
        <f>SUM(M851:X851)</f>
        <v/>
      </c>
      <c r="AA851" s="13">
        <f>SUMPRODUCT(M851:X851,$M$3:$X$3)*$K851*$L851</f>
        <v/>
      </c>
      <c r="AB851" s="13">
        <f>SUMPRODUCT(M851:X851,$M$4:$X$4)*$K851*$L851</f>
        <v/>
      </c>
      <c r="AC851" s="15">
        <f>SUMPRODUCT(M851:X851,$M$5:$X$5)*$K851*$L851</f>
        <v/>
      </c>
      <c r="AD851" s="15">
        <f>SUMPRODUCT(M851:X851,$M$6:$X$6)*$K851*$L851</f>
        <v/>
      </c>
      <c r="AE851" s="19" t="n"/>
    </row>
    <row r="852">
      <c r="A852" s="9" t="n">
        <v>642086</v>
      </c>
      <c r="B852" s="9" t="inlineStr">
        <is>
          <t>Dominic Smith</t>
        </is>
      </c>
      <c r="C852" s="9" t="inlineStr"/>
      <c r="D852" s="9" t="n">
        <v>32</v>
      </c>
      <c r="E852" s="17" t="inlineStr">
        <is>
          <t>L</t>
        </is>
      </c>
      <c r="F852" s="17" t="n"/>
      <c r="G852" s="9" t="n">
        <v>11</v>
      </c>
      <c r="H852" s="9" t="n">
        <v>11</v>
      </c>
      <c r="I852" s="9" t="inlineStr">
        <is>
          <t>Depth (no MLB IP)</t>
        </is>
      </c>
      <c r="J852" s="17" t="inlineStr">
        <is>
          <t>Opening Day</t>
        </is>
      </c>
      <c r="K852" s="11">
        <f>IFERROR(INDEX(Roles!$B$17:$B$20,MATCH(J852,Roles!$A$17:$A$20,0)),1)</f>
        <v/>
      </c>
      <c r="L852" s="18" t="n">
        <v>1</v>
      </c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/>
      <c r="Y852" s="13">
        <f>SUMPRODUCT(M852:X852,$M$2:$X$2)*$K852*$L852</f>
        <v/>
      </c>
      <c r="Z852" s="14">
        <f>SUM(M852:X852)</f>
        <v/>
      </c>
      <c r="AA852" s="13">
        <f>SUMPRODUCT(M852:X852,$M$3:$X$3)*$K852*$L852</f>
        <v/>
      </c>
      <c r="AB852" s="13">
        <f>SUMPRODUCT(M852:X852,$M$4:$X$4)*$K852*$L852</f>
        <v/>
      </c>
      <c r="AC852" s="15">
        <f>SUMPRODUCT(M852:X852,$M$5:$X$5)*$K852*$L852</f>
        <v/>
      </c>
      <c r="AD852" s="15">
        <f>SUMPRODUCT(M852:X852,$M$6:$X$6)*$K852*$L852</f>
        <v/>
      </c>
      <c r="AE852" s="19" t="n"/>
    </row>
    <row r="853">
      <c r="A853" s="9" t="n">
        <v>673820</v>
      </c>
      <c r="B853" s="9" t="inlineStr">
        <is>
          <t>Robinson Piña</t>
        </is>
      </c>
      <c r="C853" s="9" t="inlineStr"/>
      <c r="D853" s="9" t="n">
        <v>28</v>
      </c>
      <c r="E853" s="17" t="inlineStr">
        <is>
          <t>R</t>
        </is>
      </c>
      <c r="F853" s="17" t="n"/>
      <c r="G853" s="9" t="n">
        <v>14</v>
      </c>
      <c r="H853" s="9" t="n">
        <v>14</v>
      </c>
      <c r="I853" s="9" t="inlineStr">
        <is>
          <t>Depth (no MLB IP)</t>
        </is>
      </c>
      <c r="J853" s="17" t="inlineStr">
        <is>
          <t>Opening Day</t>
        </is>
      </c>
      <c r="K853" s="11">
        <f>IFERROR(INDEX(Roles!$B$17:$B$20,MATCH(J853,Roles!$A$17:$A$20,0)),1)</f>
        <v/>
      </c>
      <c r="L853" s="18" t="n">
        <v>1</v>
      </c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/>
      <c r="Y853" s="13">
        <f>SUMPRODUCT(M853:X853,$M$2:$X$2)*$K853*$L853</f>
        <v/>
      </c>
      <c r="Z853" s="14">
        <f>SUM(M853:X853)</f>
        <v/>
      </c>
      <c r="AA853" s="13">
        <f>SUMPRODUCT(M853:X853,$M$3:$X$3)*$K853*$L853</f>
        <v/>
      </c>
      <c r="AB853" s="13">
        <f>SUMPRODUCT(M853:X853,$M$4:$X$4)*$K853*$L853</f>
        <v/>
      </c>
      <c r="AC853" s="15">
        <f>SUMPRODUCT(M853:X853,$M$5:$X$5)*$K853*$L853</f>
        <v/>
      </c>
      <c r="AD853" s="15">
        <f>SUMPRODUCT(M853:X853,$M$6:$X$6)*$K853*$L853</f>
        <v/>
      </c>
      <c r="AE853" s="19" t="n"/>
    </row>
    <row r="854">
      <c r="A854" s="9" t="n">
        <v>696149</v>
      </c>
      <c r="B854" s="9" t="inlineStr">
        <is>
          <t>Bubba Chandler</t>
        </is>
      </c>
      <c r="C854" s="9" t="inlineStr">
        <is>
          <t>PIT</t>
        </is>
      </c>
      <c r="D854" s="9" t="n">
        <v>24</v>
      </c>
      <c r="E854" s="17" t="inlineStr">
        <is>
          <t>R</t>
        </is>
      </c>
      <c r="F854" s="17" t="n"/>
      <c r="G854" s="9" t="n">
        <v>636</v>
      </c>
      <c r="H854" s="9" t="n">
        <v>760</v>
      </c>
      <c r="I854" s="9" t="inlineStr">
        <is>
          <t>End-of-Rotation Starter (SP4-5)</t>
        </is>
      </c>
      <c r="J854" s="17" t="inlineStr">
        <is>
          <t>Opening Day</t>
        </is>
      </c>
      <c r="K854" s="11">
        <f>IFERROR(INDEX(Roles!$B$17:$B$20,MATCH(J854,Roles!$A$17:$A$20,0)),1)</f>
        <v/>
      </c>
      <c r="L854" s="18" t="n">
        <v>1</v>
      </c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/>
      <c r="Y854" s="13">
        <f>SUMPRODUCT(M854:X854,$M$2:$X$2)*$K854*$L854</f>
        <v/>
      </c>
      <c r="Z854" s="14">
        <f>SUM(M854:X854)</f>
        <v/>
      </c>
      <c r="AA854" s="13">
        <f>SUMPRODUCT(M854:X854,$M$3:$X$3)*$K854*$L854</f>
        <v/>
      </c>
      <c r="AB854" s="13">
        <f>SUMPRODUCT(M854:X854,$M$4:$X$4)*$K854*$L854</f>
        <v/>
      </c>
      <c r="AC854" s="15">
        <f>SUMPRODUCT(M854:X854,$M$5:$X$5)*$K854*$L854</f>
        <v/>
      </c>
      <c r="AD854" s="15">
        <f>SUMPRODUCT(M854:X854,$M$6:$X$6)*$K854*$L854</f>
        <v/>
      </c>
      <c r="AE854" s="19" t="n"/>
    </row>
    <row r="855">
      <c r="A855" s="9" t="n">
        <v>663494</v>
      </c>
      <c r="B855" s="9" t="inlineStr">
        <is>
          <t>Bryan Torres</t>
        </is>
      </c>
      <c r="C855" s="9" t="inlineStr"/>
      <c r="D855" s="9" t="n">
        <v>29</v>
      </c>
      <c r="E855" s="17" t="inlineStr">
        <is>
          <t>R</t>
        </is>
      </c>
      <c r="F855" s="17" t="n"/>
      <c r="G855" s="9" t="n">
        <v>8</v>
      </c>
      <c r="H855" s="9" t="n">
        <v>8</v>
      </c>
      <c r="I855" s="9" t="inlineStr">
        <is>
          <t>Depth (no MLB IP)</t>
        </is>
      </c>
      <c r="J855" s="17" t="inlineStr">
        <is>
          <t>Opening Day</t>
        </is>
      </c>
      <c r="K855" s="11">
        <f>IFERROR(INDEX(Roles!$B$17:$B$20,MATCH(J855,Roles!$A$17:$A$20,0)),1)</f>
        <v/>
      </c>
      <c r="L855" s="18" t="n">
        <v>1</v>
      </c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/>
      <c r="Y855" s="13">
        <f>SUMPRODUCT(M855:X855,$M$2:$X$2)*$K855*$L855</f>
        <v/>
      </c>
      <c r="Z855" s="14">
        <f>SUM(M855:X855)</f>
        <v/>
      </c>
      <c r="AA855" s="13">
        <f>SUMPRODUCT(M855:X855,$M$3:$X$3)*$K855*$L855</f>
        <v/>
      </c>
      <c r="AB855" s="13">
        <f>SUMPRODUCT(M855:X855,$M$4:$X$4)*$K855*$L855</f>
        <v/>
      </c>
      <c r="AC855" s="15">
        <f>SUMPRODUCT(M855:X855,$M$5:$X$5)*$K855*$L855</f>
        <v/>
      </c>
      <c r="AD855" s="15">
        <f>SUMPRODUCT(M855:X855,$M$6:$X$6)*$K855*$L855</f>
        <v/>
      </c>
      <c r="AE855" s="19" t="n"/>
    </row>
    <row r="856">
      <c r="A856" s="9" t="n">
        <v>655316</v>
      </c>
      <c r="B856" s="9" t="inlineStr">
        <is>
          <t>Andruw Monasterio</t>
        </is>
      </c>
      <c r="C856" s="9" t="inlineStr"/>
      <c r="D856" s="9" t="n">
        <v>30</v>
      </c>
      <c r="E856" s="17" t="inlineStr">
        <is>
          <t>R</t>
        </is>
      </c>
      <c r="F856" s="17" t="n"/>
      <c r="G856" s="9" t="n">
        <v>8</v>
      </c>
      <c r="H856" s="9" t="n">
        <v>8</v>
      </c>
      <c r="I856" s="9" t="inlineStr">
        <is>
          <t>Depth (no MLB IP)</t>
        </is>
      </c>
      <c r="J856" s="17" t="inlineStr">
        <is>
          <t>Opening Day</t>
        </is>
      </c>
      <c r="K856" s="11">
        <f>IFERROR(INDEX(Roles!$B$17:$B$20,MATCH(J856,Roles!$A$17:$A$20,0)),1)</f>
        <v/>
      </c>
      <c r="L856" s="18" t="n">
        <v>1</v>
      </c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/>
      <c r="Y856" s="13">
        <f>SUMPRODUCT(M856:X856,$M$2:$X$2)*$K856*$L856</f>
        <v/>
      </c>
      <c r="Z856" s="14">
        <f>SUM(M856:X856)</f>
        <v/>
      </c>
      <c r="AA856" s="13">
        <f>SUMPRODUCT(M856:X856,$M$3:$X$3)*$K856*$L856</f>
        <v/>
      </c>
      <c r="AB856" s="13">
        <f>SUMPRODUCT(M856:X856,$M$4:$X$4)*$K856*$L856</f>
        <v/>
      </c>
      <c r="AC856" s="15">
        <f>SUMPRODUCT(M856:X856,$M$5:$X$5)*$K856*$L856</f>
        <v/>
      </c>
      <c r="AD856" s="15">
        <f>SUMPRODUCT(M856:X856,$M$6:$X$6)*$K856*$L856</f>
        <v/>
      </c>
      <c r="AE856" s="19" t="n"/>
    </row>
    <row r="857">
      <c r="A857" s="9" t="n">
        <v>664238</v>
      </c>
      <c r="B857" s="9" t="inlineStr">
        <is>
          <t>Dylan Moore</t>
        </is>
      </c>
      <c r="C857" s="9" t="inlineStr"/>
      <c r="D857" s="9" t="n">
        <v>34</v>
      </c>
      <c r="E857" s="17" t="inlineStr">
        <is>
          <t>R</t>
        </is>
      </c>
      <c r="F857" s="17" t="n"/>
      <c r="G857" s="9" t="n">
        <v>8</v>
      </c>
      <c r="H857" s="9" t="n">
        <v>8</v>
      </c>
      <c r="I857" s="9" t="inlineStr">
        <is>
          <t>Depth (no MLB IP)</t>
        </is>
      </c>
      <c r="J857" s="17" t="inlineStr">
        <is>
          <t>Opening Day</t>
        </is>
      </c>
      <c r="K857" s="11">
        <f>IFERROR(INDEX(Roles!$B$17:$B$20,MATCH(J857,Roles!$A$17:$A$20,0)),1)</f>
        <v/>
      </c>
      <c r="L857" s="18" t="n">
        <v>1</v>
      </c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/>
      <c r="Y857" s="13">
        <f>SUMPRODUCT(M857:X857,$M$2:$X$2)*$K857*$L857</f>
        <v/>
      </c>
      <c r="Z857" s="14">
        <f>SUM(M857:X857)</f>
        <v/>
      </c>
      <c r="AA857" s="13">
        <f>SUMPRODUCT(M857:X857,$M$3:$X$3)*$K857*$L857</f>
        <v/>
      </c>
      <c r="AB857" s="13">
        <f>SUMPRODUCT(M857:X857,$M$4:$X$4)*$K857*$L857</f>
        <v/>
      </c>
      <c r="AC857" s="15">
        <f>SUMPRODUCT(M857:X857,$M$5:$X$5)*$K857*$L857</f>
        <v/>
      </c>
      <c r="AD857" s="15">
        <f>SUMPRODUCT(M857:X857,$M$6:$X$6)*$K857*$L857</f>
        <v/>
      </c>
      <c r="AE857" s="19" t="n"/>
    </row>
    <row r="858">
      <c r="A858" s="9" t="n">
        <v>694851</v>
      </c>
      <c r="B858" s="9" t="inlineStr">
        <is>
          <t>Andrew Hoffmann</t>
        </is>
      </c>
      <c r="C858" s="9" t="inlineStr">
        <is>
          <t>ARI</t>
        </is>
      </c>
      <c r="D858" s="9" t="n">
        <v>27</v>
      </c>
      <c r="E858" s="17" t="inlineStr">
        <is>
          <t>R</t>
        </is>
      </c>
      <c r="F858" s="17" t="n"/>
      <c r="G858" s="9" t="n">
        <v>59</v>
      </c>
      <c r="H858" s="9" t="n">
        <v>120</v>
      </c>
      <c r="I858" s="9" t="inlineStr">
        <is>
          <t>Bullpen Depth Arm</t>
        </is>
      </c>
      <c r="J858" s="17" t="inlineStr">
        <is>
          <t>Opening Day</t>
        </is>
      </c>
      <c r="K858" s="11">
        <f>IFERROR(INDEX(Roles!$B$17:$B$20,MATCH(J858,Roles!$A$17:$A$20,0)),1)</f>
        <v/>
      </c>
      <c r="L858" s="18" t="n">
        <v>1</v>
      </c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/>
      <c r="Y858" s="13">
        <f>SUMPRODUCT(M858:X858,$M$2:$X$2)*$K858*$L858</f>
        <v/>
      </c>
      <c r="Z858" s="14">
        <f>SUM(M858:X858)</f>
        <v/>
      </c>
      <c r="AA858" s="13">
        <f>SUMPRODUCT(M858:X858,$M$3:$X$3)*$K858*$L858</f>
        <v/>
      </c>
      <c r="AB858" s="13">
        <f>SUMPRODUCT(M858:X858,$M$4:$X$4)*$K858*$L858</f>
        <v/>
      </c>
      <c r="AC858" s="15">
        <f>SUMPRODUCT(M858:X858,$M$5:$X$5)*$K858*$L858</f>
        <v/>
      </c>
      <c r="AD858" s="15">
        <f>SUMPRODUCT(M858:X858,$M$6:$X$6)*$K858*$L858</f>
        <v/>
      </c>
      <c r="AE858" s="19" t="n"/>
    </row>
    <row r="859">
      <c r="A859" s="9" t="n">
        <v>666201</v>
      </c>
      <c r="B859" s="9" t="inlineStr">
        <is>
          <t>Alek Manoah</t>
        </is>
      </c>
      <c r="C859" s="9" t="inlineStr">
        <is>
          <t>LAA</t>
        </is>
      </c>
      <c r="D859" s="9" t="n">
        <v>29</v>
      </c>
      <c r="E859" s="17" t="inlineStr">
        <is>
          <t>R</t>
        </is>
      </c>
      <c r="F859" s="17" t="n"/>
      <c r="G859" s="9" t="n">
        <v>39</v>
      </c>
      <c r="H859" s="9" t="n">
        <v>1343</v>
      </c>
      <c r="I859" s="9" t="inlineStr">
        <is>
          <t>End-of-Rotation Starter (SP4-5)</t>
        </is>
      </c>
      <c r="J859" s="17" t="inlineStr">
        <is>
          <t>Opening Day</t>
        </is>
      </c>
      <c r="K859" s="11">
        <f>IFERROR(INDEX(Roles!$B$17:$B$20,MATCH(J859,Roles!$A$17:$A$20,0)),1)</f>
        <v/>
      </c>
      <c r="L859" s="18" t="n">
        <v>1</v>
      </c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/>
      <c r="Y859" s="13">
        <f>SUMPRODUCT(M859:X859,$M$2:$X$2)*$K859*$L859</f>
        <v/>
      </c>
      <c r="Z859" s="14">
        <f>SUM(M859:X859)</f>
        <v/>
      </c>
      <c r="AA859" s="13">
        <f>SUMPRODUCT(M859:X859,$M$3:$X$3)*$K859*$L859</f>
        <v/>
      </c>
      <c r="AB859" s="13">
        <f>SUMPRODUCT(M859:X859,$M$4:$X$4)*$K859*$L859</f>
        <v/>
      </c>
      <c r="AC859" s="15">
        <f>SUMPRODUCT(M859:X859,$M$5:$X$5)*$K859*$L859</f>
        <v/>
      </c>
      <c r="AD859" s="15">
        <f>SUMPRODUCT(M859:X859,$M$6:$X$6)*$K859*$L859</f>
        <v/>
      </c>
      <c r="AE859" s="19" t="n"/>
    </row>
    <row r="860">
      <c r="A860" s="9" t="n">
        <v>694462</v>
      </c>
      <c r="B860" s="9" t="inlineStr">
        <is>
          <t>Hurston Waldrep</t>
        </is>
      </c>
      <c r="C860" s="9" t="inlineStr">
        <is>
          <t>ATL</t>
        </is>
      </c>
      <c r="D860" s="9" t="n">
        <v>25</v>
      </c>
      <c r="E860" s="17" t="inlineStr">
        <is>
          <t>R</t>
        </is>
      </c>
      <c r="F860" s="17" t="n"/>
      <c r="G860" s="9" t="n">
        <v>56</v>
      </c>
      <c r="H860" s="9" t="n">
        <v>321</v>
      </c>
      <c r="I860" s="9" t="inlineStr">
        <is>
          <t>Mid-Rotation Starter (SP2-3)</t>
        </is>
      </c>
      <c r="J860" s="17" t="inlineStr">
        <is>
          <t>Opening Day</t>
        </is>
      </c>
      <c r="K860" s="11">
        <f>IFERROR(INDEX(Roles!$B$17:$B$20,MATCH(J860,Roles!$A$17:$A$20,0)),1)</f>
        <v/>
      </c>
      <c r="L860" s="18" t="n">
        <v>1</v>
      </c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/>
      <c r="Y860" s="13">
        <f>SUMPRODUCT(M860:X860,$M$2:$X$2)*$K860*$L860</f>
        <v/>
      </c>
      <c r="Z860" s="14">
        <f>SUM(M860:X860)</f>
        <v/>
      </c>
      <c r="AA860" s="13">
        <f>SUMPRODUCT(M860:X860,$M$3:$X$3)*$K860*$L860</f>
        <v/>
      </c>
      <c r="AB860" s="13">
        <f>SUMPRODUCT(M860:X860,$M$4:$X$4)*$K860*$L860</f>
        <v/>
      </c>
      <c r="AC860" s="15">
        <f>SUMPRODUCT(M860:X860,$M$5:$X$5)*$K860*$L860</f>
        <v/>
      </c>
      <c r="AD860" s="15">
        <f>SUMPRODUCT(M860:X860,$M$6:$X$6)*$K860*$L860</f>
        <v/>
      </c>
      <c r="AE860" s="19" t="n"/>
    </row>
    <row r="861">
      <c r="A861" s="9" t="n">
        <v>686651</v>
      </c>
      <c r="B861" s="9" t="inlineStr">
        <is>
          <t>Levi Stoudt</t>
        </is>
      </c>
      <c r="C861" s="9" t="inlineStr">
        <is>
          <t>CIN</t>
        </is>
      </c>
      <c r="D861" s="9" t="n">
        <v>29</v>
      </c>
      <c r="E861" s="17" t="inlineStr">
        <is>
          <t>R</t>
        </is>
      </c>
      <c r="F861" s="17" t="n"/>
      <c r="G861" s="9" t="n">
        <v>55</v>
      </c>
      <c r="H861" s="9" t="n">
        <v>55</v>
      </c>
      <c r="I861" s="9" t="inlineStr">
        <is>
          <t>Depth (no MLB IP)</t>
        </is>
      </c>
      <c r="J861" s="17" t="inlineStr">
        <is>
          <t>Opening Day</t>
        </is>
      </c>
      <c r="K861" s="11">
        <f>IFERROR(INDEX(Roles!$B$17:$B$20,MATCH(J861,Roles!$A$17:$A$20,0)),1)</f>
        <v/>
      </c>
      <c r="L861" s="18" t="n">
        <v>1</v>
      </c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/>
      <c r="Y861" s="13">
        <f>SUMPRODUCT(M861:X861,$M$2:$X$2)*$K861*$L861</f>
        <v/>
      </c>
      <c r="Z861" s="14">
        <f>SUM(M861:X861)</f>
        <v/>
      </c>
      <c r="AA861" s="13">
        <f>SUMPRODUCT(M861:X861,$M$3:$X$3)*$K861*$L861</f>
        <v/>
      </c>
      <c r="AB861" s="13">
        <f>SUMPRODUCT(M861:X861,$M$4:$X$4)*$K861*$L861</f>
        <v/>
      </c>
      <c r="AC861" s="15">
        <f>SUMPRODUCT(M861:X861,$M$5:$X$5)*$K861*$L861</f>
        <v/>
      </c>
      <c r="AD861" s="15">
        <f>SUMPRODUCT(M861:X861,$M$6:$X$6)*$K861*$L861</f>
        <v/>
      </c>
      <c r="AE861" s="19" t="n"/>
    </row>
    <row r="862">
      <c r="A862" s="9" t="n">
        <v>670156</v>
      </c>
      <c r="B862" s="9" t="inlineStr">
        <is>
          <t>Miles Mastrobuoni</t>
        </is>
      </c>
      <c r="C862" s="9" t="inlineStr"/>
      <c r="D862" s="9" t="n">
        <v>31</v>
      </c>
      <c r="E862" s="17" t="inlineStr">
        <is>
          <t>R</t>
        </is>
      </c>
      <c r="F862" s="17" t="n"/>
      <c r="G862" s="9" t="n">
        <v>6</v>
      </c>
      <c r="H862" s="9" t="n">
        <v>11</v>
      </c>
      <c r="I862" s="9" t="inlineStr">
        <is>
          <t>Depth (no MLB IP)</t>
        </is>
      </c>
      <c r="J862" s="17" t="inlineStr">
        <is>
          <t>Opening Day</t>
        </is>
      </c>
      <c r="K862" s="11">
        <f>IFERROR(INDEX(Roles!$B$17:$B$20,MATCH(J862,Roles!$A$17:$A$20,0)),1)</f>
        <v/>
      </c>
      <c r="L862" s="18" t="n">
        <v>1</v>
      </c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/>
      <c r="Y862" s="13">
        <f>SUMPRODUCT(M862:X862,$M$2:$X$2)*$K862*$L862</f>
        <v/>
      </c>
      <c r="Z862" s="14">
        <f>SUM(M862:X862)</f>
        <v/>
      </c>
      <c r="AA862" s="13">
        <f>SUMPRODUCT(M862:X862,$M$3:$X$3)*$K862*$L862</f>
        <v/>
      </c>
      <c r="AB862" s="13">
        <f>SUMPRODUCT(M862:X862,$M$4:$X$4)*$K862*$L862</f>
        <v/>
      </c>
      <c r="AC862" s="15">
        <f>SUMPRODUCT(M862:X862,$M$5:$X$5)*$K862*$L862</f>
        <v/>
      </c>
      <c r="AD862" s="15">
        <f>SUMPRODUCT(M862:X862,$M$6:$X$6)*$K862*$L862</f>
        <v/>
      </c>
      <c r="AE862" s="19" t="n"/>
    </row>
    <row r="863">
      <c r="A863" s="9" t="n">
        <v>607755</v>
      </c>
      <c r="B863" s="9" t="inlineStr">
        <is>
          <t>Andrew Vasquez</t>
        </is>
      </c>
      <c r="C863" s="9" t="inlineStr">
        <is>
          <t>DET</t>
        </is>
      </c>
      <c r="D863" s="9" t="n">
        <v>33</v>
      </c>
      <c r="E863" s="17" t="inlineStr">
        <is>
          <t>L</t>
        </is>
      </c>
      <c r="F863" s="17" t="n"/>
      <c r="G863" s="9" t="n">
        <v>219</v>
      </c>
      <c r="H863" s="9" t="n">
        <v>258</v>
      </c>
      <c r="I863" s="9" t="inlineStr">
        <is>
          <t>Depth (no MLB IP)</t>
        </is>
      </c>
      <c r="J863" s="17" t="inlineStr">
        <is>
          <t>Opening Day</t>
        </is>
      </c>
      <c r="K863" s="11">
        <f>IFERROR(INDEX(Roles!$B$17:$B$20,MATCH(J863,Roles!$A$17:$A$20,0)),1)</f>
        <v/>
      </c>
      <c r="L863" s="18" t="n">
        <v>1</v>
      </c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/>
      <c r="Y863" s="13">
        <f>SUMPRODUCT(M863:X863,$M$2:$X$2)*$K863*$L863</f>
        <v/>
      </c>
      <c r="Z863" s="14">
        <f>SUM(M863:X863)</f>
        <v/>
      </c>
      <c r="AA863" s="13">
        <f>SUMPRODUCT(M863:X863,$M$3:$X$3)*$K863*$L863</f>
        <v/>
      </c>
      <c r="AB863" s="13">
        <f>SUMPRODUCT(M863:X863,$M$4:$X$4)*$K863*$L863</f>
        <v/>
      </c>
      <c r="AC863" s="15">
        <f>SUMPRODUCT(M863:X863,$M$5:$X$5)*$K863*$L863</f>
        <v/>
      </c>
      <c r="AD863" s="15">
        <f>SUMPRODUCT(M863:X863,$M$6:$X$6)*$K863*$L863</f>
        <v/>
      </c>
      <c r="AE863" s="19" t="n"/>
    </row>
    <row r="864">
      <c r="A864" s="9" t="n">
        <v>670912</v>
      </c>
      <c r="B864" s="9" t="inlineStr">
        <is>
          <t>Johan Oviedo</t>
        </is>
      </c>
      <c r="C864" s="9" t="inlineStr">
        <is>
          <t>PIT</t>
        </is>
      </c>
      <c r="D864" s="9" t="n">
        <v>29</v>
      </c>
      <c r="E864" s="17" t="inlineStr">
        <is>
          <t>R</t>
        </is>
      </c>
      <c r="F864" s="17" t="n"/>
      <c r="G864" s="9" t="n">
        <v>18</v>
      </c>
      <c r="H864" s="9" t="n">
        <v>1211</v>
      </c>
      <c r="I864" s="9" t="inlineStr">
        <is>
          <t>End-of-Rotation Starter (SP4-5)</t>
        </is>
      </c>
      <c r="J864" s="17" t="inlineStr">
        <is>
          <t>Opening Day</t>
        </is>
      </c>
      <c r="K864" s="11">
        <f>IFERROR(INDEX(Roles!$B$17:$B$20,MATCH(J864,Roles!$A$17:$A$20,0)),1)</f>
        <v/>
      </c>
      <c r="L864" s="18" t="n">
        <v>1</v>
      </c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/>
      <c r="Y864" s="13">
        <f>SUMPRODUCT(M864:X864,$M$2:$X$2)*$K864*$L864</f>
        <v/>
      </c>
      <c r="Z864" s="14">
        <f>SUM(M864:X864)</f>
        <v/>
      </c>
      <c r="AA864" s="13">
        <f>SUMPRODUCT(M864:X864,$M$3:$X$3)*$K864*$L864</f>
        <v/>
      </c>
      <c r="AB864" s="13">
        <f>SUMPRODUCT(M864:X864,$M$4:$X$4)*$K864*$L864</f>
        <v/>
      </c>
      <c r="AC864" s="15">
        <f>SUMPRODUCT(M864:X864,$M$5:$X$5)*$K864*$L864</f>
        <v/>
      </c>
      <c r="AD864" s="15">
        <f>SUMPRODUCT(M864:X864,$M$6:$X$6)*$K864*$L864</f>
        <v/>
      </c>
      <c r="AE864" s="19" t="n"/>
    </row>
    <row r="865">
      <c r="A865" s="9" t="n">
        <v>608665</v>
      </c>
      <c r="B865" s="9" t="inlineStr">
        <is>
          <t>Kendall Graveman</t>
        </is>
      </c>
      <c r="C865" s="9" t="inlineStr">
        <is>
          <t>ARI</t>
        </is>
      </c>
      <c r="D865" s="9" t="n">
        <v>36</v>
      </c>
      <c r="E865" s="17" t="inlineStr">
        <is>
          <t>R</t>
        </is>
      </c>
      <c r="F865" s="17" t="n"/>
      <c r="G865" s="9" t="n">
        <v>82</v>
      </c>
      <c r="H865" s="9" t="n">
        <v>649</v>
      </c>
      <c r="I865" s="9" t="inlineStr">
        <is>
          <t>Bullpen Depth Arm</t>
        </is>
      </c>
      <c r="J865" s="17" t="inlineStr">
        <is>
          <t>Opening Day</t>
        </is>
      </c>
      <c r="K865" s="11">
        <f>IFERROR(INDEX(Roles!$B$17:$B$20,MATCH(J865,Roles!$A$17:$A$20,0)),1)</f>
        <v/>
      </c>
      <c r="L865" s="18" t="n">
        <v>1</v>
      </c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/>
      <c r="Y865" s="13">
        <f>SUMPRODUCT(M865:X865,$M$2:$X$2)*$K865*$L865</f>
        <v/>
      </c>
      <c r="Z865" s="14">
        <f>SUM(M865:X865)</f>
        <v/>
      </c>
      <c r="AA865" s="13">
        <f>SUMPRODUCT(M865:X865,$M$3:$X$3)*$K865*$L865</f>
        <v/>
      </c>
      <c r="AB865" s="13">
        <f>SUMPRODUCT(M865:X865,$M$4:$X$4)*$K865*$L865</f>
        <v/>
      </c>
      <c r="AC865" s="15">
        <f>SUMPRODUCT(M865:X865,$M$5:$X$5)*$K865*$L865</f>
        <v/>
      </c>
      <c r="AD865" s="15">
        <f>SUMPRODUCT(M865:X865,$M$6:$X$6)*$K865*$L865</f>
        <v/>
      </c>
      <c r="AE865" s="19" t="n"/>
    </row>
    <row r="866">
      <c r="A866" s="9" t="n">
        <v>694350</v>
      </c>
      <c r="B866" s="9" t="inlineStr">
        <is>
          <t>Zach Brzykcy</t>
        </is>
      </c>
      <c r="C866" s="9" t="inlineStr">
        <is>
          <t>WSH</t>
        </is>
      </c>
      <c r="D866" s="9" t="n">
        <v>27</v>
      </c>
      <c r="E866" s="17" t="inlineStr">
        <is>
          <t>R</t>
        </is>
      </c>
      <c r="F866" s="17" t="n"/>
      <c r="G866" s="9" t="n">
        <v>12</v>
      </c>
      <c r="H866" s="9" t="n">
        <v>150</v>
      </c>
      <c r="I866" s="9" t="inlineStr">
        <is>
          <t>Bullpen Depth Arm</t>
        </is>
      </c>
      <c r="J866" s="17" t="inlineStr">
        <is>
          <t>Opening Day</t>
        </is>
      </c>
      <c r="K866" s="11">
        <f>IFERROR(INDEX(Roles!$B$17:$B$20,MATCH(J866,Roles!$A$17:$A$20,0)),1)</f>
        <v/>
      </c>
      <c r="L866" s="18" t="n">
        <v>1</v>
      </c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/>
      <c r="Y866" s="13">
        <f>SUMPRODUCT(M866:X866,$M$2:$X$2)*$K866*$L866</f>
        <v/>
      </c>
      <c r="Z866" s="14">
        <f>SUM(M866:X866)</f>
        <v/>
      </c>
      <c r="AA866" s="13">
        <f>SUMPRODUCT(M866:X866,$M$3:$X$3)*$K866*$L866</f>
        <v/>
      </c>
      <c r="AB866" s="13">
        <f>SUMPRODUCT(M866:X866,$M$4:$X$4)*$K866*$L866</f>
        <v/>
      </c>
      <c r="AC866" s="15">
        <f>SUMPRODUCT(M866:X866,$M$5:$X$5)*$K866*$L866</f>
        <v/>
      </c>
      <c r="AD866" s="15">
        <f>SUMPRODUCT(M866:X866,$M$6:$X$6)*$K866*$L866</f>
        <v/>
      </c>
      <c r="AE866" s="19" t="n"/>
    </row>
    <row r="867">
      <c r="A867" s="9" t="n">
        <v>605151</v>
      </c>
      <c r="B867" s="9" t="inlineStr">
        <is>
          <t>Archie Bradley</t>
        </is>
      </c>
      <c r="C867" s="9" t="inlineStr">
        <is>
          <t>MIA</t>
        </is>
      </c>
      <c r="D867" s="9" t="n">
        <v>34</v>
      </c>
      <c r="E867" s="17" t="inlineStr">
        <is>
          <t>R</t>
        </is>
      </c>
      <c r="F867" s="17" t="n"/>
      <c r="G867" s="9" t="n">
        <v>39</v>
      </c>
      <c r="H867" s="9" t="n">
        <v>117</v>
      </c>
      <c r="I867" s="9" t="inlineStr">
        <is>
          <t>Depth (no MLB IP)</t>
        </is>
      </c>
      <c r="J867" s="17" t="inlineStr">
        <is>
          <t>Opening Day</t>
        </is>
      </c>
      <c r="K867" s="11">
        <f>IFERROR(INDEX(Roles!$B$17:$B$20,MATCH(J867,Roles!$A$17:$A$20,0)),1)</f>
        <v/>
      </c>
      <c r="L867" s="18" t="n">
        <v>1</v>
      </c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/>
      <c r="Y867" s="13">
        <f>SUMPRODUCT(M867:X867,$M$2:$X$2)*$K867*$L867</f>
        <v/>
      </c>
      <c r="Z867" s="14">
        <f>SUM(M867:X867)</f>
        <v/>
      </c>
      <c r="AA867" s="13">
        <f>SUMPRODUCT(M867:X867,$M$3:$X$3)*$K867*$L867</f>
        <v/>
      </c>
      <c r="AB867" s="13">
        <f>SUMPRODUCT(M867:X867,$M$4:$X$4)*$K867*$L867</f>
        <v/>
      </c>
      <c r="AC867" s="15">
        <f>SUMPRODUCT(M867:X867,$M$5:$X$5)*$K867*$L867</f>
        <v/>
      </c>
      <c r="AD867" s="15">
        <f>SUMPRODUCT(M867:X867,$M$6:$X$6)*$K867*$L867</f>
        <v/>
      </c>
      <c r="AE867" s="19" t="n"/>
    </row>
    <row r="868">
      <c r="A868" s="9" t="n">
        <v>642708</v>
      </c>
      <c r="B868" s="9" t="inlineStr">
        <is>
          <t>Amed Rosario</t>
        </is>
      </c>
      <c r="C868" s="9" t="inlineStr"/>
      <c r="D868" s="9" t="n">
        <v>31</v>
      </c>
      <c r="E868" s="17" t="inlineStr">
        <is>
          <t>R</t>
        </is>
      </c>
      <c r="F868" s="17" t="n"/>
      <c r="G868" s="9" t="n">
        <v>10</v>
      </c>
      <c r="H868" s="9" t="n">
        <v>10</v>
      </c>
      <c r="I868" s="9" t="inlineStr">
        <is>
          <t>Depth (no MLB IP)</t>
        </is>
      </c>
      <c r="J868" s="17" t="inlineStr">
        <is>
          <t>Opening Day</t>
        </is>
      </c>
      <c r="K868" s="11">
        <f>IFERROR(INDEX(Roles!$B$17:$B$20,MATCH(J868,Roles!$A$17:$A$20,0)),1)</f>
        <v/>
      </c>
      <c r="L868" s="18" t="n">
        <v>1</v>
      </c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/>
      <c r="Y868" s="13">
        <f>SUMPRODUCT(M868:X868,$M$2:$X$2)*$K868*$L868</f>
        <v/>
      </c>
      <c r="Z868" s="14">
        <f>SUM(M868:X868)</f>
        <v/>
      </c>
      <c r="AA868" s="13">
        <f>SUMPRODUCT(M868:X868,$M$3:$X$3)*$K868*$L868</f>
        <v/>
      </c>
      <c r="AB868" s="13">
        <f>SUMPRODUCT(M868:X868,$M$4:$X$4)*$K868*$L868</f>
        <v/>
      </c>
      <c r="AC868" s="15">
        <f>SUMPRODUCT(M868:X868,$M$5:$X$5)*$K868*$L868</f>
        <v/>
      </c>
      <c r="AD868" s="15">
        <f>SUMPRODUCT(M868:X868,$M$6:$X$6)*$K868*$L868</f>
        <v/>
      </c>
      <c r="AE868" s="19" t="n"/>
    </row>
    <row r="869">
      <c r="A869" s="9" t="n">
        <v>680862</v>
      </c>
      <c r="B869" s="9" t="inlineStr">
        <is>
          <t>Willie MacIver</t>
        </is>
      </c>
      <c r="C869" s="9" t="inlineStr"/>
      <c r="D869" s="9" t="n">
        <v>30</v>
      </c>
      <c r="E869" s="17" t="inlineStr">
        <is>
          <t>R</t>
        </is>
      </c>
      <c r="F869" s="17" t="n"/>
      <c r="G869" s="9" t="n">
        <v>10</v>
      </c>
      <c r="H869" s="9" t="n">
        <v>10</v>
      </c>
      <c r="I869" s="9" t="inlineStr">
        <is>
          <t>Depth (no MLB IP)</t>
        </is>
      </c>
      <c r="J869" s="17" t="inlineStr">
        <is>
          <t>Opening Day</t>
        </is>
      </c>
      <c r="K869" s="11">
        <f>IFERROR(INDEX(Roles!$B$17:$B$20,MATCH(J869,Roles!$A$17:$A$20,0)),1)</f>
        <v/>
      </c>
      <c r="L869" s="18" t="n">
        <v>1</v>
      </c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/>
      <c r="Y869" s="13">
        <f>SUMPRODUCT(M869:X869,$M$2:$X$2)*$K869*$L869</f>
        <v/>
      </c>
      <c r="Z869" s="14">
        <f>SUM(M869:X869)</f>
        <v/>
      </c>
      <c r="AA869" s="13">
        <f>SUMPRODUCT(M869:X869,$M$3:$X$3)*$K869*$L869</f>
        <v/>
      </c>
      <c r="AB869" s="13">
        <f>SUMPRODUCT(M869:X869,$M$4:$X$4)*$K869*$L869</f>
        <v/>
      </c>
      <c r="AC869" s="15">
        <f>SUMPRODUCT(M869:X869,$M$5:$X$5)*$K869*$L869</f>
        <v/>
      </c>
      <c r="AD869" s="15">
        <f>SUMPRODUCT(M869:X869,$M$6:$X$6)*$K869*$L869</f>
        <v/>
      </c>
      <c r="AE869" s="19" t="n"/>
    </row>
    <row r="870">
      <c r="A870" s="9" t="n">
        <v>676475</v>
      </c>
      <c r="B870" s="9" t="inlineStr">
        <is>
          <t>Alec Burleson</t>
        </is>
      </c>
      <c r="C870" s="9" t="inlineStr"/>
      <c r="D870" s="9" t="n">
        <v>28</v>
      </c>
      <c r="E870" s="17" t="inlineStr">
        <is>
          <t>L</t>
        </is>
      </c>
      <c r="F870" s="17" t="n"/>
      <c r="G870" s="9" t="n">
        <v>4</v>
      </c>
      <c r="H870" s="9" t="n">
        <v>17</v>
      </c>
      <c r="I870" s="9" t="inlineStr">
        <is>
          <t>Depth (no MLB IP)</t>
        </is>
      </c>
      <c r="J870" s="17" t="inlineStr">
        <is>
          <t>Opening Day</t>
        </is>
      </c>
      <c r="K870" s="11">
        <f>IFERROR(INDEX(Roles!$B$17:$B$20,MATCH(J870,Roles!$A$17:$A$20,0)),1)</f>
        <v/>
      </c>
      <c r="L870" s="18" t="n">
        <v>1</v>
      </c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/>
      <c r="Y870" s="13">
        <f>SUMPRODUCT(M870:X870,$M$2:$X$2)*$K870*$L870</f>
        <v/>
      </c>
      <c r="Z870" s="14">
        <f>SUM(M870:X870)</f>
        <v/>
      </c>
      <c r="AA870" s="13">
        <f>SUMPRODUCT(M870:X870,$M$3:$X$3)*$K870*$L870</f>
        <v/>
      </c>
      <c r="AB870" s="13">
        <f>SUMPRODUCT(M870:X870,$M$4:$X$4)*$K870*$L870</f>
        <v/>
      </c>
      <c r="AC870" s="15">
        <f>SUMPRODUCT(M870:X870,$M$5:$X$5)*$K870*$L870</f>
        <v/>
      </c>
      <c r="AD870" s="15">
        <f>SUMPRODUCT(M870:X870,$M$6:$X$6)*$K870*$L870</f>
        <v/>
      </c>
      <c r="AE870" s="19" t="n"/>
    </row>
    <row r="871">
      <c r="A871" s="9" t="n">
        <v>702275</v>
      </c>
      <c r="B871" s="9" t="inlineStr">
        <is>
          <t>JR Ritchie</t>
        </is>
      </c>
      <c r="C871" s="9" t="inlineStr">
        <is>
          <t>ATL</t>
        </is>
      </c>
      <c r="D871" s="9" t="n">
        <v>24</v>
      </c>
      <c r="E871" s="17" t="inlineStr">
        <is>
          <t>R</t>
        </is>
      </c>
      <c r="F871" s="17" t="n"/>
      <c r="G871" s="9" t="n">
        <v>278</v>
      </c>
      <c r="H871" s="9" t="n">
        <v>278</v>
      </c>
      <c r="I871" s="9" t="inlineStr">
        <is>
          <t>End-of-Rotation Starter (SP4-5)</t>
        </is>
      </c>
      <c r="J871" s="17" t="inlineStr">
        <is>
          <t>Opening Day</t>
        </is>
      </c>
      <c r="K871" s="11">
        <f>IFERROR(INDEX(Roles!$B$17:$B$20,MATCH(J871,Roles!$A$17:$A$20,0)),1)</f>
        <v/>
      </c>
      <c r="L871" s="18" t="n">
        <v>1</v>
      </c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/>
      <c r="Y871" s="13">
        <f>SUMPRODUCT(M871:X871,$M$2:$X$2)*$K871*$L871</f>
        <v/>
      </c>
      <c r="Z871" s="14">
        <f>SUM(M871:X871)</f>
        <v/>
      </c>
      <c r="AA871" s="13">
        <f>SUMPRODUCT(M871:X871,$M$3:$X$3)*$K871*$L871</f>
        <v/>
      </c>
      <c r="AB871" s="13">
        <f>SUMPRODUCT(M871:X871,$M$4:$X$4)*$K871*$L871</f>
        <v/>
      </c>
      <c r="AC871" s="15">
        <f>SUMPRODUCT(M871:X871,$M$5:$X$5)*$K871*$L871</f>
        <v/>
      </c>
      <c r="AD871" s="15">
        <f>SUMPRODUCT(M871:X871,$M$6:$X$6)*$K871*$L871</f>
        <v/>
      </c>
      <c r="AE871" s="19" t="n"/>
    </row>
    <row r="872">
      <c r="A872" s="9" t="n">
        <v>679922</v>
      </c>
      <c r="B872" s="9" t="inlineStr">
        <is>
          <t>Carlos Duran</t>
        </is>
      </c>
      <c r="C872" s="9" t="inlineStr"/>
      <c r="D872" s="9" t="n">
        <v>25</v>
      </c>
      <c r="E872" s="17" t="inlineStr">
        <is>
          <t>R</t>
        </is>
      </c>
      <c r="F872" s="17" t="n"/>
      <c r="G872" s="9" t="n">
        <v>9</v>
      </c>
      <c r="H872" s="9" t="n">
        <v>14</v>
      </c>
      <c r="I872" s="9" t="inlineStr">
        <is>
          <t>Depth (no MLB IP)</t>
        </is>
      </c>
      <c r="J872" s="17" t="inlineStr">
        <is>
          <t>Opening Day</t>
        </is>
      </c>
      <c r="K872" s="11">
        <f>IFERROR(INDEX(Roles!$B$17:$B$20,MATCH(J872,Roles!$A$17:$A$20,0)),1)</f>
        <v/>
      </c>
      <c r="L872" s="18" t="n">
        <v>1</v>
      </c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/>
      <c r="Y872" s="13">
        <f>SUMPRODUCT(M872:X872,$M$2:$X$2)*$K872*$L872</f>
        <v/>
      </c>
      <c r="Z872" s="14">
        <f>SUM(M872:X872)</f>
        <v/>
      </c>
      <c r="AA872" s="13">
        <f>SUMPRODUCT(M872:X872,$M$3:$X$3)*$K872*$L872</f>
        <v/>
      </c>
      <c r="AB872" s="13">
        <f>SUMPRODUCT(M872:X872,$M$4:$X$4)*$K872*$L872</f>
        <v/>
      </c>
      <c r="AC872" s="15">
        <f>SUMPRODUCT(M872:X872,$M$5:$X$5)*$K872*$L872</f>
        <v/>
      </c>
      <c r="AD872" s="15">
        <f>SUMPRODUCT(M872:X872,$M$6:$X$6)*$K872*$L872</f>
        <v/>
      </c>
      <c r="AE872" s="19" t="n"/>
    </row>
    <row r="873">
      <c r="A873" s="9" t="n">
        <v>641427</v>
      </c>
      <c r="B873" s="9" t="inlineStr">
        <is>
          <t>Alan Busenitz</t>
        </is>
      </c>
      <c r="C873" s="9" t="inlineStr">
        <is>
          <t>CIN</t>
        </is>
      </c>
      <c r="D873" s="9" t="n">
        <v>36</v>
      </c>
      <c r="E873" s="17" t="inlineStr">
        <is>
          <t>R</t>
        </is>
      </c>
      <c r="F873" s="17" t="n"/>
      <c r="G873" s="9" t="n">
        <v>21</v>
      </c>
      <c r="H873" s="9" t="n">
        <v>50</v>
      </c>
      <c r="I873" s="9" t="inlineStr">
        <is>
          <t>Depth (no MLB IP)</t>
        </is>
      </c>
      <c r="J873" s="17" t="inlineStr">
        <is>
          <t>Opening Day</t>
        </is>
      </c>
      <c r="K873" s="11">
        <f>IFERROR(INDEX(Roles!$B$17:$B$20,MATCH(J873,Roles!$A$17:$A$20,0)),1)</f>
        <v/>
      </c>
      <c r="L873" s="18" t="n">
        <v>1</v>
      </c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/>
      <c r="Y873" s="13">
        <f>SUMPRODUCT(M873:X873,$M$2:$X$2)*$K873*$L873</f>
        <v/>
      </c>
      <c r="Z873" s="14">
        <f>SUM(M873:X873)</f>
        <v/>
      </c>
      <c r="AA873" s="13">
        <f>SUMPRODUCT(M873:X873,$M$3:$X$3)*$K873*$L873</f>
        <v/>
      </c>
      <c r="AB873" s="13">
        <f>SUMPRODUCT(M873:X873,$M$4:$X$4)*$K873*$L873</f>
        <v/>
      </c>
      <c r="AC873" s="15">
        <f>SUMPRODUCT(M873:X873,$M$5:$X$5)*$K873*$L873</f>
        <v/>
      </c>
      <c r="AD873" s="15">
        <f>SUMPRODUCT(M873:X873,$M$6:$X$6)*$K873*$L873</f>
        <v/>
      </c>
      <c r="AE873" s="19" t="n"/>
    </row>
    <row r="874">
      <c r="A874" s="9" t="n">
        <v>680911</v>
      </c>
      <c r="B874" s="9" t="inlineStr">
        <is>
          <t>Owen Miller</t>
        </is>
      </c>
      <c r="C874" s="9" t="inlineStr"/>
      <c r="D874" s="9" t="n">
        <v>30</v>
      </c>
      <c r="E874" s="17" t="inlineStr">
        <is>
          <t>R</t>
        </is>
      </c>
      <c r="F874" s="17" t="n"/>
      <c r="G874" s="9" t="n">
        <v>12</v>
      </c>
      <c r="H874" s="9" t="n">
        <v>12</v>
      </c>
      <c r="I874" s="9" t="inlineStr">
        <is>
          <t>Depth (no MLB IP)</t>
        </is>
      </c>
      <c r="J874" s="17" t="inlineStr">
        <is>
          <t>Opening Day</t>
        </is>
      </c>
      <c r="K874" s="11">
        <f>IFERROR(INDEX(Roles!$B$17:$B$20,MATCH(J874,Roles!$A$17:$A$20,0)),1)</f>
        <v/>
      </c>
      <c r="L874" s="18" t="n">
        <v>1</v>
      </c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/>
      <c r="Y874" s="13">
        <f>SUMPRODUCT(M874:X874,$M$2:$X$2)*$K874*$L874</f>
        <v/>
      </c>
      <c r="Z874" s="14">
        <f>SUM(M874:X874)</f>
        <v/>
      </c>
      <c r="AA874" s="13">
        <f>SUMPRODUCT(M874:X874,$M$3:$X$3)*$K874*$L874</f>
        <v/>
      </c>
      <c r="AB874" s="13">
        <f>SUMPRODUCT(M874:X874,$M$4:$X$4)*$K874*$L874</f>
        <v/>
      </c>
      <c r="AC874" s="15">
        <f>SUMPRODUCT(M874:X874,$M$5:$X$5)*$K874*$L874</f>
        <v/>
      </c>
      <c r="AD874" s="15">
        <f>SUMPRODUCT(M874:X874,$M$6:$X$6)*$K874*$L874</f>
        <v/>
      </c>
      <c r="AE874" s="19" t="n"/>
    </row>
    <row r="875">
      <c r="A875" s="9" t="n">
        <v>669432</v>
      </c>
      <c r="B875" s="9" t="inlineStr">
        <is>
          <t>Trevor Rogers</t>
        </is>
      </c>
      <c r="C875" s="9" t="inlineStr">
        <is>
          <t>BAL</t>
        </is>
      </c>
      <c r="D875" s="9" t="n">
        <v>29</v>
      </c>
      <c r="E875" s="17" t="inlineStr">
        <is>
          <t>L</t>
        </is>
      </c>
      <c r="F875" s="17" t="n"/>
      <c r="G875" s="9" t="n">
        <v>655</v>
      </c>
      <c r="H875" s="9" t="n">
        <v>2196</v>
      </c>
      <c r="I875" s="9" t="inlineStr">
        <is>
          <t>Mid-Rotation Starter (SP2-3)</t>
        </is>
      </c>
      <c r="J875" s="17" t="inlineStr">
        <is>
          <t>Opening Day</t>
        </is>
      </c>
      <c r="K875" s="11">
        <f>IFERROR(INDEX(Roles!$B$17:$B$20,MATCH(J875,Roles!$A$17:$A$20,0)),1)</f>
        <v/>
      </c>
      <c r="L875" s="18" t="n">
        <v>1</v>
      </c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/>
      <c r="Y875" s="13">
        <f>SUMPRODUCT(M875:X875,$M$2:$X$2)*$K875*$L875</f>
        <v/>
      </c>
      <c r="Z875" s="14">
        <f>SUM(M875:X875)</f>
        <v/>
      </c>
      <c r="AA875" s="13">
        <f>SUMPRODUCT(M875:X875,$M$3:$X$3)*$K875*$L875</f>
        <v/>
      </c>
      <c r="AB875" s="13">
        <f>SUMPRODUCT(M875:X875,$M$4:$X$4)*$K875*$L875</f>
        <v/>
      </c>
      <c r="AC875" s="15">
        <f>SUMPRODUCT(M875:X875,$M$5:$X$5)*$K875*$L875</f>
        <v/>
      </c>
      <c r="AD875" s="15">
        <f>SUMPRODUCT(M875:X875,$M$6:$X$6)*$K875*$L875</f>
        <v/>
      </c>
      <c r="AE875" s="19" t="n"/>
    </row>
    <row r="876">
      <c r="A876" s="9" t="n">
        <v>656412</v>
      </c>
      <c r="B876" s="9" t="inlineStr">
        <is>
          <t>Alex Faedo</t>
        </is>
      </c>
      <c r="C876" s="9" t="inlineStr">
        <is>
          <t>DET</t>
        </is>
      </c>
      <c r="D876" s="9" t="n">
        <v>31</v>
      </c>
      <c r="E876" s="17" t="inlineStr">
        <is>
          <t>R</t>
        </is>
      </c>
      <c r="F876" s="17" t="n"/>
      <c r="G876" s="9" t="n">
        <v>246</v>
      </c>
      <c r="H876" s="9" t="n">
        <v>752</v>
      </c>
      <c r="I876" s="9" t="inlineStr">
        <is>
          <t>Depth (no MLB IP)</t>
        </is>
      </c>
      <c r="J876" s="17" t="inlineStr">
        <is>
          <t>Opening Day</t>
        </is>
      </c>
      <c r="K876" s="11">
        <f>IFERROR(INDEX(Roles!$B$17:$B$20,MATCH(J876,Roles!$A$17:$A$20,0)),1)</f>
        <v/>
      </c>
      <c r="L876" s="18" t="n">
        <v>1</v>
      </c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/>
      <c r="Y876" s="13">
        <f>SUMPRODUCT(M876:X876,$M$2:$X$2)*$K876*$L876</f>
        <v/>
      </c>
      <c r="Z876" s="14">
        <f>SUM(M876:X876)</f>
        <v/>
      </c>
      <c r="AA876" s="13">
        <f>SUMPRODUCT(M876:X876,$M$3:$X$3)*$K876*$L876</f>
        <v/>
      </c>
      <c r="AB876" s="13">
        <f>SUMPRODUCT(M876:X876,$M$4:$X$4)*$K876*$L876</f>
        <v/>
      </c>
      <c r="AC876" s="15">
        <f>SUMPRODUCT(M876:X876,$M$5:$X$5)*$K876*$L876</f>
        <v/>
      </c>
      <c r="AD876" s="15">
        <f>SUMPRODUCT(M876:X876,$M$6:$X$6)*$K876*$L876</f>
        <v/>
      </c>
      <c r="AE876" s="19" t="n"/>
    </row>
    <row r="877">
      <c r="A877" s="9" t="n">
        <v>657697</v>
      </c>
      <c r="B877" s="9" t="inlineStr">
        <is>
          <t>Vinny Nittoli</t>
        </is>
      </c>
      <c r="C877" s="9" t="inlineStr">
        <is>
          <t>BAL</t>
        </is>
      </c>
      <c r="D877" s="9" t="n">
        <v>36</v>
      </c>
      <c r="E877" s="17" t="inlineStr">
        <is>
          <t>R</t>
        </is>
      </c>
      <c r="F877" s="17" t="n"/>
      <c r="G877" s="9" t="n">
        <v>46</v>
      </c>
      <c r="H877" s="9" t="n">
        <v>69</v>
      </c>
      <c r="I877" s="9" t="inlineStr">
        <is>
          <t>Depth (no MLB IP)</t>
        </is>
      </c>
      <c r="J877" s="17" t="inlineStr">
        <is>
          <t>Opening Day</t>
        </is>
      </c>
      <c r="K877" s="11">
        <f>IFERROR(INDEX(Roles!$B$17:$B$20,MATCH(J877,Roles!$A$17:$A$20,0)),1)</f>
        <v/>
      </c>
      <c r="L877" s="18" t="n">
        <v>1</v>
      </c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/>
      <c r="Y877" s="13">
        <f>SUMPRODUCT(M877:X877,$M$2:$X$2)*$K877*$L877</f>
        <v/>
      </c>
      <c r="Z877" s="14">
        <f>SUM(M877:X877)</f>
        <v/>
      </c>
      <c r="AA877" s="13">
        <f>SUMPRODUCT(M877:X877,$M$3:$X$3)*$K877*$L877</f>
        <v/>
      </c>
      <c r="AB877" s="13">
        <f>SUMPRODUCT(M877:X877,$M$4:$X$4)*$K877*$L877</f>
        <v/>
      </c>
      <c r="AC877" s="15">
        <f>SUMPRODUCT(M877:X877,$M$5:$X$5)*$K877*$L877</f>
        <v/>
      </c>
      <c r="AD877" s="15">
        <f>SUMPRODUCT(M877:X877,$M$6:$X$6)*$K877*$L877</f>
        <v/>
      </c>
      <c r="AE877" s="19" t="n"/>
    </row>
    <row r="878">
      <c r="A878" s="9" t="n">
        <v>668338</v>
      </c>
      <c r="B878" s="9" t="inlineStr">
        <is>
          <t>Tyson Miller</t>
        </is>
      </c>
      <c r="C878" s="9" t="inlineStr">
        <is>
          <t>CHC</t>
        </is>
      </c>
      <c r="D878" s="9" t="n">
        <v>31</v>
      </c>
      <c r="E878" s="17" t="inlineStr">
        <is>
          <t>R</t>
        </is>
      </c>
      <c r="F878" s="17" t="n"/>
      <c r="G878" s="9" t="n">
        <v>235</v>
      </c>
      <c r="H878" s="9" t="n">
        <v>355</v>
      </c>
      <c r="I878" s="9" t="inlineStr">
        <is>
          <t>Depth (no MLB IP)</t>
        </is>
      </c>
      <c r="J878" s="17" t="inlineStr">
        <is>
          <t>Opening Day</t>
        </is>
      </c>
      <c r="K878" s="11">
        <f>IFERROR(INDEX(Roles!$B$17:$B$20,MATCH(J878,Roles!$A$17:$A$20,0)),1)</f>
        <v/>
      </c>
      <c r="L878" s="18" t="n">
        <v>1</v>
      </c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/>
      <c r="Y878" s="13">
        <f>SUMPRODUCT(M878:X878,$M$2:$X$2)*$K878*$L878</f>
        <v/>
      </c>
      <c r="Z878" s="14">
        <f>SUM(M878:X878)</f>
        <v/>
      </c>
      <c r="AA878" s="13">
        <f>SUMPRODUCT(M878:X878,$M$3:$X$3)*$K878*$L878</f>
        <v/>
      </c>
      <c r="AB878" s="13">
        <f>SUMPRODUCT(M878:X878,$M$4:$X$4)*$K878*$L878</f>
        <v/>
      </c>
      <c r="AC878" s="15">
        <f>SUMPRODUCT(M878:X878,$M$5:$X$5)*$K878*$L878</f>
        <v/>
      </c>
      <c r="AD878" s="15">
        <f>SUMPRODUCT(M878:X878,$M$6:$X$6)*$K878*$L878</f>
        <v/>
      </c>
      <c r="AE878" s="19" t="n"/>
    </row>
    <row r="879">
      <c r="A879" s="9" t="n">
        <v>681962</v>
      </c>
      <c r="B879" s="9" t="inlineStr">
        <is>
          <t>Vinny Capra</t>
        </is>
      </c>
      <c r="C879" s="9" t="inlineStr"/>
      <c r="D879" s="9" t="n">
        <v>30</v>
      </c>
      <c r="E879" s="17" t="inlineStr">
        <is>
          <t>R</t>
        </is>
      </c>
      <c r="F879" s="17" t="n"/>
      <c r="G879" s="9" t="n">
        <v>15</v>
      </c>
      <c r="H879" s="9" t="n">
        <v>15</v>
      </c>
      <c r="I879" s="9" t="inlineStr">
        <is>
          <t>Depth (no MLB IP)</t>
        </is>
      </c>
      <c r="J879" s="17" t="inlineStr">
        <is>
          <t>Opening Day</t>
        </is>
      </c>
      <c r="K879" s="11">
        <f>IFERROR(INDEX(Roles!$B$17:$B$20,MATCH(J879,Roles!$A$17:$A$20,0)),1)</f>
        <v/>
      </c>
      <c r="L879" s="18" t="n">
        <v>1</v>
      </c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/>
      <c r="Y879" s="13">
        <f>SUMPRODUCT(M879:X879,$M$2:$X$2)*$K879*$L879</f>
        <v/>
      </c>
      <c r="Z879" s="14">
        <f>SUM(M879:X879)</f>
        <v/>
      </c>
      <c r="AA879" s="13">
        <f>SUMPRODUCT(M879:X879,$M$3:$X$3)*$K879*$L879</f>
        <v/>
      </c>
      <c r="AB879" s="13">
        <f>SUMPRODUCT(M879:X879,$M$4:$X$4)*$K879*$L879</f>
        <v/>
      </c>
      <c r="AC879" s="15">
        <f>SUMPRODUCT(M879:X879,$M$5:$X$5)*$K879*$L879</f>
        <v/>
      </c>
      <c r="AD879" s="15">
        <f>SUMPRODUCT(M879:X879,$M$6:$X$6)*$K879*$L879</f>
        <v/>
      </c>
      <c r="AE879" s="19" t="n"/>
    </row>
    <row r="880">
      <c r="A880" s="9" t="n">
        <v>676801</v>
      </c>
      <c r="B880" s="9" t="inlineStr">
        <is>
          <t>Chas McCormick</t>
        </is>
      </c>
      <c r="C880" s="9" t="inlineStr"/>
      <c r="D880" s="9" t="n">
        <v>32</v>
      </c>
      <c r="E880" s="17" t="inlineStr">
        <is>
          <t>L</t>
        </is>
      </c>
      <c r="F880" s="17" t="n"/>
      <c r="G880" s="9" t="n">
        <v>15</v>
      </c>
      <c r="H880" s="9" t="n">
        <v>15</v>
      </c>
      <c r="I880" s="9" t="inlineStr">
        <is>
          <t>Depth (no MLB IP)</t>
        </is>
      </c>
      <c r="J880" s="17" t="inlineStr">
        <is>
          <t>Opening Day</t>
        </is>
      </c>
      <c r="K880" s="11">
        <f>IFERROR(INDEX(Roles!$B$17:$B$20,MATCH(J880,Roles!$A$17:$A$20,0)),1)</f>
        <v/>
      </c>
      <c r="L880" s="18" t="n">
        <v>1</v>
      </c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/>
      <c r="Y880" s="13">
        <f>SUMPRODUCT(M880:X880,$M$2:$X$2)*$K880*$L880</f>
        <v/>
      </c>
      <c r="Z880" s="14">
        <f>SUM(M880:X880)</f>
        <v/>
      </c>
      <c r="AA880" s="13">
        <f>SUMPRODUCT(M880:X880,$M$3:$X$3)*$K880*$L880</f>
        <v/>
      </c>
      <c r="AB880" s="13">
        <f>SUMPRODUCT(M880:X880,$M$4:$X$4)*$K880*$L880</f>
        <v/>
      </c>
      <c r="AC880" s="15">
        <f>SUMPRODUCT(M880:X880,$M$5:$X$5)*$K880*$L880</f>
        <v/>
      </c>
      <c r="AD880" s="15">
        <f>SUMPRODUCT(M880:X880,$M$6:$X$6)*$K880*$L880</f>
        <v/>
      </c>
      <c r="AE880" s="19" t="n"/>
    </row>
    <row r="881">
      <c r="A881" s="9" t="n">
        <v>687074</v>
      </c>
      <c r="B881" s="9" t="inlineStr">
        <is>
          <t>Tyler Owens</t>
        </is>
      </c>
      <c r="C881" s="9" t="inlineStr"/>
      <c r="D881" s="9" t="n">
        <v>26</v>
      </c>
      <c r="E881" s="17" t="inlineStr">
        <is>
          <t>R</t>
        </is>
      </c>
      <c r="F881" s="17" t="n"/>
      <c r="G881" s="9" t="n">
        <v>15</v>
      </c>
      <c r="H881" s="9" t="n">
        <v>15</v>
      </c>
      <c r="I881" s="9" t="inlineStr">
        <is>
          <t>Depth (no MLB IP)</t>
        </is>
      </c>
      <c r="J881" s="17" t="inlineStr">
        <is>
          <t>Opening Day</t>
        </is>
      </c>
      <c r="K881" s="11">
        <f>IFERROR(INDEX(Roles!$B$17:$B$20,MATCH(J881,Roles!$A$17:$A$20,0)),1)</f>
        <v/>
      </c>
      <c r="L881" s="18" t="n">
        <v>1</v>
      </c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/>
      <c r="Y881" s="13">
        <f>SUMPRODUCT(M881:X881,$M$2:$X$2)*$K881*$L881</f>
        <v/>
      </c>
      <c r="Z881" s="14">
        <f>SUM(M881:X881)</f>
        <v/>
      </c>
      <c r="AA881" s="13">
        <f>SUMPRODUCT(M881:X881,$M$3:$X$3)*$K881*$L881</f>
        <v/>
      </c>
      <c r="AB881" s="13">
        <f>SUMPRODUCT(M881:X881,$M$4:$X$4)*$K881*$L881</f>
        <v/>
      </c>
      <c r="AC881" s="15">
        <f>SUMPRODUCT(M881:X881,$M$5:$X$5)*$K881*$L881</f>
        <v/>
      </c>
      <c r="AD881" s="15">
        <f>SUMPRODUCT(M881:X881,$M$6:$X$6)*$K881*$L881</f>
        <v/>
      </c>
      <c r="AE881" s="19" t="n"/>
    </row>
    <row r="882">
      <c r="A882" s="9" t="n">
        <v>571616</v>
      </c>
      <c r="B882" s="9" t="inlineStr">
        <is>
          <t>Matt Dermody</t>
        </is>
      </c>
      <c r="C882" s="9" t="inlineStr"/>
      <c r="D882" s="9" t="n">
        <v>36</v>
      </c>
      <c r="E882" s="17" t="inlineStr">
        <is>
          <t>L</t>
        </is>
      </c>
      <c r="F882" s="17" t="n"/>
      <c r="G882" s="9" t="n">
        <v>17</v>
      </c>
      <c r="H882" s="9" t="n">
        <v>24</v>
      </c>
      <c r="I882" s="9" t="inlineStr">
        <is>
          <t>Depth (no MLB IP)</t>
        </is>
      </c>
      <c r="J882" s="17" t="inlineStr">
        <is>
          <t>Opening Day</t>
        </is>
      </c>
      <c r="K882" s="11">
        <f>IFERROR(INDEX(Roles!$B$17:$B$20,MATCH(J882,Roles!$A$17:$A$20,0)),1)</f>
        <v/>
      </c>
      <c r="L882" s="18" t="n">
        <v>1</v>
      </c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/>
      <c r="Y882" s="13">
        <f>SUMPRODUCT(M882:X882,$M$2:$X$2)*$K882*$L882</f>
        <v/>
      </c>
      <c r="Z882" s="14">
        <f>SUM(M882:X882)</f>
        <v/>
      </c>
      <c r="AA882" s="13">
        <f>SUMPRODUCT(M882:X882,$M$3:$X$3)*$K882*$L882</f>
        <v/>
      </c>
      <c r="AB882" s="13">
        <f>SUMPRODUCT(M882:X882,$M$4:$X$4)*$K882*$L882</f>
        <v/>
      </c>
      <c r="AC882" s="15">
        <f>SUMPRODUCT(M882:X882,$M$5:$X$5)*$K882*$L882</f>
        <v/>
      </c>
      <c r="AD882" s="15">
        <f>SUMPRODUCT(M882:X882,$M$6:$X$6)*$K882*$L882</f>
        <v/>
      </c>
      <c r="AE882" s="19" t="n"/>
    </row>
    <row r="883">
      <c r="A883" s="9" t="n">
        <v>670042</v>
      </c>
      <c r="B883" s="9" t="inlineStr">
        <is>
          <t>Luke Raley</t>
        </is>
      </c>
      <c r="C883" s="9" t="inlineStr"/>
      <c r="D883" s="9" t="n">
        <v>32</v>
      </c>
      <c r="E883" s="17" t="inlineStr">
        <is>
          <t>R</t>
        </is>
      </c>
      <c r="F883" s="17" t="n"/>
      <c r="G883" s="9" t="n">
        <v>19</v>
      </c>
      <c r="H883" s="9" t="n">
        <v>19</v>
      </c>
      <c r="I883" s="9" t="inlineStr">
        <is>
          <t>Depth (no MLB IP)</t>
        </is>
      </c>
      <c r="J883" s="17" t="inlineStr">
        <is>
          <t>Opening Day</t>
        </is>
      </c>
      <c r="K883" s="11">
        <f>IFERROR(INDEX(Roles!$B$17:$B$20,MATCH(J883,Roles!$A$17:$A$20,0)),1)</f>
        <v/>
      </c>
      <c r="L883" s="18" t="n">
        <v>1</v>
      </c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/>
      <c r="Y883" s="13">
        <f>SUMPRODUCT(M883:X883,$M$2:$X$2)*$K883*$L883</f>
        <v/>
      </c>
      <c r="Z883" s="14">
        <f>SUM(M883:X883)</f>
        <v/>
      </c>
      <c r="AA883" s="13">
        <f>SUMPRODUCT(M883:X883,$M$3:$X$3)*$K883*$L883</f>
        <v/>
      </c>
      <c r="AB883" s="13">
        <f>SUMPRODUCT(M883:X883,$M$4:$X$4)*$K883*$L883</f>
        <v/>
      </c>
      <c r="AC883" s="15">
        <f>SUMPRODUCT(M883:X883,$M$5:$X$5)*$K883*$L883</f>
        <v/>
      </c>
      <c r="AD883" s="15">
        <f>SUMPRODUCT(M883:X883,$M$6:$X$6)*$K883*$L883</f>
        <v/>
      </c>
      <c r="AE883" s="19" t="n"/>
    </row>
    <row r="884">
      <c r="A884" s="9" t="n">
        <v>663630</v>
      </c>
      <c r="B884" s="9" t="inlineStr">
        <is>
          <t>Ryan McKenna</t>
        </is>
      </c>
      <c r="C884" s="9" t="inlineStr"/>
      <c r="D884" s="9" t="n">
        <v>30</v>
      </c>
      <c r="E884" s="17" t="inlineStr">
        <is>
          <t>R</t>
        </is>
      </c>
      <c r="F884" s="17" t="n"/>
      <c r="G884" s="9" t="n">
        <v>6</v>
      </c>
      <c r="H884" s="9" t="n">
        <v>16</v>
      </c>
      <c r="I884" s="9" t="inlineStr">
        <is>
          <t>Depth (no MLB IP)</t>
        </is>
      </c>
      <c r="J884" s="17" t="inlineStr">
        <is>
          <t>Opening Day</t>
        </is>
      </c>
      <c r="K884" s="11">
        <f>IFERROR(INDEX(Roles!$B$17:$B$20,MATCH(J884,Roles!$A$17:$A$20,0)),1)</f>
        <v/>
      </c>
      <c r="L884" s="18" t="n">
        <v>1</v>
      </c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/>
      <c r="Y884" s="13">
        <f>SUMPRODUCT(M884:X884,$M$2:$X$2)*$K884*$L884</f>
        <v/>
      </c>
      <c r="Z884" s="14">
        <f>SUM(M884:X884)</f>
        <v/>
      </c>
      <c r="AA884" s="13">
        <f>SUMPRODUCT(M884:X884,$M$3:$X$3)*$K884*$L884</f>
        <v/>
      </c>
      <c r="AB884" s="13">
        <f>SUMPRODUCT(M884:X884,$M$4:$X$4)*$K884*$L884</f>
        <v/>
      </c>
      <c r="AC884" s="15">
        <f>SUMPRODUCT(M884:X884,$M$5:$X$5)*$K884*$L884</f>
        <v/>
      </c>
      <c r="AD884" s="15">
        <f>SUMPRODUCT(M884:X884,$M$6:$X$6)*$K884*$L884</f>
        <v/>
      </c>
      <c r="AE884" s="19" t="n"/>
    </row>
    <row r="885">
      <c r="A885" s="9" t="n">
        <v>656814</v>
      </c>
      <c r="B885" s="9" t="inlineStr">
        <is>
          <t>Luis Ortiz</t>
        </is>
      </c>
      <c r="C885" s="9" t="inlineStr">
        <is>
          <t>PHI</t>
        </is>
      </c>
      <c r="D885" s="9" t="n">
        <v>31</v>
      </c>
      <c r="E885" s="17" t="inlineStr">
        <is>
          <t>R</t>
        </is>
      </c>
      <c r="F885" s="17" t="n"/>
      <c r="G885" s="9" t="n">
        <v>4</v>
      </c>
      <c r="H885" s="9" t="n">
        <v>117</v>
      </c>
      <c r="I885" s="9" t="inlineStr">
        <is>
          <t>Depth (no MLB IP)</t>
        </is>
      </c>
      <c r="J885" s="17" t="inlineStr">
        <is>
          <t>Opening Day</t>
        </is>
      </c>
      <c r="K885" s="11">
        <f>IFERROR(INDEX(Roles!$B$17:$B$20,MATCH(J885,Roles!$A$17:$A$20,0)),1)</f>
        <v/>
      </c>
      <c r="L885" s="18" t="n">
        <v>1</v>
      </c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/>
      <c r="Y885" s="13">
        <f>SUMPRODUCT(M885:X885,$M$2:$X$2)*$K885*$L885</f>
        <v/>
      </c>
      <c r="Z885" s="14">
        <f>SUM(M885:X885)</f>
        <v/>
      </c>
      <c r="AA885" s="13">
        <f>SUMPRODUCT(M885:X885,$M$3:$X$3)*$K885*$L885</f>
        <v/>
      </c>
      <c r="AB885" s="13">
        <f>SUMPRODUCT(M885:X885,$M$4:$X$4)*$K885*$L885</f>
        <v/>
      </c>
      <c r="AC885" s="15">
        <f>SUMPRODUCT(M885:X885,$M$5:$X$5)*$K885*$L885</f>
        <v/>
      </c>
      <c r="AD885" s="15">
        <f>SUMPRODUCT(M885:X885,$M$6:$X$6)*$K885*$L885</f>
        <v/>
      </c>
      <c r="AE885" s="19" t="n"/>
    </row>
    <row r="886">
      <c r="A886" s="9" t="n">
        <v>623433</v>
      </c>
      <c r="B886" s="9" t="inlineStr">
        <is>
          <t>Nick Anderson</t>
        </is>
      </c>
      <c r="C886" s="9" t="inlineStr">
        <is>
          <t>COL</t>
        </is>
      </c>
      <c r="D886" s="9" t="n">
        <v>36</v>
      </c>
      <c r="E886" s="17" t="inlineStr">
        <is>
          <t>R</t>
        </is>
      </c>
      <c r="F886" s="17" t="n"/>
      <c r="G886" s="9" t="n">
        <v>61</v>
      </c>
      <c r="H886" s="9" t="n">
        <v>355</v>
      </c>
      <c r="I886" s="9" t="inlineStr">
        <is>
          <t>Bullpen Depth Arm</t>
        </is>
      </c>
      <c r="J886" s="17" t="inlineStr">
        <is>
          <t>Opening Day</t>
        </is>
      </c>
      <c r="K886" s="11">
        <f>IFERROR(INDEX(Roles!$B$17:$B$20,MATCH(J886,Roles!$A$17:$A$20,0)),1)</f>
        <v/>
      </c>
      <c r="L886" s="18" t="n">
        <v>1</v>
      </c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/>
      <c r="Y886" s="13">
        <f>SUMPRODUCT(M886:X886,$M$2:$X$2)*$K886*$L886</f>
        <v/>
      </c>
      <c r="Z886" s="14">
        <f>SUM(M886:X886)</f>
        <v/>
      </c>
      <c r="AA886" s="13">
        <f>SUMPRODUCT(M886:X886,$M$3:$X$3)*$K886*$L886</f>
        <v/>
      </c>
      <c r="AB886" s="13">
        <f>SUMPRODUCT(M886:X886,$M$4:$X$4)*$K886*$L886</f>
        <v/>
      </c>
      <c r="AC886" s="15">
        <f>SUMPRODUCT(M886:X886,$M$5:$X$5)*$K886*$L886</f>
        <v/>
      </c>
      <c r="AD886" s="15">
        <f>SUMPRODUCT(M886:X886,$M$6:$X$6)*$K886*$L886</f>
        <v/>
      </c>
      <c r="AE886" s="19" t="n"/>
    </row>
    <row r="887">
      <c r="A887" s="9" t="n">
        <v>656288</v>
      </c>
      <c r="B887" s="9" t="inlineStr">
        <is>
          <t>Griffin Canning</t>
        </is>
      </c>
      <c r="C887" s="9" t="inlineStr">
        <is>
          <t>SD</t>
        </is>
      </c>
      <c r="D887" s="9" t="n">
        <v>31</v>
      </c>
      <c r="E887" s="17" t="inlineStr">
        <is>
          <t>R</t>
        </is>
      </c>
      <c r="F887" s="17" t="n"/>
      <c r="G887" s="9" t="n">
        <v>356</v>
      </c>
      <c r="H887" s="9" t="n">
        <v>1959</v>
      </c>
      <c r="I887" s="9" t="inlineStr">
        <is>
          <t>End-of-Rotation Starter (SP4-5)</t>
        </is>
      </c>
      <c r="J887" s="17" t="inlineStr">
        <is>
          <t>Opening Day</t>
        </is>
      </c>
      <c r="K887" s="11">
        <f>IFERROR(INDEX(Roles!$B$17:$B$20,MATCH(J887,Roles!$A$17:$A$20,0)),1)</f>
        <v/>
      </c>
      <c r="L887" s="18" t="n">
        <v>1</v>
      </c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/>
      <c r="Y887" s="13">
        <f>SUMPRODUCT(M887:X887,$M$2:$X$2)*$K887*$L887</f>
        <v/>
      </c>
      <c r="Z887" s="14">
        <f>SUM(M887:X887)</f>
        <v/>
      </c>
      <c r="AA887" s="13">
        <f>SUMPRODUCT(M887:X887,$M$3:$X$3)*$K887*$L887</f>
        <v/>
      </c>
      <c r="AB887" s="13">
        <f>SUMPRODUCT(M887:X887,$M$4:$X$4)*$K887*$L887</f>
        <v/>
      </c>
      <c r="AC887" s="15">
        <f>SUMPRODUCT(M887:X887,$M$5:$X$5)*$K887*$L887</f>
        <v/>
      </c>
      <c r="AD887" s="15">
        <f>SUMPRODUCT(M887:X887,$M$6:$X$6)*$K887*$L887</f>
        <v/>
      </c>
      <c r="AE887" s="19" t="n"/>
    </row>
    <row r="888">
      <c r="A888" s="9" t="n">
        <v>687060</v>
      </c>
      <c r="B888" s="9" t="inlineStr">
        <is>
          <t>Blake Adams</t>
        </is>
      </c>
      <c r="C888" s="9" t="inlineStr"/>
      <c r="D888" s="9" t="n">
        <v>26</v>
      </c>
      <c r="E888" s="17" t="inlineStr">
        <is>
          <t>R</t>
        </is>
      </c>
      <c r="F888" s="17" t="n"/>
      <c r="G888" s="9" t="n">
        <v>9</v>
      </c>
      <c r="H888" s="9" t="n">
        <v>9</v>
      </c>
      <c r="I888" s="9" t="inlineStr">
        <is>
          <t>Depth (no MLB IP)</t>
        </is>
      </c>
      <c r="J888" s="17" t="inlineStr">
        <is>
          <t>Opening Day</t>
        </is>
      </c>
      <c r="K888" s="11">
        <f>IFERROR(INDEX(Roles!$B$17:$B$20,MATCH(J888,Roles!$A$17:$A$20,0)),1)</f>
        <v/>
      </c>
      <c r="L888" s="18" t="n">
        <v>1</v>
      </c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/>
      <c r="Y888" s="13">
        <f>SUMPRODUCT(M888:X888,$M$2:$X$2)*$K888*$L888</f>
        <v/>
      </c>
      <c r="Z888" s="14">
        <f>SUM(M888:X888)</f>
        <v/>
      </c>
      <c r="AA888" s="13">
        <f>SUMPRODUCT(M888:X888,$M$3:$X$3)*$K888*$L888</f>
        <v/>
      </c>
      <c r="AB888" s="13">
        <f>SUMPRODUCT(M888:X888,$M$4:$X$4)*$K888*$L888</f>
        <v/>
      </c>
      <c r="AC888" s="15">
        <f>SUMPRODUCT(M888:X888,$M$5:$X$5)*$K888*$L888</f>
        <v/>
      </c>
      <c r="AD888" s="15">
        <f>SUMPRODUCT(M888:X888,$M$6:$X$6)*$K888*$L888</f>
        <v/>
      </c>
      <c r="AE888" s="19" t="n"/>
    </row>
    <row r="889">
      <c r="A889" s="9" t="n">
        <v>671083</v>
      </c>
      <c r="B889" s="9" t="inlineStr">
        <is>
          <t>Buddy Kennedy</t>
        </is>
      </c>
      <c r="C889" s="9" t="inlineStr"/>
      <c r="D889" s="9" t="n">
        <v>28</v>
      </c>
      <c r="E889" s="17" t="inlineStr">
        <is>
          <t>R</t>
        </is>
      </c>
      <c r="F889" s="17" t="n"/>
      <c r="G889" s="9" t="n">
        <v>9</v>
      </c>
      <c r="H889" s="9" t="n">
        <v>9</v>
      </c>
      <c r="I889" s="9" t="inlineStr">
        <is>
          <t>Depth (no MLB IP)</t>
        </is>
      </c>
      <c r="J889" s="17" t="inlineStr">
        <is>
          <t>Opening Day</t>
        </is>
      </c>
      <c r="K889" s="11">
        <f>IFERROR(INDEX(Roles!$B$17:$B$20,MATCH(J889,Roles!$A$17:$A$20,0)),1)</f>
        <v/>
      </c>
      <c r="L889" s="18" t="n">
        <v>1</v>
      </c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/>
      <c r="Y889" s="13">
        <f>SUMPRODUCT(M889:X889,$M$2:$X$2)*$K889*$L889</f>
        <v/>
      </c>
      <c r="Z889" s="14">
        <f>SUM(M889:X889)</f>
        <v/>
      </c>
      <c r="AA889" s="13">
        <f>SUMPRODUCT(M889:X889,$M$3:$X$3)*$K889*$L889</f>
        <v/>
      </c>
      <c r="AB889" s="13">
        <f>SUMPRODUCT(M889:X889,$M$4:$X$4)*$K889*$L889</f>
        <v/>
      </c>
      <c r="AC889" s="15">
        <f>SUMPRODUCT(M889:X889,$M$5:$X$5)*$K889*$L889</f>
        <v/>
      </c>
      <c r="AD889" s="15">
        <f>SUMPRODUCT(M889:X889,$M$6:$X$6)*$K889*$L889</f>
        <v/>
      </c>
      <c r="AE889" s="19" t="n"/>
    </row>
    <row r="890">
      <c r="A890" s="9" t="n">
        <v>687859</v>
      </c>
      <c r="B890" s="9" t="inlineStr">
        <is>
          <t>Troy Johnston</t>
        </is>
      </c>
      <c r="C890" s="9" t="inlineStr"/>
      <c r="D890" s="9" t="n">
        <v>30</v>
      </c>
      <c r="E890" s="17" t="inlineStr">
        <is>
          <t>L</t>
        </is>
      </c>
      <c r="F890" s="17" t="n"/>
      <c r="G890" s="9" t="n">
        <v>9</v>
      </c>
      <c r="H890" s="9" t="n">
        <v>9</v>
      </c>
      <c r="I890" s="9" t="inlineStr">
        <is>
          <t>Depth (no MLB IP)</t>
        </is>
      </c>
      <c r="J890" s="17" t="inlineStr">
        <is>
          <t>Opening Day</t>
        </is>
      </c>
      <c r="K890" s="11">
        <f>IFERROR(INDEX(Roles!$B$17:$B$20,MATCH(J890,Roles!$A$17:$A$20,0)),1)</f>
        <v/>
      </c>
      <c r="L890" s="18" t="n">
        <v>1</v>
      </c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/>
      <c r="Y890" s="13">
        <f>SUMPRODUCT(M890:X890,$M$2:$X$2)*$K890*$L890</f>
        <v/>
      </c>
      <c r="Z890" s="14">
        <f>SUM(M890:X890)</f>
        <v/>
      </c>
      <c r="AA890" s="13">
        <f>SUMPRODUCT(M890:X890,$M$3:$X$3)*$K890*$L890</f>
        <v/>
      </c>
      <c r="AB890" s="13">
        <f>SUMPRODUCT(M890:X890,$M$4:$X$4)*$K890*$L890</f>
        <v/>
      </c>
      <c r="AC890" s="15">
        <f>SUMPRODUCT(M890:X890,$M$5:$X$5)*$K890*$L890</f>
        <v/>
      </c>
      <c r="AD890" s="15">
        <f>SUMPRODUCT(M890:X890,$M$6:$X$6)*$K890*$L890</f>
        <v/>
      </c>
      <c r="AE890" s="19" t="n"/>
    </row>
    <row r="891">
      <c r="A891" s="9" t="n">
        <v>645302</v>
      </c>
      <c r="B891" s="9" t="inlineStr">
        <is>
          <t>Victor Robles</t>
        </is>
      </c>
      <c r="C891" s="9" t="inlineStr"/>
      <c r="D891" s="9" t="n">
        <v>30</v>
      </c>
      <c r="E891" s="17" t="inlineStr">
        <is>
          <t>R</t>
        </is>
      </c>
      <c r="F891" s="17" t="n"/>
      <c r="G891" s="9" t="n">
        <v>9</v>
      </c>
      <c r="H891" s="9" t="n">
        <v>9</v>
      </c>
      <c r="I891" s="9" t="inlineStr">
        <is>
          <t>Depth (no MLB IP)</t>
        </is>
      </c>
      <c r="J891" s="17" t="inlineStr">
        <is>
          <t>Opening Day</t>
        </is>
      </c>
      <c r="K891" s="11">
        <f>IFERROR(INDEX(Roles!$B$17:$B$20,MATCH(J891,Roles!$A$17:$A$20,0)),1)</f>
        <v/>
      </c>
      <c r="L891" s="18" t="n">
        <v>1</v>
      </c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/>
      <c r="Y891" s="13">
        <f>SUMPRODUCT(M891:X891,$M$2:$X$2)*$K891*$L891</f>
        <v/>
      </c>
      <c r="Z891" s="14">
        <f>SUM(M891:X891)</f>
        <v/>
      </c>
      <c r="AA891" s="13">
        <f>SUMPRODUCT(M891:X891,$M$3:$X$3)*$K891*$L891</f>
        <v/>
      </c>
      <c r="AB891" s="13">
        <f>SUMPRODUCT(M891:X891,$M$4:$X$4)*$K891*$L891</f>
        <v/>
      </c>
      <c r="AC891" s="15">
        <f>SUMPRODUCT(M891:X891,$M$5:$X$5)*$K891*$L891</f>
        <v/>
      </c>
      <c r="AD891" s="15">
        <f>SUMPRODUCT(M891:X891,$M$6:$X$6)*$K891*$L891</f>
        <v/>
      </c>
      <c r="AE891" s="19" t="n"/>
    </row>
    <row r="892">
      <c r="A892" s="9" t="n">
        <v>677958</v>
      </c>
      <c r="B892" s="9" t="inlineStr">
        <is>
          <t>Kumar Rocker</t>
        </is>
      </c>
      <c r="C892" s="9" t="inlineStr">
        <is>
          <t>TEX</t>
        </is>
      </c>
      <c r="D892" s="9" t="n">
        <v>27</v>
      </c>
      <c r="E892" s="17" t="inlineStr">
        <is>
          <t>R</t>
        </is>
      </c>
      <c r="F892" s="17" t="n"/>
      <c r="G892" s="9" t="n">
        <v>609</v>
      </c>
      <c r="H892" s="9" t="n">
        <v>951</v>
      </c>
      <c r="I892" s="9" t="inlineStr">
        <is>
          <t>End-of-Rotation Starter (SP4-5)</t>
        </is>
      </c>
      <c r="J892" s="17" t="inlineStr">
        <is>
          <t>Opening Day</t>
        </is>
      </c>
      <c r="K892" s="11">
        <f>IFERROR(INDEX(Roles!$B$17:$B$20,MATCH(J892,Roles!$A$17:$A$20,0)),1)</f>
        <v/>
      </c>
      <c r="L892" s="18" t="n">
        <v>1</v>
      </c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/>
      <c r="Y892" s="13">
        <f>SUMPRODUCT(M892:X892,$M$2:$X$2)*$K892*$L892</f>
        <v/>
      </c>
      <c r="Z892" s="14">
        <f>SUM(M892:X892)</f>
        <v/>
      </c>
      <c r="AA892" s="13">
        <f>SUMPRODUCT(M892:X892,$M$3:$X$3)*$K892*$L892</f>
        <v/>
      </c>
      <c r="AB892" s="13">
        <f>SUMPRODUCT(M892:X892,$M$4:$X$4)*$K892*$L892</f>
        <v/>
      </c>
      <c r="AC892" s="15">
        <f>SUMPRODUCT(M892:X892,$M$5:$X$5)*$K892*$L892</f>
        <v/>
      </c>
      <c r="AD892" s="15">
        <f>SUMPRODUCT(M892:X892,$M$6:$X$6)*$K892*$L892</f>
        <v/>
      </c>
      <c r="AE892" s="19" t="n"/>
    </row>
    <row r="893">
      <c r="A893" s="9" t="n">
        <v>679883</v>
      </c>
      <c r="B893" s="9" t="inlineStr">
        <is>
          <t>Luinder Avila</t>
        </is>
      </c>
      <c r="C893" s="9" t="inlineStr">
        <is>
          <t>KC</t>
        </is>
      </c>
      <c r="D893" s="9" t="n">
        <v>25</v>
      </c>
      <c r="E893" s="17" t="inlineStr">
        <is>
          <t>R</t>
        </is>
      </c>
      <c r="F893" s="17" t="n"/>
      <c r="G893" s="9" t="n">
        <v>309</v>
      </c>
      <c r="H893" s="9" t="n">
        <v>365</v>
      </c>
      <c r="I893" s="9" t="inlineStr">
        <is>
          <t>Bullpen Depth Arm</t>
        </is>
      </c>
      <c r="J893" s="17" t="inlineStr">
        <is>
          <t>Opening Day</t>
        </is>
      </c>
      <c r="K893" s="11">
        <f>IFERROR(INDEX(Roles!$B$17:$B$20,MATCH(J893,Roles!$A$17:$A$20,0)),1)</f>
        <v/>
      </c>
      <c r="L893" s="18" t="n">
        <v>1</v>
      </c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/>
      <c r="Y893" s="13">
        <f>SUMPRODUCT(M893:X893,$M$2:$X$2)*$K893*$L893</f>
        <v/>
      </c>
      <c r="Z893" s="14">
        <f>SUM(M893:X893)</f>
        <v/>
      </c>
      <c r="AA893" s="13">
        <f>SUMPRODUCT(M893:X893,$M$3:$X$3)*$K893*$L893</f>
        <v/>
      </c>
      <c r="AB893" s="13">
        <f>SUMPRODUCT(M893:X893,$M$4:$X$4)*$K893*$L893</f>
        <v/>
      </c>
      <c r="AC893" s="15">
        <f>SUMPRODUCT(M893:X893,$M$5:$X$5)*$K893*$L893</f>
        <v/>
      </c>
      <c r="AD893" s="15">
        <f>SUMPRODUCT(M893:X893,$M$6:$X$6)*$K893*$L893</f>
        <v/>
      </c>
      <c r="AE893" s="19" t="n"/>
    </row>
    <row r="894">
      <c r="A894" s="9" t="n">
        <v>664948</v>
      </c>
      <c r="B894" s="9" t="inlineStr">
        <is>
          <t>Anthony Misiewicz</t>
        </is>
      </c>
      <c r="C894" s="9" t="inlineStr">
        <is>
          <t>NYY</t>
        </is>
      </c>
      <c r="D894" s="9" t="n">
        <v>32</v>
      </c>
      <c r="E894" s="17" t="inlineStr">
        <is>
          <t>L</t>
        </is>
      </c>
      <c r="F894" s="17" t="n"/>
      <c r="G894" s="9" t="n">
        <v>23</v>
      </c>
      <c r="H894" s="9" t="n">
        <v>205</v>
      </c>
      <c r="I894" s="9" t="inlineStr">
        <is>
          <t>Depth (no MLB IP)</t>
        </is>
      </c>
      <c r="J894" s="17" t="inlineStr">
        <is>
          <t>Opening Day</t>
        </is>
      </c>
      <c r="K894" s="11">
        <f>IFERROR(INDEX(Roles!$B$17:$B$20,MATCH(J894,Roles!$A$17:$A$20,0)),1)</f>
        <v/>
      </c>
      <c r="L894" s="18" t="n">
        <v>1</v>
      </c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/>
      <c r="Y894" s="13">
        <f>SUMPRODUCT(M894:X894,$M$2:$X$2)*$K894*$L894</f>
        <v/>
      </c>
      <c r="Z894" s="14">
        <f>SUM(M894:X894)</f>
        <v/>
      </c>
      <c r="AA894" s="13">
        <f>SUMPRODUCT(M894:X894,$M$3:$X$3)*$K894*$L894</f>
        <v/>
      </c>
      <c r="AB894" s="13">
        <f>SUMPRODUCT(M894:X894,$M$4:$X$4)*$K894*$L894</f>
        <v/>
      </c>
      <c r="AC894" s="15">
        <f>SUMPRODUCT(M894:X894,$M$5:$X$5)*$K894*$L894</f>
        <v/>
      </c>
      <c r="AD894" s="15">
        <f>SUMPRODUCT(M894:X894,$M$6:$X$6)*$K894*$L894</f>
        <v/>
      </c>
      <c r="AE894" s="19" t="n"/>
    </row>
    <row r="895">
      <c r="A895" s="9" t="n">
        <v>656222</v>
      </c>
      <c r="B895" s="9" t="inlineStr">
        <is>
          <t>Jalen Beeks</t>
        </is>
      </c>
      <c r="C895" s="9" t="inlineStr">
        <is>
          <t>TEX</t>
        </is>
      </c>
      <c r="D895" s="9" t="n">
        <v>33</v>
      </c>
      <c r="E895" s="17" t="inlineStr">
        <is>
          <t>L</t>
        </is>
      </c>
      <c r="F895" s="17" t="n"/>
      <c r="G895" s="9" t="n">
        <v>113</v>
      </c>
      <c r="H895" s="9" t="n">
        <v>1098</v>
      </c>
      <c r="I895" s="9" t="inlineStr">
        <is>
          <t>Bullpen Depth Arm</t>
        </is>
      </c>
      <c r="J895" s="17" t="inlineStr">
        <is>
          <t>Opening Day</t>
        </is>
      </c>
      <c r="K895" s="11">
        <f>IFERROR(INDEX(Roles!$B$17:$B$20,MATCH(J895,Roles!$A$17:$A$20,0)),1)</f>
        <v/>
      </c>
      <c r="L895" s="18" t="n">
        <v>1</v>
      </c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/>
      <c r="Y895" s="13">
        <f>SUMPRODUCT(M895:X895,$M$2:$X$2)*$K895*$L895</f>
        <v/>
      </c>
      <c r="Z895" s="14">
        <f>SUM(M895:X895)</f>
        <v/>
      </c>
      <c r="AA895" s="13">
        <f>SUMPRODUCT(M895:X895,$M$3:$X$3)*$K895*$L895</f>
        <v/>
      </c>
      <c r="AB895" s="13">
        <f>SUMPRODUCT(M895:X895,$M$4:$X$4)*$K895*$L895</f>
        <v/>
      </c>
      <c r="AC895" s="15">
        <f>SUMPRODUCT(M895:X895,$M$5:$X$5)*$K895*$L895</f>
        <v/>
      </c>
      <c r="AD895" s="15">
        <f>SUMPRODUCT(M895:X895,$M$6:$X$6)*$K895*$L895</f>
        <v/>
      </c>
      <c r="AE895" s="19" t="n"/>
    </row>
    <row r="896">
      <c r="A896" s="9" t="n">
        <v>807739</v>
      </c>
      <c r="B896" s="9" t="inlineStr">
        <is>
          <t>Kade Anderson</t>
        </is>
      </c>
      <c r="C896" s="9" t="inlineStr">
        <is>
          <t>SEA</t>
        </is>
      </c>
      <c r="D896" s="9" t="n">
        <v>22</v>
      </c>
      <c r="E896" s="17" t="inlineStr">
        <is>
          <t>L</t>
        </is>
      </c>
      <c r="F896" s="17" t="n"/>
      <c r="G896" s="9" t="n">
        <v>107</v>
      </c>
      <c r="H896" s="9" t="n">
        <v>107</v>
      </c>
      <c r="I896" s="9" t="inlineStr">
        <is>
          <t>Mid-Rotation Starter (SP2-3)</t>
        </is>
      </c>
      <c r="J896" s="17" t="inlineStr">
        <is>
          <t>Opening Day</t>
        </is>
      </c>
      <c r="K896" s="11">
        <f>IFERROR(INDEX(Roles!$B$17:$B$20,MATCH(J896,Roles!$A$17:$A$20,0)),1)</f>
        <v/>
      </c>
      <c r="L896" s="18" t="n">
        <v>1</v>
      </c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/>
      <c r="Y896" s="13">
        <f>SUMPRODUCT(M896:X896,$M$2:$X$2)*$K896*$L896</f>
        <v/>
      </c>
      <c r="Z896" s="14">
        <f>SUM(M896:X896)</f>
        <v/>
      </c>
      <c r="AA896" s="13">
        <f>SUMPRODUCT(M896:X896,$M$3:$X$3)*$K896*$L896</f>
        <v/>
      </c>
      <c r="AB896" s="13">
        <f>SUMPRODUCT(M896:X896,$M$4:$X$4)*$K896*$L896</f>
        <v/>
      </c>
      <c r="AC896" s="15">
        <f>SUMPRODUCT(M896:X896,$M$5:$X$5)*$K896*$L896</f>
        <v/>
      </c>
      <c r="AD896" s="15">
        <f>SUMPRODUCT(M896:X896,$M$6:$X$6)*$K896*$L896</f>
        <v/>
      </c>
      <c r="AE896" s="19" t="n"/>
    </row>
    <row r="897">
      <c r="A897" s="9" t="n">
        <v>605135</v>
      </c>
      <c r="B897" s="9" t="inlineStr">
        <is>
          <t>Chris Bassitt</t>
        </is>
      </c>
      <c r="C897" s="9" t="inlineStr">
        <is>
          <t>BAL</t>
        </is>
      </c>
      <c r="D897" s="9" t="n">
        <v>38</v>
      </c>
      <c r="E897" s="17" t="inlineStr">
        <is>
          <t>R</t>
        </is>
      </c>
      <c r="F897" s="17" t="n"/>
      <c r="G897" s="9" t="n">
        <v>438</v>
      </c>
      <c r="H897" s="9" t="n">
        <v>3503</v>
      </c>
      <c r="I897" s="9" t="inlineStr">
        <is>
          <t>Mid-Rotation Starter (SP2-3)</t>
        </is>
      </c>
      <c r="J897" s="17" t="inlineStr">
        <is>
          <t>Opening Day</t>
        </is>
      </c>
      <c r="K897" s="11">
        <f>IFERROR(INDEX(Roles!$B$17:$B$20,MATCH(J897,Roles!$A$17:$A$20,0)),1)</f>
        <v/>
      </c>
      <c r="L897" s="18" t="n">
        <v>1</v>
      </c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/>
      <c r="Y897" s="13">
        <f>SUMPRODUCT(M897:X897,$M$2:$X$2)*$K897*$L897</f>
        <v/>
      </c>
      <c r="Z897" s="14">
        <f>SUM(M897:X897)</f>
        <v/>
      </c>
      <c r="AA897" s="13">
        <f>SUMPRODUCT(M897:X897,$M$3:$X$3)*$K897*$L897</f>
        <v/>
      </c>
      <c r="AB897" s="13">
        <f>SUMPRODUCT(M897:X897,$M$4:$X$4)*$K897*$L897</f>
        <v/>
      </c>
      <c r="AC897" s="15">
        <f>SUMPRODUCT(M897:X897,$M$5:$X$5)*$K897*$L897</f>
        <v/>
      </c>
      <c r="AD897" s="15">
        <f>SUMPRODUCT(M897:X897,$M$6:$X$6)*$K897*$L897</f>
        <v/>
      </c>
      <c r="AE897" s="19" t="n"/>
    </row>
    <row r="898">
      <c r="A898" s="9" t="n">
        <v>608334</v>
      </c>
      <c r="B898" s="9" t="inlineStr">
        <is>
          <t>Carson Fulmer</t>
        </is>
      </c>
      <c r="C898" s="9" t="inlineStr">
        <is>
          <t>LAA</t>
        </is>
      </c>
      <c r="D898" s="9" t="n">
        <v>33</v>
      </c>
      <c r="E898" s="17" t="inlineStr">
        <is>
          <t>R</t>
        </is>
      </c>
      <c r="F898" s="17" t="n"/>
      <c r="G898" s="9" t="n">
        <v>123</v>
      </c>
      <c r="H898" s="9" t="n">
        <v>541</v>
      </c>
      <c r="I898" s="9" t="inlineStr">
        <is>
          <t>Bullpen Depth Arm</t>
        </is>
      </c>
      <c r="J898" s="17" t="inlineStr">
        <is>
          <t>Opening Day</t>
        </is>
      </c>
      <c r="K898" s="11">
        <f>IFERROR(INDEX(Roles!$B$17:$B$20,MATCH(J898,Roles!$A$17:$A$20,0)),1)</f>
        <v/>
      </c>
      <c r="L898" s="18" t="n">
        <v>1</v>
      </c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/>
      <c r="Y898" s="13">
        <f>SUMPRODUCT(M898:X898,$M$2:$X$2)*$K898*$L898</f>
        <v/>
      </c>
      <c r="Z898" s="14">
        <f>SUM(M898:X898)</f>
        <v/>
      </c>
      <c r="AA898" s="13">
        <f>SUMPRODUCT(M898:X898,$M$3:$X$3)*$K898*$L898</f>
        <v/>
      </c>
      <c r="AB898" s="13">
        <f>SUMPRODUCT(M898:X898,$M$4:$X$4)*$K898*$L898</f>
        <v/>
      </c>
      <c r="AC898" s="15">
        <f>SUMPRODUCT(M898:X898,$M$5:$X$5)*$K898*$L898</f>
        <v/>
      </c>
      <c r="AD898" s="15">
        <f>SUMPRODUCT(M898:X898,$M$6:$X$6)*$K898*$L898</f>
        <v/>
      </c>
      <c r="AE898" s="19" t="n"/>
    </row>
    <row r="899">
      <c r="A899" s="9" t="n">
        <v>673858</v>
      </c>
      <c r="B899" s="9" t="inlineStr">
        <is>
          <t>Jake Wong</t>
        </is>
      </c>
      <c r="C899" s="9" t="inlineStr"/>
      <c r="D899" s="9" t="n">
        <v>30</v>
      </c>
      <c r="E899" s="17" t="inlineStr">
        <is>
          <t>R</t>
        </is>
      </c>
      <c r="F899" s="17" t="n"/>
      <c r="G899" s="9" t="n">
        <v>15</v>
      </c>
      <c r="H899" s="9" t="n">
        <v>15</v>
      </c>
      <c r="I899" s="9" t="inlineStr">
        <is>
          <t>Depth (no MLB IP)</t>
        </is>
      </c>
      <c r="J899" s="17" t="inlineStr">
        <is>
          <t>Opening Day</t>
        </is>
      </c>
      <c r="K899" s="11">
        <f>IFERROR(INDEX(Roles!$B$17:$B$20,MATCH(J899,Roles!$A$17:$A$20,0)),1)</f>
        <v/>
      </c>
      <c r="L899" s="18" t="n">
        <v>1</v>
      </c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/>
      <c r="Y899" s="13">
        <f>SUMPRODUCT(M899:X899,$M$2:$X$2)*$K899*$L899</f>
        <v/>
      </c>
      <c r="Z899" s="14">
        <f>SUM(M899:X899)</f>
        <v/>
      </c>
      <c r="AA899" s="13">
        <f>SUMPRODUCT(M899:X899,$M$3:$X$3)*$K899*$L899</f>
        <v/>
      </c>
      <c r="AB899" s="13">
        <f>SUMPRODUCT(M899:X899,$M$4:$X$4)*$K899*$L899</f>
        <v/>
      </c>
      <c r="AC899" s="15">
        <f>SUMPRODUCT(M899:X899,$M$5:$X$5)*$K899*$L899</f>
        <v/>
      </c>
      <c r="AD899" s="15">
        <f>SUMPRODUCT(M899:X899,$M$6:$X$6)*$K899*$L899</f>
        <v/>
      </c>
      <c r="AE899" s="19" t="n"/>
    </row>
    <row r="900">
      <c r="A900" s="9" t="n">
        <v>681402</v>
      </c>
      <c r="B900" s="9" t="inlineStr">
        <is>
          <t>Gus Varland</t>
        </is>
      </c>
      <c r="C900" s="9" t="inlineStr">
        <is>
          <t>WSH</t>
        </is>
      </c>
      <c r="D900" s="9" t="n">
        <v>30</v>
      </c>
      <c r="E900" s="17" t="inlineStr">
        <is>
          <t>R</t>
        </is>
      </c>
      <c r="F900" s="17" t="n"/>
      <c r="G900" s="9" t="n">
        <v>151</v>
      </c>
      <c r="H900" s="9" t="n">
        <v>369</v>
      </c>
      <c r="I900" s="9" t="inlineStr">
        <is>
          <t>Bullpen Depth Arm</t>
        </is>
      </c>
      <c r="J900" s="17" t="inlineStr">
        <is>
          <t>Opening Day</t>
        </is>
      </c>
      <c r="K900" s="11">
        <f>IFERROR(INDEX(Roles!$B$17:$B$20,MATCH(J900,Roles!$A$17:$A$20,0)),1)</f>
        <v/>
      </c>
      <c r="L900" s="18" t="n">
        <v>1</v>
      </c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/>
      <c r="Y900" s="13">
        <f>SUMPRODUCT(M900:X900,$M$2:$X$2)*$K900*$L900</f>
        <v/>
      </c>
      <c r="Z900" s="14">
        <f>SUM(M900:X900)</f>
        <v/>
      </c>
      <c r="AA900" s="13">
        <f>SUMPRODUCT(M900:X900,$M$3:$X$3)*$K900*$L900</f>
        <v/>
      </c>
      <c r="AB900" s="13">
        <f>SUMPRODUCT(M900:X900,$M$4:$X$4)*$K900*$L900</f>
        <v/>
      </c>
      <c r="AC900" s="15">
        <f>SUMPRODUCT(M900:X900,$M$5:$X$5)*$K900*$L900</f>
        <v/>
      </c>
      <c r="AD900" s="15">
        <f>SUMPRODUCT(M900:X900,$M$6:$X$6)*$K900*$L900</f>
        <v/>
      </c>
      <c r="AE900" s="19" t="n"/>
    </row>
    <row r="901">
      <c r="A901" s="9" t="n">
        <v>682967</v>
      </c>
      <c r="B901" s="9" t="inlineStr">
        <is>
          <t>Devin Sweet</t>
        </is>
      </c>
      <c r="C901" s="9" t="inlineStr">
        <is>
          <t>OAK</t>
        </is>
      </c>
      <c r="D901" s="9" t="n">
        <v>30</v>
      </c>
      <c r="E901" s="17" t="inlineStr">
        <is>
          <t>R</t>
        </is>
      </c>
      <c r="F901" s="17" t="n"/>
      <c r="G901" s="9" t="n">
        <v>43</v>
      </c>
      <c r="H901" s="9" t="n">
        <v>43</v>
      </c>
      <c r="I901" s="9" t="inlineStr">
        <is>
          <t>Depth (no MLB IP)</t>
        </is>
      </c>
      <c r="J901" s="17" t="inlineStr">
        <is>
          <t>Opening Day</t>
        </is>
      </c>
      <c r="K901" s="11">
        <f>IFERROR(INDEX(Roles!$B$17:$B$20,MATCH(J901,Roles!$A$17:$A$20,0)),1)</f>
        <v/>
      </c>
      <c r="L901" s="18" t="n">
        <v>1</v>
      </c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/>
      <c r="Y901" s="13">
        <f>SUMPRODUCT(M901:X901,$M$2:$X$2)*$K901*$L901</f>
        <v/>
      </c>
      <c r="Z901" s="14">
        <f>SUM(M901:X901)</f>
        <v/>
      </c>
      <c r="AA901" s="13">
        <f>SUMPRODUCT(M901:X901,$M$3:$X$3)*$K901*$L901</f>
        <v/>
      </c>
      <c r="AB901" s="13">
        <f>SUMPRODUCT(M901:X901,$M$4:$X$4)*$K901*$L901</f>
        <v/>
      </c>
      <c r="AC901" s="15">
        <f>SUMPRODUCT(M901:X901,$M$5:$X$5)*$K901*$L901</f>
        <v/>
      </c>
      <c r="AD901" s="15">
        <f>SUMPRODUCT(M901:X901,$M$6:$X$6)*$K901*$L901</f>
        <v/>
      </c>
      <c r="AE901" s="19" t="n"/>
    </row>
    <row r="902">
      <c r="A902" s="9" t="n">
        <v>642546</v>
      </c>
      <c r="B902" s="9" t="inlineStr">
        <is>
          <t>Jonathan Hernández</t>
        </is>
      </c>
      <c r="C902" s="9" t="inlineStr">
        <is>
          <t>LAD</t>
        </is>
      </c>
      <c r="D902" s="9" t="n">
        <v>30</v>
      </c>
      <c r="E902" s="17" t="inlineStr">
        <is>
          <t>R</t>
        </is>
      </c>
      <c r="F902" s="17" t="n"/>
      <c r="G902" s="9" t="n">
        <v>109</v>
      </c>
      <c r="H902" s="9" t="n">
        <v>579</v>
      </c>
      <c r="I902" s="9" t="inlineStr">
        <is>
          <t>Bullpen Depth Arm</t>
        </is>
      </c>
      <c r="J902" s="17" t="inlineStr">
        <is>
          <t>Opening Day</t>
        </is>
      </c>
      <c r="K902" s="11">
        <f>IFERROR(INDEX(Roles!$B$17:$B$20,MATCH(J902,Roles!$A$17:$A$20,0)),1)</f>
        <v/>
      </c>
      <c r="L902" s="18" t="n">
        <v>1</v>
      </c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/>
      <c r="Y902" s="13">
        <f>SUMPRODUCT(M902:X902,$M$2:$X$2)*$K902*$L902</f>
        <v/>
      </c>
      <c r="Z902" s="14">
        <f>SUM(M902:X902)</f>
        <v/>
      </c>
      <c r="AA902" s="13">
        <f>SUMPRODUCT(M902:X902,$M$3:$X$3)*$K902*$L902</f>
        <v/>
      </c>
      <c r="AB902" s="13">
        <f>SUMPRODUCT(M902:X902,$M$4:$X$4)*$K902*$L902</f>
        <v/>
      </c>
      <c r="AC902" s="15">
        <f>SUMPRODUCT(M902:X902,$M$5:$X$5)*$K902*$L902</f>
        <v/>
      </c>
      <c r="AD902" s="15">
        <f>SUMPRODUCT(M902:X902,$M$6:$X$6)*$K902*$L902</f>
        <v/>
      </c>
      <c r="AE902" s="19" t="n"/>
    </row>
    <row r="903">
      <c r="A903" s="9" t="n">
        <v>814305</v>
      </c>
      <c r="B903" s="9" t="inlineStr">
        <is>
          <t>Yunior Tur</t>
        </is>
      </c>
      <c r="C903" s="9" t="inlineStr">
        <is>
          <t>OAK</t>
        </is>
      </c>
      <c r="D903" s="9" t="n">
        <v>27</v>
      </c>
      <c r="E903" s="17" t="inlineStr">
        <is>
          <t>R</t>
        </is>
      </c>
      <c r="F903" s="17" t="n"/>
      <c r="G903" s="9" t="n">
        <v>56</v>
      </c>
      <c r="H903" s="9" t="n">
        <v>56</v>
      </c>
      <c r="I903" s="9" t="inlineStr">
        <is>
          <t>Bullpen Depth Arm</t>
        </is>
      </c>
      <c r="J903" s="17" t="inlineStr">
        <is>
          <t>Opening Day</t>
        </is>
      </c>
      <c r="K903" s="11">
        <f>IFERROR(INDEX(Roles!$B$17:$B$20,MATCH(J903,Roles!$A$17:$A$20,0)),1)</f>
        <v/>
      </c>
      <c r="L903" s="18" t="n">
        <v>1</v>
      </c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/>
      <c r="Y903" s="13">
        <f>SUMPRODUCT(M903:X903,$M$2:$X$2)*$K903*$L903</f>
        <v/>
      </c>
      <c r="Z903" s="14">
        <f>SUM(M903:X903)</f>
        <v/>
      </c>
      <c r="AA903" s="13">
        <f>SUMPRODUCT(M903:X903,$M$3:$X$3)*$K903*$L903</f>
        <v/>
      </c>
      <c r="AB903" s="13">
        <f>SUMPRODUCT(M903:X903,$M$4:$X$4)*$K903*$L903</f>
        <v/>
      </c>
      <c r="AC903" s="15">
        <f>SUMPRODUCT(M903:X903,$M$5:$X$5)*$K903*$L903</f>
        <v/>
      </c>
      <c r="AD903" s="15">
        <f>SUMPRODUCT(M903:X903,$M$6:$X$6)*$K903*$L903</f>
        <v/>
      </c>
      <c r="AE903" s="19" t="n"/>
    </row>
    <row r="904">
      <c r="A904" s="9" t="n">
        <v>534910</v>
      </c>
      <c r="B904" s="9" t="inlineStr">
        <is>
          <t>Jesse Hahn</t>
        </is>
      </c>
      <c r="C904" s="9" t="inlineStr">
        <is>
          <t>SEA</t>
        </is>
      </c>
      <c r="D904" s="9" t="n">
        <v>37</v>
      </c>
      <c r="E904" s="17" t="inlineStr">
        <is>
          <t>R</t>
        </is>
      </c>
      <c r="F904" s="17" t="n"/>
      <c r="G904" s="9" t="n">
        <v>25</v>
      </c>
      <c r="H904" s="9" t="n">
        <v>25</v>
      </c>
      <c r="I904" s="9" t="inlineStr">
        <is>
          <t>Bullpen Depth Arm</t>
        </is>
      </c>
      <c r="J904" s="17" t="inlineStr">
        <is>
          <t>Opening Day</t>
        </is>
      </c>
      <c r="K904" s="11">
        <f>IFERROR(INDEX(Roles!$B$17:$B$20,MATCH(J904,Roles!$A$17:$A$20,0)),1)</f>
        <v/>
      </c>
      <c r="L904" s="18" t="n">
        <v>1</v>
      </c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/>
      <c r="Y904" s="13">
        <f>SUMPRODUCT(M904:X904,$M$2:$X$2)*$K904*$L904</f>
        <v/>
      </c>
      <c r="Z904" s="14">
        <f>SUM(M904:X904)</f>
        <v/>
      </c>
      <c r="AA904" s="13">
        <f>SUMPRODUCT(M904:X904,$M$3:$X$3)*$K904*$L904</f>
        <v/>
      </c>
      <c r="AB904" s="13">
        <f>SUMPRODUCT(M904:X904,$M$4:$X$4)*$K904*$L904</f>
        <v/>
      </c>
      <c r="AC904" s="15">
        <f>SUMPRODUCT(M904:X904,$M$5:$X$5)*$K904*$L904</f>
        <v/>
      </c>
      <c r="AD904" s="15">
        <f>SUMPRODUCT(M904:X904,$M$6:$X$6)*$K904*$L904</f>
        <v/>
      </c>
      <c r="AE904" s="19" t="n"/>
    </row>
    <row r="905">
      <c r="A905" s="9" t="n">
        <v>543592</v>
      </c>
      <c r="B905" s="9" t="inlineStr">
        <is>
          <t>Austin Nola</t>
        </is>
      </c>
      <c r="C905" s="9" t="inlineStr"/>
      <c r="D905" s="9" t="n">
        <v>37</v>
      </c>
      <c r="E905" s="17" t="inlineStr">
        <is>
          <t>R</t>
        </is>
      </c>
      <c r="F905" s="17" t="n"/>
      <c r="G905" s="9" t="n">
        <v>11</v>
      </c>
      <c r="H905" s="9" t="n">
        <v>11</v>
      </c>
      <c r="I905" s="9" t="inlineStr">
        <is>
          <t>Depth (no MLB IP)</t>
        </is>
      </c>
      <c r="J905" s="17" t="inlineStr">
        <is>
          <t>Opening Day</t>
        </is>
      </c>
      <c r="K905" s="11">
        <f>IFERROR(INDEX(Roles!$B$17:$B$20,MATCH(J905,Roles!$A$17:$A$20,0)),1)</f>
        <v/>
      </c>
      <c r="L905" s="18" t="n">
        <v>1</v>
      </c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/>
      <c r="Y905" s="13">
        <f>SUMPRODUCT(M905:X905,$M$2:$X$2)*$K905*$L905</f>
        <v/>
      </c>
      <c r="Z905" s="14">
        <f>SUM(M905:X905)</f>
        <v/>
      </c>
      <c r="AA905" s="13">
        <f>SUMPRODUCT(M905:X905,$M$3:$X$3)*$K905*$L905</f>
        <v/>
      </c>
      <c r="AB905" s="13">
        <f>SUMPRODUCT(M905:X905,$M$4:$X$4)*$K905*$L905</f>
        <v/>
      </c>
      <c r="AC905" s="15">
        <f>SUMPRODUCT(M905:X905,$M$5:$X$5)*$K905*$L905</f>
        <v/>
      </c>
      <c r="AD905" s="15">
        <f>SUMPRODUCT(M905:X905,$M$6:$X$6)*$K905*$L905</f>
        <v/>
      </c>
      <c r="AE905" s="19" t="n"/>
    </row>
    <row r="906">
      <c r="A906" s="9" t="n">
        <v>677649</v>
      </c>
      <c r="B906" s="9" t="inlineStr">
        <is>
          <t>Ezequiel Duran</t>
        </is>
      </c>
      <c r="C906" s="9" t="inlineStr"/>
      <c r="D906" s="9" t="n">
        <v>28</v>
      </c>
      <c r="E906" s="17" t="inlineStr">
        <is>
          <t>R</t>
        </is>
      </c>
      <c r="F906" s="17" t="n"/>
      <c r="G906" s="9" t="n">
        <v>11</v>
      </c>
      <c r="H906" s="9" t="n">
        <v>11</v>
      </c>
      <c r="I906" s="9" t="inlineStr">
        <is>
          <t>Depth (no MLB IP)</t>
        </is>
      </c>
      <c r="J906" s="17" t="inlineStr">
        <is>
          <t>Opening Day</t>
        </is>
      </c>
      <c r="K906" s="11">
        <f>IFERROR(INDEX(Roles!$B$17:$B$20,MATCH(J906,Roles!$A$17:$A$20,0)),1)</f>
        <v/>
      </c>
      <c r="L906" s="18" t="n">
        <v>1</v>
      </c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/>
      <c r="Y906" s="13">
        <f>SUMPRODUCT(M906:X906,$M$2:$X$2)*$K906*$L906</f>
        <v/>
      </c>
      <c r="Z906" s="14">
        <f>SUM(M906:X906)</f>
        <v/>
      </c>
      <c r="AA906" s="13">
        <f>SUMPRODUCT(M906:X906,$M$3:$X$3)*$K906*$L906</f>
        <v/>
      </c>
      <c r="AB906" s="13">
        <f>SUMPRODUCT(M906:X906,$M$4:$X$4)*$K906*$L906</f>
        <v/>
      </c>
      <c r="AC906" s="15">
        <f>SUMPRODUCT(M906:X906,$M$5:$X$5)*$K906*$L906</f>
        <v/>
      </c>
      <c r="AD906" s="15">
        <f>SUMPRODUCT(M906:X906,$M$6:$X$6)*$K906*$L906</f>
        <v/>
      </c>
      <c r="AE906" s="19" t="n"/>
    </row>
    <row r="907">
      <c r="A907" s="9" t="n">
        <v>687362</v>
      </c>
      <c r="B907" s="9" t="inlineStr">
        <is>
          <t>Connor Gillispie</t>
        </is>
      </c>
      <c r="C907" s="9" t="inlineStr">
        <is>
          <t>MIA</t>
        </is>
      </c>
      <c r="D907" s="9" t="n">
        <v>29</v>
      </c>
      <c r="E907" s="17" t="inlineStr">
        <is>
          <t>R</t>
        </is>
      </c>
      <c r="F907" s="17" t="n"/>
      <c r="G907" s="9" t="n">
        <v>123</v>
      </c>
      <c r="H907" s="9" t="n">
        <v>155</v>
      </c>
      <c r="I907" s="9" t="inlineStr">
        <is>
          <t>End-of-Rotation Starter (SP4-5)</t>
        </is>
      </c>
      <c r="J907" s="17" t="inlineStr">
        <is>
          <t>Opening Day</t>
        </is>
      </c>
      <c r="K907" s="11">
        <f>IFERROR(INDEX(Roles!$B$17:$B$20,MATCH(J907,Roles!$A$17:$A$20,0)),1)</f>
        <v/>
      </c>
      <c r="L907" s="18" t="n">
        <v>1</v>
      </c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/>
      <c r="Y907" s="13">
        <f>SUMPRODUCT(M907:X907,$M$2:$X$2)*$K907*$L907</f>
        <v/>
      </c>
      <c r="Z907" s="14">
        <f>SUM(M907:X907)</f>
        <v/>
      </c>
      <c r="AA907" s="13">
        <f>SUMPRODUCT(M907:X907,$M$3:$X$3)*$K907*$L907</f>
        <v/>
      </c>
      <c r="AB907" s="13">
        <f>SUMPRODUCT(M907:X907,$M$4:$X$4)*$K907*$L907</f>
        <v/>
      </c>
      <c r="AC907" s="15">
        <f>SUMPRODUCT(M907:X907,$M$5:$X$5)*$K907*$L907</f>
        <v/>
      </c>
      <c r="AD907" s="15">
        <f>SUMPRODUCT(M907:X907,$M$6:$X$6)*$K907*$L907</f>
        <v/>
      </c>
      <c r="AE907" s="19" t="n"/>
    </row>
    <row r="908">
      <c r="A908" s="9" t="n">
        <v>622065</v>
      </c>
      <c r="B908" s="9" t="inlineStr">
        <is>
          <t>Alex Young</t>
        </is>
      </c>
      <c r="C908" s="9" t="inlineStr">
        <is>
          <t>NYM</t>
        </is>
      </c>
      <c r="D908" s="9" t="n">
        <v>33</v>
      </c>
      <c r="E908" s="17" t="inlineStr">
        <is>
          <t>L</t>
        </is>
      </c>
      <c r="F908" s="17" t="n"/>
      <c r="G908" s="9" t="n">
        <v>68</v>
      </c>
      <c r="H908" s="9" t="n">
        <v>420</v>
      </c>
      <c r="I908" s="9" t="inlineStr">
        <is>
          <t>Depth (no MLB IP)</t>
        </is>
      </c>
      <c r="J908" s="17" t="inlineStr">
        <is>
          <t>Opening Day</t>
        </is>
      </c>
      <c r="K908" s="11">
        <f>IFERROR(INDEX(Roles!$B$17:$B$20,MATCH(J908,Roles!$A$17:$A$20,0)),1)</f>
        <v/>
      </c>
      <c r="L908" s="18" t="n">
        <v>1</v>
      </c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/>
      <c r="Y908" s="13">
        <f>SUMPRODUCT(M908:X908,$M$2:$X$2)*$K908*$L908</f>
        <v/>
      </c>
      <c r="Z908" s="14">
        <f>SUM(M908:X908)</f>
        <v/>
      </c>
      <c r="AA908" s="13">
        <f>SUMPRODUCT(M908:X908,$M$3:$X$3)*$K908*$L908</f>
        <v/>
      </c>
      <c r="AB908" s="13">
        <f>SUMPRODUCT(M908:X908,$M$4:$X$4)*$K908*$L908</f>
        <v/>
      </c>
      <c r="AC908" s="15">
        <f>SUMPRODUCT(M908:X908,$M$5:$X$5)*$K908*$L908</f>
        <v/>
      </c>
      <c r="AD908" s="15">
        <f>SUMPRODUCT(M908:X908,$M$6:$X$6)*$K908*$L908</f>
        <v/>
      </c>
      <c r="AE908" s="19" t="n"/>
    </row>
    <row r="909">
      <c r="A909" s="9" t="n">
        <v>657508</v>
      </c>
      <c r="B909" s="9" t="inlineStr">
        <is>
          <t>Mike Baumann</t>
        </is>
      </c>
      <c r="C909" s="9" t="inlineStr">
        <is>
          <t>MIA</t>
        </is>
      </c>
      <c r="D909" s="9" t="n">
        <v>31</v>
      </c>
      <c r="E909" s="17" t="inlineStr">
        <is>
          <t>R</t>
        </is>
      </c>
      <c r="F909" s="17" t="n"/>
      <c r="G909" s="9" t="n">
        <v>264</v>
      </c>
      <c r="H909" s="9" t="n">
        <v>686</v>
      </c>
      <c r="I909" s="9" t="inlineStr">
        <is>
          <t>Depth (no MLB IP)</t>
        </is>
      </c>
      <c r="J909" s="17" t="inlineStr">
        <is>
          <t>Opening Day</t>
        </is>
      </c>
      <c r="K909" s="11">
        <f>IFERROR(INDEX(Roles!$B$17:$B$20,MATCH(J909,Roles!$A$17:$A$20,0)),1)</f>
        <v/>
      </c>
      <c r="L909" s="18" t="n">
        <v>1</v>
      </c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/>
      <c r="Y909" s="13">
        <f>SUMPRODUCT(M909:X909,$M$2:$X$2)*$K909*$L909</f>
        <v/>
      </c>
      <c r="Z909" s="14">
        <f>SUM(M909:X909)</f>
        <v/>
      </c>
      <c r="AA909" s="13">
        <f>SUMPRODUCT(M909:X909,$M$3:$X$3)*$K909*$L909</f>
        <v/>
      </c>
      <c r="AB909" s="13">
        <f>SUMPRODUCT(M909:X909,$M$4:$X$4)*$K909*$L909</f>
        <v/>
      </c>
      <c r="AC909" s="15">
        <f>SUMPRODUCT(M909:X909,$M$5:$X$5)*$K909*$L909</f>
        <v/>
      </c>
      <c r="AD909" s="15">
        <f>SUMPRODUCT(M909:X909,$M$6:$X$6)*$K909*$L909</f>
        <v/>
      </c>
      <c r="AE909" s="19" t="n"/>
    </row>
    <row r="910">
      <c r="A910" s="9" t="n">
        <v>666214</v>
      </c>
      <c r="B910" s="9" t="inlineStr">
        <is>
          <t>Joey Wentz</t>
        </is>
      </c>
      <c r="C910" s="9" t="inlineStr">
        <is>
          <t>ATL</t>
        </is>
      </c>
      <c r="D910" s="9" t="n">
        <v>29</v>
      </c>
      <c r="E910" s="17" t="inlineStr">
        <is>
          <t>L</t>
        </is>
      </c>
      <c r="F910" s="17" t="n"/>
      <c r="G910" s="9" t="n">
        <v>442</v>
      </c>
      <c r="H910" s="9" t="n">
        <v>1373</v>
      </c>
      <c r="I910" s="9" t="inlineStr">
        <is>
          <t>Bullpen Depth Arm</t>
        </is>
      </c>
      <c r="J910" s="17" t="inlineStr">
        <is>
          <t>Opening Day</t>
        </is>
      </c>
      <c r="K910" s="11">
        <f>IFERROR(INDEX(Roles!$B$17:$B$20,MATCH(J910,Roles!$A$17:$A$20,0)),1)</f>
        <v/>
      </c>
      <c r="L910" s="18" t="n">
        <v>1</v>
      </c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/>
      <c r="Y910" s="13">
        <f>SUMPRODUCT(M910:X910,$M$2:$X$2)*$K910*$L910</f>
        <v/>
      </c>
      <c r="Z910" s="14">
        <f>SUM(M910:X910)</f>
        <v/>
      </c>
      <c r="AA910" s="13">
        <f>SUMPRODUCT(M910:X910,$M$3:$X$3)*$K910*$L910</f>
        <v/>
      </c>
      <c r="AB910" s="13">
        <f>SUMPRODUCT(M910:X910,$M$4:$X$4)*$K910*$L910</f>
        <v/>
      </c>
      <c r="AC910" s="15">
        <f>SUMPRODUCT(M910:X910,$M$5:$X$5)*$K910*$L910</f>
        <v/>
      </c>
      <c r="AD910" s="15">
        <f>SUMPRODUCT(M910:X910,$M$6:$X$6)*$K910*$L910</f>
        <v/>
      </c>
      <c r="AE910" s="19" t="n"/>
    </row>
    <row r="911">
      <c r="A911" s="9" t="n">
        <v>668800</v>
      </c>
      <c r="B911" s="9" t="inlineStr">
        <is>
          <t>Andrew Knizner</t>
        </is>
      </c>
      <c r="C911" s="9" t="inlineStr"/>
      <c r="D911" s="9" t="n">
        <v>32</v>
      </c>
      <c r="E911" s="17" t="inlineStr">
        <is>
          <t>R</t>
        </is>
      </c>
      <c r="F911" s="17" t="n"/>
      <c r="G911" s="9" t="n">
        <v>11</v>
      </c>
      <c r="H911" s="9" t="n">
        <v>14</v>
      </c>
      <c r="I911" s="9" t="inlineStr">
        <is>
          <t>Depth (no MLB IP)</t>
        </is>
      </c>
      <c r="J911" s="17" t="inlineStr">
        <is>
          <t>Opening Day</t>
        </is>
      </c>
      <c r="K911" s="11">
        <f>IFERROR(INDEX(Roles!$B$17:$B$20,MATCH(J911,Roles!$A$17:$A$20,0)),1)</f>
        <v/>
      </c>
      <c r="L911" s="18" t="n">
        <v>1</v>
      </c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/>
      <c r="Y911" s="13">
        <f>SUMPRODUCT(M911:X911,$M$2:$X$2)*$K911*$L911</f>
        <v/>
      </c>
      <c r="Z911" s="14">
        <f>SUM(M911:X911)</f>
        <v/>
      </c>
      <c r="AA911" s="13">
        <f>SUMPRODUCT(M911:X911,$M$3:$X$3)*$K911*$L911</f>
        <v/>
      </c>
      <c r="AB911" s="13">
        <f>SUMPRODUCT(M911:X911,$M$4:$X$4)*$K911*$L911</f>
        <v/>
      </c>
      <c r="AC911" s="15">
        <f>SUMPRODUCT(M911:X911,$M$5:$X$5)*$K911*$L911</f>
        <v/>
      </c>
      <c r="AD911" s="15">
        <f>SUMPRODUCT(M911:X911,$M$6:$X$6)*$K911*$L911</f>
        <v/>
      </c>
      <c r="AE911" s="19" t="n"/>
    </row>
    <row r="912">
      <c r="A912" s="9" t="n">
        <v>702885</v>
      </c>
      <c r="B912" s="9" t="inlineStr">
        <is>
          <t>Cesar Perdomo</t>
        </is>
      </c>
      <c r="C912" s="9" t="inlineStr">
        <is>
          <t>SF</t>
        </is>
      </c>
      <c r="D912" s="9" t="n">
        <v>25</v>
      </c>
      <c r="E912" s="17" t="inlineStr">
        <is>
          <t>L</t>
        </is>
      </c>
      <c r="F912" s="17" t="n"/>
      <c r="G912" s="9" t="n">
        <v>61</v>
      </c>
      <c r="H912" s="9" t="n">
        <v>61</v>
      </c>
      <c r="I912" s="9" t="inlineStr">
        <is>
          <t>End-of-Rotation Starter (SP4-5)</t>
        </is>
      </c>
      <c r="J912" s="17" t="inlineStr">
        <is>
          <t>Opening Day</t>
        </is>
      </c>
      <c r="K912" s="11">
        <f>IFERROR(INDEX(Roles!$B$17:$B$20,MATCH(J912,Roles!$A$17:$A$20,0)),1)</f>
        <v/>
      </c>
      <c r="L912" s="18" t="n">
        <v>1</v>
      </c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/>
      <c r="Y912" s="13">
        <f>SUMPRODUCT(M912:X912,$M$2:$X$2)*$K912*$L912</f>
        <v/>
      </c>
      <c r="Z912" s="14">
        <f>SUM(M912:X912)</f>
        <v/>
      </c>
      <c r="AA912" s="13">
        <f>SUMPRODUCT(M912:X912,$M$3:$X$3)*$K912*$L912</f>
        <v/>
      </c>
      <c r="AB912" s="13">
        <f>SUMPRODUCT(M912:X912,$M$4:$X$4)*$K912*$L912</f>
        <v/>
      </c>
      <c r="AC912" s="15">
        <f>SUMPRODUCT(M912:X912,$M$5:$X$5)*$K912*$L912</f>
        <v/>
      </c>
      <c r="AD912" s="15">
        <f>SUMPRODUCT(M912:X912,$M$6:$X$6)*$K912*$L912</f>
        <v/>
      </c>
      <c r="AE912" s="19" t="n"/>
    </row>
    <row r="913">
      <c r="A913" s="9" t="n">
        <v>804619</v>
      </c>
      <c r="B913" s="9" t="inlineStr">
        <is>
          <t>John Klein</t>
        </is>
      </c>
      <c r="C913" s="9" t="inlineStr"/>
      <c r="D913" s="9" t="n">
        <v>25</v>
      </c>
      <c r="E913" s="17" t="inlineStr">
        <is>
          <t>R</t>
        </is>
      </c>
      <c r="F913" s="17" t="n"/>
      <c r="G913" s="9" t="n">
        <v>19</v>
      </c>
      <c r="H913" s="9" t="n">
        <v>19</v>
      </c>
      <c r="I913" s="9" t="inlineStr">
        <is>
          <t>Depth (no MLB IP)</t>
        </is>
      </c>
      <c r="J913" s="17" t="inlineStr">
        <is>
          <t>Opening Day</t>
        </is>
      </c>
      <c r="K913" s="11">
        <f>IFERROR(INDEX(Roles!$B$17:$B$20,MATCH(J913,Roles!$A$17:$A$20,0)),1)</f>
        <v/>
      </c>
      <c r="L913" s="18" t="n">
        <v>1</v>
      </c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/>
      <c r="Y913" s="13">
        <f>SUMPRODUCT(M913:X913,$M$2:$X$2)*$K913*$L913</f>
        <v/>
      </c>
      <c r="Z913" s="14">
        <f>SUM(M913:X913)</f>
        <v/>
      </c>
      <c r="AA913" s="13">
        <f>SUMPRODUCT(M913:X913,$M$3:$X$3)*$K913*$L913</f>
        <v/>
      </c>
      <c r="AB913" s="13">
        <f>SUMPRODUCT(M913:X913,$M$4:$X$4)*$K913*$L913</f>
        <v/>
      </c>
      <c r="AC913" s="15">
        <f>SUMPRODUCT(M913:X913,$M$5:$X$5)*$K913*$L913</f>
        <v/>
      </c>
      <c r="AD913" s="15">
        <f>SUMPRODUCT(M913:X913,$M$6:$X$6)*$K913*$L913</f>
        <v/>
      </c>
      <c r="AE913" s="19" t="n"/>
    </row>
    <row r="914">
      <c r="A914" s="9" t="n">
        <v>624512</v>
      </c>
      <c r="B914" s="9" t="inlineStr">
        <is>
          <t>Reese McGuire</t>
        </is>
      </c>
      <c r="C914" s="9" t="inlineStr"/>
      <c r="D914" s="9" t="n">
        <v>32</v>
      </c>
      <c r="E914" s="17" t="inlineStr">
        <is>
          <t>R</t>
        </is>
      </c>
      <c r="F914" s="17" t="n"/>
      <c r="G914" s="9" t="n">
        <v>3</v>
      </c>
      <c r="H914" s="9" t="n">
        <v>12</v>
      </c>
      <c r="I914" s="9" t="inlineStr">
        <is>
          <t>Depth (no MLB IP)</t>
        </is>
      </c>
      <c r="J914" s="17" t="inlineStr">
        <is>
          <t>Opening Day</t>
        </is>
      </c>
      <c r="K914" s="11">
        <f>IFERROR(INDEX(Roles!$B$17:$B$20,MATCH(J914,Roles!$A$17:$A$20,0)),1)</f>
        <v/>
      </c>
      <c r="L914" s="18" t="n">
        <v>1</v>
      </c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/>
      <c r="Y914" s="13">
        <f>SUMPRODUCT(M914:X914,$M$2:$X$2)*$K914*$L914</f>
        <v/>
      </c>
      <c r="Z914" s="14">
        <f>SUM(M914:X914)</f>
        <v/>
      </c>
      <c r="AA914" s="13">
        <f>SUMPRODUCT(M914:X914,$M$3:$X$3)*$K914*$L914</f>
        <v/>
      </c>
      <c r="AB914" s="13">
        <f>SUMPRODUCT(M914:X914,$M$4:$X$4)*$K914*$L914</f>
        <v/>
      </c>
      <c r="AC914" s="15">
        <f>SUMPRODUCT(M914:X914,$M$5:$X$5)*$K914*$L914</f>
        <v/>
      </c>
      <c r="AD914" s="15">
        <f>SUMPRODUCT(M914:X914,$M$6:$X$6)*$K914*$L914</f>
        <v/>
      </c>
      <c r="AE914" s="19" t="n"/>
    </row>
    <row r="915">
      <c r="A915" s="9" t="n">
        <v>687287</v>
      </c>
      <c r="B915" s="9" t="inlineStr">
        <is>
          <t>Patrick Monteverde</t>
        </is>
      </c>
      <c r="C915" s="9" t="inlineStr"/>
      <c r="D915" s="9" t="n">
        <v>29</v>
      </c>
      <c r="E915" s="17" t="inlineStr">
        <is>
          <t>L</t>
        </is>
      </c>
      <c r="F915" s="17" t="n"/>
      <c r="G915" s="9" t="n">
        <v>18</v>
      </c>
      <c r="H915" s="9" t="n">
        <v>38</v>
      </c>
      <c r="I915" s="9" t="inlineStr">
        <is>
          <t>Depth (no MLB IP)</t>
        </is>
      </c>
      <c r="J915" s="17" t="inlineStr">
        <is>
          <t>Opening Day</t>
        </is>
      </c>
      <c r="K915" s="11">
        <f>IFERROR(INDEX(Roles!$B$17:$B$20,MATCH(J915,Roles!$A$17:$A$20,0)),1)</f>
        <v/>
      </c>
      <c r="L915" s="18" t="n">
        <v>1</v>
      </c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/>
      <c r="Y915" s="13">
        <f>SUMPRODUCT(M915:X915,$M$2:$X$2)*$K915*$L915</f>
        <v/>
      </c>
      <c r="Z915" s="14">
        <f>SUM(M915:X915)</f>
        <v/>
      </c>
      <c r="AA915" s="13">
        <f>SUMPRODUCT(M915:X915,$M$3:$X$3)*$K915*$L915</f>
        <v/>
      </c>
      <c r="AB915" s="13">
        <f>SUMPRODUCT(M915:X915,$M$4:$X$4)*$K915*$L915</f>
        <v/>
      </c>
      <c r="AC915" s="15">
        <f>SUMPRODUCT(M915:X915,$M$5:$X$5)*$K915*$L915</f>
        <v/>
      </c>
      <c r="AD915" s="15">
        <f>SUMPRODUCT(M915:X915,$M$6:$X$6)*$K915*$L915</f>
        <v/>
      </c>
      <c r="AE915" s="19" t="n"/>
    </row>
    <row r="916">
      <c r="A916" s="9" t="n">
        <v>572193</v>
      </c>
      <c r="B916" s="9" t="inlineStr">
        <is>
          <t>Ryan Tepera</t>
        </is>
      </c>
      <c r="C916" s="9" t="inlineStr">
        <is>
          <t>STL</t>
        </is>
      </c>
      <c r="D916" s="9" t="n">
        <v>39</v>
      </c>
      <c r="E916" s="17" t="inlineStr">
        <is>
          <t>R</t>
        </is>
      </c>
      <c r="F916" s="17" t="n"/>
      <c r="G916" s="9" t="n">
        <v>57</v>
      </c>
      <c r="H916" s="9" t="n">
        <v>289</v>
      </c>
      <c r="I916" s="9" t="inlineStr">
        <is>
          <t>Depth (no MLB IP)</t>
        </is>
      </c>
      <c r="J916" s="17" t="inlineStr">
        <is>
          <t>Opening Day</t>
        </is>
      </c>
      <c r="K916" s="11">
        <f>IFERROR(INDEX(Roles!$B$17:$B$20,MATCH(J916,Roles!$A$17:$A$20,0)),1)</f>
        <v/>
      </c>
      <c r="L916" s="18" t="n">
        <v>1</v>
      </c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/>
      <c r="Y916" s="13">
        <f>SUMPRODUCT(M916:X916,$M$2:$X$2)*$K916*$L916</f>
        <v/>
      </c>
      <c r="Z916" s="14">
        <f>SUM(M916:X916)</f>
        <v/>
      </c>
      <c r="AA916" s="13">
        <f>SUMPRODUCT(M916:X916,$M$3:$X$3)*$K916*$L916</f>
        <v/>
      </c>
      <c r="AB916" s="13">
        <f>SUMPRODUCT(M916:X916,$M$4:$X$4)*$K916*$L916</f>
        <v/>
      </c>
      <c r="AC916" s="15">
        <f>SUMPRODUCT(M916:X916,$M$5:$X$5)*$K916*$L916</f>
        <v/>
      </c>
      <c r="AD916" s="15">
        <f>SUMPRODUCT(M916:X916,$M$6:$X$6)*$K916*$L916</f>
        <v/>
      </c>
      <c r="AE916" s="19" t="n"/>
    </row>
    <row r="917">
      <c r="A917" s="9" t="n">
        <v>640902</v>
      </c>
      <c r="B917" s="9" t="inlineStr">
        <is>
          <t>Jhonny Pereda</t>
        </is>
      </c>
      <c r="C917" s="9" t="inlineStr"/>
      <c r="D917" s="9" t="n">
        <v>31</v>
      </c>
      <c r="E917" s="17" t="inlineStr">
        <is>
          <t>R</t>
        </is>
      </c>
      <c r="F917" s="17" t="n"/>
      <c r="G917" s="9" t="n">
        <v>4</v>
      </c>
      <c r="H917" s="9" t="n">
        <v>25</v>
      </c>
      <c r="I917" s="9" t="inlineStr">
        <is>
          <t>Depth (no MLB IP)</t>
        </is>
      </c>
      <c r="J917" s="17" t="inlineStr">
        <is>
          <t>Opening Day</t>
        </is>
      </c>
      <c r="K917" s="11">
        <f>IFERROR(INDEX(Roles!$B$17:$B$20,MATCH(J917,Roles!$A$17:$A$20,0)),1)</f>
        <v/>
      </c>
      <c r="L917" s="18" t="n">
        <v>1</v>
      </c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/>
      <c r="Y917" s="13">
        <f>SUMPRODUCT(M917:X917,$M$2:$X$2)*$K917*$L917</f>
        <v/>
      </c>
      <c r="Z917" s="14">
        <f>SUM(M917:X917)</f>
        <v/>
      </c>
      <c r="AA917" s="13">
        <f>SUMPRODUCT(M917:X917,$M$3:$X$3)*$K917*$L917</f>
        <v/>
      </c>
      <c r="AB917" s="13">
        <f>SUMPRODUCT(M917:X917,$M$4:$X$4)*$K917*$L917</f>
        <v/>
      </c>
      <c r="AC917" s="15">
        <f>SUMPRODUCT(M917:X917,$M$5:$X$5)*$K917*$L917</f>
        <v/>
      </c>
      <c r="AD917" s="15">
        <f>SUMPRODUCT(M917:X917,$M$6:$X$6)*$K917*$L917</f>
        <v/>
      </c>
      <c r="AE917" s="19" t="n"/>
    </row>
    <row r="918">
      <c r="A918" s="9" t="n">
        <v>500871</v>
      </c>
      <c r="B918" s="9" t="inlineStr">
        <is>
          <t>Eduardo Escobar</t>
        </is>
      </c>
      <c r="C918" s="9" t="inlineStr"/>
      <c r="D918" s="9" t="n">
        <v>38</v>
      </c>
      <c r="E918" s="17" t="inlineStr">
        <is>
          <t>R</t>
        </is>
      </c>
      <c r="F918" s="17" t="n"/>
      <c r="G918" s="9" t="n">
        <v>16</v>
      </c>
      <c r="H918" s="9" t="n">
        <v>16</v>
      </c>
      <c r="I918" s="9" t="inlineStr">
        <is>
          <t>Depth (no MLB IP)</t>
        </is>
      </c>
      <c r="J918" s="17" t="inlineStr">
        <is>
          <t>Opening Day</t>
        </is>
      </c>
      <c r="K918" s="11">
        <f>IFERROR(INDEX(Roles!$B$17:$B$20,MATCH(J918,Roles!$A$17:$A$20,0)),1)</f>
        <v/>
      </c>
      <c r="L918" s="18" t="n">
        <v>1</v>
      </c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/>
      <c r="Y918" s="13">
        <f>SUMPRODUCT(M918:X918,$M$2:$X$2)*$K918*$L918</f>
        <v/>
      </c>
      <c r="Z918" s="14">
        <f>SUM(M918:X918)</f>
        <v/>
      </c>
      <c r="AA918" s="13">
        <f>SUMPRODUCT(M918:X918,$M$3:$X$3)*$K918*$L918</f>
        <v/>
      </c>
      <c r="AB918" s="13">
        <f>SUMPRODUCT(M918:X918,$M$4:$X$4)*$K918*$L918</f>
        <v/>
      </c>
      <c r="AC918" s="15">
        <f>SUMPRODUCT(M918:X918,$M$5:$X$5)*$K918*$L918</f>
        <v/>
      </c>
      <c r="AD918" s="15">
        <f>SUMPRODUCT(M918:X918,$M$6:$X$6)*$K918*$L918</f>
        <v/>
      </c>
      <c r="AE918" s="19" t="n"/>
    </row>
    <row r="919">
      <c r="A919" s="9" t="n">
        <v>596082</v>
      </c>
      <c r="B919" s="9" t="inlineStr">
        <is>
          <t>Jake Reed</t>
        </is>
      </c>
      <c r="C919" s="9" t="inlineStr">
        <is>
          <t>BAL</t>
        </is>
      </c>
      <c r="D919" s="9" t="n">
        <v>34</v>
      </c>
      <c r="E919" s="17" t="inlineStr">
        <is>
          <t>R</t>
        </is>
      </c>
      <c r="F919" s="17" t="n"/>
      <c r="G919" s="9" t="n">
        <v>7</v>
      </c>
      <c r="H919" s="9" t="n">
        <v>84</v>
      </c>
      <c r="I919" s="9" t="inlineStr">
        <is>
          <t>Depth (no MLB IP)</t>
        </is>
      </c>
      <c r="J919" s="17" t="inlineStr">
        <is>
          <t>Opening Day</t>
        </is>
      </c>
      <c r="K919" s="11">
        <f>IFERROR(INDEX(Roles!$B$17:$B$20,MATCH(J919,Roles!$A$17:$A$20,0)),1)</f>
        <v/>
      </c>
      <c r="L919" s="18" t="n">
        <v>1</v>
      </c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/>
      <c r="Y919" s="13">
        <f>SUMPRODUCT(M919:X919,$M$2:$X$2)*$K919*$L919</f>
        <v/>
      </c>
      <c r="Z919" s="14">
        <f>SUM(M919:X919)</f>
        <v/>
      </c>
      <c r="AA919" s="13">
        <f>SUMPRODUCT(M919:X919,$M$3:$X$3)*$K919*$L919</f>
        <v/>
      </c>
      <c r="AB919" s="13">
        <f>SUMPRODUCT(M919:X919,$M$4:$X$4)*$K919*$L919</f>
        <v/>
      </c>
      <c r="AC919" s="15">
        <f>SUMPRODUCT(M919:X919,$M$5:$X$5)*$K919*$L919</f>
        <v/>
      </c>
      <c r="AD919" s="15">
        <f>SUMPRODUCT(M919:X919,$M$6:$X$6)*$K919*$L919</f>
        <v/>
      </c>
      <c r="AE919" s="19" t="n"/>
    </row>
    <row r="920">
      <c r="A920" s="9" t="n">
        <v>542194</v>
      </c>
      <c r="B920" s="9" t="inlineStr">
        <is>
          <t>Christian Bethancourt</t>
        </is>
      </c>
      <c r="C920" s="9" t="inlineStr"/>
      <c r="D920" s="9" t="n">
        <v>35</v>
      </c>
      <c r="E920" s="17" t="inlineStr">
        <is>
          <t>R</t>
        </is>
      </c>
      <c r="F920" s="17" t="n"/>
      <c r="G920" s="9" t="n">
        <v>4</v>
      </c>
      <c r="H920" s="9" t="n">
        <v>23</v>
      </c>
      <c r="I920" s="9" t="inlineStr">
        <is>
          <t>Depth (no MLB IP)</t>
        </is>
      </c>
      <c r="J920" s="17" t="inlineStr">
        <is>
          <t>Opening Day</t>
        </is>
      </c>
      <c r="K920" s="11">
        <f>IFERROR(INDEX(Roles!$B$17:$B$20,MATCH(J920,Roles!$A$17:$A$20,0)),1)</f>
        <v/>
      </c>
      <c r="L920" s="18" t="n">
        <v>1</v>
      </c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/>
      <c r="Y920" s="13">
        <f>SUMPRODUCT(M920:X920,$M$2:$X$2)*$K920*$L920</f>
        <v/>
      </c>
      <c r="Z920" s="14">
        <f>SUM(M920:X920)</f>
        <v/>
      </c>
      <c r="AA920" s="13">
        <f>SUMPRODUCT(M920:X920,$M$3:$X$3)*$K920*$L920</f>
        <v/>
      </c>
      <c r="AB920" s="13">
        <f>SUMPRODUCT(M920:X920,$M$4:$X$4)*$K920*$L920</f>
        <v/>
      </c>
      <c r="AC920" s="15">
        <f>SUMPRODUCT(M920:X920,$M$5:$X$5)*$K920*$L920</f>
        <v/>
      </c>
      <c r="AD920" s="15">
        <f>SUMPRODUCT(M920:X920,$M$6:$X$6)*$K920*$L920</f>
        <v/>
      </c>
      <c r="AE920" s="19" t="n"/>
    </row>
    <row r="921">
      <c r="A921" s="9" t="n">
        <v>645801</v>
      </c>
      <c r="B921" s="9" t="inlineStr">
        <is>
          <t>Mike Ford</t>
        </is>
      </c>
      <c r="C921" s="9" t="inlineStr"/>
      <c r="D921" s="9" t="n">
        <v>34</v>
      </c>
      <c r="E921" s="17" t="inlineStr">
        <is>
          <t>R</t>
        </is>
      </c>
      <c r="F921" s="17" t="n"/>
      <c r="G921" s="9" t="n">
        <v>12</v>
      </c>
      <c r="H921" s="9" t="n">
        <v>17</v>
      </c>
      <c r="I921" s="9" t="inlineStr">
        <is>
          <t>Depth (no MLB IP)</t>
        </is>
      </c>
      <c r="J921" s="17" t="inlineStr">
        <is>
          <t>Opening Day</t>
        </is>
      </c>
      <c r="K921" s="11">
        <f>IFERROR(INDEX(Roles!$B$17:$B$20,MATCH(J921,Roles!$A$17:$A$20,0)),1)</f>
        <v/>
      </c>
      <c r="L921" s="18" t="n">
        <v>1</v>
      </c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/>
      <c r="Y921" s="13">
        <f>SUMPRODUCT(M921:X921,$M$2:$X$2)*$K921*$L921</f>
        <v/>
      </c>
      <c r="Z921" s="14">
        <f>SUM(M921:X921)</f>
        <v/>
      </c>
      <c r="AA921" s="13">
        <f>SUMPRODUCT(M921:X921,$M$3:$X$3)*$K921*$L921</f>
        <v/>
      </c>
      <c r="AB921" s="13">
        <f>SUMPRODUCT(M921:X921,$M$4:$X$4)*$K921*$L921</f>
        <v/>
      </c>
      <c r="AC921" s="15">
        <f>SUMPRODUCT(M921:X921,$M$5:$X$5)*$K921*$L921</f>
        <v/>
      </c>
      <c r="AD921" s="15">
        <f>SUMPRODUCT(M921:X921,$M$6:$X$6)*$K921*$L921</f>
        <v/>
      </c>
      <c r="AE921" s="19" t="n"/>
    </row>
    <row r="922">
      <c r="A922" s="9" t="n">
        <v>682668</v>
      </c>
      <c r="B922" s="9" t="inlineStr">
        <is>
          <t>Luisangel Acuña</t>
        </is>
      </c>
      <c r="C922" s="9" t="inlineStr"/>
      <c r="D922" s="9" t="n">
        <v>25</v>
      </c>
      <c r="E922" s="17" t="inlineStr">
        <is>
          <t>R</t>
        </is>
      </c>
      <c r="F922" s="17" t="n"/>
      <c r="G922" s="9" t="n">
        <v>10</v>
      </c>
      <c r="H922" s="9" t="n">
        <v>10</v>
      </c>
      <c r="I922" s="9" t="inlineStr">
        <is>
          <t>Depth (no MLB IP)</t>
        </is>
      </c>
      <c r="J922" s="17" t="inlineStr">
        <is>
          <t>Opening Day</t>
        </is>
      </c>
      <c r="K922" s="11">
        <f>IFERROR(INDEX(Roles!$B$17:$B$20,MATCH(J922,Roles!$A$17:$A$20,0)),1)</f>
        <v/>
      </c>
      <c r="L922" s="18" t="n">
        <v>1</v>
      </c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/>
      <c r="Y922" s="13">
        <f>SUMPRODUCT(M922:X922,$M$2:$X$2)*$K922*$L922</f>
        <v/>
      </c>
      <c r="Z922" s="14">
        <f>SUM(M922:X922)</f>
        <v/>
      </c>
      <c r="AA922" s="13">
        <f>SUMPRODUCT(M922:X922,$M$3:$X$3)*$K922*$L922</f>
        <v/>
      </c>
      <c r="AB922" s="13">
        <f>SUMPRODUCT(M922:X922,$M$4:$X$4)*$K922*$L922</f>
        <v/>
      </c>
      <c r="AC922" s="15">
        <f>SUMPRODUCT(M922:X922,$M$5:$X$5)*$K922*$L922</f>
        <v/>
      </c>
      <c r="AD922" s="15">
        <f>SUMPRODUCT(M922:X922,$M$6:$X$6)*$K922*$L922</f>
        <v/>
      </c>
      <c r="AE922" s="19" t="n"/>
    </row>
    <row r="923">
      <c r="A923" s="9" t="n">
        <v>680728</v>
      </c>
      <c r="B923" s="9" t="inlineStr">
        <is>
          <t>Adrian Del Castillo</t>
        </is>
      </c>
      <c r="C923" s="9" t="inlineStr"/>
      <c r="D923" s="9" t="n">
        <v>27</v>
      </c>
      <c r="E923" s="17" t="inlineStr">
        <is>
          <t>R</t>
        </is>
      </c>
      <c r="F923" s="17" t="n"/>
      <c r="G923" s="9" t="n">
        <v>10</v>
      </c>
      <c r="H923" s="9" t="n">
        <v>10</v>
      </c>
      <c r="I923" s="9" t="inlineStr">
        <is>
          <t>Depth (no MLB IP)</t>
        </is>
      </c>
      <c r="J923" s="17" t="inlineStr">
        <is>
          <t>Opening Day</t>
        </is>
      </c>
      <c r="K923" s="11">
        <f>IFERROR(INDEX(Roles!$B$17:$B$20,MATCH(J923,Roles!$A$17:$A$20,0)),1)</f>
        <v/>
      </c>
      <c r="L923" s="18" t="n">
        <v>1</v>
      </c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/>
      <c r="Y923" s="13">
        <f>SUMPRODUCT(M923:X923,$M$2:$X$2)*$K923*$L923</f>
        <v/>
      </c>
      <c r="Z923" s="14">
        <f>SUM(M923:X923)</f>
        <v/>
      </c>
      <c r="AA923" s="13">
        <f>SUMPRODUCT(M923:X923,$M$3:$X$3)*$K923*$L923</f>
        <v/>
      </c>
      <c r="AB923" s="13">
        <f>SUMPRODUCT(M923:X923,$M$4:$X$4)*$K923*$L923</f>
        <v/>
      </c>
      <c r="AC923" s="15">
        <f>SUMPRODUCT(M923:X923,$M$5:$X$5)*$K923*$L923</f>
        <v/>
      </c>
      <c r="AD923" s="15">
        <f>SUMPRODUCT(M923:X923,$M$6:$X$6)*$K923*$L923</f>
        <v/>
      </c>
      <c r="AE923" s="19" t="n"/>
    </row>
    <row r="924">
      <c r="A924" s="9" t="n">
        <v>640444</v>
      </c>
      <c r="B924" s="9" t="inlineStr">
        <is>
          <t>Wil Crowe</t>
        </is>
      </c>
      <c r="C924" s="9" t="inlineStr">
        <is>
          <t>PIT</t>
        </is>
      </c>
      <c r="D924" s="9" t="n">
        <v>32</v>
      </c>
      <c r="E924" s="17" t="inlineStr">
        <is>
          <t>R</t>
        </is>
      </c>
      <c r="F924" s="17" t="n"/>
      <c r="G924" s="9" t="n">
        <v>47</v>
      </c>
      <c r="H924" s="9" t="n">
        <v>379</v>
      </c>
      <c r="I924" s="9" t="inlineStr">
        <is>
          <t>Depth (no MLB IP)</t>
        </is>
      </c>
      <c r="J924" s="17" t="inlineStr">
        <is>
          <t>Opening Day</t>
        </is>
      </c>
      <c r="K924" s="11">
        <f>IFERROR(INDEX(Roles!$B$17:$B$20,MATCH(J924,Roles!$A$17:$A$20,0)),1)</f>
        <v/>
      </c>
      <c r="L924" s="18" t="n">
        <v>1</v>
      </c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/>
      <c r="Y924" s="13">
        <f>SUMPRODUCT(M924:X924,$M$2:$X$2)*$K924*$L924</f>
        <v/>
      </c>
      <c r="Z924" s="14">
        <f>SUM(M924:X924)</f>
        <v/>
      </c>
      <c r="AA924" s="13">
        <f>SUMPRODUCT(M924:X924,$M$3:$X$3)*$K924*$L924</f>
        <v/>
      </c>
      <c r="AB924" s="13">
        <f>SUMPRODUCT(M924:X924,$M$4:$X$4)*$K924*$L924</f>
        <v/>
      </c>
      <c r="AC924" s="15">
        <f>SUMPRODUCT(M924:X924,$M$5:$X$5)*$K924*$L924</f>
        <v/>
      </c>
      <c r="AD924" s="15">
        <f>SUMPRODUCT(M924:X924,$M$6:$X$6)*$K924*$L924</f>
        <v/>
      </c>
      <c r="AE924" s="19" t="n"/>
    </row>
    <row r="925">
      <c r="A925" s="9" t="n">
        <v>695445</v>
      </c>
      <c r="B925" s="9" t="inlineStr">
        <is>
          <t>Chase Lee</t>
        </is>
      </c>
      <c r="C925" s="9" t="inlineStr">
        <is>
          <t>TOR</t>
        </is>
      </c>
      <c r="D925" s="9" t="n">
        <v>28</v>
      </c>
      <c r="E925" s="17" t="inlineStr">
        <is>
          <t>R</t>
        </is>
      </c>
      <c r="F925" s="17" t="n"/>
      <c r="G925" s="9" t="n">
        <v>37</v>
      </c>
      <c r="H925" s="9" t="n">
        <v>185</v>
      </c>
      <c r="I925" s="9" t="inlineStr">
        <is>
          <t>Bullpen Depth Arm</t>
        </is>
      </c>
      <c r="J925" s="17" t="inlineStr">
        <is>
          <t>Opening Day</t>
        </is>
      </c>
      <c r="K925" s="11">
        <f>IFERROR(INDEX(Roles!$B$17:$B$20,MATCH(J925,Roles!$A$17:$A$20,0)),1)</f>
        <v/>
      </c>
      <c r="L925" s="18" t="n">
        <v>1</v>
      </c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/>
      <c r="Y925" s="13">
        <f>SUMPRODUCT(M925:X925,$M$2:$X$2)*$K925*$L925</f>
        <v/>
      </c>
      <c r="Z925" s="14">
        <f>SUM(M925:X925)</f>
        <v/>
      </c>
      <c r="AA925" s="13">
        <f>SUMPRODUCT(M925:X925,$M$3:$X$3)*$K925*$L925</f>
        <v/>
      </c>
      <c r="AB925" s="13">
        <f>SUMPRODUCT(M925:X925,$M$4:$X$4)*$K925*$L925</f>
        <v/>
      </c>
      <c r="AC925" s="15">
        <f>SUMPRODUCT(M925:X925,$M$5:$X$5)*$K925*$L925</f>
        <v/>
      </c>
      <c r="AD925" s="15">
        <f>SUMPRODUCT(M925:X925,$M$6:$X$6)*$K925*$L925</f>
        <v/>
      </c>
      <c r="AE925" s="19" t="n"/>
    </row>
    <row r="926">
      <c r="A926" s="9" t="n">
        <v>660730</v>
      </c>
      <c r="B926" s="9" t="inlineStr">
        <is>
          <t>Elvin Rodríguez</t>
        </is>
      </c>
      <c r="C926" s="9" t="inlineStr">
        <is>
          <t>BAL</t>
        </is>
      </c>
      <c r="D926" s="9" t="n">
        <v>29</v>
      </c>
      <c r="E926" s="17" t="inlineStr">
        <is>
          <t>R</t>
        </is>
      </c>
      <c r="F926" s="17" t="n"/>
      <c r="G926" s="9" t="n">
        <v>90</v>
      </c>
      <c r="H926" s="9" t="n">
        <v>243</v>
      </c>
      <c r="I926" s="9" t="inlineStr">
        <is>
          <t>Bullpen Depth Arm</t>
        </is>
      </c>
      <c r="J926" s="17" t="inlineStr">
        <is>
          <t>Opening Day</t>
        </is>
      </c>
      <c r="K926" s="11">
        <f>IFERROR(INDEX(Roles!$B$17:$B$20,MATCH(J926,Roles!$A$17:$A$20,0)),1)</f>
        <v/>
      </c>
      <c r="L926" s="18" t="n">
        <v>1</v>
      </c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/>
      <c r="Y926" s="13">
        <f>SUMPRODUCT(M926:X926,$M$2:$X$2)*$K926*$L926</f>
        <v/>
      </c>
      <c r="Z926" s="14">
        <f>SUM(M926:X926)</f>
        <v/>
      </c>
      <c r="AA926" s="13">
        <f>SUMPRODUCT(M926:X926,$M$3:$X$3)*$K926*$L926</f>
        <v/>
      </c>
      <c r="AB926" s="13">
        <f>SUMPRODUCT(M926:X926,$M$4:$X$4)*$K926*$L926</f>
        <v/>
      </c>
      <c r="AC926" s="15">
        <f>SUMPRODUCT(M926:X926,$M$5:$X$5)*$K926*$L926</f>
        <v/>
      </c>
      <c r="AD926" s="15">
        <f>SUMPRODUCT(M926:X926,$M$6:$X$6)*$K926*$L926</f>
        <v/>
      </c>
      <c r="AE926" s="19" t="n"/>
    </row>
    <row r="927">
      <c r="A927" s="9" t="n">
        <v>666149</v>
      </c>
      <c r="B927" s="9" t="inlineStr">
        <is>
          <t>Tyler Fitzgerald</t>
        </is>
      </c>
      <c r="C927" s="9" t="inlineStr"/>
      <c r="D927" s="9" t="n">
        <v>29</v>
      </c>
      <c r="E927" s="17" t="inlineStr">
        <is>
          <t>R</t>
        </is>
      </c>
      <c r="F927" s="17" t="n"/>
      <c r="G927" s="9" t="n">
        <v>14</v>
      </c>
      <c r="H927" s="9" t="n">
        <v>14</v>
      </c>
      <c r="I927" s="9" t="inlineStr">
        <is>
          <t>Depth (no MLB IP)</t>
        </is>
      </c>
      <c r="J927" s="17" t="inlineStr">
        <is>
          <t>Opening Day</t>
        </is>
      </c>
      <c r="K927" s="11">
        <f>IFERROR(INDEX(Roles!$B$17:$B$20,MATCH(J927,Roles!$A$17:$A$20,0)),1)</f>
        <v/>
      </c>
      <c r="L927" s="18" t="n">
        <v>1</v>
      </c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/>
      <c r="Y927" s="13">
        <f>SUMPRODUCT(M927:X927,$M$2:$X$2)*$K927*$L927</f>
        <v/>
      </c>
      <c r="Z927" s="14">
        <f>SUM(M927:X927)</f>
        <v/>
      </c>
      <c r="AA927" s="13">
        <f>SUMPRODUCT(M927:X927,$M$3:$X$3)*$K927*$L927</f>
        <v/>
      </c>
      <c r="AB927" s="13">
        <f>SUMPRODUCT(M927:X927,$M$4:$X$4)*$K927*$L927</f>
        <v/>
      </c>
      <c r="AC927" s="15">
        <f>SUMPRODUCT(M927:X927,$M$5:$X$5)*$K927*$L927</f>
        <v/>
      </c>
      <c r="AD927" s="15">
        <f>SUMPRODUCT(M927:X927,$M$6:$X$6)*$K927*$L927</f>
        <v/>
      </c>
      <c r="AE927" s="19" t="n"/>
    </row>
    <row r="928">
      <c r="A928" s="9" t="n">
        <v>678821</v>
      </c>
      <c r="B928" s="9" t="inlineStr">
        <is>
          <t>Luis Peralta</t>
        </is>
      </c>
      <c r="C928" s="9" t="inlineStr">
        <is>
          <t>COL</t>
        </is>
      </c>
      <c r="D928" s="9" t="n">
        <v>26</v>
      </c>
      <c r="E928" s="17" t="inlineStr">
        <is>
          <t>L</t>
        </is>
      </c>
      <c r="F928" s="17" t="n"/>
      <c r="G928" s="9" t="n">
        <v>101</v>
      </c>
      <c r="H928" s="9" t="n">
        <v>150</v>
      </c>
      <c r="I928" s="9" t="inlineStr">
        <is>
          <t>Bullpen Depth Arm</t>
        </is>
      </c>
      <c r="J928" s="17" t="inlineStr">
        <is>
          <t>Opening Day</t>
        </is>
      </c>
      <c r="K928" s="11">
        <f>IFERROR(INDEX(Roles!$B$17:$B$20,MATCH(J928,Roles!$A$17:$A$20,0)),1)</f>
        <v/>
      </c>
      <c r="L928" s="18" t="n">
        <v>1</v>
      </c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/>
      <c r="Y928" s="13">
        <f>SUMPRODUCT(M928:X928,$M$2:$X$2)*$K928*$L928</f>
        <v/>
      </c>
      <c r="Z928" s="14">
        <f>SUM(M928:X928)</f>
        <v/>
      </c>
      <c r="AA928" s="13">
        <f>SUMPRODUCT(M928:X928,$M$3:$X$3)*$K928*$L928</f>
        <v/>
      </c>
      <c r="AB928" s="13">
        <f>SUMPRODUCT(M928:X928,$M$4:$X$4)*$K928*$L928</f>
        <v/>
      </c>
      <c r="AC928" s="15">
        <f>SUMPRODUCT(M928:X928,$M$5:$X$5)*$K928*$L928</f>
        <v/>
      </c>
      <c r="AD928" s="15">
        <f>SUMPRODUCT(M928:X928,$M$6:$X$6)*$K928*$L928</f>
        <v/>
      </c>
      <c r="AE928" s="19" t="n"/>
    </row>
    <row r="929">
      <c r="A929" s="9" t="n">
        <v>640454</v>
      </c>
      <c r="B929" s="9" t="inlineStr">
        <is>
          <t>Matt Krook</t>
        </is>
      </c>
      <c r="C929" s="9" t="inlineStr">
        <is>
          <t>WSH</t>
        </is>
      </c>
      <c r="D929" s="9" t="n">
        <v>32</v>
      </c>
      <c r="E929" s="17" t="inlineStr">
        <is>
          <t>L</t>
        </is>
      </c>
      <c r="F929" s="17" t="n"/>
      <c r="G929" s="9" t="n">
        <v>46</v>
      </c>
      <c r="H929" s="9" t="n">
        <v>94</v>
      </c>
      <c r="I929" s="9" t="inlineStr">
        <is>
          <t>Bullpen Depth Arm</t>
        </is>
      </c>
      <c r="J929" s="17" t="inlineStr">
        <is>
          <t>Opening Day</t>
        </is>
      </c>
      <c r="K929" s="11">
        <f>IFERROR(INDEX(Roles!$B$17:$B$20,MATCH(J929,Roles!$A$17:$A$20,0)),1)</f>
        <v/>
      </c>
      <c r="L929" s="18" t="n">
        <v>1</v>
      </c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/>
      <c r="Y929" s="13">
        <f>SUMPRODUCT(M929:X929,$M$2:$X$2)*$K929*$L929</f>
        <v/>
      </c>
      <c r="Z929" s="14">
        <f>SUM(M929:X929)</f>
        <v/>
      </c>
      <c r="AA929" s="13">
        <f>SUMPRODUCT(M929:X929,$M$3:$X$3)*$K929*$L929</f>
        <v/>
      </c>
      <c r="AB929" s="13">
        <f>SUMPRODUCT(M929:X929,$M$4:$X$4)*$K929*$L929</f>
        <v/>
      </c>
      <c r="AC929" s="15">
        <f>SUMPRODUCT(M929:X929,$M$5:$X$5)*$K929*$L929</f>
        <v/>
      </c>
      <c r="AD929" s="15">
        <f>SUMPRODUCT(M929:X929,$M$6:$X$6)*$K929*$L929</f>
        <v/>
      </c>
      <c r="AE929" s="19" t="n"/>
    </row>
    <row r="930">
      <c r="A930" s="9" t="n">
        <v>802686</v>
      </c>
      <c r="B930" s="9" t="inlineStr">
        <is>
          <t>Hayden Harris</t>
        </is>
      </c>
      <c r="C930" s="9" t="inlineStr"/>
      <c r="D930" s="9" t="n">
        <v>28</v>
      </c>
      <c r="E930" s="17" t="inlineStr">
        <is>
          <t>L</t>
        </is>
      </c>
      <c r="F930" s="17" t="n"/>
      <c r="G930" s="9" t="n">
        <v>12</v>
      </c>
      <c r="H930" s="9" t="n">
        <v>12</v>
      </c>
      <c r="I930" s="9" t="inlineStr">
        <is>
          <t>Depth (no MLB IP)</t>
        </is>
      </c>
      <c r="J930" s="17" t="inlineStr">
        <is>
          <t>Opening Day</t>
        </is>
      </c>
      <c r="K930" s="11">
        <f>IFERROR(INDEX(Roles!$B$17:$B$20,MATCH(J930,Roles!$A$17:$A$20,0)),1)</f>
        <v/>
      </c>
      <c r="L930" s="18" t="n">
        <v>1</v>
      </c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/>
      <c r="Y930" s="13">
        <f>SUMPRODUCT(M930:X930,$M$2:$X$2)*$K930*$L930</f>
        <v/>
      </c>
      <c r="Z930" s="14">
        <f>SUM(M930:X930)</f>
        <v/>
      </c>
      <c r="AA930" s="13">
        <f>SUMPRODUCT(M930:X930,$M$3:$X$3)*$K930*$L930</f>
        <v/>
      </c>
      <c r="AB930" s="13">
        <f>SUMPRODUCT(M930:X930,$M$4:$X$4)*$K930*$L930</f>
        <v/>
      </c>
      <c r="AC930" s="15">
        <f>SUMPRODUCT(M930:X930,$M$5:$X$5)*$K930*$L930</f>
        <v/>
      </c>
      <c r="AD930" s="15">
        <f>SUMPRODUCT(M930:X930,$M$6:$X$6)*$K930*$L930</f>
        <v/>
      </c>
      <c r="AE930" s="19" t="n"/>
    </row>
    <row r="931">
      <c r="A931" s="9" t="n">
        <v>665001</v>
      </c>
      <c r="B931" s="9" t="inlineStr">
        <is>
          <t>Trevor Kelley</t>
        </is>
      </c>
      <c r="C931" s="9" t="inlineStr">
        <is>
          <t>TB</t>
        </is>
      </c>
      <c r="D931" s="9" t="n">
        <v>34</v>
      </c>
      <c r="E931" s="17" t="inlineStr">
        <is>
          <t>R</t>
        </is>
      </c>
      <c r="F931" s="17" t="n"/>
      <c r="G931" s="9" t="n">
        <v>69</v>
      </c>
      <c r="H931" s="9" t="n">
        <v>176</v>
      </c>
      <c r="I931" s="9" t="inlineStr">
        <is>
          <t>Depth (no MLB IP)</t>
        </is>
      </c>
      <c r="J931" s="17" t="inlineStr">
        <is>
          <t>Opening Day</t>
        </is>
      </c>
      <c r="K931" s="11">
        <f>IFERROR(INDEX(Roles!$B$17:$B$20,MATCH(J931,Roles!$A$17:$A$20,0)),1)</f>
        <v/>
      </c>
      <c r="L931" s="18" t="n">
        <v>1</v>
      </c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/>
      <c r="Y931" s="13">
        <f>SUMPRODUCT(M931:X931,$M$2:$X$2)*$K931*$L931</f>
        <v/>
      </c>
      <c r="Z931" s="14">
        <f>SUM(M931:X931)</f>
        <v/>
      </c>
      <c r="AA931" s="13">
        <f>SUMPRODUCT(M931:X931,$M$3:$X$3)*$K931*$L931</f>
        <v/>
      </c>
      <c r="AB931" s="13">
        <f>SUMPRODUCT(M931:X931,$M$4:$X$4)*$K931*$L931</f>
        <v/>
      </c>
      <c r="AC931" s="15">
        <f>SUMPRODUCT(M931:X931,$M$5:$X$5)*$K931*$L931</f>
        <v/>
      </c>
      <c r="AD931" s="15">
        <f>SUMPRODUCT(M931:X931,$M$6:$X$6)*$K931*$L931</f>
        <v/>
      </c>
      <c r="AE931" s="19" t="n"/>
    </row>
    <row r="932">
      <c r="A932" s="9" t="n">
        <v>702193</v>
      </c>
      <c r="B932" s="9" t="inlineStr">
        <is>
          <t>Andrew Morris</t>
        </is>
      </c>
      <c r="C932" s="9" t="inlineStr">
        <is>
          <t>MIN</t>
        </is>
      </c>
      <c r="D932" s="9" t="n">
        <v>25</v>
      </c>
      <c r="E932" s="17" t="inlineStr">
        <is>
          <t>R</t>
        </is>
      </c>
      <c r="F932" s="17" t="n"/>
      <c r="G932" s="9" t="n">
        <v>301</v>
      </c>
      <c r="H932" s="9" t="n">
        <v>301</v>
      </c>
      <c r="I932" s="9" t="inlineStr">
        <is>
          <t>Bullpen Depth Arm</t>
        </is>
      </c>
      <c r="J932" s="17" t="inlineStr">
        <is>
          <t>Opening Day</t>
        </is>
      </c>
      <c r="K932" s="11">
        <f>IFERROR(INDEX(Roles!$B$17:$B$20,MATCH(J932,Roles!$A$17:$A$20,0)),1)</f>
        <v/>
      </c>
      <c r="L932" s="18" t="n">
        <v>1</v>
      </c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/>
      <c r="Y932" s="13">
        <f>SUMPRODUCT(M932:X932,$M$2:$X$2)*$K932*$L932</f>
        <v/>
      </c>
      <c r="Z932" s="14">
        <f>SUM(M932:X932)</f>
        <v/>
      </c>
      <c r="AA932" s="13">
        <f>SUMPRODUCT(M932:X932,$M$3:$X$3)*$K932*$L932</f>
        <v/>
      </c>
      <c r="AB932" s="13">
        <f>SUMPRODUCT(M932:X932,$M$4:$X$4)*$K932*$L932</f>
        <v/>
      </c>
      <c r="AC932" s="15">
        <f>SUMPRODUCT(M932:X932,$M$5:$X$5)*$K932*$L932</f>
        <v/>
      </c>
      <c r="AD932" s="15">
        <f>SUMPRODUCT(M932:X932,$M$6:$X$6)*$K932*$L932</f>
        <v/>
      </c>
      <c r="AE932" s="19" t="n"/>
    </row>
    <row r="933">
      <c r="A933" s="9" t="n">
        <v>679775</v>
      </c>
      <c r="B933" s="9" t="inlineStr">
        <is>
          <t>Kyle Backhus</t>
        </is>
      </c>
      <c r="C933" s="9" t="inlineStr">
        <is>
          <t>PHI</t>
        </is>
      </c>
      <c r="D933" s="9" t="n">
        <v>29</v>
      </c>
      <c r="E933" s="17" t="inlineStr">
        <is>
          <t>L</t>
        </is>
      </c>
      <c r="F933" s="17" t="n"/>
      <c r="G933" s="9" t="n">
        <v>94</v>
      </c>
      <c r="H933" s="9" t="n">
        <v>209</v>
      </c>
      <c r="I933" s="9" t="inlineStr">
        <is>
          <t>Bullpen Depth Arm</t>
        </is>
      </c>
      <c r="J933" s="17" t="inlineStr">
        <is>
          <t>Opening Day</t>
        </is>
      </c>
      <c r="K933" s="11">
        <f>IFERROR(INDEX(Roles!$B$17:$B$20,MATCH(J933,Roles!$A$17:$A$20,0)),1)</f>
        <v/>
      </c>
      <c r="L933" s="18" t="n">
        <v>1</v>
      </c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/>
      <c r="Y933" s="13">
        <f>SUMPRODUCT(M933:X933,$M$2:$X$2)*$K933*$L933</f>
        <v/>
      </c>
      <c r="Z933" s="14">
        <f>SUM(M933:X933)</f>
        <v/>
      </c>
      <c r="AA933" s="13">
        <f>SUMPRODUCT(M933:X933,$M$3:$X$3)*$K933*$L933</f>
        <v/>
      </c>
      <c r="AB933" s="13">
        <f>SUMPRODUCT(M933:X933,$M$4:$X$4)*$K933*$L933</f>
        <v/>
      </c>
      <c r="AC933" s="15">
        <f>SUMPRODUCT(M933:X933,$M$5:$X$5)*$K933*$L933</f>
        <v/>
      </c>
      <c r="AD933" s="15">
        <f>SUMPRODUCT(M933:X933,$M$6:$X$6)*$K933*$L933</f>
        <v/>
      </c>
      <c r="AE933" s="19" t="n"/>
    </row>
    <row r="934">
      <c r="A934" s="9" t="n">
        <v>701719</v>
      </c>
      <c r="B934" s="9" t="inlineStr">
        <is>
          <t>Tyler Samaniego</t>
        </is>
      </c>
      <c r="C934" s="9" t="inlineStr">
        <is>
          <t>BOS</t>
        </is>
      </c>
      <c r="D934" s="9" t="n">
        <v>28</v>
      </c>
      <c r="E934" s="17" t="inlineStr">
        <is>
          <t>L</t>
        </is>
      </c>
      <c r="F934" s="17" t="n"/>
      <c r="G934" s="9" t="n">
        <v>90</v>
      </c>
      <c r="H934" s="9" t="n">
        <v>90</v>
      </c>
      <c r="I934" s="9" t="inlineStr">
        <is>
          <t>Bullpen Depth Arm</t>
        </is>
      </c>
      <c r="J934" s="17" t="inlineStr">
        <is>
          <t>Opening Day</t>
        </is>
      </c>
      <c r="K934" s="11">
        <f>IFERROR(INDEX(Roles!$B$17:$B$20,MATCH(J934,Roles!$A$17:$A$20,0)),1)</f>
        <v/>
      </c>
      <c r="L934" s="18" t="n">
        <v>1</v>
      </c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/>
      <c r="Y934" s="13">
        <f>SUMPRODUCT(M934:X934,$M$2:$X$2)*$K934*$L934</f>
        <v/>
      </c>
      <c r="Z934" s="14">
        <f>SUM(M934:X934)</f>
        <v/>
      </c>
      <c r="AA934" s="13">
        <f>SUMPRODUCT(M934:X934,$M$3:$X$3)*$K934*$L934</f>
        <v/>
      </c>
      <c r="AB934" s="13">
        <f>SUMPRODUCT(M934:X934,$M$4:$X$4)*$K934*$L934</f>
        <v/>
      </c>
      <c r="AC934" s="15">
        <f>SUMPRODUCT(M934:X934,$M$5:$X$5)*$K934*$L934</f>
        <v/>
      </c>
      <c r="AD934" s="15">
        <f>SUMPRODUCT(M934:X934,$M$6:$X$6)*$K934*$L934</f>
        <v/>
      </c>
      <c r="AE934" s="19" t="n"/>
    </row>
    <row r="935">
      <c r="A935" s="9" t="n">
        <v>642834</v>
      </c>
      <c r="B935" s="9" t="inlineStr">
        <is>
          <t>Jonathan Bermúdez</t>
        </is>
      </c>
      <c r="C935" s="9" t="inlineStr">
        <is>
          <t>MIA</t>
        </is>
      </c>
      <c r="D935" s="9" t="n">
        <v>31</v>
      </c>
      <c r="E935" s="17" t="inlineStr">
        <is>
          <t>L</t>
        </is>
      </c>
      <c r="F935" s="17" t="n"/>
      <c r="G935" s="9" t="n">
        <v>33</v>
      </c>
      <c r="H935" s="9" t="n">
        <v>33</v>
      </c>
      <c r="I935" s="9" t="inlineStr">
        <is>
          <t>Depth (no MLB IP)</t>
        </is>
      </c>
      <c r="J935" s="17" t="inlineStr">
        <is>
          <t>Opening Day</t>
        </is>
      </c>
      <c r="K935" s="11">
        <f>IFERROR(INDEX(Roles!$B$17:$B$20,MATCH(J935,Roles!$A$17:$A$20,0)),1)</f>
        <v/>
      </c>
      <c r="L935" s="18" t="n">
        <v>1</v>
      </c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/>
      <c r="Y935" s="13">
        <f>SUMPRODUCT(M935:X935,$M$2:$X$2)*$K935*$L935</f>
        <v/>
      </c>
      <c r="Z935" s="14">
        <f>SUM(M935:X935)</f>
        <v/>
      </c>
      <c r="AA935" s="13">
        <f>SUMPRODUCT(M935:X935,$M$3:$X$3)*$K935*$L935</f>
        <v/>
      </c>
      <c r="AB935" s="13">
        <f>SUMPRODUCT(M935:X935,$M$4:$X$4)*$K935*$L935</f>
        <v/>
      </c>
      <c r="AC935" s="15">
        <f>SUMPRODUCT(M935:X935,$M$5:$X$5)*$K935*$L935</f>
        <v/>
      </c>
      <c r="AD935" s="15">
        <f>SUMPRODUCT(M935:X935,$M$6:$X$6)*$K935*$L935</f>
        <v/>
      </c>
      <c r="AE935" s="19" t="n"/>
    </row>
    <row r="936">
      <c r="A936" s="9" t="n">
        <v>543063</v>
      </c>
      <c r="B936" s="9" t="inlineStr">
        <is>
          <t>Brandon Crawford</t>
        </is>
      </c>
      <c r="C936" s="9" t="inlineStr"/>
      <c r="D936" s="9" t="n">
        <v>40</v>
      </c>
      <c r="E936" s="17" t="inlineStr">
        <is>
          <t>R</t>
        </is>
      </c>
      <c r="F936" s="17" t="n"/>
      <c r="G936" s="9" t="n">
        <v>10</v>
      </c>
      <c r="H936" s="9" t="n">
        <v>15</v>
      </c>
      <c r="I936" s="9" t="inlineStr">
        <is>
          <t>Depth (no MLB IP)</t>
        </is>
      </c>
      <c r="J936" s="17" t="inlineStr">
        <is>
          <t>Opening Day</t>
        </is>
      </c>
      <c r="K936" s="11">
        <f>IFERROR(INDEX(Roles!$B$17:$B$20,MATCH(J936,Roles!$A$17:$A$20,0)),1)</f>
        <v/>
      </c>
      <c r="L936" s="18" t="n">
        <v>1</v>
      </c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/>
      <c r="Y936" s="13">
        <f>SUMPRODUCT(M936:X936,$M$2:$X$2)*$K936*$L936</f>
        <v/>
      </c>
      <c r="Z936" s="14">
        <f>SUM(M936:X936)</f>
        <v/>
      </c>
      <c r="AA936" s="13">
        <f>SUMPRODUCT(M936:X936,$M$3:$X$3)*$K936*$L936</f>
        <v/>
      </c>
      <c r="AB936" s="13">
        <f>SUMPRODUCT(M936:X936,$M$4:$X$4)*$K936*$L936</f>
        <v/>
      </c>
      <c r="AC936" s="15">
        <f>SUMPRODUCT(M936:X936,$M$5:$X$5)*$K936*$L936</f>
        <v/>
      </c>
      <c r="AD936" s="15">
        <f>SUMPRODUCT(M936:X936,$M$6:$X$6)*$K936*$L936</f>
        <v/>
      </c>
      <c r="AE936" s="19" t="n"/>
    </row>
    <row r="937">
      <c r="A937" s="9" t="n">
        <v>608717</v>
      </c>
      <c r="B937" s="9" t="inlineStr">
        <is>
          <t>Chris Stratton</t>
        </is>
      </c>
      <c r="C937" s="9" t="inlineStr">
        <is>
          <t>LAD</t>
        </is>
      </c>
      <c r="D937" s="9" t="n">
        <v>36</v>
      </c>
      <c r="E937" s="17" t="inlineStr">
        <is>
          <t>R</t>
        </is>
      </c>
      <c r="F937" s="17" t="n"/>
      <c r="G937" s="9" t="n">
        <v>104</v>
      </c>
      <c r="H937" s="9" t="n">
        <v>978</v>
      </c>
      <c r="I937" s="9" t="inlineStr">
        <is>
          <t>Bullpen Depth Arm</t>
        </is>
      </c>
      <c r="J937" s="17" t="inlineStr">
        <is>
          <t>Opening Day</t>
        </is>
      </c>
      <c r="K937" s="11">
        <f>IFERROR(INDEX(Roles!$B$17:$B$20,MATCH(J937,Roles!$A$17:$A$20,0)),1)</f>
        <v/>
      </c>
      <c r="L937" s="18" t="n">
        <v>1</v>
      </c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/>
      <c r="Y937" s="13">
        <f>SUMPRODUCT(M937:X937,$M$2:$X$2)*$K937*$L937</f>
        <v/>
      </c>
      <c r="Z937" s="14">
        <f>SUM(M937:X937)</f>
        <v/>
      </c>
      <c r="AA937" s="13">
        <f>SUMPRODUCT(M937:X937,$M$3:$X$3)*$K937*$L937</f>
        <v/>
      </c>
      <c r="AB937" s="13">
        <f>SUMPRODUCT(M937:X937,$M$4:$X$4)*$K937*$L937</f>
        <v/>
      </c>
      <c r="AC937" s="15">
        <f>SUMPRODUCT(M937:X937,$M$5:$X$5)*$K937*$L937</f>
        <v/>
      </c>
      <c r="AD937" s="15">
        <f>SUMPRODUCT(M937:X937,$M$6:$X$6)*$K937*$L937</f>
        <v/>
      </c>
      <c r="AE937" s="19" t="n"/>
    </row>
    <row r="938">
      <c r="A938" s="9" t="n">
        <v>678576</v>
      </c>
      <c r="B938" s="9" t="inlineStr">
        <is>
          <t>Wilkin Ramos</t>
        </is>
      </c>
      <c r="C938" s="9" t="inlineStr"/>
      <c r="D938" s="9" t="n">
        <v>26</v>
      </c>
      <c r="E938" s="17" t="inlineStr">
        <is>
          <t>R</t>
        </is>
      </c>
      <c r="F938" s="17" t="n"/>
      <c r="G938" s="9" t="n">
        <v>15</v>
      </c>
      <c r="H938" s="9" t="n">
        <v>15</v>
      </c>
      <c r="I938" s="9" t="inlineStr">
        <is>
          <t>Depth (no MLB IP)</t>
        </is>
      </c>
      <c r="J938" s="17" t="inlineStr">
        <is>
          <t>Opening Day</t>
        </is>
      </c>
      <c r="K938" s="11">
        <f>IFERROR(INDEX(Roles!$B$17:$B$20,MATCH(J938,Roles!$A$17:$A$20,0)),1)</f>
        <v/>
      </c>
      <c r="L938" s="18" t="n">
        <v>1</v>
      </c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/>
      <c r="Y938" s="13">
        <f>SUMPRODUCT(M938:X938,$M$2:$X$2)*$K938*$L938</f>
        <v/>
      </c>
      <c r="Z938" s="14">
        <f>SUM(M938:X938)</f>
        <v/>
      </c>
      <c r="AA938" s="13">
        <f>SUMPRODUCT(M938:X938,$M$3:$X$3)*$K938*$L938</f>
        <v/>
      </c>
      <c r="AB938" s="13">
        <f>SUMPRODUCT(M938:X938,$M$4:$X$4)*$K938*$L938</f>
        <v/>
      </c>
      <c r="AC938" s="15">
        <f>SUMPRODUCT(M938:X938,$M$5:$X$5)*$K938*$L938</f>
        <v/>
      </c>
      <c r="AD938" s="15">
        <f>SUMPRODUCT(M938:X938,$M$6:$X$6)*$K938*$L938</f>
        <v/>
      </c>
      <c r="AE938" s="19" t="n"/>
    </row>
    <row r="939">
      <c r="A939" s="9" t="n">
        <v>682997</v>
      </c>
      <c r="B939" s="9" t="inlineStr">
        <is>
          <t>Tyler Callihan</t>
        </is>
      </c>
      <c r="C939" s="9" t="inlineStr"/>
      <c r="D939" s="9" t="n">
        <v>27</v>
      </c>
      <c r="E939" s="17" t="inlineStr">
        <is>
          <t>R</t>
        </is>
      </c>
      <c r="F939" s="17" t="n"/>
      <c r="G939" s="9" t="n">
        <v>15</v>
      </c>
      <c r="H939" s="9" t="n">
        <v>15</v>
      </c>
      <c r="I939" s="9" t="inlineStr">
        <is>
          <t>Depth (no MLB IP)</t>
        </is>
      </c>
      <c r="J939" s="17" t="inlineStr">
        <is>
          <t>Opening Day</t>
        </is>
      </c>
      <c r="K939" s="11">
        <f>IFERROR(INDEX(Roles!$B$17:$B$20,MATCH(J939,Roles!$A$17:$A$20,0)),1)</f>
        <v/>
      </c>
      <c r="L939" s="18" t="n">
        <v>1</v>
      </c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/>
      <c r="Y939" s="13">
        <f>SUMPRODUCT(M939:X939,$M$2:$X$2)*$K939*$L939</f>
        <v/>
      </c>
      <c r="Z939" s="14">
        <f>SUM(M939:X939)</f>
        <v/>
      </c>
      <c r="AA939" s="13">
        <f>SUMPRODUCT(M939:X939,$M$3:$X$3)*$K939*$L939</f>
        <v/>
      </c>
      <c r="AB939" s="13">
        <f>SUMPRODUCT(M939:X939,$M$4:$X$4)*$K939*$L939</f>
        <v/>
      </c>
      <c r="AC939" s="15">
        <f>SUMPRODUCT(M939:X939,$M$5:$X$5)*$K939*$L939</f>
        <v/>
      </c>
      <c r="AD939" s="15">
        <f>SUMPRODUCT(M939:X939,$M$6:$X$6)*$K939*$L939</f>
        <v/>
      </c>
      <c r="AE939" s="19" t="n"/>
    </row>
    <row r="940">
      <c r="A940" s="9" t="n">
        <v>669105</v>
      </c>
      <c r="B940" s="9" t="inlineStr">
        <is>
          <t>Zach Muckenhirn</t>
        </is>
      </c>
      <c r="C940" s="9" t="inlineStr">
        <is>
          <t>NYM</t>
        </is>
      </c>
      <c r="D940" s="9" t="n">
        <v>32</v>
      </c>
      <c r="E940" s="17" t="inlineStr">
        <is>
          <t>L</t>
        </is>
      </c>
      <c r="F940" s="17" t="n"/>
      <c r="G940" s="9" t="n">
        <v>31</v>
      </c>
      <c r="H940" s="9" t="n">
        <v>31</v>
      </c>
      <c r="I940" s="9" t="inlineStr">
        <is>
          <t>Depth (no MLB IP)</t>
        </is>
      </c>
      <c r="J940" s="17" t="inlineStr">
        <is>
          <t>Opening Day</t>
        </is>
      </c>
      <c r="K940" s="11">
        <f>IFERROR(INDEX(Roles!$B$17:$B$20,MATCH(J940,Roles!$A$17:$A$20,0)),1)</f>
        <v/>
      </c>
      <c r="L940" s="18" t="n">
        <v>1</v>
      </c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/>
      <c r="Y940" s="13">
        <f>SUMPRODUCT(M940:X940,$M$2:$X$2)*$K940*$L940</f>
        <v/>
      </c>
      <c r="Z940" s="14">
        <f>SUM(M940:X940)</f>
        <v/>
      </c>
      <c r="AA940" s="13">
        <f>SUMPRODUCT(M940:X940,$M$3:$X$3)*$K940*$L940</f>
        <v/>
      </c>
      <c r="AB940" s="13">
        <f>SUMPRODUCT(M940:X940,$M$4:$X$4)*$K940*$L940</f>
        <v/>
      </c>
      <c r="AC940" s="15">
        <f>SUMPRODUCT(M940:X940,$M$5:$X$5)*$K940*$L940</f>
        <v/>
      </c>
      <c r="AD940" s="15">
        <f>SUMPRODUCT(M940:X940,$M$6:$X$6)*$K940*$L940</f>
        <v/>
      </c>
      <c r="AE940" s="19" t="n"/>
    </row>
    <row r="941">
      <c r="A941" s="9" t="n">
        <v>702070</v>
      </c>
      <c r="B941" s="9" t="inlineStr">
        <is>
          <t>Noah Cameron</t>
        </is>
      </c>
      <c r="C941" s="9" t="inlineStr">
        <is>
          <t>KC</t>
        </is>
      </c>
      <c r="D941" s="9" t="n">
        <v>27</v>
      </c>
      <c r="E941" s="17" t="inlineStr">
        <is>
          <t>L</t>
        </is>
      </c>
      <c r="F941" s="17" t="n"/>
      <c r="G941" s="9" t="n">
        <v>692</v>
      </c>
      <c r="H941" s="9" t="n">
        <v>1248</v>
      </c>
      <c r="I941" s="9" t="inlineStr">
        <is>
          <t>Mid-Rotation Starter (SP2-3)</t>
        </is>
      </c>
      <c r="J941" s="17" t="inlineStr">
        <is>
          <t>Opening Day</t>
        </is>
      </c>
      <c r="K941" s="11">
        <f>IFERROR(INDEX(Roles!$B$17:$B$20,MATCH(J941,Roles!$A$17:$A$20,0)),1)</f>
        <v/>
      </c>
      <c r="L941" s="18" t="n">
        <v>1</v>
      </c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/>
      <c r="Y941" s="13">
        <f>SUMPRODUCT(M941:X941,$M$2:$X$2)*$K941*$L941</f>
        <v/>
      </c>
      <c r="Z941" s="14">
        <f>SUM(M941:X941)</f>
        <v/>
      </c>
      <c r="AA941" s="13">
        <f>SUMPRODUCT(M941:X941,$M$3:$X$3)*$K941*$L941</f>
        <v/>
      </c>
      <c r="AB941" s="13">
        <f>SUMPRODUCT(M941:X941,$M$4:$X$4)*$K941*$L941</f>
        <v/>
      </c>
      <c r="AC941" s="15">
        <f>SUMPRODUCT(M941:X941,$M$5:$X$5)*$K941*$L941</f>
        <v/>
      </c>
      <c r="AD941" s="15">
        <f>SUMPRODUCT(M941:X941,$M$6:$X$6)*$K941*$L941</f>
        <v/>
      </c>
      <c r="AE941" s="19" t="n"/>
    </row>
    <row r="942">
      <c r="A942" s="9" t="n">
        <v>554431</v>
      </c>
      <c r="B942" s="9" t="inlineStr">
        <is>
          <t>Tyler Matzek</t>
        </is>
      </c>
      <c r="C942" s="9" t="inlineStr">
        <is>
          <t>NYY</t>
        </is>
      </c>
      <c r="D942" s="9" t="n">
        <v>36</v>
      </c>
      <c r="E942" s="17" t="inlineStr">
        <is>
          <t>L</t>
        </is>
      </c>
      <c r="F942" s="17" t="n"/>
      <c r="G942" s="9" t="n">
        <v>35</v>
      </c>
      <c r="H942" s="9" t="n">
        <v>267</v>
      </c>
      <c r="I942" s="9" t="inlineStr">
        <is>
          <t>Bullpen Depth Arm</t>
        </is>
      </c>
      <c r="J942" s="17" t="inlineStr">
        <is>
          <t>Opening Day</t>
        </is>
      </c>
      <c r="K942" s="11">
        <f>IFERROR(INDEX(Roles!$B$17:$B$20,MATCH(J942,Roles!$A$17:$A$20,0)),1)</f>
        <v/>
      </c>
      <c r="L942" s="18" t="n">
        <v>1</v>
      </c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/>
      <c r="Y942" s="13">
        <f>SUMPRODUCT(M942:X942,$M$2:$X$2)*$K942*$L942</f>
        <v/>
      </c>
      <c r="Z942" s="14">
        <f>SUM(M942:X942)</f>
        <v/>
      </c>
      <c r="AA942" s="13">
        <f>SUMPRODUCT(M942:X942,$M$3:$X$3)*$K942*$L942</f>
        <v/>
      </c>
      <c r="AB942" s="13">
        <f>SUMPRODUCT(M942:X942,$M$4:$X$4)*$K942*$L942</f>
        <v/>
      </c>
      <c r="AC942" s="15">
        <f>SUMPRODUCT(M942:X942,$M$5:$X$5)*$K942*$L942</f>
        <v/>
      </c>
      <c r="AD942" s="15">
        <f>SUMPRODUCT(M942:X942,$M$6:$X$6)*$K942*$L942</f>
        <v/>
      </c>
      <c r="AE942" s="19" t="n"/>
    </row>
    <row r="943">
      <c r="A943" s="9" t="n">
        <v>689266</v>
      </c>
      <c r="B943" s="9" t="inlineStr">
        <is>
          <t>Dylan Dodd</t>
        </is>
      </c>
      <c r="C943" s="9" t="inlineStr">
        <is>
          <t>ATL</t>
        </is>
      </c>
      <c r="D943" s="9" t="n">
        <v>29</v>
      </c>
      <c r="E943" s="17" t="inlineStr">
        <is>
          <t>L</t>
        </is>
      </c>
      <c r="F943" s="17" t="n"/>
      <c r="G943" s="9" t="n">
        <v>178</v>
      </c>
      <c r="H943" s="9" t="n">
        <v>487</v>
      </c>
      <c r="I943" s="9" t="inlineStr">
        <is>
          <t>Bullpen Depth Arm</t>
        </is>
      </c>
      <c r="J943" s="17" t="inlineStr">
        <is>
          <t>Opening Day</t>
        </is>
      </c>
      <c r="K943" s="11">
        <f>IFERROR(INDEX(Roles!$B$17:$B$20,MATCH(J943,Roles!$A$17:$A$20,0)),1)</f>
        <v/>
      </c>
      <c r="L943" s="18" t="n">
        <v>1</v>
      </c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/>
      <c r="Y943" s="13">
        <f>SUMPRODUCT(M943:X943,$M$2:$X$2)*$K943*$L943</f>
        <v/>
      </c>
      <c r="Z943" s="14">
        <f>SUM(M943:X943)</f>
        <v/>
      </c>
      <c r="AA943" s="13">
        <f>SUMPRODUCT(M943:X943,$M$3:$X$3)*$K943*$L943</f>
        <v/>
      </c>
      <c r="AB943" s="13">
        <f>SUMPRODUCT(M943:X943,$M$4:$X$4)*$K943*$L943</f>
        <v/>
      </c>
      <c r="AC943" s="15">
        <f>SUMPRODUCT(M943:X943,$M$5:$X$5)*$K943*$L943</f>
        <v/>
      </c>
      <c r="AD943" s="15">
        <f>SUMPRODUCT(M943:X943,$M$6:$X$6)*$K943*$L943</f>
        <v/>
      </c>
      <c r="AE943" s="19" t="n"/>
    </row>
    <row r="944">
      <c r="A944" s="9" t="n">
        <v>650644</v>
      </c>
      <c r="B944" s="9" t="inlineStr">
        <is>
          <t>Aaron Civale</t>
        </is>
      </c>
      <c r="C944" s="9" t="inlineStr">
        <is>
          <t>CHC</t>
        </is>
      </c>
      <c r="D944" s="9" t="n">
        <v>32</v>
      </c>
      <c r="E944" s="17" t="inlineStr">
        <is>
          <t>R</t>
        </is>
      </c>
      <c r="F944" s="17" t="n"/>
      <c r="G944" s="9" t="n">
        <v>470</v>
      </c>
      <c r="H944" s="9" t="n">
        <v>2505</v>
      </c>
      <c r="I944" s="9" t="inlineStr">
        <is>
          <t>End-of-Rotation Starter (SP4-5)</t>
        </is>
      </c>
      <c r="J944" s="17" t="inlineStr">
        <is>
          <t>Opening Day</t>
        </is>
      </c>
      <c r="K944" s="11">
        <f>IFERROR(INDEX(Roles!$B$17:$B$20,MATCH(J944,Roles!$A$17:$A$20,0)),1)</f>
        <v/>
      </c>
      <c r="L944" s="18" t="n">
        <v>1</v>
      </c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/>
      <c r="Y944" s="13">
        <f>SUMPRODUCT(M944:X944,$M$2:$X$2)*$K944*$L944</f>
        <v/>
      </c>
      <c r="Z944" s="14">
        <f>SUM(M944:X944)</f>
        <v/>
      </c>
      <c r="AA944" s="13">
        <f>SUMPRODUCT(M944:X944,$M$3:$X$3)*$K944*$L944</f>
        <v/>
      </c>
      <c r="AB944" s="13">
        <f>SUMPRODUCT(M944:X944,$M$4:$X$4)*$K944*$L944</f>
        <v/>
      </c>
      <c r="AC944" s="15">
        <f>SUMPRODUCT(M944:X944,$M$5:$X$5)*$K944*$L944</f>
        <v/>
      </c>
      <c r="AD944" s="15">
        <f>SUMPRODUCT(M944:X944,$M$6:$X$6)*$K944*$L944</f>
        <v/>
      </c>
      <c r="AE944" s="19" t="n"/>
    </row>
    <row r="945">
      <c r="A945" s="9" t="n">
        <v>657514</v>
      </c>
      <c r="B945" s="9" t="inlineStr">
        <is>
          <t>Brennan Bernardino</t>
        </is>
      </c>
      <c r="C945" s="9" t="inlineStr">
        <is>
          <t>COL</t>
        </is>
      </c>
      <c r="D945" s="9" t="n">
        <v>35</v>
      </c>
      <c r="E945" s="17" t="inlineStr">
        <is>
          <t>L</t>
        </is>
      </c>
      <c r="F945" s="17" t="n"/>
      <c r="G945" s="9" t="n">
        <v>248</v>
      </c>
      <c r="H945" s="9" t="n">
        <v>927</v>
      </c>
      <c r="I945" s="9" t="inlineStr">
        <is>
          <t>Bullpen Depth Arm</t>
        </is>
      </c>
      <c r="J945" s="17" t="inlineStr">
        <is>
          <t>Opening Day</t>
        </is>
      </c>
      <c r="K945" s="11">
        <f>IFERROR(INDEX(Roles!$B$17:$B$20,MATCH(J945,Roles!$A$17:$A$20,0)),1)</f>
        <v/>
      </c>
      <c r="L945" s="18" t="n">
        <v>1</v>
      </c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/>
      <c r="Y945" s="13">
        <f>SUMPRODUCT(M945:X945,$M$2:$X$2)*$K945*$L945</f>
        <v/>
      </c>
      <c r="Z945" s="14">
        <f>SUM(M945:X945)</f>
        <v/>
      </c>
      <c r="AA945" s="13">
        <f>SUMPRODUCT(M945:X945,$M$3:$X$3)*$K945*$L945</f>
        <v/>
      </c>
      <c r="AB945" s="13">
        <f>SUMPRODUCT(M945:X945,$M$4:$X$4)*$K945*$L945</f>
        <v/>
      </c>
      <c r="AC945" s="15">
        <f>SUMPRODUCT(M945:X945,$M$5:$X$5)*$K945*$L945</f>
        <v/>
      </c>
      <c r="AD945" s="15">
        <f>SUMPRODUCT(M945:X945,$M$6:$X$6)*$K945*$L945</f>
        <v/>
      </c>
      <c r="AE945" s="19" t="n"/>
    </row>
    <row r="946">
      <c r="A946" s="9" t="n">
        <v>686610</v>
      </c>
      <c r="B946" s="9" t="inlineStr">
        <is>
          <t>Ken Waldichuk</t>
        </is>
      </c>
      <c r="C946" s="9" t="inlineStr">
        <is>
          <t>WSH</t>
        </is>
      </c>
      <c r="D946" s="9" t="n">
        <v>29</v>
      </c>
      <c r="E946" s="17" t="inlineStr">
        <is>
          <t>L</t>
        </is>
      </c>
      <c r="F946" s="17" t="n"/>
      <c r="G946" s="9" t="n">
        <v>41</v>
      </c>
      <c r="H946" s="9" t="n">
        <v>826</v>
      </c>
      <c r="I946" s="9" t="inlineStr">
        <is>
          <t>Bullpen Depth Arm</t>
        </is>
      </c>
      <c r="J946" s="17" t="inlineStr">
        <is>
          <t>Opening Day</t>
        </is>
      </c>
      <c r="K946" s="11">
        <f>IFERROR(INDEX(Roles!$B$17:$B$20,MATCH(J946,Roles!$A$17:$A$20,0)),1)</f>
        <v/>
      </c>
      <c r="L946" s="18" t="n">
        <v>1</v>
      </c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/>
      <c r="Y946" s="13">
        <f>SUMPRODUCT(M946:X946,$M$2:$X$2)*$K946*$L946</f>
        <v/>
      </c>
      <c r="Z946" s="14">
        <f>SUM(M946:X946)</f>
        <v/>
      </c>
      <c r="AA946" s="13">
        <f>SUMPRODUCT(M946:X946,$M$3:$X$3)*$K946*$L946</f>
        <v/>
      </c>
      <c r="AB946" s="13">
        <f>SUMPRODUCT(M946:X946,$M$4:$X$4)*$K946*$L946</f>
        <v/>
      </c>
      <c r="AC946" s="15">
        <f>SUMPRODUCT(M946:X946,$M$5:$X$5)*$K946*$L946</f>
        <v/>
      </c>
      <c r="AD946" s="15">
        <f>SUMPRODUCT(M946:X946,$M$6:$X$6)*$K946*$L946</f>
        <v/>
      </c>
      <c r="AE946" s="19" t="n"/>
    </row>
    <row r="947">
      <c r="A947" s="9" t="n">
        <v>605347</v>
      </c>
      <c r="B947" s="9" t="inlineStr">
        <is>
          <t>Jorge López</t>
        </is>
      </c>
      <c r="C947" s="9" t="inlineStr">
        <is>
          <t>WSH</t>
        </is>
      </c>
      <c r="D947" s="9" t="n">
        <v>34</v>
      </c>
      <c r="E947" s="17" t="inlineStr">
        <is>
          <t>R</t>
        </is>
      </c>
      <c r="F947" s="17" t="n"/>
      <c r="G947" s="9" t="n">
        <v>106</v>
      </c>
      <c r="H947" s="9" t="n">
        <v>887</v>
      </c>
      <c r="I947" s="9" t="inlineStr">
        <is>
          <t>Bullpen Depth Arm</t>
        </is>
      </c>
      <c r="J947" s="17" t="inlineStr">
        <is>
          <t>Opening Day</t>
        </is>
      </c>
      <c r="K947" s="11">
        <f>IFERROR(INDEX(Roles!$B$17:$B$20,MATCH(J947,Roles!$A$17:$A$20,0)),1)</f>
        <v/>
      </c>
      <c r="L947" s="18" t="n">
        <v>1</v>
      </c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/>
      <c r="Y947" s="13">
        <f>SUMPRODUCT(M947:X947,$M$2:$X$2)*$K947*$L947</f>
        <v/>
      </c>
      <c r="Z947" s="14">
        <f>SUM(M947:X947)</f>
        <v/>
      </c>
      <c r="AA947" s="13">
        <f>SUMPRODUCT(M947:X947,$M$3:$X$3)*$K947*$L947</f>
        <v/>
      </c>
      <c r="AB947" s="13">
        <f>SUMPRODUCT(M947:X947,$M$4:$X$4)*$K947*$L947</f>
        <v/>
      </c>
      <c r="AC947" s="15">
        <f>SUMPRODUCT(M947:X947,$M$5:$X$5)*$K947*$L947</f>
        <v/>
      </c>
      <c r="AD947" s="15">
        <f>SUMPRODUCT(M947:X947,$M$6:$X$6)*$K947*$L947</f>
        <v/>
      </c>
      <c r="AE947" s="19" t="n"/>
    </row>
    <row r="948">
      <c r="A948" s="9" t="n">
        <v>694341</v>
      </c>
      <c r="B948" s="9" t="inlineStr">
        <is>
          <t>Brendan Beck</t>
        </is>
      </c>
      <c r="C948" s="9" t="inlineStr">
        <is>
          <t>NYY</t>
        </is>
      </c>
      <c r="D948" s="9" t="n">
        <v>28</v>
      </c>
      <c r="E948" s="17" t="inlineStr">
        <is>
          <t>R</t>
        </is>
      </c>
      <c r="F948" s="17" t="n"/>
      <c r="G948" s="9" t="n">
        <v>34</v>
      </c>
      <c r="H948" s="9" t="n">
        <v>34</v>
      </c>
      <c r="I948" s="9" t="inlineStr">
        <is>
          <t>Bullpen Depth Arm</t>
        </is>
      </c>
      <c r="J948" s="17" t="inlineStr">
        <is>
          <t>Opening Day</t>
        </is>
      </c>
      <c r="K948" s="11">
        <f>IFERROR(INDEX(Roles!$B$17:$B$20,MATCH(J948,Roles!$A$17:$A$20,0)),1)</f>
        <v/>
      </c>
      <c r="L948" s="18" t="n">
        <v>1</v>
      </c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/>
      <c r="Y948" s="13">
        <f>SUMPRODUCT(M948:X948,$M$2:$X$2)*$K948*$L948</f>
        <v/>
      </c>
      <c r="Z948" s="14">
        <f>SUM(M948:X948)</f>
        <v/>
      </c>
      <c r="AA948" s="13">
        <f>SUMPRODUCT(M948:X948,$M$3:$X$3)*$K948*$L948</f>
        <v/>
      </c>
      <c r="AB948" s="13">
        <f>SUMPRODUCT(M948:X948,$M$4:$X$4)*$K948*$L948</f>
        <v/>
      </c>
      <c r="AC948" s="15">
        <f>SUMPRODUCT(M948:X948,$M$5:$X$5)*$K948*$L948</f>
        <v/>
      </c>
      <c r="AD948" s="15">
        <f>SUMPRODUCT(M948:X948,$M$6:$X$6)*$K948*$L948</f>
        <v/>
      </c>
      <c r="AE948" s="19" t="n"/>
    </row>
    <row r="949">
      <c r="A949" s="9" t="n">
        <v>665620</v>
      </c>
      <c r="B949" s="9" t="inlineStr">
        <is>
          <t>Deivi García</t>
        </is>
      </c>
      <c r="C949" s="9" t="inlineStr">
        <is>
          <t>CWS</t>
        </is>
      </c>
      <c r="D949" s="9" t="n">
        <v>28</v>
      </c>
      <c r="E949" s="17" t="inlineStr">
        <is>
          <t>R</t>
        </is>
      </c>
      <c r="F949" s="17" t="n"/>
      <c r="G949" s="9" t="n">
        <v>68</v>
      </c>
      <c r="H949" s="9" t="n">
        <v>135</v>
      </c>
      <c r="I949" s="9" t="inlineStr">
        <is>
          <t>Depth (no MLB IP)</t>
        </is>
      </c>
      <c r="J949" s="17" t="inlineStr">
        <is>
          <t>Opening Day</t>
        </is>
      </c>
      <c r="K949" s="11">
        <f>IFERROR(INDEX(Roles!$B$17:$B$20,MATCH(J949,Roles!$A$17:$A$20,0)),1)</f>
        <v/>
      </c>
      <c r="L949" s="18" t="n">
        <v>1</v>
      </c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/>
      <c r="Y949" s="13">
        <f>SUMPRODUCT(M949:X949,$M$2:$X$2)*$K949*$L949</f>
        <v/>
      </c>
      <c r="Z949" s="14">
        <f>SUM(M949:X949)</f>
        <v/>
      </c>
      <c r="AA949" s="13">
        <f>SUMPRODUCT(M949:X949,$M$3:$X$3)*$K949*$L949</f>
        <v/>
      </c>
      <c r="AB949" s="13">
        <f>SUMPRODUCT(M949:X949,$M$4:$X$4)*$K949*$L949</f>
        <v/>
      </c>
      <c r="AC949" s="15">
        <f>SUMPRODUCT(M949:X949,$M$5:$X$5)*$K949*$L949</f>
        <v/>
      </c>
      <c r="AD949" s="15">
        <f>SUMPRODUCT(M949:X949,$M$6:$X$6)*$K949*$L949</f>
        <v/>
      </c>
      <c r="AE949" s="19" t="n"/>
    </row>
    <row r="950">
      <c r="A950" s="9" t="n">
        <v>680232</v>
      </c>
      <c r="B950" s="9" t="inlineStr">
        <is>
          <t>Jackson Wolf</t>
        </is>
      </c>
      <c r="C950" s="9" t="inlineStr"/>
      <c r="D950" s="9" t="n">
        <v>28</v>
      </c>
      <c r="E950" s="17" t="inlineStr">
        <is>
          <t>L</t>
        </is>
      </c>
      <c r="F950" s="17" t="n"/>
      <c r="G950" s="9" t="n">
        <v>22</v>
      </c>
      <c r="H950" s="9" t="n">
        <v>22</v>
      </c>
      <c r="I950" s="9" t="inlineStr">
        <is>
          <t>Depth (no MLB IP)</t>
        </is>
      </c>
      <c r="J950" s="17" t="inlineStr">
        <is>
          <t>Opening Day</t>
        </is>
      </c>
      <c r="K950" s="11">
        <f>IFERROR(INDEX(Roles!$B$17:$B$20,MATCH(J950,Roles!$A$17:$A$20,0)),1)</f>
        <v/>
      </c>
      <c r="L950" s="18" t="n">
        <v>1</v>
      </c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/>
      <c r="Y950" s="13">
        <f>SUMPRODUCT(M950:X950,$M$2:$X$2)*$K950*$L950</f>
        <v/>
      </c>
      <c r="Z950" s="14">
        <f>SUM(M950:X950)</f>
        <v/>
      </c>
      <c r="AA950" s="13">
        <f>SUMPRODUCT(M950:X950,$M$3:$X$3)*$K950*$L950</f>
        <v/>
      </c>
      <c r="AB950" s="13">
        <f>SUMPRODUCT(M950:X950,$M$4:$X$4)*$K950*$L950</f>
        <v/>
      </c>
      <c r="AC950" s="15">
        <f>SUMPRODUCT(M950:X950,$M$5:$X$5)*$K950*$L950</f>
        <v/>
      </c>
      <c r="AD950" s="15">
        <f>SUMPRODUCT(M950:X950,$M$6:$X$6)*$K950*$L950</f>
        <v/>
      </c>
      <c r="AE950" s="19" t="n"/>
    </row>
    <row r="951">
      <c r="A951" s="9" t="n">
        <v>620454</v>
      </c>
      <c r="B951" s="9" t="inlineStr">
        <is>
          <t>José Castillo</t>
        </is>
      </c>
      <c r="C951" s="9" t="inlineStr">
        <is>
          <t>BAL</t>
        </is>
      </c>
      <c r="D951" s="9" t="n">
        <v>31</v>
      </c>
      <c r="E951" s="17" t="inlineStr">
        <is>
          <t>L</t>
        </is>
      </c>
      <c r="F951" s="17" t="n"/>
      <c r="G951" s="9" t="n">
        <v>149</v>
      </c>
      <c r="H951" s="9" t="n">
        <v>160</v>
      </c>
      <c r="I951" s="9" t="inlineStr">
        <is>
          <t>Bullpen Depth Arm</t>
        </is>
      </c>
      <c r="J951" s="17" t="inlineStr">
        <is>
          <t>Opening Day</t>
        </is>
      </c>
      <c r="K951" s="11">
        <f>IFERROR(INDEX(Roles!$B$17:$B$20,MATCH(J951,Roles!$A$17:$A$20,0)),1)</f>
        <v/>
      </c>
      <c r="L951" s="18" t="n">
        <v>1</v>
      </c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/>
      <c r="Y951" s="13">
        <f>SUMPRODUCT(M951:X951,$M$2:$X$2)*$K951*$L951</f>
        <v/>
      </c>
      <c r="Z951" s="14">
        <f>SUM(M951:X951)</f>
        <v/>
      </c>
      <c r="AA951" s="13">
        <f>SUMPRODUCT(M951:X951,$M$3:$X$3)*$K951*$L951</f>
        <v/>
      </c>
      <c r="AB951" s="13">
        <f>SUMPRODUCT(M951:X951,$M$4:$X$4)*$K951*$L951</f>
        <v/>
      </c>
      <c r="AC951" s="15">
        <f>SUMPRODUCT(M951:X951,$M$5:$X$5)*$K951*$L951</f>
        <v/>
      </c>
      <c r="AD951" s="15">
        <f>SUMPRODUCT(M951:X951,$M$6:$X$6)*$K951*$L951</f>
        <v/>
      </c>
      <c r="AE951" s="19" t="n"/>
    </row>
    <row r="952">
      <c r="A952" s="9" t="n">
        <v>612434</v>
      </c>
      <c r="B952" s="9" t="inlineStr">
        <is>
          <t>Miguel Castro</t>
        </is>
      </c>
      <c r="C952" s="9" t="inlineStr">
        <is>
          <t>CWS</t>
        </is>
      </c>
      <c r="D952" s="9" t="n">
        <v>32</v>
      </c>
      <c r="E952" s="17" t="inlineStr">
        <is>
          <t>R</t>
        </is>
      </c>
      <c r="F952" s="17" t="n"/>
      <c r="G952" s="9" t="n">
        <v>28</v>
      </c>
      <c r="H952" s="9" t="n">
        <v>491</v>
      </c>
      <c r="I952" s="9" t="inlineStr">
        <is>
          <t>Bullpen Depth Arm</t>
        </is>
      </c>
      <c r="J952" s="17" t="inlineStr">
        <is>
          <t>Opening Day</t>
        </is>
      </c>
      <c r="K952" s="11">
        <f>IFERROR(INDEX(Roles!$B$17:$B$20,MATCH(J952,Roles!$A$17:$A$20,0)),1)</f>
        <v/>
      </c>
      <c r="L952" s="18" t="n">
        <v>1</v>
      </c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/>
      <c r="Y952" s="13">
        <f>SUMPRODUCT(M952:X952,$M$2:$X$2)*$K952*$L952</f>
        <v/>
      </c>
      <c r="Z952" s="14">
        <f>SUM(M952:X952)</f>
        <v/>
      </c>
      <c r="AA952" s="13">
        <f>SUMPRODUCT(M952:X952,$M$3:$X$3)*$K952*$L952</f>
        <v/>
      </c>
      <c r="AB952" s="13">
        <f>SUMPRODUCT(M952:X952,$M$4:$X$4)*$K952*$L952</f>
        <v/>
      </c>
      <c r="AC952" s="15">
        <f>SUMPRODUCT(M952:X952,$M$5:$X$5)*$K952*$L952</f>
        <v/>
      </c>
      <c r="AD952" s="15">
        <f>SUMPRODUCT(M952:X952,$M$6:$X$6)*$K952*$L952</f>
        <v/>
      </c>
      <c r="AE952" s="19" t="n"/>
    </row>
    <row r="953">
      <c r="A953" s="9" t="n">
        <v>669721</v>
      </c>
      <c r="B953" s="9" t="inlineStr">
        <is>
          <t>Davis Daniel</t>
        </is>
      </c>
      <c r="C953" s="9" t="inlineStr">
        <is>
          <t>ATL</t>
        </is>
      </c>
      <c r="D953" s="9" t="n">
        <v>30</v>
      </c>
      <c r="E953" s="17" t="inlineStr">
        <is>
          <t>R</t>
        </is>
      </c>
      <c r="F953" s="17" t="n"/>
      <c r="G953" s="9" t="n">
        <v>46</v>
      </c>
      <c r="H953" s="9" t="n">
        <v>232</v>
      </c>
      <c r="I953" s="9" t="inlineStr">
        <is>
          <t>End-of-Rotation Starter (SP4-5)</t>
        </is>
      </c>
      <c r="J953" s="17" t="inlineStr">
        <is>
          <t>Opening Day</t>
        </is>
      </c>
      <c r="K953" s="11">
        <f>IFERROR(INDEX(Roles!$B$17:$B$20,MATCH(J953,Roles!$A$17:$A$20,0)),1)</f>
        <v/>
      </c>
      <c r="L953" s="18" t="n">
        <v>1</v>
      </c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/>
      <c r="Y953" s="13">
        <f>SUMPRODUCT(M953:X953,$M$2:$X$2)*$K953*$L953</f>
        <v/>
      </c>
      <c r="Z953" s="14">
        <f>SUM(M953:X953)</f>
        <v/>
      </c>
      <c r="AA953" s="13">
        <f>SUMPRODUCT(M953:X953,$M$3:$X$3)*$K953*$L953</f>
        <v/>
      </c>
      <c r="AB953" s="13">
        <f>SUMPRODUCT(M953:X953,$M$4:$X$4)*$K953*$L953</f>
        <v/>
      </c>
      <c r="AC953" s="15">
        <f>SUMPRODUCT(M953:X953,$M$5:$X$5)*$K953*$L953</f>
        <v/>
      </c>
      <c r="AD953" s="15">
        <f>SUMPRODUCT(M953:X953,$M$6:$X$6)*$K953*$L953</f>
        <v/>
      </c>
      <c r="AE953" s="19" t="n"/>
    </row>
    <row r="954">
      <c r="A954" s="9" t="n">
        <v>592390</v>
      </c>
      <c r="B954" s="9" t="inlineStr">
        <is>
          <t>Heath Hembree</t>
        </is>
      </c>
      <c r="C954" s="9" t="inlineStr">
        <is>
          <t>LAD</t>
        </is>
      </c>
      <c r="D954" s="9" t="n">
        <v>38</v>
      </c>
      <c r="E954" s="17" t="inlineStr">
        <is>
          <t>R</t>
        </is>
      </c>
      <c r="F954" s="17" t="n"/>
      <c r="G954" s="9" t="n">
        <v>4</v>
      </c>
      <c r="H954" s="9" t="n">
        <v>111</v>
      </c>
      <c r="I954" s="9" t="inlineStr">
        <is>
          <t>Depth (no MLB IP)</t>
        </is>
      </c>
      <c r="J954" s="17" t="inlineStr">
        <is>
          <t>Opening Day</t>
        </is>
      </c>
      <c r="K954" s="11">
        <f>IFERROR(INDEX(Roles!$B$17:$B$20,MATCH(J954,Roles!$A$17:$A$20,0)),1)</f>
        <v/>
      </c>
      <c r="L954" s="18" t="n">
        <v>1</v>
      </c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/>
      <c r="Y954" s="13">
        <f>SUMPRODUCT(M954:X954,$M$2:$X$2)*$K954*$L954</f>
        <v/>
      </c>
      <c r="Z954" s="14">
        <f>SUM(M954:X954)</f>
        <v/>
      </c>
      <c r="AA954" s="13">
        <f>SUMPRODUCT(M954:X954,$M$3:$X$3)*$K954*$L954</f>
        <v/>
      </c>
      <c r="AB954" s="13">
        <f>SUMPRODUCT(M954:X954,$M$4:$X$4)*$K954*$L954</f>
        <v/>
      </c>
      <c r="AC954" s="15">
        <f>SUMPRODUCT(M954:X954,$M$5:$X$5)*$K954*$L954</f>
        <v/>
      </c>
      <c r="AD954" s="15">
        <f>SUMPRODUCT(M954:X954,$M$6:$X$6)*$K954*$L954</f>
        <v/>
      </c>
      <c r="AE954" s="19" t="n"/>
    </row>
    <row r="955">
      <c r="A955" s="9" t="n">
        <v>606965</v>
      </c>
      <c r="B955" s="9" t="inlineStr">
        <is>
          <t>Chris Devenski</t>
        </is>
      </c>
      <c r="C955" s="9" t="inlineStr">
        <is>
          <t>NYM</t>
        </is>
      </c>
      <c r="D955" s="9" t="n">
        <v>36</v>
      </c>
      <c r="E955" s="17" t="inlineStr">
        <is>
          <t>R</t>
        </is>
      </c>
      <c r="F955" s="17" t="n"/>
      <c r="G955" s="9" t="n">
        <v>38</v>
      </c>
      <c r="H955" s="9" t="n">
        <v>465</v>
      </c>
      <c r="I955" s="9" t="inlineStr">
        <is>
          <t>Bullpen Depth Arm</t>
        </is>
      </c>
      <c r="J955" s="17" t="inlineStr">
        <is>
          <t>Opening Day</t>
        </is>
      </c>
      <c r="K955" s="11">
        <f>IFERROR(INDEX(Roles!$B$17:$B$20,MATCH(J955,Roles!$A$17:$A$20,0)),1)</f>
        <v/>
      </c>
      <c r="L955" s="18" t="n">
        <v>1</v>
      </c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/>
      <c r="Y955" s="13">
        <f>SUMPRODUCT(M955:X955,$M$2:$X$2)*$K955*$L955</f>
        <v/>
      </c>
      <c r="Z955" s="14">
        <f>SUM(M955:X955)</f>
        <v/>
      </c>
      <c r="AA955" s="13">
        <f>SUMPRODUCT(M955:X955,$M$3:$X$3)*$K955*$L955</f>
        <v/>
      </c>
      <c r="AB955" s="13">
        <f>SUMPRODUCT(M955:X955,$M$4:$X$4)*$K955*$L955</f>
        <v/>
      </c>
      <c r="AC955" s="15">
        <f>SUMPRODUCT(M955:X955,$M$5:$X$5)*$K955*$L955</f>
        <v/>
      </c>
      <c r="AD955" s="15">
        <f>SUMPRODUCT(M955:X955,$M$6:$X$6)*$K955*$L955</f>
        <v/>
      </c>
      <c r="AE955" s="19" t="n"/>
    </row>
    <row r="956">
      <c r="A956" s="9" t="n">
        <v>660600</v>
      </c>
      <c r="B956" s="9" t="inlineStr">
        <is>
          <t>Enoli Paredes</t>
        </is>
      </c>
      <c r="C956" s="9" t="inlineStr">
        <is>
          <t>CHC</t>
        </is>
      </c>
      <c r="D956" s="9" t="n">
        <v>31</v>
      </c>
      <c r="E956" s="17" t="inlineStr">
        <is>
          <t>R</t>
        </is>
      </c>
      <c r="F956" s="17" t="n"/>
      <c r="G956" s="9" t="n">
        <v>87</v>
      </c>
      <c r="H956" s="9" t="n">
        <v>101</v>
      </c>
      <c r="I956" s="9" t="inlineStr">
        <is>
          <t>Depth (no MLB IP)</t>
        </is>
      </c>
      <c r="J956" s="17" t="inlineStr">
        <is>
          <t>Opening Day</t>
        </is>
      </c>
      <c r="K956" s="11">
        <f>IFERROR(INDEX(Roles!$B$17:$B$20,MATCH(J956,Roles!$A$17:$A$20,0)),1)</f>
        <v/>
      </c>
      <c r="L956" s="18" t="n">
        <v>1</v>
      </c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/>
      <c r="Y956" s="13">
        <f>SUMPRODUCT(M956:X956,$M$2:$X$2)*$K956*$L956</f>
        <v/>
      </c>
      <c r="Z956" s="14">
        <f>SUM(M956:X956)</f>
        <v/>
      </c>
      <c r="AA956" s="13">
        <f>SUMPRODUCT(M956:X956,$M$3:$X$3)*$K956*$L956</f>
        <v/>
      </c>
      <c r="AB956" s="13">
        <f>SUMPRODUCT(M956:X956,$M$4:$X$4)*$K956*$L956</f>
        <v/>
      </c>
      <c r="AC956" s="15">
        <f>SUMPRODUCT(M956:X956,$M$5:$X$5)*$K956*$L956</f>
        <v/>
      </c>
      <c r="AD956" s="15">
        <f>SUMPRODUCT(M956:X956,$M$6:$X$6)*$K956*$L956</f>
        <v/>
      </c>
      <c r="AE956" s="19" t="n"/>
    </row>
    <row r="957">
      <c r="A957" s="9" t="n">
        <v>663567</v>
      </c>
      <c r="B957" s="9" t="inlineStr">
        <is>
          <t>Peter Lambert</t>
        </is>
      </c>
      <c r="C957" s="9" t="inlineStr">
        <is>
          <t>HOU</t>
        </is>
      </c>
      <c r="D957" s="9" t="n">
        <v>30</v>
      </c>
      <c r="E957" s="17" t="inlineStr">
        <is>
          <t>R</t>
        </is>
      </c>
      <c r="F957" s="17" t="n"/>
      <c r="G957" s="9" t="n">
        <v>617</v>
      </c>
      <c r="H957" s="9" t="n">
        <v>1272</v>
      </c>
      <c r="I957" s="9" t="inlineStr">
        <is>
          <t>End-of-Rotation Starter (SP4-5)</t>
        </is>
      </c>
      <c r="J957" s="17" t="inlineStr">
        <is>
          <t>Opening Day</t>
        </is>
      </c>
      <c r="K957" s="11">
        <f>IFERROR(INDEX(Roles!$B$17:$B$20,MATCH(J957,Roles!$A$17:$A$20,0)),1)</f>
        <v/>
      </c>
      <c r="L957" s="18" t="n">
        <v>1</v>
      </c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/>
      <c r="Y957" s="13">
        <f>SUMPRODUCT(M957:X957,$M$2:$X$2)*$K957*$L957</f>
        <v/>
      </c>
      <c r="Z957" s="14">
        <f>SUM(M957:X957)</f>
        <v/>
      </c>
      <c r="AA957" s="13">
        <f>SUMPRODUCT(M957:X957,$M$3:$X$3)*$K957*$L957</f>
        <v/>
      </c>
      <c r="AB957" s="13">
        <f>SUMPRODUCT(M957:X957,$M$4:$X$4)*$K957*$L957</f>
        <v/>
      </c>
      <c r="AC957" s="15">
        <f>SUMPRODUCT(M957:X957,$M$5:$X$5)*$K957*$L957</f>
        <v/>
      </c>
      <c r="AD957" s="15">
        <f>SUMPRODUCT(M957:X957,$M$6:$X$6)*$K957*$L957</f>
        <v/>
      </c>
      <c r="AE957" s="19" t="n"/>
    </row>
    <row r="958">
      <c r="A958" s="9" t="n">
        <v>671111</v>
      </c>
      <c r="B958" s="9" t="inlineStr">
        <is>
          <t>Sammy Peralta</t>
        </is>
      </c>
      <c r="C958" s="9" t="inlineStr">
        <is>
          <t>LAA</t>
        </is>
      </c>
      <c r="D958" s="9" t="n">
        <v>29</v>
      </c>
      <c r="E958" s="17" t="inlineStr">
        <is>
          <t>L</t>
        </is>
      </c>
      <c r="F958" s="17" t="n"/>
      <c r="G958" s="9" t="n">
        <v>75</v>
      </c>
      <c r="H958" s="9" t="n">
        <v>289</v>
      </c>
      <c r="I958" s="9" t="inlineStr">
        <is>
          <t>Bullpen Depth Arm</t>
        </is>
      </c>
      <c r="J958" s="17" t="inlineStr">
        <is>
          <t>Opening Day</t>
        </is>
      </c>
      <c r="K958" s="11">
        <f>IFERROR(INDEX(Roles!$B$17:$B$20,MATCH(J958,Roles!$A$17:$A$20,0)),1)</f>
        <v/>
      </c>
      <c r="L958" s="18" t="n">
        <v>1</v>
      </c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/>
      <c r="Y958" s="13">
        <f>SUMPRODUCT(M958:X958,$M$2:$X$2)*$K958*$L958</f>
        <v/>
      </c>
      <c r="Z958" s="14">
        <f>SUM(M958:X958)</f>
        <v/>
      </c>
      <c r="AA958" s="13">
        <f>SUMPRODUCT(M958:X958,$M$3:$X$3)*$K958*$L958</f>
        <v/>
      </c>
      <c r="AB958" s="13">
        <f>SUMPRODUCT(M958:X958,$M$4:$X$4)*$K958*$L958</f>
        <v/>
      </c>
      <c r="AC958" s="15">
        <f>SUMPRODUCT(M958:X958,$M$5:$X$5)*$K958*$L958</f>
        <v/>
      </c>
      <c r="AD958" s="15">
        <f>SUMPRODUCT(M958:X958,$M$6:$X$6)*$K958*$L958</f>
        <v/>
      </c>
      <c r="AE958" s="19" t="n"/>
    </row>
    <row r="959">
      <c r="A959" s="9" t="n">
        <v>641149</v>
      </c>
      <c r="B959" s="9" t="inlineStr">
        <is>
          <t>Wes Parsons</t>
        </is>
      </c>
      <c r="C959" s="9" t="inlineStr">
        <is>
          <t>CLE</t>
        </is>
      </c>
      <c r="D959" s="9" t="n">
        <v>34</v>
      </c>
      <c r="E959" s="17" t="inlineStr">
        <is>
          <t>R</t>
        </is>
      </c>
      <c r="F959" s="17" t="n"/>
      <c r="G959" s="9" t="n">
        <v>38</v>
      </c>
      <c r="H959" s="9" t="n">
        <v>64</v>
      </c>
      <c r="I959" s="9" t="inlineStr">
        <is>
          <t>Depth (no MLB IP)</t>
        </is>
      </c>
      <c r="J959" s="17" t="inlineStr">
        <is>
          <t>Opening Day</t>
        </is>
      </c>
      <c r="K959" s="11">
        <f>IFERROR(INDEX(Roles!$B$17:$B$20,MATCH(J959,Roles!$A$17:$A$20,0)),1)</f>
        <v/>
      </c>
      <c r="L959" s="18" t="n">
        <v>1</v>
      </c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/>
      <c r="Y959" s="13">
        <f>SUMPRODUCT(M959:X959,$M$2:$X$2)*$K959*$L959</f>
        <v/>
      </c>
      <c r="Z959" s="14">
        <f>SUM(M959:X959)</f>
        <v/>
      </c>
      <c r="AA959" s="13">
        <f>SUMPRODUCT(M959:X959,$M$3:$X$3)*$K959*$L959</f>
        <v/>
      </c>
      <c r="AB959" s="13">
        <f>SUMPRODUCT(M959:X959,$M$4:$X$4)*$K959*$L959</f>
        <v/>
      </c>
      <c r="AC959" s="15">
        <f>SUMPRODUCT(M959:X959,$M$5:$X$5)*$K959*$L959</f>
        <v/>
      </c>
      <c r="AD959" s="15">
        <f>SUMPRODUCT(M959:X959,$M$6:$X$6)*$K959*$L959</f>
        <v/>
      </c>
      <c r="AE959" s="19" t="n"/>
    </row>
    <row r="960">
      <c r="A960" s="9" t="n">
        <v>687922</v>
      </c>
      <c r="B960" s="9" t="inlineStr">
        <is>
          <t>Easton Lucas</t>
        </is>
      </c>
      <c r="C960" s="9" t="inlineStr">
        <is>
          <t>TOR</t>
        </is>
      </c>
      <c r="D960" s="9" t="n">
        <v>30</v>
      </c>
      <c r="E960" s="17" t="inlineStr">
        <is>
          <t>L</t>
        </is>
      </c>
      <c r="F960" s="17" t="n"/>
      <c r="G960" s="9" t="n">
        <v>108</v>
      </c>
      <c r="H960" s="9" t="n">
        <v>204</v>
      </c>
      <c r="I960" s="9" t="inlineStr">
        <is>
          <t>Bullpen Depth Arm</t>
        </is>
      </c>
      <c r="J960" s="17" t="inlineStr">
        <is>
          <t>Opening Day</t>
        </is>
      </c>
      <c r="K960" s="11">
        <f>IFERROR(INDEX(Roles!$B$17:$B$20,MATCH(J960,Roles!$A$17:$A$20,0)),1)</f>
        <v/>
      </c>
      <c r="L960" s="18" t="n">
        <v>1</v>
      </c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/>
      <c r="Y960" s="13">
        <f>SUMPRODUCT(M960:X960,$M$2:$X$2)*$K960*$L960</f>
        <v/>
      </c>
      <c r="Z960" s="14">
        <f>SUM(M960:X960)</f>
        <v/>
      </c>
      <c r="AA960" s="13">
        <f>SUMPRODUCT(M960:X960,$M$3:$X$3)*$K960*$L960</f>
        <v/>
      </c>
      <c r="AB960" s="13">
        <f>SUMPRODUCT(M960:X960,$M$4:$X$4)*$K960*$L960</f>
        <v/>
      </c>
      <c r="AC960" s="15">
        <f>SUMPRODUCT(M960:X960,$M$5:$X$5)*$K960*$L960</f>
        <v/>
      </c>
      <c r="AD960" s="15">
        <f>SUMPRODUCT(M960:X960,$M$6:$X$6)*$K960*$L960</f>
        <v/>
      </c>
      <c r="AE960" s="19" t="n"/>
    </row>
    <row r="961">
      <c r="A961" s="9" t="n">
        <v>642520</v>
      </c>
      <c r="B961" s="9" t="inlineStr">
        <is>
          <t>Gerson Garabito</t>
        </is>
      </c>
      <c r="C961" s="9" t="inlineStr">
        <is>
          <t>TEX</t>
        </is>
      </c>
      <c r="D961" s="9" t="n">
        <v>31</v>
      </c>
      <c r="E961" s="17" t="inlineStr">
        <is>
          <t>R</t>
        </is>
      </c>
      <c r="F961" s="17" t="n"/>
      <c r="G961" s="9" t="n">
        <v>41</v>
      </c>
      <c r="H961" s="9" t="n">
        <v>156</v>
      </c>
      <c r="I961" s="9" t="inlineStr">
        <is>
          <t>Bullpen Depth Arm</t>
        </is>
      </c>
      <c r="J961" s="17" t="inlineStr">
        <is>
          <t>Opening Day</t>
        </is>
      </c>
      <c r="K961" s="11">
        <f>IFERROR(INDEX(Roles!$B$17:$B$20,MATCH(J961,Roles!$A$17:$A$20,0)),1)</f>
        <v/>
      </c>
      <c r="L961" s="18" t="n">
        <v>1</v>
      </c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/>
      <c r="Y961" s="13">
        <f>SUMPRODUCT(M961:X961,$M$2:$X$2)*$K961*$L961</f>
        <v/>
      </c>
      <c r="Z961" s="14">
        <f>SUM(M961:X961)</f>
        <v/>
      </c>
      <c r="AA961" s="13">
        <f>SUMPRODUCT(M961:X961,$M$3:$X$3)*$K961*$L961</f>
        <v/>
      </c>
      <c r="AB961" s="13">
        <f>SUMPRODUCT(M961:X961,$M$4:$X$4)*$K961*$L961</f>
        <v/>
      </c>
      <c r="AC961" s="15">
        <f>SUMPRODUCT(M961:X961,$M$5:$X$5)*$K961*$L961</f>
        <v/>
      </c>
      <c r="AD961" s="15">
        <f>SUMPRODUCT(M961:X961,$M$6:$X$6)*$K961*$L961</f>
        <v/>
      </c>
      <c r="AE961" s="19" t="n"/>
    </row>
    <row r="962">
      <c r="A962" s="9" t="n">
        <v>656382</v>
      </c>
      <c r="B962" s="9" t="inlineStr">
        <is>
          <t>Tommy Doyle</t>
        </is>
      </c>
      <c r="C962" s="9" t="inlineStr">
        <is>
          <t>COL</t>
        </is>
      </c>
      <c r="D962" s="9" t="n">
        <v>31</v>
      </c>
      <c r="E962" s="17" t="inlineStr">
        <is>
          <t>R</t>
        </is>
      </c>
      <c r="F962" s="17" t="n"/>
      <c r="G962" s="9" t="n">
        <v>103</v>
      </c>
      <c r="H962" s="9" t="n">
        <v>103</v>
      </c>
      <c r="I962" s="9" t="inlineStr">
        <is>
          <t>Depth (no MLB IP)</t>
        </is>
      </c>
      <c r="J962" s="17" t="inlineStr">
        <is>
          <t>Opening Day</t>
        </is>
      </c>
      <c r="K962" s="11">
        <f>IFERROR(INDEX(Roles!$B$17:$B$20,MATCH(J962,Roles!$A$17:$A$20,0)),1)</f>
        <v/>
      </c>
      <c r="L962" s="18" t="n">
        <v>1</v>
      </c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/>
      <c r="Y962" s="13">
        <f>SUMPRODUCT(M962:X962,$M$2:$X$2)*$K962*$L962</f>
        <v/>
      </c>
      <c r="Z962" s="14">
        <f>SUM(M962:X962)</f>
        <v/>
      </c>
      <c r="AA962" s="13">
        <f>SUMPRODUCT(M962:X962,$M$3:$X$3)*$K962*$L962</f>
        <v/>
      </c>
      <c r="AB962" s="13">
        <f>SUMPRODUCT(M962:X962,$M$4:$X$4)*$K962*$L962</f>
        <v/>
      </c>
      <c r="AC962" s="15">
        <f>SUMPRODUCT(M962:X962,$M$5:$X$5)*$K962*$L962</f>
        <v/>
      </c>
      <c r="AD962" s="15">
        <f>SUMPRODUCT(M962:X962,$M$6:$X$6)*$K962*$L962</f>
        <v/>
      </c>
      <c r="AE962" s="19" t="n"/>
    </row>
    <row r="963">
      <c r="A963" s="9" t="n">
        <v>573009</v>
      </c>
      <c r="B963" s="9" t="inlineStr">
        <is>
          <t>Joe Mantiply</t>
        </is>
      </c>
      <c r="C963" s="9" t="inlineStr">
        <is>
          <t>TOR</t>
        </is>
      </c>
      <c r="D963" s="9" t="n">
        <v>36</v>
      </c>
      <c r="E963" s="17" t="inlineStr">
        <is>
          <t>L</t>
        </is>
      </c>
      <c r="F963" s="17" t="n"/>
      <c r="G963" s="9" t="n">
        <v>106</v>
      </c>
      <c r="H963" s="9" t="n">
        <v>807</v>
      </c>
      <c r="I963" s="9" t="inlineStr">
        <is>
          <t>Bullpen Depth Arm</t>
        </is>
      </c>
      <c r="J963" s="17" t="inlineStr">
        <is>
          <t>Opening Day</t>
        </is>
      </c>
      <c r="K963" s="11">
        <f>IFERROR(INDEX(Roles!$B$17:$B$20,MATCH(J963,Roles!$A$17:$A$20,0)),1)</f>
        <v/>
      </c>
      <c r="L963" s="18" t="n">
        <v>1</v>
      </c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/>
      <c r="Y963" s="13">
        <f>SUMPRODUCT(M963:X963,$M$2:$X$2)*$K963*$L963</f>
        <v/>
      </c>
      <c r="Z963" s="14">
        <f>SUM(M963:X963)</f>
        <v/>
      </c>
      <c r="AA963" s="13">
        <f>SUMPRODUCT(M963:X963,$M$3:$X$3)*$K963*$L963</f>
        <v/>
      </c>
      <c r="AB963" s="13">
        <f>SUMPRODUCT(M963:X963,$M$4:$X$4)*$K963*$L963</f>
        <v/>
      </c>
      <c r="AC963" s="15">
        <f>SUMPRODUCT(M963:X963,$M$5:$X$5)*$K963*$L963</f>
        <v/>
      </c>
      <c r="AD963" s="15">
        <f>SUMPRODUCT(M963:X963,$M$6:$X$6)*$K963*$L963</f>
        <v/>
      </c>
      <c r="AE963" s="19" t="n"/>
    </row>
    <row r="964">
      <c r="A964" s="9" t="n">
        <v>664068</v>
      </c>
      <c r="B964" s="9" t="inlineStr">
        <is>
          <t>Scott Kingery</t>
        </is>
      </c>
      <c r="C964" s="9" t="inlineStr"/>
      <c r="D964" s="9" t="n">
        <v>33</v>
      </c>
      <c r="E964" s="17" t="inlineStr">
        <is>
          <t>R</t>
        </is>
      </c>
      <c r="F964" s="17" t="n"/>
      <c r="G964" s="9" t="n">
        <v>18</v>
      </c>
      <c r="H964" s="9" t="n">
        <v>18</v>
      </c>
      <c r="I964" s="9" t="inlineStr">
        <is>
          <t>Depth (no MLB IP)</t>
        </is>
      </c>
      <c r="J964" s="17" t="inlineStr">
        <is>
          <t>Opening Day</t>
        </is>
      </c>
      <c r="K964" s="11">
        <f>IFERROR(INDEX(Roles!$B$17:$B$20,MATCH(J964,Roles!$A$17:$A$20,0)),1)</f>
        <v/>
      </c>
      <c r="L964" s="18" t="n">
        <v>1</v>
      </c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/>
      <c r="Y964" s="13">
        <f>SUMPRODUCT(M964:X964,$M$2:$X$2)*$K964*$L964</f>
        <v/>
      </c>
      <c r="Z964" s="14">
        <f>SUM(M964:X964)</f>
        <v/>
      </c>
      <c r="AA964" s="13">
        <f>SUMPRODUCT(M964:X964,$M$3:$X$3)*$K964*$L964</f>
        <v/>
      </c>
      <c r="AB964" s="13">
        <f>SUMPRODUCT(M964:X964,$M$4:$X$4)*$K964*$L964</f>
        <v/>
      </c>
      <c r="AC964" s="15">
        <f>SUMPRODUCT(M964:X964,$M$5:$X$5)*$K964*$L964</f>
        <v/>
      </c>
      <c r="AD964" s="15">
        <f>SUMPRODUCT(M964:X964,$M$6:$X$6)*$K964*$L964</f>
        <v/>
      </c>
      <c r="AE964" s="19" t="n"/>
    </row>
    <row r="965">
      <c r="A965" s="9" t="n">
        <v>663658</v>
      </c>
      <c r="B965" s="9" t="inlineStr">
        <is>
          <t>Thaddeus Ward</t>
        </is>
      </c>
      <c r="C965" s="9" t="inlineStr">
        <is>
          <t>WSH</t>
        </is>
      </c>
      <c r="D965" s="9" t="n">
        <v>30</v>
      </c>
      <c r="E965" s="17" t="inlineStr">
        <is>
          <t>R</t>
        </is>
      </c>
      <c r="F965" s="17" t="n"/>
      <c r="G965" s="9" t="n">
        <v>160</v>
      </c>
      <c r="H965" s="9" t="n">
        <v>160</v>
      </c>
      <c r="I965" s="9" t="inlineStr">
        <is>
          <t>Depth (no MLB IP)</t>
        </is>
      </c>
      <c r="J965" s="17" t="inlineStr">
        <is>
          <t>Opening Day</t>
        </is>
      </c>
      <c r="K965" s="11">
        <f>IFERROR(INDEX(Roles!$B$17:$B$20,MATCH(J965,Roles!$A$17:$A$20,0)),1)</f>
        <v/>
      </c>
      <c r="L965" s="18" t="n">
        <v>1</v>
      </c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/>
      <c r="Y965" s="13">
        <f>SUMPRODUCT(M965:X965,$M$2:$X$2)*$K965*$L965</f>
        <v/>
      </c>
      <c r="Z965" s="14">
        <f>SUM(M965:X965)</f>
        <v/>
      </c>
      <c r="AA965" s="13">
        <f>SUMPRODUCT(M965:X965,$M$3:$X$3)*$K965*$L965</f>
        <v/>
      </c>
      <c r="AB965" s="13">
        <f>SUMPRODUCT(M965:X965,$M$4:$X$4)*$K965*$L965</f>
        <v/>
      </c>
      <c r="AC965" s="15">
        <f>SUMPRODUCT(M965:X965,$M$5:$X$5)*$K965*$L965</f>
        <v/>
      </c>
      <c r="AD965" s="15">
        <f>SUMPRODUCT(M965:X965,$M$6:$X$6)*$K965*$L965</f>
        <v/>
      </c>
      <c r="AE965" s="19" t="n"/>
    </row>
    <row r="966">
      <c r="A966" s="9" t="n">
        <v>660813</v>
      </c>
      <c r="B966" s="9" t="inlineStr">
        <is>
          <t>Brusdar Graterol</t>
        </is>
      </c>
      <c r="C966" s="9" t="inlineStr">
        <is>
          <t>LAD</t>
        </is>
      </c>
      <c r="D966" s="9" t="n">
        <v>28</v>
      </c>
      <c r="E966" s="17" t="inlineStr">
        <is>
          <t>R</t>
        </is>
      </c>
      <c r="F966" s="17" t="n"/>
      <c r="G966" s="9" t="n">
        <v>27</v>
      </c>
      <c r="H966" s="9" t="n">
        <v>481</v>
      </c>
      <c r="I966" s="9" t="inlineStr">
        <is>
          <t>Depth (no MLB IP)</t>
        </is>
      </c>
      <c r="J966" s="17" t="inlineStr">
        <is>
          <t>Opening Day</t>
        </is>
      </c>
      <c r="K966" s="11">
        <f>IFERROR(INDEX(Roles!$B$17:$B$20,MATCH(J966,Roles!$A$17:$A$20,0)),1)</f>
        <v/>
      </c>
      <c r="L966" s="18" t="n">
        <v>1</v>
      </c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/>
      <c r="Y966" s="13">
        <f>SUMPRODUCT(M966:X966,$M$2:$X$2)*$K966*$L966</f>
        <v/>
      </c>
      <c r="Z966" s="14">
        <f>SUM(M966:X966)</f>
        <v/>
      </c>
      <c r="AA966" s="13">
        <f>SUMPRODUCT(M966:X966,$M$3:$X$3)*$K966*$L966</f>
        <v/>
      </c>
      <c r="AB966" s="13">
        <f>SUMPRODUCT(M966:X966,$M$4:$X$4)*$K966*$L966</f>
        <v/>
      </c>
      <c r="AC966" s="15">
        <f>SUMPRODUCT(M966:X966,$M$5:$X$5)*$K966*$L966</f>
        <v/>
      </c>
      <c r="AD966" s="15">
        <f>SUMPRODUCT(M966:X966,$M$6:$X$6)*$K966*$L966</f>
        <v/>
      </c>
      <c r="AE966" s="19" t="n"/>
    </row>
    <row r="967">
      <c r="A967" s="9" t="n">
        <v>685410</v>
      </c>
      <c r="B967" s="9" t="inlineStr">
        <is>
          <t>Peyton Battenfield</t>
        </is>
      </c>
      <c r="C967" s="9" t="inlineStr">
        <is>
          <t>CLE</t>
        </is>
      </c>
      <c r="D967" s="9" t="n">
        <v>29</v>
      </c>
      <c r="E967" s="17" t="inlineStr">
        <is>
          <t>R</t>
        </is>
      </c>
      <c r="F967" s="17" t="n"/>
      <c r="G967" s="9" t="n">
        <v>146</v>
      </c>
      <c r="H967" s="9" t="n">
        <v>146</v>
      </c>
      <c r="I967" s="9" t="inlineStr">
        <is>
          <t>Depth (no MLB IP)</t>
        </is>
      </c>
      <c r="J967" s="17" t="inlineStr">
        <is>
          <t>Opening Day</t>
        </is>
      </c>
      <c r="K967" s="11">
        <f>IFERROR(INDEX(Roles!$B$17:$B$20,MATCH(J967,Roles!$A$17:$A$20,0)),1)</f>
        <v/>
      </c>
      <c r="L967" s="18" t="n">
        <v>1</v>
      </c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/>
      <c r="Y967" s="13">
        <f>SUMPRODUCT(M967:X967,$M$2:$X$2)*$K967*$L967</f>
        <v/>
      </c>
      <c r="Z967" s="14">
        <f>SUM(M967:X967)</f>
        <v/>
      </c>
      <c r="AA967" s="13">
        <f>SUMPRODUCT(M967:X967,$M$3:$X$3)*$K967*$L967</f>
        <v/>
      </c>
      <c r="AB967" s="13">
        <f>SUMPRODUCT(M967:X967,$M$4:$X$4)*$K967*$L967</f>
        <v/>
      </c>
      <c r="AC967" s="15">
        <f>SUMPRODUCT(M967:X967,$M$5:$X$5)*$K967*$L967</f>
        <v/>
      </c>
      <c r="AD967" s="15">
        <f>SUMPRODUCT(M967:X967,$M$6:$X$6)*$K967*$L967</f>
        <v/>
      </c>
      <c r="AE967" s="19" t="n"/>
    </row>
    <row r="968">
      <c r="A968" s="9" t="n">
        <v>668670</v>
      </c>
      <c r="B968" s="9" t="inlineStr">
        <is>
          <t>Jake Rogers</t>
        </is>
      </c>
      <c r="C968" s="9" t="inlineStr"/>
      <c r="D968" s="9" t="n">
        <v>32</v>
      </c>
      <c r="E968" s="17" t="inlineStr">
        <is>
          <t>R</t>
        </is>
      </c>
      <c r="F968" s="17" t="n"/>
      <c r="G968" s="9" t="n">
        <v>12</v>
      </c>
      <c r="H968" s="9" t="n">
        <v>28</v>
      </c>
      <c r="I968" s="9" t="inlineStr">
        <is>
          <t>Depth (no MLB IP)</t>
        </is>
      </c>
      <c r="J968" s="17" t="inlineStr">
        <is>
          <t>Opening Day</t>
        </is>
      </c>
      <c r="K968" s="11">
        <f>IFERROR(INDEX(Roles!$B$17:$B$20,MATCH(J968,Roles!$A$17:$A$20,0)),1)</f>
        <v/>
      </c>
      <c r="L968" s="18" t="n">
        <v>1</v>
      </c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/>
      <c r="Y968" s="13">
        <f>SUMPRODUCT(M968:X968,$M$2:$X$2)*$K968*$L968</f>
        <v/>
      </c>
      <c r="Z968" s="14">
        <f>SUM(M968:X968)</f>
        <v/>
      </c>
      <c r="AA968" s="13">
        <f>SUMPRODUCT(M968:X968,$M$3:$X$3)*$K968*$L968</f>
        <v/>
      </c>
      <c r="AB968" s="13">
        <f>SUMPRODUCT(M968:X968,$M$4:$X$4)*$K968*$L968</f>
        <v/>
      </c>
      <c r="AC968" s="15">
        <f>SUMPRODUCT(M968:X968,$M$5:$X$5)*$K968*$L968</f>
        <v/>
      </c>
      <c r="AD968" s="15">
        <f>SUMPRODUCT(M968:X968,$M$6:$X$6)*$K968*$L968</f>
        <v/>
      </c>
      <c r="AE968" s="19" t="n"/>
    </row>
    <row r="969">
      <c r="A969" s="9" t="n">
        <v>518876</v>
      </c>
      <c r="B969" s="9" t="inlineStr">
        <is>
          <t>Merrill Kelly</t>
        </is>
      </c>
      <c r="C969" s="9" t="inlineStr">
        <is>
          <t>ARI</t>
        </is>
      </c>
      <c r="D969" s="9" t="n">
        <v>38</v>
      </c>
      <c r="E969" s="17" t="inlineStr">
        <is>
          <t>R</t>
        </is>
      </c>
      <c r="F969" s="17" t="n"/>
      <c r="G969" s="9" t="n">
        <v>683</v>
      </c>
      <c r="H969" s="9" t="n">
        <v>3257</v>
      </c>
      <c r="I969" s="9" t="inlineStr">
        <is>
          <t>Mid-Rotation Starter (SP2-3)</t>
        </is>
      </c>
      <c r="J969" s="17" t="inlineStr">
        <is>
          <t>Opening Day</t>
        </is>
      </c>
      <c r="K969" s="11">
        <f>IFERROR(INDEX(Roles!$B$17:$B$20,MATCH(J969,Roles!$A$17:$A$20,0)),1)</f>
        <v/>
      </c>
      <c r="L969" s="18" t="n">
        <v>1</v>
      </c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/>
      <c r="Y969" s="13">
        <f>SUMPRODUCT(M969:X969,$M$2:$X$2)*$K969*$L969</f>
        <v/>
      </c>
      <c r="Z969" s="14">
        <f>SUM(M969:X969)</f>
        <v/>
      </c>
      <c r="AA969" s="13">
        <f>SUMPRODUCT(M969:X969,$M$3:$X$3)*$K969*$L969</f>
        <v/>
      </c>
      <c r="AB969" s="13">
        <f>SUMPRODUCT(M969:X969,$M$4:$X$4)*$K969*$L969</f>
        <v/>
      </c>
      <c r="AC969" s="15">
        <f>SUMPRODUCT(M969:X969,$M$5:$X$5)*$K969*$L969</f>
        <v/>
      </c>
      <c r="AD969" s="15">
        <f>SUMPRODUCT(M969:X969,$M$6:$X$6)*$K969*$L969</f>
        <v/>
      </c>
      <c r="AE969" s="19" t="n"/>
    </row>
    <row r="970">
      <c r="A970" s="9" t="n">
        <v>676680</v>
      </c>
      <c r="B970" s="9" t="inlineStr">
        <is>
          <t>Tom Cosgrove</t>
        </is>
      </c>
      <c r="C970" s="9" t="inlineStr">
        <is>
          <t>WSH</t>
        </is>
      </c>
      <c r="D970" s="9" t="n">
        <v>31</v>
      </c>
      <c r="E970" s="17" t="inlineStr">
        <is>
          <t>L</t>
        </is>
      </c>
      <c r="F970" s="17" t="n"/>
      <c r="G970" s="9" t="n">
        <v>74</v>
      </c>
      <c r="H970" s="9" t="n">
        <v>371</v>
      </c>
      <c r="I970" s="9" t="inlineStr">
        <is>
          <t>Bullpen Depth Arm</t>
        </is>
      </c>
      <c r="J970" s="17" t="inlineStr">
        <is>
          <t>Opening Day</t>
        </is>
      </c>
      <c r="K970" s="11">
        <f>IFERROR(INDEX(Roles!$B$17:$B$20,MATCH(J970,Roles!$A$17:$A$20,0)),1)</f>
        <v/>
      </c>
      <c r="L970" s="18" t="n">
        <v>1</v>
      </c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/>
      <c r="Y970" s="13">
        <f>SUMPRODUCT(M970:X970,$M$2:$X$2)*$K970*$L970</f>
        <v/>
      </c>
      <c r="Z970" s="14">
        <f>SUM(M970:X970)</f>
        <v/>
      </c>
      <c r="AA970" s="13">
        <f>SUMPRODUCT(M970:X970,$M$3:$X$3)*$K970*$L970</f>
        <v/>
      </c>
      <c r="AB970" s="13">
        <f>SUMPRODUCT(M970:X970,$M$4:$X$4)*$K970*$L970</f>
        <v/>
      </c>
      <c r="AC970" s="15">
        <f>SUMPRODUCT(M970:X970,$M$5:$X$5)*$K970*$L970</f>
        <v/>
      </c>
      <c r="AD970" s="15">
        <f>SUMPRODUCT(M970:X970,$M$6:$X$6)*$K970*$L970</f>
        <v/>
      </c>
      <c r="AE970" s="19" t="n"/>
    </row>
    <row r="971">
      <c r="A971" s="9" t="n">
        <v>608638</v>
      </c>
      <c r="B971" s="9" t="inlineStr">
        <is>
          <t>JT Chargois</t>
        </is>
      </c>
      <c r="C971" s="9" t="inlineStr">
        <is>
          <t>SEA</t>
        </is>
      </c>
      <c r="D971" s="9" t="n">
        <v>36</v>
      </c>
      <c r="E971" s="17" t="inlineStr">
        <is>
          <t>R</t>
        </is>
      </c>
      <c r="F971" s="17" t="n"/>
      <c r="G971" s="9" t="n">
        <v>146</v>
      </c>
      <c r="H971" s="9" t="n">
        <v>406</v>
      </c>
      <c r="I971" s="9" t="inlineStr">
        <is>
          <t>Depth (no MLB IP)</t>
        </is>
      </c>
      <c r="J971" s="17" t="inlineStr">
        <is>
          <t>Opening Day</t>
        </is>
      </c>
      <c r="K971" s="11">
        <f>IFERROR(INDEX(Roles!$B$17:$B$20,MATCH(J971,Roles!$A$17:$A$20,0)),1)</f>
        <v/>
      </c>
      <c r="L971" s="18" t="n">
        <v>1</v>
      </c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/>
      <c r="Y971" s="13">
        <f>SUMPRODUCT(M971:X971,$M$2:$X$2)*$K971*$L971</f>
        <v/>
      </c>
      <c r="Z971" s="14">
        <f>SUM(M971:X971)</f>
        <v/>
      </c>
      <c r="AA971" s="13">
        <f>SUMPRODUCT(M971:X971,$M$3:$X$3)*$K971*$L971</f>
        <v/>
      </c>
      <c r="AB971" s="13">
        <f>SUMPRODUCT(M971:X971,$M$4:$X$4)*$K971*$L971</f>
        <v/>
      </c>
      <c r="AC971" s="15">
        <f>SUMPRODUCT(M971:X971,$M$5:$X$5)*$K971*$L971</f>
        <v/>
      </c>
      <c r="AD971" s="15">
        <f>SUMPRODUCT(M971:X971,$M$6:$X$6)*$K971*$L971</f>
        <v/>
      </c>
      <c r="AE971" s="19" t="n"/>
    </row>
    <row r="972">
      <c r="A972" s="9" t="n">
        <v>808825</v>
      </c>
      <c r="B972" s="9" t="inlineStr">
        <is>
          <t>Andrew Sears</t>
        </is>
      </c>
      <c r="C972" s="9" t="inlineStr">
        <is>
          <t>DET</t>
        </is>
      </c>
      <c r="D972" s="9" t="n">
        <v>24</v>
      </c>
      <c r="E972" s="17" t="inlineStr">
        <is>
          <t>L</t>
        </is>
      </c>
      <c r="F972" s="17" t="n"/>
      <c r="G972" s="9" t="n">
        <v>73</v>
      </c>
      <c r="H972" s="9" t="n">
        <v>73</v>
      </c>
      <c r="I972" s="9" t="inlineStr">
        <is>
          <t>End-of-Rotation Starter (SP4-5)</t>
        </is>
      </c>
      <c r="J972" s="17" t="inlineStr">
        <is>
          <t>Opening Day</t>
        </is>
      </c>
      <c r="K972" s="11">
        <f>IFERROR(INDEX(Roles!$B$17:$B$20,MATCH(J972,Roles!$A$17:$A$20,0)),1)</f>
        <v/>
      </c>
      <c r="L972" s="18" t="n">
        <v>1</v>
      </c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/>
      <c r="Y972" s="13">
        <f>SUMPRODUCT(M972:X972,$M$2:$X$2)*$K972*$L972</f>
        <v/>
      </c>
      <c r="Z972" s="14">
        <f>SUM(M972:X972)</f>
        <v/>
      </c>
      <c r="AA972" s="13">
        <f>SUMPRODUCT(M972:X972,$M$3:$X$3)*$K972*$L972</f>
        <v/>
      </c>
      <c r="AB972" s="13">
        <f>SUMPRODUCT(M972:X972,$M$4:$X$4)*$K972*$L972</f>
        <v/>
      </c>
      <c r="AC972" s="15">
        <f>SUMPRODUCT(M972:X972,$M$5:$X$5)*$K972*$L972</f>
        <v/>
      </c>
      <c r="AD972" s="15">
        <f>SUMPRODUCT(M972:X972,$M$6:$X$6)*$K972*$L972</f>
        <v/>
      </c>
      <c r="AE972" s="19" t="n"/>
    </row>
    <row r="973">
      <c r="A973" s="9" t="n">
        <v>691946</v>
      </c>
      <c r="B973" s="9" t="inlineStr">
        <is>
          <t>George Klassen</t>
        </is>
      </c>
      <c r="C973" s="9" t="inlineStr">
        <is>
          <t>LAA</t>
        </is>
      </c>
      <c r="D973" s="9" t="n">
        <v>25</v>
      </c>
      <c r="E973" s="17" t="inlineStr">
        <is>
          <t>R</t>
        </is>
      </c>
      <c r="F973" s="17" t="n"/>
      <c r="G973" s="9" t="n">
        <v>125</v>
      </c>
      <c r="H973" s="9" t="n">
        <v>125</v>
      </c>
      <c r="I973" s="9" t="inlineStr">
        <is>
          <t>End-of-Rotation Starter (SP4-5)</t>
        </is>
      </c>
      <c r="J973" s="17" t="inlineStr">
        <is>
          <t>Opening Day</t>
        </is>
      </c>
      <c r="K973" s="11">
        <f>IFERROR(INDEX(Roles!$B$17:$B$20,MATCH(J973,Roles!$A$17:$A$20,0)),1)</f>
        <v/>
      </c>
      <c r="L973" s="18" t="n">
        <v>1</v>
      </c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/>
      <c r="Y973" s="13">
        <f>SUMPRODUCT(M973:X973,$M$2:$X$2)*$K973*$L973</f>
        <v/>
      </c>
      <c r="Z973" s="14">
        <f>SUM(M973:X973)</f>
        <v/>
      </c>
      <c r="AA973" s="13">
        <f>SUMPRODUCT(M973:X973,$M$3:$X$3)*$K973*$L973</f>
        <v/>
      </c>
      <c r="AB973" s="13">
        <f>SUMPRODUCT(M973:X973,$M$4:$X$4)*$K973*$L973</f>
        <v/>
      </c>
      <c r="AC973" s="15">
        <f>SUMPRODUCT(M973:X973,$M$5:$X$5)*$K973*$L973</f>
        <v/>
      </c>
      <c r="AD973" s="15">
        <f>SUMPRODUCT(M973:X973,$M$6:$X$6)*$K973*$L973</f>
        <v/>
      </c>
      <c r="AE973" s="19" t="n"/>
    </row>
    <row r="974">
      <c r="A974" s="9" t="n">
        <v>573262</v>
      </c>
      <c r="B974" s="9" t="inlineStr">
        <is>
          <t>Mike Yastrzemski</t>
        </is>
      </c>
      <c r="C974" s="9" t="inlineStr"/>
      <c r="D974" s="9" t="n">
        <v>36</v>
      </c>
      <c r="E974" s="17" t="inlineStr">
        <is>
          <t>L</t>
        </is>
      </c>
      <c r="F974" s="17" t="n"/>
      <c r="G974" s="9" t="n">
        <v>7</v>
      </c>
      <c r="H974" s="9" t="n">
        <v>15</v>
      </c>
      <c r="I974" s="9" t="inlineStr">
        <is>
          <t>Depth (no MLB IP)</t>
        </is>
      </c>
      <c r="J974" s="17" t="inlineStr">
        <is>
          <t>Opening Day</t>
        </is>
      </c>
      <c r="K974" s="11">
        <f>IFERROR(INDEX(Roles!$B$17:$B$20,MATCH(J974,Roles!$A$17:$A$20,0)),1)</f>
        <v/>
      </c>
      <c r="L974" s="18" t="n">
        <v>1</v>
      </c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/>
      <c r="Y974" s="13">
        <f>SUMPRODUCT(M974:X974,$M$2:$X$2)*$K974*$L974</f>
        <v/>
      </c>
      <c r="Z974" s="14">
        <f>SUM(M974:X974)</f>
        <v/>
      </c>
      <c r="AA974" s="13">
        <f>SUMPRODUCT(M974:X974,$M$3:$X$3)*$K974*$L974</f>
        <v/>
      </c>
      <c r="AB974" s="13">
        <f>SUMPRODUCT(M974:X974,$M$4:$X$4)*$K974*$L974</f>
        <v/>
      </c>
      <c r="AC974" s="15">
        <f>SUMPRODUCT(M974:X974,$M$5:$X$5)*$K974*$L974</f>
        <v/>
      </c>
      <c r="AD974" s="15">
        <f>SUMPRODUCT(M974:X974,$M$6:$X$6)*$K974*$L974</f>
        <v/>
      </c>
      <c r="AE974" s="19" t="n"/>
    </row>
    <row r="975">
      <c r="A975" s="9" t="n">
        <v>701121</v>
      </c>
      <c r="B975" s="9" t="inlineStr">
        <is>
          <t>Logan VanWey</t>
        </is>
      </c>
      <c r="C975" s="9" t="inlineStr">
        <is>
          <t>HOU</t>
        </is>
      </c>
      <c r="D975" s="9" t="n">
        <v>28</v>
      </c>
      <c r="E975" s="17" t="inlineStr">
        <is>
          <t>R</t>
        </is>
      </c>
      <c r="F975" s="17" t="n"/>
      <c r="G975" s="9" t="n">
        <v>22</v>
      </c>
      <c r="H975" s="9" t="n">
        <v>71</v>
      </c>
      <c r="I975" s="9" t="inlineStr">
        <is>
          <t>Bullpen Depth Arm</t>
        </is>
      </c>
      <c r="J975" s="17" t="inlineStr">
        <is>
          <t>Opening Day</t>
        </is>
      </c>
      <c r="K975" s="11">
        <f>IFERROR(INDEX(Roles!$B$17:$B$20,MATCH(J975,Roles!$A$17:$A$20,0)),1)</f>
        <v/>
      </c>
      <c r="L975" s="18" t="n">
        <v>1</v>
      </c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/>
      <c r="Y975" s="13">
        <f>SUMPRODUCT(M975:X975,$M$2:$X$2)*$K975*$L975</f>
        <v/>
      </c>
      <c r="Z975" s="14">
        <f>SUM(M975:X975)</f>
        <v/>
      </c>
      <c r="AA975" s="13">
        <f>SUMPRODUCT(M975:X975,$M$3:$X$3)*$K975*$L975</f>
        <v/>
      </c>
      <c r="AB975" s="13">
        <f>SUMPRODUCT(M975:X975,$M$4:$X$4)*$K975*$L975</f>
        <v/>
      </c>
      <c r="AC975" s="15">
        <f>SUMPRODUCT(M975:X975,$M$5:$X$5)*$K975*$L975</f>
        <v/>
      </c>
      <c r="AD975" s="15">
        <f>SUMPRODUCT(M975:X975,$M$6:$X$6)*$K975*$L975</f>
        <v/>
      </c>
      <c r="AE975" s="19" t="n"/>
    </row>
    <row r="976">
      <c r="A976" s="9" t="n">
        <v>801403</v>
      </c>
      <c r="B976" s="9" t="inlineStr">
        <is>
          <t>Chase Dollander</t>
        </is>
      </c>
      <c r="C976" s="9" t="inlineStr">
        <is>
          <t>COL</t>
        </is>
      </c>
      <c r="D976" s="9" t="n">
        <v>25</v>
      </c>
      <c r="E976" s="17" t="inlineStr">
        <is>
          <t>R</t>
        </is>
      </c>
      <c r="F976" s="17" t="n"/>
      <c r="G976" s="9" t="n">
        <v>189</v>
      </c>
      <c r="H976" s="9" t="n">
        <v>630</v>
      </c>
      <c r="I976" s="9" t="inlineStr">
        <is>
          <t>End-of-Rotation Starter (SP4-5)</t>
        </is>
      </c>
      <c r="J976" s="17" t="inlineStr">
        <is>
          <t>Opening Day</t>
        </is>
      </c>
      <c r="K976" s="11">
        <f>IFERROR(INDEX(Roles!$B$17:$B$20,MATCH(J976,Roles!$A$17:$A$20,0)),1)</f>
        <v/>
      </c>
      <c r="L976" s="18" t="n">
        <v>1</v>
      </c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/>
      <c r="Y976" s="13">
        <f>SUMPRODUCT(M976:X976,$M$2:$X$2)*$K976*$L976</f>
        <v/>
      </c>
      <c r="Z976" s="14">
        <f>SUM(M976:X976)</f>
        <v/>
      </c>
      <c r="AA976" s="13">
        <f>SUMPRODUCT(M976:X976,$M$3:$X$3)*$K976*$L976</f>
        <v/>
      </c>
      <c r="AB976" s="13">
        <f>SUMPRODUCT(M976:X976,$M$4:$X$4)*$K976*$L976</f>
        <v/>
      </c>
      <c r="AC976" s="15">
        <f>SUMPRODUCT(M976:X976,$M$5:$X$5)*$K976*$L976</f>
        <v/>
      </c>
      <c r="AD976" s="15">
        <f>SUMPRODUCT(M976:X976,$M$6:$X$6)*$K976*$L976</f>
        <v/>
      </c>
      <c r="AE976" s="19" t="n"/>
    </row>
    <row r="977">
      <c r="A977" s="9" t="n">
        <v>678868</v>
      </c>
      <c r="B977" s="9" t="inlineStr">
        <is>
          <t>Eddy Yean</t>
        </is>
      </c>
      <c r="C977" s="9" t="inlineStr">
        <is>
          <t>WSH</t>
        </is>
      </c>
      <c r="D977" s="9" t="n">
        <v>26</v>
      </c>
      <c r="E977" s="17" t="inlineStr">
        <is>
          <t>R</t>
        </is>
      </c>
      <c r="F977" s="17" t="n"/>
      <c r="G977" s="9" t="n">
        <v>45</v>
      </c>
      <c r="H977" s="9" t="n">
        <v>45</v>
      </c>
      <c r="I977" s="9" t="inlineStr">
        <is>
          <t>Middle Relief</t>
        </is>
      </c>
      <c r="J977" s="17" t="inlineStr">
        <is>
          <t>Opening Day</t>
        </is>
      </c>
      <c r="K977" s="11">
        <f>IFERROR(INDEX(Roles!$B$17:$B$20,MATCH(J977,Roles!$A$17:$A$20,0)),1)</f>
        <v/>
      </c>
      <c r="L977" s="18" t="n">
        <v>1</v>
      </c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/>
      <c r="Y977" s="13">
        <f>SUMPRODUCT(M977:X977,$M$2:$X$2)*$K977*$L977</f>
        <v/>
      </c>
      <c r="Z977" s="14">
        <f>SUM(M977:X977)</f>
        <v/>
      </c>
      <c r="AA977" s="13">
        <f>SUMPRODUCT(M977:X977,$M$3:$X$3)*$K977*$L977</f>
        <v/>
      </c>
      <c r="AB977" s="13">
        <f>SUMPRODUCT(M977:X977,$M$4:$X$4)*$K977*$L977</f>
        <v/>
      </c>
      <c r="AC977" s="15">
        <f>SUMPRODUCT(M977:X977,$M$5:$X$5)*$K977*$L977</f>
        <v/>
      </c>
      <c r="AD977" s="15">
        <f>SUMPRODUCT(M977:X977,$M$6:$X$6)*$K977*$L977</f>
        <v/>
      </c>
      <c r="AE977" s="19" t="n"/>
    </row>
    <row r="978">
      <c r="A978" s="9" t="n">
        <v>676679</v>
      </c>
      <c r="B978" s="9" t="inlineStr">
        <is>
          <t>Luis Vázquez</t>
        </is>
      </c>
      <c r="C978" s="9" t="inlineStr"/>
      <c r="D978" s="9" t="n">
        <v>27</v>
      </c>
      <c r="E978" s="17" t="inlineStr">
        <is>
          <t>R</t>
        </is>
      </c>
      <c r="F978" s="17" t="n"/>
      <c r="G978" s="9" t="n">
        <v>14</v>
      </c>
      <c r="H978" s="9" t="n">
        <v>14</v>
      </c>
      <c r="I978" s="9" t="inlineStr">
        <is>
          <t>Depth (no MLB IP)</t>
        </is>
      </c>
      <c r="J978" s="17" t="inlineStr">
        <is>
          <t>Opening Day</t>
        </is>
      </c>
      <c r="K978" s="11">
        <f>IFERROR(INDEX(Roles!$B$17:$B$20,MATCH(J978,Roles!$A$17:$A$20,0)),1)</f>
        <v/>
      </c>
      <c r="L978" s="18" t="n">
        <v>1</v>
      </c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/>
      <c r="Y978" s="13">
        <f>SUMPRODUCT(M978:X978,$M$2:$X$2)*$K978*$L978</f>
        <v/>
      </c>
      <c r="Z978" s="14">
        <f>SUM(M978:X978)</f>
        <v/>
      </c>
      <c r="AA978" s="13">
        <f>SUMPRODUCT(M978:X978,$M$3:$X$3)*$K978*$L978</f>
        <v/>
      </c>
      <c r="AB978" s="13">
        <f>SUMPRODUCT(M978:X978,$M$4:$X$4)*$K978*$L978</f>
        <v/>
      </c>
      <c r="AC978" s="15">
        <f>SUMPRODUCT(M978:X978,$M$5:$X$5)*$K978*$L978</f>
        <v/>
      </c>
      <c r="AD978" s="15">
        <f>SUMPRODUCT(M978:X978,$M$6:$X$6)*$K978*$L978</f>
        <v/>
      </c>
      <c r="AE978" s="19" t="n"/>
    </row>
    <row r="979">
      <c r="A979" s="9" t="n">
        <v>686676</v>
      </c>
      <c r="B979" s="9" t="inlineStr">
        <is>
          <t>Korey Lee</t>
        </is>
      </c>
      <c r="C979" s="9" t="inlineStr"/>
      <c r="D979" s="9" t="n">
        <v>28</v>
      </c>
      <c r="E979" s="17" t="inlineStr">
        <is>
          <t>R</t>
        </is>
      </c>
      <c r="F979" s="17" t="n"/>
      <c r="G979" s="9" t="n">
        <v>14</v>
      </c>
      <c r="H979" s="9" t="n">
        <v>14</v>
      </c>
      <c r="I979" s="9" t="inlineStr">
        <is>
          <t>Depth (no MLB IP)</t>
        </is>
      </c>
      <c r="J979" s="17" t="inlineStr">
        <is>
          <t>Opening Day</t>
        </is>
      </c>
      <c r="K979" s="11">
        <f>IFERROR(INDEX(Roles!$B$17:$B$20,MATCH(J979,Roles!$A$17:$A$20,0)),1)</f>
        <v/>
      </c>
      <c r="L979" s="18" t="n">
        <v>1</v>
      </c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/>
      <c r="Y979" s="13">
        <f>SUMPRODUCT(M979:X979,$M$2:$X$2)*$K979*$L979</f>
        <v/>
      </c>
      <c r="Z979" s="14">
        <f>SUM(M979:X979)</f>
        <v/>
      </c>
      <c r="AA979" s="13">
        <f>SUMPRODUCT(M979:X979,$M$3:$X$3)*$K979*$L979</f>
        <v/>
      </c>
      <c r="AB979" s="13">
        <f>SUMPRODUCT(M979:X979,$M$4:$X$4)*$K979*$L979</f>
        <v/>
      </c>
      <c r="AC979" s="15">
        <f>SUMPRODUCT(M979:X979,$M$5:$X$5)*$K979*$L979</f>
        <v/>
      </c>
      <c r="AD979" s="15">
        <f>SUMPRODUCT(M979:X979,$M$6:$X$6)*$K979*$L979</f>
        <v/>
      </c>
      <c r="AE979" s="19" t="n"/>
    </row>
    <row r="980">
      <c r="A980" s="9" t="n">
        <v>543766</v>
      </c>
      <c r="B980" s="9" t="inlineStr">
        <is>
          <t>Bryan Shaw</t>
        </is>
      </c>
      <c r="C980" s="9" t="inlineStr">
        <is>
          <t>CWS</t>
        </is>
      </c>
      <c r="D980" s="9" t="n">
        <v>39</v>
      </c>
      <c r="E980" s="17" t="inlineStr">
        <is>
          <t>R</t>
        </is>
      </c>
      <c r="F980" s="17" t="n"/>
      <c r="G980" s="9" t="n">
        <v>24</v>
      </c>
      <c r="H980" s="9" t="n">
        <v>475</v>
      </c>
      <c r="I980" s="9" t="inlineStr">
        <is>
          <t>Depth (no MLB IP)</t>
        </is>
      </c>
      <c r="J980" s="17" t="inlineStr">
        <is>
          <t>Opening Day</t>
        </is>
      </c>
      <c r="K980" s="11">
        <f>IFERROR(INDEX(Roles!$B$17:$B$20,MATCH(J980,Roles!$A$17:$A$20,0)),1)</f>
        <v/>
      </c>
      <c r="L980" s="18" t="n">
        <v>1</v>
      </c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/>
      <c r="Y980" s="13">
        <f>SUMPRODUCT(M980:X980,$M$2:$X$2)*$K980*$L980</f>
        <v/>
      </c>
      <c r="Z980" s="14">
        <f>SUM(M980:X980)</f>
        <v/>
      </c>
      <c r="AA980" s="13">
        <f>SUMPRODUCT(M980:X980,$M$3:$X$3)*$K980*$L980</f>
        <v/>
      </c>
      <c r="AB980" s="13">
        <f>SUMPRODUCT(M980:X980,$M$4:$X$4)*$K980*$L980</f>
        <v/>
      </c>
      <c r="AC980" s="15">
        <f>SUMPRODUCT(M980:X980,$M$5:$X$5)*$K980*$L980</f>
        <v/>
      </c>
      <c r="AD980" s="15">
        <f>SUMPRODUCT(M980:X980,$M$6:$X$6)*$K980*$L980</f>
        <v/>
      </c>
      <c r="AE980" s="19" t="n"/>
    </row>
    <row r="981">
      <c r="A981" s="9" t="n">
        <v>623451</v>
      </c>
      <c r="B981" s="9" t="inlineStr">
        <is>
          <t>Jackson Stephens</t>
        </is>
      </c>
      <c r="C981" s="9" t="inlineStr">
        <is>
          <t>ATL</t>
        </is>
      </c>
      <c r="D981" s="9" t="n">
        <v>33</v>
      </c>
      <c r="E981" s="17" t="inlineStr">
        <is>
          <t>R</t>
        </is>
      </c>
      <c r="F981" s="17" t="n"/>
      <c r="G981" s="9" t="n">
        <v>17</v>
      </c>
      <c r="H981" s="9" t="n">
        <v>304</v>
      </c>
      <c r="I981" s="9" t="inlineStr">
        <is>
          <t>Depth (no MLB IP)</t>
        </is>
      </c>
      <c r="J981" s="17" t="inlineStr">
        <is>
          <t>Opening Day</t>
        </is>
      </c>
      <c r="K981" s="11">
        <f>IFERROR(INDEX(Roles!$B$17:$B$20,MATCH(J981,Roles!$A$17:$A$20,0)),1)</f>
        <v/>
      </c>
      <c r="L981" s="18" t="n">
        <v>1</v>
      </c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/>
      <c r="Y981" s="13">
        <f>SUMPRODUCT(M981:X981,$M$2:$X$2)*$K981*$L981</f>
        <v/>
      </c>
      <c r="Z981" s="14">
        <f>SUM(M981:X981)</f>
        <v/>
      </c>
      <c r="AA981" s="13">
        <f>SUMPRODUCT(M981:X981,$M$3:$X$3)*$K981*$L981</f>
        <v/>
      </c>
      <c r="AB981" s="13">
        <f>SUMPRODUCT(M981:X981,$M$4:$X$4)*$K981*$L981</f>
        <v/>
      </c>
      <c r="AC981" s="15">
        <f>SUMPRODUCT(M981:X981,$M$5:$X$5)*$K981*$L981</f>
        <v/>
      </c>
      <c r="AD981" s="15">
        <f>SUMPRODUCT(M981:X981,$M$6:$X$6)*$K981*$L981</f>
        <v/>
      </c>
      <c r="AE981" s="19" t="n"/>
    </row>
    <row r="982">
      <c r="A982" s="9" t="n">
        <v>664901</v>
      </c>
      <c r="B982" s="9" t="inlineStr">
        <is>
          <t>Danny Mendick</t>
        </is>
      </c>
      <c r="C982" s="9" t="inlineStr"/>
      <c r="D982" s="9" t="n">
        <v>33</v>
      </c>
      <c r="E982" s="17" t="inlineStr">
        <is>
          <t>R</t>
        </is>
      </c>
      <c r="F982" s="17" t="n"/>
      <c r="G982" s="9" t="n">
        <v>4</v>
      </c>
      <c r="H982" s="9" t="n">
        <v>19</v>
      </c>
      <c r="I982" s="9" t="inlineStr">
        <is>
          <t>Depth (no MLB IP)</t>
        </is>
      </c>
      <c r="J982" s="17" t="inlineStr">
        <is>
          <t>Opening Day</t>
        </is>
      </c>
      <c r="K982" s="11">
        <f>IFERROR(INDEX(Roles!$B$17:$B$20,MATCH(J982,Roles!$A$17:$A$20,0)),1)</f>
        <v/>
      </c>
      <c r="L982" s="18" t="n">
        <v>1</v>
      </c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/>
      <c r="Y982" s="13">
        <f>SUMPRODUCT(M982:X982,$M$2:$X$2)*$K982*$L982</f>
        <v/>
      </c>
      <c r="Z982" s="14">
        <f>SUM(M982:X982)</f>
        <v/>
      </c>
      <c r="AA982" s="13">
        <f>SUMPRODUCT(M982:X982,$M$3:$X$3)*$K982*$L982</f>
        <v/>
      </c>
      <c r="AB982" s="13">
        <f>SUMPRODUCT(M982:X982,$M$4:$X$4)*$K982*$L982</f>
        <v/>
      </c>
      <c r="AC982" s="15">
        <f>SUMPRODUCT(M982:X982,$M$5:$X$5)*$K982*$L982</f>
        <v/>
      </c>
      <c r="AD982" s="15">
        <f>SUMPRODUCT(M982:X982,$M$6:$X$6)*$K982*$L982</f>
        <v/>
      </c>
      <c r="AE982" s="19" t="n"/>
    </row>
    <row r="983">
      <c r="A983" s="9" t="n">
        <v>592473</v>
      </c>
      <c r="B983" s="9" t="inlineStr">
        <is>
          <t>Adam Kolarek</t>
        </is>
      </c>
      <c r="C983" s="9" t="inlineStr">
        <is>
          <t>OAK</t>
        </is>
      </c>
      <c r="D983" s="9" t="n">
        <v>38</v>
      </c>
      <c r="E983" s="17" t="inlineStr">
        <is>
          <t>L</t>
        </is>
      </c>
      <c r="F983" s="17" t="n"/>
      <c r="G983" s="9" t="n">
        <v>22</v>
      </c>
      <c r="H983" s="9" t="n">
        <v>101</v>
      </c>
      <c r="I983" s="9" t="inlineStr">
        <is>
          <t>Depth (no MLB IP)</t>
        </is>
      </c>
      <c r="J983" s="17" t="inlineStr">
        <is>
          <t>Opening Day</t>
        </is>
      </c>
      <c r="K983" s="11">
        <f>IFERROR(INDEX(Roles!$B$17:$B$20,MATCH(J983,Roles!$A$17:$A$20,0)),1)</f>
        <v/>
      </c>
      <c r="L983" s="18" t="n">
        <v>1</v>
      </c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/>
      <c r="Y983" s="13">
        <f>SUMPRODUCT(M983:X983,$M$2:$X$2)*$K983*$L983</f>
        <v/>
      </c>
      <c r="Z983" s="14">
        <f>SUM(M983:X983)</f>
        <v/>
      </c>
      <c r="AA983" s="13">
        <f>SUMPRODUCT(M983:X983,$M$3:$X$3)*$K983*$L983</f>
        <v/>
      </c>
      <c r="AB983" s="13">
        <f>SUMPRODUCT(M983:X983,$M$4:$X$4)*$K983*$L983</f>
        <v/>
      </c>
      <c r="AC983" s="15">
        <f>SUMPRODUCT(M983:X983,$M$5:$X$5)*$K983*$L983</f>
        <v/>
      </c>
      <c r="AD983" s="15">
        <f>SUMPRODUCT(M983:X983,$M$6:$X$6)*$K983*$L983</f>
        <v/>
      </c>
      <c r="AE983" s="19" t="n"/>
    </row>
    <row r="984">
      <c r="A984" s="9" t="n">
        <v>622379</v>
      </c>
      <c r="B984" s="9" t="inlineStr">
        <is>
          <t>Luis F. Castillo</t>
        </is>
      </c>
      <c r="C984" s="9" t="inlineStr">
        <is>
          <t>SEA</t>
        </is>
      </c>
      <c r="D984" s="9" t="n">
        <v>32</v>
      </c>
      <c r="E984" s="17" t="inlineStr">
        <is>
          <t>R</t>
        </is>
      </c>
      <c r="F984" s="17" t="n"/>
      <c r="G984" s="9" t="n">
        <v>41</v>
      </c>
      <c r="H984" s="9" t="n">
        <v>55</v>
      </c>
      <c r="I984" s="9" t="inlineStr">
        <is>
          <t>End-of-Rotation Starter (SP4-5)</t>
        </is>
      </c>
      <c r="J984" s="17" t="inlineStr">
        <is>
          <t>Opening Day</t>
        </is>
      </c>
      <c r="K984" s="11">
        <f>IFERROR(INDEX(Roles!$B$17:$B$20,MATCH(J984,Roles!$A$17:$A$20,0)),1)</f>
        <v/>
      </c>
      <c r="L984" s="18" t="n">
        <v>1</v>
      </c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/>
      <c r="Y984" s="13">
        <f>SUMPRODUCT(M984:X984,$M$2:$X$2)*$K984*$L984</f>
        <v/>
      </c>
      <c r="Z984" s="14">
        <f>SUM(M984:X984)</f>
        <v/>
      </c>
      <c r="AA984" s="13">
        <f>SUMPRODUCT(M984:X984,$M$3:$X$3)*$K984*$L984</f>
        <v/>
      </c>
      <c r="AB984" s="13">
        <f>SUMPRODUCT(M984:X984,$M$4:$X$4)*$K984*$L984</f>
        <v/>
      </c>
      <c r="AC984" s="15">
        <f>SUMPRODUCT(M984:X984,$M$5:$X$5)*$K984*$L984</f>
        <v/>
      </c>
      <c r="AD984" s="15">
        <f>SUMPRODUCT(M984:X984,$M$6:$X$6)*$K984*$L984</f>
        <v/>
      </c>
      <c r="AE984" s="19" t="n"/>
    </row>
    <row r="985">
      <c r="A985" s="9" t="n">
        <v>665896</v>
      </c>
      <c r="B985" s="9" t="inlineStr">
        <is>
          <t>José Marte</t>
        </is>
      </c>
      <c r="C985" s="9" t="inlineStr">
        <is>
          <t>LAA</t>
        </is>
      </c>
      <c r="D985" s="9" t="n">
        <v>31</v>
      </c>
      <c r="E985" s="17" t="inlineStr">
        <is>
          <t>R</t>
        </is>
      </c>
      <c r="F985" s="17" t="n"/>
      <c r="G985" s="9" t="n">
        <v>80</v>
      </c>
      <c r="H985" s="9" t="n">
        <v>186</v>
      </c>
      <c r="I985" s="9" t="inlineStr">
        <is>
          <t>Depth (no MLB IP)</t>
        </is>
      </c>
      <c r="J985" s="17" t="inlineStr">
        <is>
          <t>Opening Day</t>
        </is>
      </c>
      <c r="K985" s="11">
        <f>IFERROR(INDEX(Roles!$B$17:$B$20,MATCH(J985,Roles!$A$17:$A$20,0)),1)</f>
        <v/>
      </c>
      <c r="L985" s="18" t="n">
        <v>1</v>
      </c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/>
      <c r="Y985" s="13">
        <f>SUMPRODUCT(M985:X985,$M$2:$X$2)*$K985*$L985</f>
        <v/>
      </c>
      <c r="Z985" s="14">
        <f>SUM(M985:X985)</f>
        <v/>
      </c>
      <c r="AA985" s="13">
        <f>SUMPRODUCT(M985:X985,$M$3:$X$3)*$K985*$L985</f>
        <v/>
      </c>
      <c r="AB985" s="13">
        <f>SUMPRODUCT(M985:X985,$M$4:$X$4)*$K985*$L985</f>
        <v/>
      </c>
      <c r="AC985" s="15">
        <f>SUMPRODUCT(M985:X985,$M$5:$X$5)*$K985*$L985</f>
        <v/>
      </c>
      <c r="AD985" s="15">
        <f>SUMPRODUCT(M985:X985,$M$6:$X$6)*$K985*$L985</f>
        <v/>
      </c>
      <c r="AE985" s="19" t="n"/>
    </row>
    <row r="986">
      <c r="A986" s="9" t="n">
        <v>682989</v>
      </c>
      <c r="B986" s="9" t="inlineStr">
        <is>
          <t>Victor Mederos</t>
        </is>
      </c>
      <c r="C986" s="9" t="inlineStr">
        <is>
          <t>ATL</t>
        </is>
      </c>
      <c r="D986" s="9" t="n">
        <v>26</v>
      </c>
      <c r="E986" s="17" t="inlineStr">
        <is>
          <t>R</t>
        </is>
      </c>
      <c r="F986" s="17" t="n"/>
      <c r="G986" s="9" t="n">
        <v>133</v>
      </c>
      <c r="H986" s="9" t="n">
        <v>258</v>
      </c>
      <c r="I986" s="9" t="inlineStr">
        <is>
          <t>Bullpen Depth Arm</t>
        </is>
      </c>
      <c r="J986" s="17" t="inlineStr">
        <is>
          <t>Opening Day</t>
        </is>
      </c>
      <c r="K986" s="11">
        <f>IFERROR(INDEX(Roles!$B$17:$B$20,MATCH(J986,Roles!$A$17:$A$20,0)),1)</f>
        <v/>
      </c>
      <c r="L986" s="18" t="n">
        <v>1</v>
      </c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/>
      <c r="Y986" s="13">
        <f>SUMPRODUCT(M986:X986,$M$2:$X$2)*$K986*$L986</f>
        <v/>
      </c>
      <c r="Z986" s="14">
        <f>SUM(M986:X986)</f>
        <v/>
      </c>
      <c r="AA986" s="13">
        <f>SUMPRODUCT(M986:X986,$M$3:$X$3)*$K986*$L986</f>
        <v/>
      </c>
      <c r="AB986" s="13">
        <f>SUMPRODUCT(M986:X986,$M$4:$X$4)*$K986*$L986</f>
        <v/>
      </c>
      <c r="AC986" s="15">
        <f>SUMPRODUCT(M986:X986,$M$5:$X$5)*$K986*$L986</f>
        <v/>
      </c>
      <c r="AD986" s="15">
        <f>SUMPRODUCT(M986:X986,$M$6:$X$6)*$K986*$L986</f>
        <v/>
      </c>
      <c r="AE986" s="19" t="n"/>
    </row>
    <row r="987">
      <c r="A987" s="9" t="n">
        <v>682445</v>
      </c>
      <c r="B987" s="9" t="inlineStr">
        <is>
          <t>Domingo Gonzalez</t>
        </is>
      </c>
      <c r="C987" s="9" t="inlineStr">
        <is>
          <t>SEA</t>
        </is>
      </c>
      <c r="D987" s="9" t="n">
        <v>27</v>
      </c>
      <c r="E987" s="17" t="inlineStr">
        <is>
          <t>R</t>
        </is>
      </c>
      <c r="F987" s="17" t="n"/>
      <c r="G987" s="9" t="n">
        <v>36</v>
      </c>
      <c r="H987" s="9" t="n">
        <v>36</v>
      </c>
      <c r="I987" s="9" t="inlineStr">
        <is>
          <t>Bullpen Depth Arm</t>
        </is>
      </c>
      <c r="J987" s="17" t="inlineStr">
        <is>
          <t>Opening Day</t>
        </is>
      </c>
      <c r="K987" s="11">
        <f>IFERROR(INDEX(Roles!$B$17:$B$20,MATCH(J987,Roles!$A$17:$A$20,0)),1)</f>
        <v/>
      </c>
      <c r="L987" s="18" t="n">
        <v>1</v>
      </c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/>
      <c r="Y987" s="13">
        <f>SUMPRODUCT(M987:X987,$M$2:$X$2)*$K987*$L987</f>
        <v/>
      </c>
      <c r="Z987" s="14">
        <f>SUM(M987:X987)</f>
        <v/>
      </c>
      <c r="AA987" s="13">
        <f>SUMPRODUCT(M987:X987,$M$3:$X$3)*$K987*$L987</f>
        <v/>
      </c>
      <c r="AB987" s="13">
        <f>SUMPRODUCT(M987:X987,$M$4:$X$4)*$K987*$L987</f>
        <v/>
      </c>
      <c r="AC987" s="15">
        <f>SUMPRODUCT(M987:X987,$M$5:$X$5)*$K987*$L987</f>
        <v/>
      </c>
      <c r="AD987" s="15">
        <f>SUMPRODUCT(M987:X987,$M$6:$X$6)*$K987*$L987</f>
        <v/>
      </c>
      <c r="AE987" s="19" t="n"/>
    </row>
    <row r="988">
      <c r="A988" s="9" t="n">
        <v>670712</v>
      </c>
      <c r="B988" s="9" t="inlineStr">
        <is>
          <t>Mike Brosseau</t>
        </is>
      </c>
      <c r="C988" s="9" t="inlineStr"/>
      <c r="D988" s="9" t="n">
        <v>33</v>
      </c>
      <c r="E988" s="17" t="inlineStr">
        <is>
          <t>R</t>
        </is>
      </c>
      <c r="F988" s="17" t="n"/>
      <c r="G988" s="9" t="n">
        <v>9</v>
      </c>
      <c r="H988" s="9" t="n">
        <v>22</v>
      </c>
      <c r="I988" s="9" t="inlineStr">
        <is>
          <t>Depth (no MLB IP)</t>
        </is>
      </c>
      <c r="J988" s="17" t="inlineStr">
        <is>
          <t>Opening Day</t>
        </is>
      </c>
      <c r="K988" s="11">
        <f>IFERROR(INDEX(Roles!$B$17:$B$20,MATCH(J988,Roles!$A$17:$A$20,0)),1)</f>
        <v/>
      </c>
      <c r="L988" s="18" t="n">
        <v>1</v>
      </c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/>
      <c r="Y988" s="13">
        <f>SUMPRODUCT(M988:X988,$M$2:$X$2)*$K988*$L988</f>
        <v/>
      </c>
      <c r="Z988" s="14">
        <f>SUM(M988:X988)</f>
        <v/>
      </c>
      <c r="AA988" s="13">
        <f>SUMPRODUCT(M988:X988,$M$3:$X$3)*$K988*$L988</f>
        <v/>
      </c>
      <c r="AB988" s="13">
        <f>SUMPRODUCT(M988:X988,$M$4:$X$4)*$K988*$L988</f>
        <v/>
      </c>
      <c r="AC988" s="15">
        <f>SUMPRODUCT(M988:X988,$M$5:$X$5)*$K988*$L988</f>
        <v/>
      </c>
      <c r="AD988" s="15">
        <f>SUMPRODUCT(M988:X988,$M$6:$X$6)*$K988*$L988</f>
        <v/>
      </c>
      <c r="AE988" s="19" t="n"/>
    </row>
    <row r="989">
      <c r="A989" s="9" t="n">
        <v>660906</v>
      </c>
      <c r="B989" s="9" t="inlineStr">
        <is>
          <t>Francisco Pérez</t>
        </is>
      </c>
      <c r="C989" s="9" t="inlineStr">
        <is>
          <t>OAK</t>
        </is>
      </c>
      <c r="D989" s="9" t="n">
        <v>29</v>
      </c>
      <c r="E989" s="17" t="inlineStr">
        <is>
          <t>L</t>
        </is>
      </c>
      <c r="F989" s="17" t="n"/>
      <c r="G989" s="9" t="n">
        <v>74</v>
      </c>
      <c r="H989" s="9" t="n">
        <v>122</v>
      </c>
      <c r="I989" s="9" t="inlineStr">
        <is>
          <t>Depth (no MLB IP)</t>
        </is>
      </c>
      <c r="J989" s="17" t="inlineStr">
        <is>
          <t>Opening Day</t>
        </is>
      </c>
      <c r="K989" s="11">
        <f>IFERROR(INDEX(Roles!$B$17:$B$20,MATCH(J989,Roles!$A$17:$A$20,0)),1)</f>
        <v/>
      </c>
      <c r="L989" s="18" t="n">
        <v>1</v>
      </c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/>
      <c r="Y989" s="13">
        <f>SUMPRODUCT(M989:X989,$M$2:$X$2)*$K989*$L989</f>
        <v/>
      </c>
      <c r="Z989" s="14">
        <f>SUM(M989:X989)</f>
        <v/>
      </c>
      <c r="AA989" s="13">
        <f>SUMPRODUCT(M989:X989,$M$3:$X$3)*$K989*$L989</f>
        <v/>
      </c>
      <c r="AB989" s="13">
        <f>SUMPRODUCT(M989:X989,$M$4:$X$4)*$K989*$L989</f>
        <v/>
      </c>
      <c r="AC989" s="15">
        <f>SUMPRODUCT(M989:X989,$M$5:$X$5)*$K989*$L989</f>
        <v/>
      </c>
      <c r="AD989" s="15">
        <f>SUMPRODUCT(M989:X989,$M$6:$X$6)*$K989*$L989</f>
        <v/>
      </c>
      <c r="AE989" s="19" t="n"/>
    </row>
    <row r="990">
      <c r="A990" s="9" t="n">
        <v>670245</v>
      </c>
      <c r="B990" s="9" t="inlineStr">
        <is>
          <t>Ryan Watson</t>
        </is>
      </c>
      <c r="C990" s="9" t="inlineStr">
        <is>
          <t>LAA</t>
        </is>
      </c>
      <c r="D990" s="9" t="n">
        <v>29</v>
      </c>
      <c r="E990" s="17" t="inlineStr">
        <is>
          <t>R</t>
        </is>
      </c>
      <c r="F990" s="17" t="n"/>
      <c r="G990" s="9" t="n">
        <v>297</v>
      </c>
      <c r="H990" s="9" t="n">
        <v>297</v>
      </c>
      <c r="I990" s="9" t="inlineStr">
        <is>
          <t>Middle Relief</t>
        </is>
      </c>
      <c r="J990" s="17" t="inlineStr">
        <is>
          <t>Opening Day</t>
        </is>
      </c>
      <c r="K990" s="11">
        <f>IFERROR(INDEX(Roles!$B$17:$B$20,MATCH(J990,Roles!$A$17:$A$20,0)),1)</f>
        <v/>
      </c>
      <c r="L990" s="18" t="n">
        <v>1</v>
      </c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/>
      <c r="Y990" s="13">
        <f>SUMPRODUCT(M990:X990,$M$2:$X$2)*$K990*$L990</f>
        <v/>
      </c>
      <c r="Z990" s="14">
        <f>SUM(M990:X990)</f>
        <v/>
      </c>
      <c r="AA990" s="13">
        <f>SUMPRODUCT(M990:X990,$M$3:$X$3)*$K990*$L990</f>
        <v/>
      </c>
      <c r="AB990" s="13">
        <f>SUMPRODUCT(M990:X990,$M$4:$X$4)*$K990*$L990</f>
        <v/>
      </c>
      <c r="AC990" s="15">
        <f>SUMPRODUCT(M990:X990,$M$5:$X$5)*$K990*$L990</f>
        <v/>
      </c>
      <c r="AD990" s="15">
        <f>SUMPRODUCT(M990:X990,$M$6:$X$6)*$K990*$L990</f>
        <v/>
      </c>
      <c r="AE990" s="19" t="n"/>
    </row>
    <row r="991">
      <c r="A991" s="9" t="n">
        <v>605280</v>
      </c>
      <c r="B991" s="9" t="inlineStr">
        <is>
          <t>Clay Holmes</t>
        </is>
      </c>
      <c r="C991" s="9" t="inlineStr">
        <is>
          <t>CHC</t>
        </is>
      </c>
      <c r="D991" s="9" t="n">
        <v>34</v>
      </c>
      <c r="E991" s="17" t="inlineStr">
        <is>
          <t>R</t>
        </is>
      </c>
      <c r="F991" s="17" t="n"/>
      <c r="G991" s="9" t="n">
        <v>376</v>
      </c>
      <c r="H991" s="9" t="n">
        <v>1877</v>
      </c>
      <c r="I991" s="9" t="inlineStr">
        <is>
          <t>End-of-Rotation Starter (SP4-5)</t>
        </is>
      </c>
      <c r="J991" s="17" t="inlineStr">
        <is>
          <t>Opening Day</t>
        </is>
      </c>
      <c r="K991" s="11">
        <f>IFERROR(INDEX(Roles!$B$17:$B$20,MATCH(J991,Roles!$A$17:$A$20,0)),1)</f>
        <v/>
      </c>
      <c r="L991" s="18" t="n">
        <v>1</v>
      </c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/>
      <c r="Y991" s="13">
        <f>SUMPRODUCT(M991:X991,$M$2:$X$2)*$K991*$L991</f>
        <v/>
      </c>
      <c r="Z991" s="14">
        <f>SUM(M991:X991)</f>
        <v/>
      </c>
      <c r="AA991" s="13">
        <f>SUMPRODUCT(M991:X991,$M$3:$X$3)*$K991*$L991</f>
        <v/>
      </c>
      <c r="AB991" s="13">
        <f>SUMPRODUCT(M991:X991,$M$4:$X$4)*$K991*$L991</f>
        <v/>
      </c>
      <c r="AC991" s="15">
        <f>SUMPRODUCT(M991:X991,$M$5:$X$5)*$K991*$L991</f>
        <v/>
      </c>
      <c r="AD991" s="15">
        <f>SUMPRODUCT(M991:X991,$M$6:$X$6)*$K991*$L991</f>
        <v/>
      </c>
      <c r="AE991" s="19" t="n"/>
    </row>
    <row r="992">
      <c r="A992" s="9" t="n">
        <v>688107</v>
      </c>
      <c r="B992" s="9" t="inlineStr">
        <is>
          <t>Robert Gasser</t>
        </is>
      </c>
      <c r="C992" s="9" t="inlineStr">
        <is>
          <t>MIL</t>
        </is>
      </c>
      <c r="D992" s="9" t="n">
        <v>28</v>
      </c>
      <c r="E992" s="17" t="inlineStr">
        <is>
          <t>L</t>
        </is>
      </c>
      <c r="F992" s="17" t="n"/>
      <c r="G992" s="9" t="n">
        <v>417</v>
      </c>
      <c r="H992" s="9" t="n">
        <v>560</v>
      </c>
      <c r="I992" s="9" t="inlineStr">
        <is>
          <t>Mid-Rotation Starter (SP2-3)</t>
        </is>
      </c>
      <c r="J992" s="17" t="inlineStr">
        <is>
          <t>Opening Day</t>
        </is>
      </c>
      <c r="K992" s="11">
        <f>IFERROR(INDEX(Roles!$B$17:$B$20,MATCH(J992,Roles!$A$17:$A$20,0)),1)</f>
        <v/>
      </c>
      <c r="L992" s="18" t="n">
        <v>1</v>
      </c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/>
      <c r="Y992" s="13">
        <f>SUMPRODUCT(M992:X992,$M$2:$X$2)*$K992*$L992</f>
        <v/>
      </c>
      <c r="Z992" s="14">
        <f>SUM(M992:X992)</f>
        <v/>
      </c>
      <c r="AA992" s="13">
        <f>SUMPRODUCT(M992:X992,$M$3:$X$3)*$K992*$L992</f>
        <v/>
      </c>
      <c r="AB992" s="13">
        <f>SUMPRODUCT(M992:X992,$M$4:$X$4)*$K992*$L992</f>
        <v/>
      </c>
      <c r="AC992" s="15">
        <f>SUMPRODUCT(M992:X992,$M$5:$X$5)*$K992*$L992</f>
        <v/>
      </c>
      <c r="AD992" s="15">
        <f>SUMPRODUCT(M992:X992,$M$6:$X$6)*$K992*$L992</f>
        <v/>
      </c>
      <c r="AE992" s="19" t="n"/>
    </row>
    <row r="993">
      <c r="A993" s="9" t="n">
        <v>692230</v>
      </c>
      <c r="B993" s="9" t="inlineStr">
        <is>
          <t>Carlos Rodriguez</t>
        </is>
      </c>
      <c r="C993" s="9" t="inlineStr">
        <is>
          <t>MIL</t>
        </is>
      </c>
      <c r="D993" s="9" t="n">
        <v>25</v>
      </c>
      <c r="E993" s="17" t="inlineStr">
        <is>
          <t>R</t>
        </is>
      </c>
      <c r="F993" s="17" t="n"/>
      <c r="G993" s="9" t="n">
        <v>42</v>
      </c>
      <c r="H993" s="9" t="n">
        <v>149</v>
      </c>
      <c r="I993" s="9" t="inlineStr">
        <is>
          <t>Bullpen Depth Arm</t>
        </is>
      </c>
      <c r="J993" s="17" t="inlineStr">
        <is>
          <t>Opening Day</t>
        </is>
      </c>
      <c r="K993" s="11">
        <f>IFERROR(INDEX(Roles!$B$17:$B$20,MATCH(J993,Roles!$A$17:$A$20,0)),1)</f>
        <v/>
      </c>
      <c r="L993" s="18" t="n">
        <v>1</v>
      </c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/>
      <c r="Y993" s="13">
        <f>SUMPRODUCT(M993:X993,$M$2:$X$2)*$K993*$L993</f>
        <v/>
      </c>
      <c r="Z993" s="14">
        <f>SUM(M993:X993)</f>
        <v/>
      </c>
      <c r="AA993" s="13">
        <f>SUMPRODUCT(M993:X993,$M$3:$X$3)*$K993*$L993</f>
        <v/>
      </c>
      <c r="AB993" s="13">
        <f>SUMPRODUCT(M993:X993,$M$4:$X$4)*$K993*$L993</f>
        <v/>
      </c>
      <c r="AC993" s="15">
        <f>SUMPRODUCT(M993:X993,$M$5:$X$5)*$K993*$L993</f>
        <v/>
      </c>
      <c r="AD993" s="15">
        <f>SUMPRODUCT(M993:X993,$M$6:$X$6)*$K993*$L993</f>
        <v/>
      </c>
      <c r="AE993" s="19" t="n"/>
    </row>
    <row r="994">
      <c r="A994" s="9" t="n">
        <v>702281</v>
      </c>
      <c r="B994" s="9" t="inlineStr">
        <is>
          <t>Robby Snelling</t>
        </is>
      </c>
      <c r="C994" s="9" t="inlineStr"/>
      <c r="D994" s="9" t="n">
        <v>23</v>
      </c>
      <c r="E994" s="17" t="inlineStr">
        <is>
          <t>L</t>
        </is>
      </c>
      <c r="F994" s="17" t="n"/>
      <c r="G994" s="9" t="n">
        <v>22</v>
      </c>
      <c r="H994" s="9" t="n">
        <v>22</v>
      </c>
      <c r="I994" s="9" t="inlineStr">
        <is>
          <t>Depth (no MLB IP)</t>
        </is>
      </c>
      <c r="J994" s="17" t="inlineStr">
        <is>
          <t>Opening Day</t>
        </is>
      </c>
      <c r="K994" s="11">
        <f>IFERROR(INDEX(Roles!$B$17:$B$20,MATCH(J994,Roles!$A$17:$A$20,0)),1)</f>
        <v/>
      </c>
      <c r="L994" s="18" t="n">
        <v>1</v>
      </c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/>
      <c r="Y994" s="13">
        <f>SUMPRODUCT(M994:X994,$M$2:$X$2)*$K994*$L994</f>
        <v/>
      </c>
      <c r="Z994" s="14">
        <f>SUM(M994:X994)</f>
        <v/>
      </c>
      <c r="AA994" s="13">
        <f>SUMPRODUCT(M994:X994,$M$3:$X$3)*$K994*$L994</f>
        <v/>
      </c>
      <c r="AB994" s="13">
        <f>SUMPRODUCT(M994:X994,$M$4:$X$4)*$K994*$L994</f>
        <v/>
      </c>
      <c r="AC994" s="15">
        <f>SUMPRODUCT(M994:X994,$M$5:$X$5)*$K994*$L994</f>
        <v/>
      </c>
      <c r="AD994" s="15">
        <f>SUMPRODUCT(M994:X994,$M$6:$X$6)*$K994*$L994</f>
        <v/>
      </c>
      <c r="AE994" s="19" t="n"/>
    </row>
    <row r="995">
      <c r="A995" s="9" t="n">
        <v>656605</v>
      </c>
      <c r="B995" s="9" t="inlineStr">
        <is>
          <t>Mitch Keller</t>
        </is>
      </c>
      <c r="C995" s="9" t="inlineStr">
        <is>
          <t>PIT</t>
        </is>
      </c>
      <c r="D995" s="9" t="n">
        <v>31</v>
      </c>
      <c r="E995" s="17" t="inlineStr">
        <is>
          <t>R</t>
        </is>
      </c>
      <c r="F995" s="17" t="n"/>
      <c r="G995" s="9" t="n">
        <v>503</v>
      </c>
      <c r="H995" s="9" t="n">
        <v>3537</v>
      </c>
      <c r="I995" s="9" t="inlineStr">
        <is>
          <t>Mid-Rotation Starter (SP2-3)</t>
        </is>
      </c>
      <c r="J995" s="17" t="inlineStr">
        <is>
          <t>Opening Day</t>
        </is>
      </c>
      <c r="K995" s="11">
        <f>IFERROR(INDEX(Roles!$B$17:$B$20,MATCH(J995,Roles!$A$17:$A$20,0)),1)</f>
        <v/>
      </c>
      <c r="L995" s="18" t="n">
        <v>1</v>
      </c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/>
      <c r="Y995" s="13">
        <f>SUMPRODUCT(M995:X995,$M$2:$X$2)*$K995*$L995</f>
        <v/>
      </c>
      <c r="Z995" s="14">
        <f>SUM(M995:X995)</f>
        <v/>
      </c>
      <c r="AA995" s="13">
        <f>SUMPRODUCT(M995:X995,$M$3:$X$3)*$K995*$L995</f>
        <v/>
      </c>
      <c r="AB995" s="13">
        <f>SUMPRODUCT(M995:X995,$M$4:$X$4)*$K995*$L995</f>
        <v/>
      </c>
      <c r="AC995" s="15">
        <f>SUMPRODUCT(M995:X995,$M$5:$X$5)*$K995*$L995</f>
        <v/>
      </c>
      <c r="AD995" s="15">
        <f>SUMPRODUCT(M995:X995,$M$6:$X$6)*$K995*$L995</f>
        <v/>
      </c>
      <c r="AE995" s="19" t="n"/>
    </row>
    <row r="996">
      <c r="A996" s="9" t="n">
        <v>596001</v>
      </c>
      <c r="B996" s="9" t="inlineStr">
        <is>
          <t>Jakob Junis</t>
        </is>
      </c>
      <c r="C996" s="9" t="inlineStr">
        <is>
          <t>TEX</t>
        </is>
      </c>
      <c r="D996" s="9" t="n">
        <v>34</v>
      </c>
      <c r="E996" s="17" t="inlineStr">
        <is>
          <t>R</t>
        </is>
      </c>
      <c r="F996" s="17" t="n"/>
      <c r="G996" s="9" t="n">
        <v>217</v>
      </c>
      <c r="H996" s="9" t="n">
        <v>1589</v>
      </c>
      <c r="I996" s="9" t="inlineStr">
        <is>
          <t>Middle Relief</t>
        </is>
      </c>
      <c r="J996" s="17" t="inlineStr">
        <is>
          <t>Opening Day</t>
        </is>
      </c>
      <c r="K996" s="11">
        <f>IFERROR(INDEX(Roles!$B$17:$B$20,MATCH(J996,Roles!$A$17:$A$20,0)),1)</f>
        <v/>
      </c>
      <c r="L996" s="18" t="n">
        <v>1</v>
      </c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/>
      <c r="Y996" s="13">
        <f>SUMPRODUCT(M996:X996,$M$2:$X$2)*$K996*$L996</f>
        <v/>
      </c>
      <c r="Z996" s="14">
        <f>SUM(M996:X996)</f>
        <v/>
      </c>
      <c r="AA996" s="13">
        <f>SUMPRODUCT(M996:X996,$M$3:$X$3)*$K996*$L996</f>
        <v/>
      </c>
      <c r="AB996" s="13">
        <f>SUMPRODUCT(M996:X996,$M$4:$X$4)*$K996*$L996</f>
        <v/>
      </c>
      <c r="AC996" s="15">
        <f>SUMPRODUCT(M996:X996,$M$5:$X$5)*$K996*$L996</f>
        <v/>
      </c>
      <c r="AD996" s="15">
        <f>SUMPRODUCT(M996:X996,$M$6:$X$6)*$K996*$L996</f>
        <v/>
      </c>
      <c r="AE996" s="19" t="n"/>
    </row>
    <row r="997">
      <c r="A997" s="9" t="n">
        <v>676702</v>
      </c>
      <c r="B997" s="9" t="inlineStr">
        <is>
          <t>Hunter Stratton</t>
        </is>
      </c>
      <c r="C997" s="9" t="inlineStr">
        <is>
          <t>ATL</t>
        </is>
      </c>
      <c r="D997" s="9" t="n">
        <v>30</v>
      </c>
      <c r="E997" s="17" t="inlineStr">
        <is>
          <t>R</t>
        </is>
      </c>
      <c r="F997" s="17" t="n"/>
      <c r="G997" s="9" t="n">
        <v>15</v>
      </c>
      <c r="H997" s="9" t="n">
        <v>309</v>
      </c>
      <c r="I997" s="9" t="inlineStr">
        <is>
          <t>Bullpen Depth Arm</t>
        </is>
      </c>
      <c r="J997" s="17" t="inlineStr">
        <is>
          <t>Opening Day</t>
        </is>
      </c>
      <c r="K997" s="11">
        <f>IFERROR(INDEX(Roles!$B$17:$B$20,MATCH(J997,Roles!$A$17:$A$20,0)),1)</f>
        <v/>
      </c>
      <c r="L997" s="18" t="n">
        <v>1</v>
      </c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/>
      <c r="Y997" s="13">
        <f>SUMPRODUCT(M997:X997,$M$2:$X$2)*$K997*$L997</f>
        <v/>
      </c>
      <c r="Z997" s="14">
        <f>SUM(M997:X997)</f>
        <v/>
      </c>
      <c r="AA997" s="13">
        <f>SUMPRODUCT(M997:X997,$M$3:$X$3)*$K997*$L997</f>
        <v/>
      </c>
      <c r="AB997" s="13">
        <f>SUMPRODUCT(M997:X997,$M$4:$X$4)*$K997*$L997</f>
        <v/>
      </c>
      <c r="AC997" s="15">
        <f>SUMPRODUCT(M997:X997,$M$5:$X$5)*$K997*$L997</f>
        <v/>
      </c>
      <c r="AD997" s="15">
        <f>SUMPRODUCT(M997:X997,$M$6:$X$6)*$K997*$L997</f>
        <v/>
      </c>
      <c r="AE997" s="19" t="n"/>
    </row>
    <row r="998">
      <c r="A998" s="9" t="n">
        <v>679358</v>
      </c>
      <c r="B998" s="9" t="inlineStr">
        <is>
          <t>Eric Orze</t>
        </is>
      </c>
      <c r="C998" s="9" t="inlineStr">
        <is>
          <t>MIN</t>
        </is>
      </c>
      <c r="D998" s="9" t="n">
        <v>29</v>
      </c>
      <c r="E998" s="17" t="inlineStr">
        <is>
          <t>R</t>
        </is>
      </c>
      <c r="F998" s="17" t="n"/>
      <c r="G998" s="9" t="n">
        <v>189</v>
      </c>
      <c r="H998" s="9" t="n">
        <v>378</v>
      </c>
      <c r="I998" s="9" t="inlineStr">
        <is>
          <t>Bullpen Depth Arm</t>
        </is>
      </c>
      <c r="J998" s="17" t="inlineStr">
        <is>
          <t>Opening Day</t>
        </is>
      </c>
      <c r="K998" s="11">
        <f>IFERROR(INDEX(Roles!$B$17:$B$20,MATCH(J998,Roles!$A$17:$A$20,0)),1)</f>
        <v/>
      </c>
      <c r="L998" s="18" t="n">
        <v>1</v>
      </c>
      <c r="M998" s="18" t="n"/>
      <c r="N998" s="18" t="n"/>
      <c r="O998" s="18" t="n"/>
      <c r="P998" s="18" t="n"/>
      <c r="Q998" s="18" t="n"/>
      <c r="R998" s="18" t="n"/>
      <c r="S998" s="18" t="n"/>
      <c r="T998" s="18" t="n"/>
      <c r="U998" s="18" t="n"/>
      <c r="V998" s="18" t="n"/>
      <c r="W998" s="18" t="n"/>
      <c r="X998" s="18" t="n"/>
      <c r="Y998" s="13">
        <f>SUMPRODUCT(M998:X998,$M$2:$X$2)*$K998*$L998</f>
        <v/>
      </c>
      <c r="Z998" s="14">
        <f>SUM(M998:X998)</f>
        <v/>
      </c>
      <c r="AA998" s="13">
        <f>SUMPRODUCT(M998:X998,$M$3:$X$3)*$K998*$L998</f>
        <v/>
      </c>
      <c r="AB998" s="13">
        <f>SUMPRODUCT(M998:X998,$M$4:$X$4)*$K998*$L998</f>
        <v/>
      </c>
      <c r="AC998" s="15">
        <f>SUMPRODUCT(M998:X998,$M$5:$X$5)*$K998*$L998</f>
        <v/>
      </c>
      <c r="AD998" s="15">
        <f>SUMPRODUCT(M998:X998,$M$6:$X$6)*$K998*$L998</f>
        <v/>
      </c>
      <c r="AE998" s="19" t="n"/>
    </row>
    <row r="999">
      <c r="A999" s="9" t="n">
        <v>685005</v>
      </c>
      <c r="B999" s="9" t="inlineStr">
        <is>
          <t>Christian Roa</t>
        </is>
      </c>
      <c r="C999" s="9" t="inlineStr">
        <is>
          <t>HOU</t>
        </is>
      </c>
      <c r="D999" s="9" t="n">
        <v>28</v>
      </c>
      <c r="E999" s="17" t="inlineStr">
        <is>
          <t>R</t>
        </is>
      </c>
      <c r="F999" s="17" t="n"/>
      <c r="G999" s="9" t="n">
        <v>43</v>
      </c>
      <c r="H999" s="9" t="n">
        <v>55</v>
      </c>
      <c r="I999" s="9" t="inlineStr">
        <is>
          <t>Bullpen Depth Arm</t>
        </is>
      </c>
      <c r="J999" s="17" t="inlineStr">
        <is>
          <t>Opening Day</t>
        </is>
      </c>
      <c r="K999" s="11">
        <f>IFERROR(INDEX(Roles!$B$17:$B$20,MATCH(J999,Roles!$A$17:$A$20,0)),1)</f>
        <v/>
      </c>
      <c r="L999" s="18" t="n">
        <v>1</v>
      </c>
      <c r="M999" s="18" t="n"/>
      <c r="N999" s="18" t="n"/>
      <c r="O999" s="18" t="n"/>
      <c r="P999" s="18" t="n"/>
      <c r="Q999" s="18" t="n"/>
      <c r="R999" s="18" t="n"/>
      <c r="S999" s="18" t="n"/>
      <c r="T999" s="18" t="n"/>
      <c r="U999" s="18" t="n"/>
      <c r="V999" s="18" t="n"/>
      <c r="W999" s="18" t="n"/>
      <c r="X999" s="18" t="n"/>
      <c r="Y999" s="13">
        <f>SUMPRODUCT(M999:X999,$M$2:$X$2)*$K999*$L999</f>
        <v/>
      </c>
      <c r="Z999" s="14">
        <f>SUM(M999:X999)</f>
        <v/>
      </c>
      <c r="AA999" s="13">
        <f>SUMPRODUCT(M999:X999,$M$3:$X$3)*$K999*$L999</f>
        <v/>
      </c>
      <c r="AB999" s="13">
        <f>SUMPRODUCT(M999:X999,$M$4:$X$4)*$K999*$L999</f>
        <v/>
      </c>
      <c r="AC999" s="15">
        <f>SUMPRODUCT(M999:X999,$M$5:$X$5)*$K999*$L999</f>
        <v/>
      </c>
      <c r="AD999" s="15">
        <f>SUMPRODUCT(M999:X999,$M$6:$X$6)*$K999*$L999</f>
        <v/>
      </c>
      <c r="AE999" s="19" t="n"/>
    </row>
    <row r="1000">
      <c r="A1000" s="9" t="n">
        <v>605488</v>
      </c>
      <c r="B1000" s="9" t="inlineStr">
        <is>
          <t>Jeffrey Springs</t>
        </is>
      </c>
      <c r="C1000" s="9" t="inlineStr">
        <is>
          <t>OAK</t>
        </is>
      </c>
      <c r="D1000" s="9" t="n">
        <v>34</v>
      </c>
      <c r="E1000" s="17" t="inlineStr">
        <is>
          <t>L</t>
        </is>
      </c>
      <c r="F1000" s="17" t="n"/>
      <c r="G1000" s="9" t="n">
        <v>612</v>
      </c>
      <c r="H1000" s="9" t="n">
        <v>2071</v>
      </c>
      <c r="I1000" s="9" t="inlineStr">
        <is>
          <t>Mid-Rotation Starter (SP2-3)</t>
        </is>
      </c>
      <c r="J1000" s="17" t="inlineStr">
        <is>
          <t>Opening Day</t>
        </is>
      </c>
      <c r="K1000" s="11">
        <f>IFERROR(INDEX(Roles!$B$17:$B$20,MATCH(J1000,Roles!$A$17:$A$20,0)),1)</f>
        <v/>
      </c>
      <c r="L1000" s="18" t="n">
        <v>1</v>
      </c>
      <c r="M1000" s="18" t="n"/>
      <c r="N1000" s="18" t="n"/>
      <c r="O1000" s="18" t="n"/>
      <c r="P1000" s="18" t="n"/>
      <c r="Q1000" s="18" t="n"/>
      <c r="R1000" s="18" t="n"/>
      <c r="S1000" s="18" t="n"/>
      <c r="T1000" s="18" t="n"/>
      <c r="U1000" s="18" t="n"/>
      <c r="V1000" s="18" t="n"/>
      <c r="W1000" s="18" t="n"/>
      <c r="X1000" s="18" t="n"/>
      <c r="Y1000" s="13">
        <f>SUMPRODUCT(M1000:X1000,$M$2:$X$2)*$K1000*$L1000</f>
        <v/>
      </c>
      <c r="Z1000" s="14">
        <f>SUM(M1000:X1000)</f>
        <v/>
      </c>
      <c r="AA1000" s="13">
        <f>SUMPRODUCT(M1000:X1000,$M$3:$X$3)*$K1000*$L1000</f>
        <v/>
      </c>
      <c r="AB1000" s="13">
        <f>SUMPRODUCT(M1000:X1000,$M$4:$X$4)*$K1000*$L1000</f>
        <v/>
      </c>
      <c r="AC1000" s="15">
        <f>SUMPRODUCT(M1000:X1000,$M$5:$X$5)*$K1000*$L1000</f>
        <v/>
      </c>
      <c r="AD1000" s="15">
        <f>SUMPRODUCT(M1000:X1000,$M$6:$X$6)*$K1000*$L1000</f>
        <v/>
      </c>
      <c r="AE1000" s="19" t="n"/>
    </row>
    <row r="1001">
      <c r="A1001" s="9" t="n">
        <v>692030</v>
      </c>
      <c r="B1001" s="9" t="inlineStr">
        <is>
          <t>Jose Corniell</t>
        </is>
      </c>
      <c r="C1001" s="9" t="inlineStr">
        <is>
          <t>TEX</t>
        </is>
      </c>
      <c r="D1001" s="9" t="n">
        <v>24</v>
      </c>
      <c r="E1001" s="17" t="inlineStr">
        <is>
          <t>R</t>
        </is>
      </c>
      <c r="F1001" s="17" t="n"/>
      <c r="G1001" s="9" t="n">
        <v>28</v>
      </c>
      <c r="H1001" s="9" t="n">
        <v>37</v>
      </c>
      <c r="I1001" s="9" t="inlineStr">
        <is>
          <t>Bullpen Depth Arm</t>
        </is>
      </c>
      <c r="J1001" s="17" t="inlineStr">
        <is>
          <t>Opening Day</t>
        </is>
      </c>
      <c r="K1001" s="11">
        <f>IFERROR(INDEX(Roles!$B$17:$B$20,MATCH(J1001,Roles!$A$17:$A$20,0)),1)</f>
        <v/>
      </c>
      <c r="L1001" s="18" t="n">
        <v>1</v>
      </c>
      <c r="M1001" s="18" t="n"/>
      <c r="N1001" s="18" t="n"/>
      <c r="O1001" s="18" t="n"/>
      <c r="P1001" s="18" t="n"/>
      <c r="Q1001" s="18" t="n"/>
      <c r="R1001" s="18" t="n"/>
      <c r="S1001" s="18" t="n"/>
      <c r="T1001" s="18" t="n"/>
      <c r="U1001" s="18" t="n"/>
      <c r="V1001" s="18" t="n"/>
      <c r="W1001" s="18" t="n"/>
      <c r="X1001" s="18" t="n"/>
      <c r="Y1001" s="13">
        <f>SUMPRODUCT(M1001:X1001,$M$2:$X$2)*$K1001*$L1001</f>
        <v/>
      </c>
      <c r="Z1001" s="14">
        <f>SUM(M1001:X1001)</f>
        <v/>
      </c>
      <c r="AA1001" s="13">
        <f>SUMPRODUCT(M1001:X1001,$M$3:$X$3)*$K1001*$L1001</f>
        <v/>
      </c>
      <c r="AB1001" s="13">
        <f>SUMPRODUCT(M1001:X1001,$M$4:$X$4)*$K1001*$L1001</f>
        <v/>
      </c>
      <c r="AC1001" s="15">
        <f>SUMPRODUCT(M1001:X1001,$M$5:$X$5)*$K1001*$L1001</f>
        <v/>
      </c>
      <c r="AD1001" s="15">
        <f>SUMPRODUCT(M1001:X1001,$M$6:$X$6)*$K1001*$L1001</f>
        <v/>
      </c>
      <c r="AE1001" s="19" t="n"/>
    </row>
    <row r="1002">
      <c r="A1002" s="9" t="n">
        <v>675650</v>
      </c>
      <c r="B1002" s="9" t="inlineStr">
        <is>
          <t>Michael Mercado</t>
        </is>
      </c>
      <c r="C1002" s="9" t="inlineStr">
        <is>
          <t>PHI</t>
        </is>
      </c>
      <c r="D1002" s="9" t="n">
        <v>28</v>
      </c>
      <c r="E1002" s="17" t="inlineStr">
        <is>
          <t>R</t>
        </is>
      </c>
      <c r="F1002" s="17" t="n"/>
      <c r="G1002" s="9" t="n">
        <v>20</v>
      </c>
      <c r="H1002" s="9" t="n">
        <v>84</v>
      </c>
      <c r="I1002" s="9" t="inlineStr">
        <is>
          <t>Depth (no MLB IP)</t>
        </is>
      </c>
      <c r="J1002" s="17" t="inlineStr">
        <is>
          <t>Opening Day</t>
        </is>
      </c>
      <c r="K1002" s="11">
        <f>IFERROR(INDEX(Roles!$B$17:$B$20,MATCH(J1002,Roles!$A$17:$A$20,0)),1)</f>
        <v/>
      </c>
      <c r="L1002" s="18" t="n">
        <v>1</v>
      </c>
      <c r="M1002" s="18" t="n"/>
      <c r="N1002" s="18" t="n"/>
      <c r="O1002" s="18" t="n"/>
      <c r="P1002" s="18" t="n"/>
      <c r="Q1002" s="18" t="n"/>
      <c r="R1002" s="18" t="n"/>
      <c r="S1002" s="18" t="n"/>
      <c r="T1002" s="18" t="n"/>
      <c r="U1002" s="18" t="n"/>
      <c r="V1002" s="18" t="n"/>
      <c r="W1002" s="18" t="n"/>
      <c r="X1002" s="18" t="n"/>
      <c r="Y1002" s="13">
        <f>SUMPRODUCT(M1002:X1002,$M$2:$X$2)*$K1002*$L1002</f>
        <v/>
      </c>
      <c r="Z1002" s="14">
        <f>SUM(M1002:X1002)</f>
        <v/>
      </c>
      <c r="AA1002" s="13">
        <f>SUMPRODUCT(M1002:X1002,$M$3:$X$3)*$K1002*$L1002</f>
        <v/>
      </c>
      <c r="AB1002" s="13">
        <f>SUMPRODUCT(M1002:X1002,$M$4:$X$4)*$K1002*$L1002</f>
        <v/>
      </c>
      <c r="AC1002" s="15">
        <f>SUMPRODUCT(M1002:X1002,$M$5:$X$5)*$K1002*$L1002</f>
        <v/>
      </c>
      <c r="AD1002" s="15">
        <f>SUMPRODUCT(M1002:X1002,$M$6:$X$6)*$K1002*$L1002</f>
        <v/>
      </c>
      <c r="AE1002" s="19" t="n"/>
    </row>
    <row r="1003">
      <c r="A1003" s="9" t="n">
        <v>622694</v>
      </c>
      <c r="B1003" s="9" t="inlineStr">
        <is>
          <t>Elieser Hernández</t>
        </is>
      </c>
      <c r="C1003" s="9" t="inlineStr">
        <is>
          <t>ATL</t>
        </is>
      </c>
      <c r="D1003" s="9" t="n">
        <v>32</v>
      </c>
      <c r="E1003" s="17" t="inlineStr">
        <is>
          <t>R</t>
        </is>
      </c>
      <c r="F1003" s="17" t="n"/>
      <c r="G1003" s="9" t="n">
        <v>50</v>
      </c>
      <c r="H1003" s="9" t="n">
        <v>392</v>
      </c>
      <c r="I1003" s="9" t="inlineStr">
        <is>
          <t>Bullpen Depth Arm</t>
        </is>
      </c>
      <c r="J1003" s="17" t="inlineStr">
        <is>
          <t>Opening Day</t>
        </is>
      </c>
      <c r="K1003" s="11">
        <f>IFERROR(INDEX(Roles!$B$17:$B$20,MATCH(J1003,Roles!$A$17:$A$20,0)),1)</f>
        <v/>
      </c>
      <c r="L1003" s="18" t="n">
        <v>1</v>
      </c>
      <c r="M1003" s="18" t="n"/>
      <c r="N1003" s="18" t="n"/>
      <c r="O1003" s="18" t="n"/>
      <c r="P1003" s="18" t="n"/>
      <c r="Q1003" s="18" t="n"/>
      <c r="R1003" s="18" t="n"/>
      <c r="S1003" s="18" t="n"/>
      <c r="T1003" s="18" t="n"/>
      <c r="U1003" s="18" t="n"/>
      <c r="V1003" s="18" t="n"/>
      <c r="W1003" s="18" t="n"/>
      <c r="X1003" s="18" t="n"/>
      <c r="Y1003" s="13">
        <f>SUMPRODUCT(M1003:X1003,$M$2:$X$2)*$K1003*$L1003</f>
        <v/>
      </c>
      <c r="Z1003" s="14">
        <f>SUM(M1003:X1003)</f>
        <v/>
      </c>
      <c r="AA1003" s="13">
        <f>SUMPRODUCT(M1003:X1003,$M$3:$X$3)*$K1003*$L1003</f>
        <v/>
      </c>
      <c r="AB1003" s="13">
        <f>SUMPRODUCT(M1003:X1003,$M$4:$X$4)*$K1003*$L1003</f>
        <v/>
      </c>
      <c r="AC1003" s="15">
        <f>SUMPRODUCT(M1003:X1003,$M$5:$X$5)*$K1003*$L1003</f>
        <v/>
      </c>
      <c r="AD1003" s="15">
        <f>SUMPRODUCT(M1003:X1003,$M$6:$X$6)*$K1003*$L1003</f>
        <v/>
      </c>
      <c r="AE1003" s="19" t="n"/>
    </row>
    <row r="1004">
      <c r="A1004" s="9" t="n">
        <v>607216</v>
      </c>
      <c r="B1004" s="9" t="inlineStr">
        <is>
          <t>Joey Krehbiel</t>
        </is>
      </c>
      <c r="C1004" s="9" t="inlineStr">
        <is>
          <t>BAL</t>
        </is>
      </c>
      <c r="D1004" s="9" t="n">
        <v>34</v>
      </c>
      <c r="E1004" s="17" t="inlineStr">
        <is>
          <t>R</t>
        </is>
      </c>
      <c r="F1004" s="17" t="n"/>
      <c r="G1004" s="9" t="n">
        <v>19</v>
      </c>
      <c r="H1004" s="9" t="n">
        <v>263</v>
      </c>
      <c r="I1004" s="9" t="inlineStr">
        <is>
          <t>Depth (no MLB IP)</t>
        </is>
      </c>
      <c r="J1004" s="17" t="inlineStr">
        <is>
          <t>Opening Day</t>
        </is>
      </c>
      <c r="K1004" s="11">
        <f>IFERROR(INDEX(Roles!$B$17:$B$20,MATCH(J1004,Roles!$A$17:$A$20,0)),1)</f>
        <v/>
      </c>
      <c r="L1004" s="18" t="n">
        <v>1</v>
      </c>
      <c r="M1004" s="18" t="n"/>
      <c r="N1004" s="18" t="n"/>
      <c r="O1004" s="18" t="n"/>
      <c r="P1004" s="18" t="n"/>
      <c r="Q1004" s="18" t="n"/>
      <c r="R1004" s="18" t="n"/>
      <c r="S1004" s="18" t="n"/>
      <c r="T1004" s="18" t="n"/>
      <c r="U1004" s="18" t="n"/>
      <c r="V1004" s="18" t="n"/>
      <c r="W1004" s="18" t="n"/>
      <c r="X1004" s="18" t="n"/>
      <c r="Y1004" s="13">
        <f>SUMPRODUCT(M1004:X1004,$M$2:$X$2)*$K1004*$L1004</f>
        <v/>
      </c>
      <c r="Z1004" s="14">
        <f>SUM(M1004:X1004)</f>
        <v/>
      </c>
      <c r="AA1004" s="13">
        <f>SUMPRODUCT(M1004:X1004,$M$3:$X$3)*$K1004*$L1004</f>
        <v/>
      </c>
      <c r="AB1004" s="13">
        <f>SUMPRODUCT(M1004:X1004,$M$4:$X$4)*$K1004*$L1004</f>
        <v/>
      </c>
      <c r="AC1004" s="15">
        <f>SUMPRODUCT(M1004:X1004,$M$5:$X$5)*$K1004*$L1004</f>
        <v/>
      </c>
      <c r="AD1004" s="15">
        <f>SUMPRODUCT(M1004:X1004,$M$6:$X$6)*$K1004*$L1004</f>
        <v/>
      </c>
      <c r="AE1004" s="19" t="n"/>
    </row>
    <row r="1005">
      <c r="A1005" s="9" t="n">
        <v>687562</v>
      </c>
      <c r="B1005" s="9" t="inlineStr">
        <is>
          <t>Jake Bennett</t>
        </is>
      </c>
      <c r="C1005" s="9" t="inlineStr">
        <is>
          <t>BOS</t>
        </is>
      </c>
      <c r="D1005" s="9" t="n">
        <v>26</v>
      </c>
      <c r="E1005" s="17" t="inlineStr">
        <is>
          <t>L</t>
        </is>
      </c>
      <c r="F1005" s="17" t="n"/>
      <c r="G1005" s="9" t="n">
        <v>441</v>
      </c>
      <c r="H1005" s="9" t="n">
        <v>441</v>
      </c>
      <c r="I1005" s="9" t="inlineStr">
        <is>
          <t>Mid-Rotation Starter (SP2-3)</t>
        </is>
      </c>
      <c r="J1005" s="17" t="inlineStr">
        <is>
          <t>Opening Day</t>
        </is>
      </c>
      <c r="K1005" s="11">
        <f>IFERROR(INDEX(Roles!$B$17:$B$20,MATCH(J1005,Roles!$A$17:$A$20,0)),1)</f>
        <v/>
      </c>
      <c r="L1005" s="18" t="n">
        <v>1</v>
      </c>
      <c r="M1005" s="18" t="n"/>
      <c r="N1005" s="18" t="n"/>
      <c r="O1005" s="18" t="n"/>
      <c r="P1005" s="18" t="n"/>
      <c r="Q1005" s="18" t="n"/>
      <c r="R1005" s="18" t="n"/>
      <c r="S1005" s="18" t="n"/>
      <c r="T1005" s="18" t="n"/>
      <c r="U1005" s="18" t="n"/>
      <c r="V1005" s="18" t="n"/>
      <c r="W1005" s="18" t="n"/>
      <c r="X1005" s="18" t="n"/>
      <c r="Y1005" s="13">
        <f>SUMPRODUCT(M1005:X1005,$M$2:$X$2)*$K1005*$L1005</f>
        <v/>
      </c>
      <c r="Z1005" s="14">
        <f>SUM(M1005:X1005)</f>
        <v/>
      </c>
      <c r="AA1005" s="13">
        <f>SUMPRODUCT(M1005:X1005,$M$3:$X$3)*$K1005*$L1005</f>
        <v/>
      </c>
      <c r="AB1005" s="13">
        <f>SUMPRODUCT(M1005:X1005,$M$4:$X$4)*$K1005*$L1005</f>
        <v/>
      </c>
      <c r="AC1005" s="15">
        <f>SUMPRODUCT(M1005:X1005,$M$5:$X$5)*$K1005*$L1005</f>
        <v/>
      </c>
      <c r="AD1005" s="15">
        <f>SUMPRODUCT(M1005:X1005,$M$6:$X$6)*$K1005*$L1005</f>
        <v/>
      </c>
      <c r="AE1005" s="19" t="n"/>
    </row>
    <row r="1006">
      <c r="A1006" s="9" t="n">
        <v>650489</v>
      </c>
      <c r="B1006" s="9" t="inlineStr">
        <is>
          <t>Willi Castro</t>
        </is>
      </c>
      <c r="C1006" s="9" t="inlineStr"/>
      <c r="D1006" s="9" t="n">
        <v>30</v>
      </c>
      <c r="E1006" s="17" t="inlineStr">
        <is>
          <t>R</t>
        </is>
      </c>
      <c r="F1006" s="17" t="n"/>
      <c r="G1006" s="9" t="n">
        <v>4</v>
      </c>
      <c r="H1006" s="9" t="n">
        <v>19</v>
      </c>
      <c r="I1006" s="9" t="inlineStr">
        <is>
          <t>Depth (no MLB IP)</t>
        </is>
      </c>
      <c r="J1006" s="17" t="inlineStr">
        <is>
          <t>Opening Day</t>
        </is>
      </c>
      <c r="K1006" s="11">
        <f>IFERROR(INDEX(Roles!$B$17:$B$20,MATCH(J1006,Roles!$A$17:$A$20,0)),1)</f>
        <v/>
      </c>
      <c r="L1006" s="18" t="n">
        <v>1</v>
      </c>
      <c r="M1006" s="18" t="n"/>
      <c r="N1006" s="18" t="n"/>
      <c r="O1006" s="18" t="n"/>
      <c r="P1006" s="18" t="n"/>
      <c r="Q1006" s="18" t="n"/>
      <c r="R1006" s="18" t="n"/>
      <c r="S1006" s="18" t="n"/>
      <c r="T1006" s="18" t="n"/>
      <c r="U1006" s="18" t="n"/>
      <c r="V1006" s="18" t="n"/>
      <c r="W1006" s="18" t="n"/>
      <c r="X1006" s="18" t="n"/>
      <c r="Y1006" s="13">
        <f>SUMPRODUCT(M1006:X1006,$M$2:$X$2)*$K1006*$L1006</f>
        <v/>
      </c>
      <c r="Z1006" s="14">
        <f>SUM(M1006:X1006)</f>
        <v/>
      </c>
      <c r="AA1006" s="13">
        <f>SUMPRODUCT(M1006:X1006,$M$3:$X$3)*$K1006*$L1006</f>
        <v/>
      </c>
      <c r="AB1006" s="13">
        <f>SUMPRODUCT(M1006:X1006,$M$4:$X$4)*$K1006*$L1006</f>
        <v/>
      </c>
      <c r="AC1006" s="15">
        <f>SUMPRODUCT(M1006:X1006,$M$5:$X$5)*$K1006*$L1006</f>
        <v/>
      </c>
      <c r="AD1006" s="15">
        <f>SUMPRODUCT(M1006:X1006,$M$6:$X$6)*$K1006*$L1006</f>
        <v/>
      </c>
      <c r="AE1006" s="19" t="n"/>
    </row>
    <row r="1007">
      <c r="A1007" s="9" t="n">
        <v>687941</v>
      </c>
      <c r="B1007" s="9" t="inlineStr">
        <is>
          <t>Alec Gamboa</t>
        </is>
      </c>
      <c r="C1007" s="9" t="inlineStr">
        <is>
          <t>BOS</t>
        </is>
      </c>
      <c r="D1007" s="9" t="n">
        <v>30</v>
      </c>
      <c r="E1007" s="17" t="inlineStr">
        <is>
          <t>L</t>
        </is>
      </c>
      <c r="F1007" s="17" t="n"/>
      <c r="G1007" s="9" t="n">
        <v>113</v>
      </c>
      <c r="H1007" s="9" t="n">
        <v>113</v>
      </c>
      <c r="I1007" s="9" t="inlineStr">
        <is>
          <t>Bullpen Depth Arm</t>
        </is>
      </c>
      <c r="J1007" s="17" t="inlineStr">
        <is>
          <t>Opening Day</t>
        </is>
      </c>
      <c r="K1007" s="11">
        <f>IFERROR(INDEX(Roles!$B$17:$B$20,MATCH(J1007,Roles!$A$17:$A$20,0)),1)</f>
        <v/>
      </c>
      <c r="L1007" s="18" t="n">
        <v>1</v>
      </c>
      <c r="M1007" s="18" t="n"/>
      <c r="N1007" s="18" t="n"/>
      <c r="O1007" s="18" t="n"/>
      <c r="P1007" s="18" t="n"/>
      <c r="Q1007" s="18" t="n"/>
      <c r="R1007" s="18" t="n"/>
      <c r="S1007" s="18" t="n"/>
      <c r="T1007" s="18" t="n"/>
      <c r="U1007" s="18" t="n"/>
      <c r="V1007" s="18" t="n"/>
      <c r="W1007" s="18" t="n"/>
      <c r="X1007" s="18" t="n"/>
      <c r="Y1007" s="13">
        <f>SUMPRODUCT(M1007:X1007,$M$2:$X$2)*$K1007*$L1007</f>
        <v/>
      </c>
      <c r="Z1007" s="14">
        <f>SUM(M1007:X1007)</f>
        <v/>
      </c>
      <c r="AA1007" s="13">
        <f>SUMPRODUCT(M1007:X1007,$M$3:$X$3)*$K1007*$L1007</f>
        <v/>
      </c>
      <c r="AB1007" s="13">
        <f>SUMPRODUCT(M1007:X1007,$M$4:$X$4)*$K1007*$L1007</f>
        <v/>
      </c>
      <c r="AC1007" s="15">
        <f>SUMPRODUCT(M1007:X1007,$M$5:$X$5)*$K1007*$L1007</f>
        <v/>
      </c>
      <c r="AD1007" s="15">
        <f>SUMPRODUCT(M1007:X1007,$M$6:$X$6)*$K1007*$L1007</f>
        <v/>
      </c>
      <c r="AE1007" s="19" t="n"/>
    </row>
    <row r="1008">
      <c r="A1008" s="9" t="n">
        <v>622663</v>
      </c>
      <c r="B1008" s="9" t="inlineStr">
        <is>
          <t>Luis Severino</t>
        </is>
      </c>
      <c r="C1008" s="9" t="inlineStr">
        <is>
          <t>OAK</t>
        </is>
      </c>
      <c r="D1008" s="9" t="n">
        <v>33</v>
      </c>
      <c r="E1008" s="17" t="inlineStr">
        <is>
          <t>R</t>
        </is>
      </c>
      <c r="F1008" s="17" t="n"/>
      <c r="G1008" s="9" t="n">
        <v>271</v>
      </c>
      <c r="H1008" s="9" t="n">
        <v>2559</v>
      </c>
      <c r="I1008" s="9" t="inlineStr">
        <is>
          <t>Mid-Rotation Starter (SP2-3)</t>
        </is>
      </c>
      <c r="J1008" s="17" t="inlineStr">
        <is>
          <t>Opening Day</t>
        </is>
      </c>
      <c r="K1008" s="11">
        <f>IFERROR(INDEX(Roles!$B$17:$B$20,MATCH(J1008,Roles!$A$17:$A$20,0)),1)</f>
        <v/>
      </c>
      <c r="L1008" s="18" t="n">
        <v>1</v>
      </c>
      <c r="M1008" s="18" t="n"/>
      <c r="N1008" s="18" t="n"/>
      <c r="O1008" s="18" t="n"/>
      <c r="P1008" s="18" t="n"/>
      <c r="Q1008" s="18" t="n"/>
      <c r="R1008" s="18" t="n"/>
      <c r="S1008" s="18" t="n"/>
      <c r="T1008" s="18" t="n"/>
      <c r="U1008" s="18" t="n"/>
      <c r="V1008" s="18" t="n"/>
      <c r="W1008" s="18" t="n"/>
      <c r="X1008" s="18" t="n"/>
      <c r="Y1008" s="13">
        <f>SUMPRODUCT(M1008:X1008,$M$2:$X$2)*$K1008*$L1008</f>
        <v/>
      </c>
      <c r="Z1008" s="14">
        <f>SUM(M1008:X1008)</f>
        <v/>
      </c>
      <c r="AA1008" s="13">
        <f>SUMPRODUCT(M1008:X1008,$M$3:$X$3)*$K1008*$L1008</f>
        <v/>
      </c>
      <c r="AB1008" s="13">
        <f>SUMPRODUCT(M1008:X1008,$M$4:$X$4)*$K1008*$L1008</f>
        <v/>
      </c>
      <c r="AC1008" s="15">
        <f>SUMPRODUCT(M1008:X1008,$M$5:$X$5)*$K1008*$L1008</f>
        <v/>
      </c>
      <c r="AD1008" s="15">
        <f>SUMPRODUCT(M1008:X1008,$M$6:$X$6)*$K1008*$L1008</f>
        <v/>
      </c>
      <c r="AE1008" s="19" t="n"/>
    </row>
    <row r="1009">
      <c r="A1009" s="9" t="n">
        <v>665152</v>
      </c>
      <c r="B1009" s="9" t="inlineStr">
        <is>
          <t>Dean Kremer</t>
        </is>
      </c>
      <c r="C1009" s="9" t="inlineStr">
        <is>
          <t>MIN</t>
        </is>
      </c>
      <c r="D1009" s="9" t="n">
        <v>31</v>
      </c>
      <c r="E1009" s="17" t="inlineStr">
        <is>
          <t>R</t>
        </is>
      </c>
      <c r="F1009" s="17" t="n"/>
      <c r="G1009" s="9" t="n">
        <v>319</v>
      </c>
      <c r="H1009" s="9" t="n">
        <v>2827</v>
      </c>
      <c r="I1009" s="9" t="inlineStr">
        <is>
          <t>Mid-Rotation Starter (SP2-3)</t>
        </is>
      </c>
      <c r="J1009" s="17" t="inlineStr">
        <is>
          <t>Opening Day</t>
        </is>
      </c>
      <c r="K1009" s="11">
        <f>IFERROR(INDEX(Roles!$B$17:$B$20,MATCH(J1009,Roles!$A$17:$A$20,0)),1)</f>
        <v/>
      </c>
      <c r="L1009" s="18" t="n">
        <v>1</v>
      </c>
      <c r="M1009" s="18" t="n"/>
      <c r="N1009" s="18" t="n"/>
      <c r="O1009" s="18" t="n"/>
      <c r="P1009" s="18" t="n"/>
      <c r="Q1009" s="18" t="n"/>
      <c r="R1009" s="18" t="n"/>
      <c r="S1009" s="18" t="n"/>
      <c r="T1009" s="18" t="n"/>
      <c r="U1009" s="18" t="n"/>
      <c r="V1009" s="18" t="n"/>
      <c r="W1009" s="18" t="n"/>
      <c r="X1009" s="18" t="n"/>
      <c r="Y1009" s="13">
        <f>SUMPRODUCT(M1009:X1009,$M$2:$X$2)*$K1009*$L1009</f>
        <v/>
      </c>
      <c r="Z1009" s="14">
        <f>SUM(M1009:X1009)</f>
        <v/>
      </c>
      <c r="AA1009" s="13">
        <f>SUMPRODUCT(M1009:X1009,$M$3:$X$3)*$K1009*$L1009</f>
        <v/>
      </c>
      <c r="AB1009" s="13">
        <f>SUMPRODUCT(M1009:X1009,$M$4:$X$4)*$K1009*$L1009</f>
        <v/>
      </c>
      <c r="AC1009" s="15">
        <f>SUMPRODUCT(M1009:X1009,$M$5:$X$5)*$K1009*$L1009</f>
        <v/>
      </c>
      <c r="AD1009" s="15">
        <f>SUMPRODUCT(M1009:X1009,$M$6:$X$6)*$K1009*$L1009</f>
        <v/>
      </c>
      <c r="AE1009" s="19" t="n"/>
    </row>
    <row r="1010">
      <c r="A1010" s="9" t="n">
        <v>676614</v>
      </c>
      <c r="B1010" s="9" t="inlineStr">
        <is>
          <t>Bryan Sammons</t>
        </is>
      </c>
      <c r="C1010" s="9" t="inlineStr">
        <is>
          <t>DET</t>
        </is>
      </c>
      <c r="D1010" s="9" t="n">
        <v>32</v>
      </c>
      <c r="E1010" s="17" t="inlineStr">
        <is>
          <t>L</t>
        </is>
      </c>
      <c r="F1010" s="17" t="n"/>
      <c r="G1010" s="9" t="n">
        <v>104</v>
      </c>
      <c r="H1010" s="9" t="n">
        <v>104</v>
      </c>
      <c r="I1010" s="9" t="inlineStr">
        <is>
          <t>Depth (no MLB IP)</t>
        </is>
      </c>
      <c r="J1010" s="17" t="inlineStr">
        <is>
          <t>Opening Day</t>
        </is>
      </c>
      <c r="K1010" s="11">
        <f>IFERROR(INDEX(Roles!$B$17:$B$20,MATCH(J1010,Roles!$A$17:$A$20,0)),1)</f>
        <v/>
      </c>
      <c r="L1010" s="18" t="n">
        <v>1</v>
      </c>
      <c r="M1010" s="18" t="n"/>
      <c r="N1010" s="18" t="n"/>
      <c r="O1010" s="18" t="n"/>
      <c r="P1010" s="18" t="n"/>
      <c r="Q1010" s="18" t="n"/>
      <c r="R1010" s="18" t="n"/>
      <c r="S1010" s="18" t="n"/>
      <c r="T1010" s="18" t="n"/>
      <c r="U1010" s="18" t="n"/>
      <c r="V1010" s="18" t="n"/>
      <c r="W1010" s="18" t="n"/>
      <c r="X1010" s="18" t="n"/>
      <c r="Y1010" s="13">
        <f>SUMPRODUCT(M1010:X1010,$M$2:$X$2)*$K1010*$L1010</f>
        <v/>
      </c>
      <c r="Z1010" s="14">
        <f>SUM(M1010:X1010)</f>
        <v/>
      </c>
      <c r="AA1010" s="13">
        <f>SUMPRODUCT(M1010:X1010,$M$3:$X$3)*$K1010*$L1010</f>
        <v/>
      </c>
      <c r="AB1010" s="13">
        <f>SUMPRODUCT(M1010:X1010,$M$4:$X$4)*$K1010*$L1010</f>
        <v/>
      </c>
      <c r="AC1010" s="15">
        <f>SUMPRODUCT(M1010:X1010,$M$5:$X$5)*$K1010*$L1010</f>
        <v/>
      </c>
      <c r="AD1010" s="15">
        <f>SUMPRODUCT(M1010:X1010,$M$6:$X$6)*$K1010*$L1010</f>
        <v/>
      </c>
      <c r="AE1010" s="19" t="n"/>
    </row>
    <row r="1011">
      <c r="A1011" s="9" t="n">
        <v>622103</v>
      </c>
      <c r="B1011" s="9" t="inlineStr">
        <is>
          <t>Gerardo Reyes</t>
        </is>
      </c>
      <c r="C1011" s="9" t="inlineStr">
        <is>
          <t>LAA</t>
        </is>
      </c>
      <c r="D1011" s="9" t="n">
        <v>34</v>
      </c>
      <c r="E1011" s="17" t="inlineStr">
        <is>
          <t>R</t>
        </is>
      </c>
      <c r="F1011" s="17" t="n"/>
      <c r="G1011" s="9" t="n">
        <v>18</v>
      </c>
      <c r="H1011" s="9" t="n">
        <v>79</v>
      </c>
      <c r="I1011" s="9" t="inlineStr">
        <is>
          <t>Depth (no MLB IP)</t>
        </is>
      </c>
      <c r="J1011" s="17" t="inlineStr">
        <is>
          <t>Opening Day</t>
        </is>
      </c>
      <c r="K1011" s="11">
        <f>IFERROR(INDEX(Roles!$B$17:$B$20,MATCH(J1011,Roles!$A$17:$A$20,0)),1)</f>
        <v/>
      </c>
      <c r="L1011" s="18" t="n">
        <v>1</v>
      </c>
      <c r="M1011" s="18" t="n"/>
      <c r="N1011" s="18" t="n"/>
      <c r="O1011" s="18" t="n"/>
      <c r="P1011" s="18" t="n"/>
      <c r="Q1011" s="18" t="n"/>
      <c r="R1011" s="18" t="n"/>
      <c r="S1011" s="18" t="n"/>
      <c r="T1011" s="18" t="n"/>
      <c r="U1011" s="18" t="n"/>
      <c r="V1011" s="18" t="n"/>
      <c r="W1011" s="18" t="n"/>
      <c r="X1011" s="18" t="n"/>
      <c r="Y1011" s="13">
        <f>SUMPRODUCT(M1011:X1011,$M$2:$X$2)*$K1011*$L1011</f>
        <v/>
      </c>
      <c r="Z1011" s="14">
        <f>SUM(M1011:X1011)</f>
        <v/>
      </c>
      <c r="AA1011" s="13">
        <f>SUMPRODUCT(M1011:X1011,$M$3:$X$3)*$K1011*$L1011</f>
        <v/>
      </c>
      <c r="AB1011" s="13">
        <f>SUMPRODUCT(M1011:X1011,$M$4:$X$4)*$K1011*$L1011</f>
        <v/>
      </c>
      <c r="AC1011" s="15">
        <f>SUMPRODUCT(M1011:X1011,$M$5:$X$5)*$K1011*$L1011</f>
        <v/>
      </c>
      <c r="AD1011" s="15">
        <f>SUMPRODUCT(M1011:X1011,$M$6:$X$6)*$K1011*$L1011</f>
        <v/>
      </c>
      <c r="AE1011" s="19" t="n"/>
    </row>
    <row r="1012">
      <c r="A1012" s="9" t="n">
        <v>641645</v>
      </c>
      <c r="B1012" s="9" t="inlineStr">
        <is>
          <t>Luis Guillorme</t>
        </is>
      </c>
      <c r="C1012" s="9" t="inlineStr"/>
      <c r="D1012" s="9" t="n">
        <v>32</v>
      </c>
      <c r="E1012" s="17" t="inlineStr">
        <is>
          <t>R</t>
        </is>
      </c>
      <c r="F1012" s="17" t="n"/>
      <c r="G1012" s="9" t="n">
        <v>15</v>
      </c>
      <c r="H1012" s="9" t="n">
        <v>19</v>
      </c>
      <c r="I1012" s="9" t="inlineStr">
        <is>
          <t>Depth (no MLB IP)</t>
        </is>
      </c>
      <c r="J1012" s="17" t="inlineStr">
        <is>
          <t>Opening Day</t>
        </is>
      </c>
      <c r="K1012" s="11">
        <f>IFERROR(INDEX(Roles!$B$17:$B$20,MATCH(J1012,Roles!$A$17:$A$20,0)),1)</f>
        <v/>
      </c>
      <c r="L1012" s="18" t="n">
        <v>1</v>
      </c>
      <c r="M1012" s="18" t="n"/>
      <c r="N1012" s="18" t="n"/>
      <c r="O1012" s="18" t="n"/>
      <c r="P1012" s="18" t="n"/>
      <c r="Q1012" s="18" t="n"/>
      <c r="R1012" s="18" t="n"/>
      <c r="S1012" s="18" t="n"/>
      <c r="T1012" s="18" t="n"/>
      <c r="U1012" s="18" t="n"/>
      <c r="V1012" s="18" t="n"/>
      <c r="W1012" s="18" t="n"/>
      <c r="X1012" s="18" t="n"/>
      <c r="Y1012" s="13">
        <f>SUMPRODUCT(M1012:X1012,$M$2:$X$2)*$K1012*$L1012</f>
        <v/>
      </c>
      <c r="Z1012" s="14">
        <f>SUM(M1012:X1012)</f>
        <v/>
      </c>
      <c r="AA1012" s="13">
        <f>SUMPRODUCT(M1012:X1012,$M$3:$X$3)*$K1012*$L1012</f>
        <v/>
      </c>
      <c r="AB1012" s="13">
        <f>SUMPRODUCT(M1012:X1012,$M$4:$X$4)*$K1012*$L1012</f>
        <v/>
      </c>
      <c r="AC1012" s="15">
        <f>SUMPRODUCT(M1012:X1012,$M$5:$X$5)*$K1012*$L1012</f>
        <v/>
      </c>
      <c r="AD1012" s="15">
        <f>SUMPRODUCT(M1012:X1012,$M$6:$X$6)*$K1012*$L1012</f>
        <v/>
      </c>
      <c r="AE1012" s="19" t="n"/>
    </row>
    <row r="1013">
      <c r="A1013" s="9" t="n">
        <v>672552</v>
      </c>
      <c r="B1013" s="9" t="inlineStr">
        <is>
          <t>Jack O'Loughlin</t>
        </is>
      </c>
      <c r="C1013" s="9" t="inlineStr">
        <is>
          <t>OAK</t>
        </is>
      </c>
      <c r="D1013" s="9" t="n">
        <v>27</v>
      </c>
      <c r="E1013" s="17" t="inlineStr">
        <is>
          <t>L</t>
        </is>
      </c>
      <c r="F1013" s="17" t="n"/>
      <c r="G1013" s="9" t="n">
        <v>47</v>
      </c>
      <c r="H1013" s="9" t="n">
        <v>47</v>
      </c>
      <c r="I1013" s="9" t="inlineStr">
        <is>
          <t>Depth (no MLB IP)</t>
        </is>
      </c>
      <c r="J1013" s="17" t="inlineStr">
        <is>
          <t>Opening Day</t>
        </is>
      </c>
      <c r="K1013" s="11">
        <f>IFERROR(INDEX(Roles!$B$17:$B$20,MATCH(J1013,Roles!$A$17:$A$20,0)),1)</f>
        <v/>
      </c>
      <c r="L1013" s="18" t="n">
        <v>1</v>
      </c>
      <c r="M1013" s="18" t="n"/>
      <c r="N1013" s="18" t="n"/>
      <c r="O1013" s="18" t="n"/>
      <c r="P1013" s="18" t="n"/>
      <c r="Q1013" s="18" t="n"/>
      <c r="R1013" s="18" t="n"/>
      <c r="S1013" s="18" t="n"/>
      <c r="T1013" s="18" t="n"/>
      <c r="U1013" s="18" t="n"/>
      <c r="V1013" s="18" t="n"/>
      <c r="W1013" s="18" t="n"/>
      <c r="X1013" s="18" t="n"/>
      <c r="Y1013" s="13">
        <f>SUMPRODUCT(M1013:X1013,$M$2:$X$2)*$K1013*$L1013</f>
        <v/>
      </c>
      <c r="Z1013" s="14">
        <f>SUM(M1013:X1013)</f>
        <v/>
      </c>
      <c r="AA1013" s="13">
        <f>SUMPRODUCT(M1013:X1013,$M$3:$X$3)*$K1013*$L1013</f>
        <v/>
      </c>
      <c r="AB1013" s="13">
        <f>SUMPRODUCT(M1013:X1013,$M$4:$X$4)*$K1013*$L1013</f>
        <v/>
      </c>
      <c r="AC1013" s="15">
        <f>SUMPRODUCT(M1013:X1013,$M$5:$X$5)*$K1013*$L1013</f>
        <v/>
      </c>
      <c r="AD1013" s="15">
        <f>SUMPRODUCT(M1013:X1013,$M$6:$X$6)*$K1013*$L1013</f>
        <v/>
      </c>
      <c r="AE1013" s="19" t="n"/>
    </row>
    <row r="1014">
      <c r="A1014" s="9" t="n">
        <v>621433</v>
      </c>
      <c r="B1014" s="9" t="inlineStr">
        <is>
          <t>Brett Phillips</t>
        </is>
      </c>
      <c r="C1014" s="9" t="inlineStr"/>
      <c r="D1014" s="9" t="n">
        <v>33</v>
      </c>
      <c r="E1014" s="17" t="inlineStr">
        <is>
          <t>R</t>
        </is>
      </c>
      <c r="F1014" s="17" t="n"/>
      <c r="G1014" s="9" t="n">
        <v>3</v>
      </c>
      <c r="H1014" s="9" t="n">
        <v>25</v>
      </c>
      <c r="I1014" s="9" t="inlineStr">
        <is>
          <t>Depth (no MLB IP)</t>
        </is>
      </c>
      <c r="J1014" s="17" t="inlineStr">
        <is>
          <t>Opening Day</t>
        </is>
      </c>
      <c r="K1014" s="11">
        <f>IFERROR(INDEX(Roles!$B$17:$B$20,MATCH(J1014,Roles!$A$17:$A$20,0)),1)</f>
        <v/>
      </c>
      <c r="L1014" s="18" t="n">
        <v>1</v>
      </c>
      <c r="M1014" s="18" t="n"/>
      <c r="N1014" s="18" t="n"/>
      <c r="O1014" s="18" t="n"/>
      <c r="P1014" s="18" t="n"/>
      <c r="Q1014" s="18" t="n"/>
      <c r="R1014" s="18" t="n"/>
      <c r="S1014" s="18" t="n"/>
      <c r="T1014" s="18" t="n"/>
      <c r="U1014" s="18" t="n"/>
      <c r="V1014" s="18" t="n"/>
      <c r="W1014" s="18" t="n"/>
      <c r="X1014" s="18" t="n"/>
      <c r="Y1014" s="13">
        <f>SUMPRODUCT(M1014:X1014,$M$2:$X$2)*$K1014*$L1014</f>
        <v/>
      </c>
      <c r="Z1014" s="14">
        <f>SUM(M1014:X1014)</f>
        <v/>
      </c>
      <c r="AA1014" s="13">
        <f>SUMPRODUCT(M1014:X1014,$M$3:$X$3)*$K1014*$L1014</f>
        <v/>
      </c>
      <c r="AB1014" s="13">
        <f>SUMPRODUCT(M1014:X1014,$M$4:$X$4)*$K1014*$L1014</f>
        <v/>
      </c>
      <c r="AC1014" s="15">
        <f>SUMPRODUCT(M1014:X1014,$M$5:$X$5)*$K1014*$L1014</f>
        <v/>
      </c>
      <c r="AD1014" s="15">
        <f>SUMPRODUCT(M1014:X1014,$M$6:$X$6)*$K1014*$L1014</f>
        <v/>
      </c>
      <c r="AE1014" s="19" t="n"/>
    </row>
    <row r="1015">
      <c r="A1015" s="9" t="n">
        <v>670103</v>
      </c>
      <c r="B1015" s="9" t="inlineStr">
        <is>
          <t>Raymond Burgos</t>
        </is>
      </c>
      <c r="C1015" s="9" t="inlineStr">
        <is>
          <t>BOS</t>
        </is>
      </c>
      <c r="D1015" s="9" t="n">
        <v>28</v>
      </c>
      <c r="E1015" s="17" t="inlineStr">
        <is>
          <t>L</t>
        </is>
      </c>
      <c r="F1015" s="17" t="n"/>
      <c r="G1015" s="9" t="n">
        <v>69</v>
      </c>
      <c r="H1015" s="9" t="n">
        <v>76</v>
      </c>
      <c r="I1015" s="9" t="inlineStr">
        <is>
          <t>Bullpen Depth Arm</t>
        </is>
      </c>
      <c r="J1015" s="17" t="inlineStr">
        <is>
          <t>Opening Day</t>
        </is>
      </c>
      <c r="K1015" s="11">
        <f>IFERROR(INDEX(Roles!$B$17:$B$20,MATCH(J1015,Roles!$A$17:$A$20,0)),1)</f>
        <v/>
      </c>
      <c r="L1015" s="18" t="n">
        <v>1</v>
      </c>
      <c r="M1015" s="18" t="n"/>
      <c r="N1015" s="18" t="n"/>
      <c r="O1015" s="18" t="n"/>
      <c r="P1015" s="18" t="n"/>
      <c r="Q1015" s="18" t="n"/>
      <c r="R1015" s="18" t="n"/>
      <c r="S1015" s="18" t="n"/>
      <c r="T1015" s="18" t="n"/>
      <c r="U1015" s="18" t="n"/>
      <c r="V1015" s="18" t="n"/>
      <c r="W1015" s="18" t="n"/>
      <c r="X1015" s="18" t="n"/>
      <c r="Y1015" s="13">
        <f>SUMPRODUCT(M1015:X1015,$M$2:$X$2)*$K1015*$L1015</f>
        <v/>
      </c>
      <c r="Z1015" s="14">
        <f>SUM(M1015:X1015)</f>
        <v/>
      </c>
      <c r="AA1015" s="13">
        <f>SUMPRODUCT(M1015:X1015,$M$3:$X$3)*$K1015*$L1015</f>
        <v/>
      </c>
      <c r="AB1015" s="13">
        <f>SUMPRODUCT(M1015:X1015,$M$4:$X$4)*$K1015*$L1015</f>
        <v/>
      </c>
      <c r="AC1015" s="15">
        <f>SUMPRODUCT(M1015:X1015,$M$5:$X$5)*$K1015*$L1015</f>
        <v/>
      </c>
      <c r="AD1015" s="15">
        <f>SUMPRODUCT(M1015:X1015,$M$6:$X$6)*$K1015*$L1015</f>
        <v/>
      </c>
      <c r="AE1015" s="19" t="n"/>
    </row>
    <row r="1016">
      <c r="A1016" s="9" t="n">
        <v>657272</v>
      </c>
      <c r="B1016" s="9" t="inlineStr">
        <is>
          <t>Erich Uelmen</t>
        </is>
      </c>
      <c r="C1016" s="9" t="inlineStr">
        <is>
          <t>CHC</t>
        </is>
      </c>
      <c r="D1016" s="9" t="n">
        <v>31</v>
      </c>
      <c r="E1016" s="17" t="inlineStr">
        <is>
          <t>R</t>
        </is>
      </c>
      <c r="F1016" s="17" t="n"/>
      <c r="G1016" s="9" t="n">
        <v>8</v>
      </c>
      <c r="H1016" s="9" t="n">
        <v>130</v>
      </c>
      <c r="I1016" s="9" t="inlineStr">
        <is>
          <t>Depth (no MLB IP)</t>
        </is>
      </c>
      <c r="J1016" s="17" t="inlineStr">
        <is>
          <t>Opening Day</t>
        </is>
      </c>
      <c r="K1016" s="11">
        <f>IFERROR(INDEX(Roles!$B$17:$B$20,MATCH(J1016,Roles!$A$17:$A$20,0)),1)</f>
        <v/>
      </c>
      <c r="L1016" s="18" t="n">
        <v>1</v>
      </c>
      <c r="M1016" s="18" t="n"/>
      <c r="N1016" s="18" t="n"/>
      <c r="O1016" s="18" t="n"/>
      <c r="P1016" s="18" t="n"/>
      <c r="Q1016" s="18" t="n"/>
      <c r="R1016" s="18" t="n"/>
      <c r="S1016" s="18" t="n"/>
      <c r="T1016" s="18" t="n"/>
      <c r="U1016" s="18" t="n"/>
      <c r="V1016" s="18" t="n"/>
      <c r="W1016" s="18" t="n"/>
      <c r="X1016" s="18" t="n"/>
      <c r="Y1016" s="13">
        <f>SUMPRODUCT(M1016:X1016,$M$2:$X$2)*$K1016*$L1016</f>
        <v/>
      </c>
      <c r="Z1016" s="14">
        <f>SUM(M1016:X1016)</f>
        <v/>
      </c>
      <c r="AA1016" s="13">
        <f>SUMPRODUCT(M1016:X1016,$M$3:$X$3)*$K1016*$L1016</f>
        <v/>
      </c>
      <c r="AB1016" s="13">
        <f>SUMPRODUCT(M1016:X1016,$M$4:$X$4)*$K1016*$L1016</f>
        <v/>
      </c>
      <c r="AC1016" s="15">
        <f>SUMPRODUCT(M1016:X1016,$M$5:$X$5)*$K1016*$L1016</f>
        <v/>
      </c>
      <c r="AD1016" s="15">
        <f>SUMPRODUCT(M1016:X1016,$M$6:$X$6)*$K1016*$L1016</f>
        <v/>
      </c>
      <c r="AE1016" s="19" t="n"/>
    </row>
    <row r="1017">
      <c r="A1017" s="9" t="n">
        <v>607457</v>
      </c>
      <c r="B1017" s="9" t="inlineStr">
        <is>
          <t>Kyle Barraclough</t>
        </is>
      </c>
      <c r="C1017" s="9" t="inlineStr">
        <is>
          <t>BOS</t>
        </is>
      </c>
      <c r="D1017" s="9" t="n">
        <v>37</v>
      </c>
      <c r="E1017" s="17" t="inlineStr">
        <is>
          <t>R</t>
        </is>
      </c>
      <c r="F1017" s="17" t="n"/>
      <c r="G1017" s="9" t="n">
        <v>46</v>
      </c>
      <c r="H1017" s="9" t="n">
        <v>83</v>
      </c>
      <c r="I1017" s="9" t="inlineStr">
        <is>
          <t>Depth (no MLB IP)</t>
        </is>
      </c>
      <c r="J1017" s="17" t="inlineStr">
        <is>
          <t>Opening Day</t>
        </is>
      </c>
      <c r="K1017" s="11">
        <f>IFERROR(INDEX(Roles!$B$17:$B$20,MATCH(J1017,Roles!$A$17:$A$20,0)),1)</f>
        <v/>
      </c>
      <c r="L1017" s="18" t="n">
        <v>1</v>
      </c>
      <c r="M1017" s="18" t="n"/>
      <c r="N1017" s="18" t="n"/>
      <c r="O1017" s="18" t="n"/>
      <c r="P1017" s="18" t="n"/>
      <c r="Q1017" s="18" t="n"/>
      <c r="R1017" s="18" t="n"/>
      <c r="S1017" s="18" t="n"/>
      <c r="T1017" s="18" t="n"/>
      <c r="U1017" s="18" t="n"/>
      <c r="V1017" s="18" t="n"/>
      <c r="W1017" s="18" t="n"/>
      <c r="X1017" s="18" t="n"/>
      <c r="Y1017" s="13">
        <f>SUMPRODUCT(M1017:X1017,$M$2:$X$2)*$K1017*$L1017</f>
        <v/>
      </c>
      <c r="Z1017" s="14">
        <f>SUM(M1017:X1017)</f>
        <v/>
      </c>
      <c r="AA1017" s="13">
        <f>SUMPRODUCT(M1017:X1017,$M$3:$X$3)*$K1017*$L1017</f>
        <v/>
      </c>
      <c r="AB1017" s="13">
        <f>SUMPRODUCT(M1017:X1017,$M$4:$X$4)*$K1017*$L1017</f>
        <v/>
      </c>
      <c r="AC1017" s="15">
        <f>SUMPRODUCT(M1017:X1017,$M$5:$X$5)*$K1017*$L1017</f>
        <v/>
      </c>
      <c r="AD1017" s="15">
        <f>SUMPRODUCT(M1017:X1017,$M$6:$X$6)*$K1017*$L1017</f>
        <v/>
      </c>
      <c r="AE1017" s="19" t="n"/>
    </row>
    <row r="1018">
      <c r="A1018" s="9" t="n">
        <v>666720</v>
      </c>
      <c r="B1018" s="9" t="inlineStr">
        <is>
          <t>Yerry Rodríguez</t>
        </is>
      </c>
      <c r="C1018" s="9" t="inlineStr">
        <is>
          <t>TOR</t>
        </is>
      </c>
      <c r="D1018" s="9" t="n">
        <v>29</v>
      </c>
      <c r="E1018" s="17" t="inlineStr">
        <is>
          <t>R</t>
        </is>
      </c>
      <c r="F1018" s="17" t="n"/>
      <c r="G1018" s="9" t="n">
        <v>105</v>
      </c>
      <c r="H1018" s="9" t="n">
        <v>175</v>
      </c>
      <c r="I1018" s="9" t="inlineStr">
        <is>
          <t>Depth (no MLB IP)</t>
        </is>
      </c>
      <c r="J1018" s="17" t="inlineStr">
        <is>
          <t>Opening Day</t>
        </is>
      </c>
      <c r="K1018" s="11">
        <f>IFERROR(INDEX(Roles!$B$17:$B$20,MATCH(J1018,Roles!$A$17:$A$20,0)),1)</f>
        <v/>
      </c>
      <c r="L1018" s="18" t="n">
        <v>1</v>
      </c>
      <c r="M1018" s="18" t="n"/>
      <c r="N1018" s="18" t="n"/>
      <c r="O1018" s="18" t="n"/>
      <c r="P1018" s="18" t="n"/>
      <c r="Q1018" s="18" t="n"/>
      <c r="R1018" s="18" t="n"/>
      <c r="S1018" s="18" t="n"/>
      <c r="T1018" s="18" t="n"/>
      <c r="U1018" s="18" t="n"/>
      <c r="V1018" s="18" t="n"/>
      <c r="W1018" s="18" t="n"/>
      <c r="X1018" s="18" t="n"/>
      <c r="Y1018" s="13">
        <f>SUMPRODUCT(M1018:X1018,$M$2:$X$2)*$K1018*$L1018</f>
        <v/>
      </c>
      <c r="Z1018" s="14">
        <f>SUM(M1018:X1018)</f>
        <v/>
      </c>
      <c r="AA1018" s="13">
        <f>SUMPRODUCT(M1018:X1018,$M$3:$X$3)*$K1018*$L1018</f>
        <v/>
      </c>
      <c r="AB1018" s="13">
        <f>SUMPRODUCT(M1018:X1018,$M$4:$X$4)*$K1018*$L1018</f>
        <v/>
      </c>
      <c r="AC1018" s="15">
        <f>SUMPRODUCT(M1018:X1018,$M$5:$X$5)*$K1018*$L1018</f>
        <v/>
      </c>
      <c r="AD1018" s="15">
        <f>SUMPRODUCT(M1018:X1018,$M$6:$X$6)*$K1018*$L1018</f>
        <v/>
      </c>
      <c r="AE1018" s="19" t="n"/>
    </row>
    <row r="1019">
      <c r="A1019" s="9" t="n">
        <v>661309</v>
      </c>
      <c r="B1019" s="9" t="inlineStr">
        <is>
          <t>Adrián Martinez</t>
        </is>
      </c>
      <c r="C1019" s="9" t="inlineStr">
        <is>
          <t>OAK</t>
        </is>
      </c>
      <c r="D1019" s="9" t="n">
        <v>30</v>
      </c>
      <c r="E1019" s="17" t="inlineStr">
        <is>
          <t>R</t>
        </is>
      </c>
      <c r="F1019" s="17" t="n"/>
      <c r="G1019" s="9" t="n">
        <v>241</v>
      </c>
      <c r="H1019" s="9" t="n">
        <v>500</v>
      </c>
      <c r="I1019" s="9" t="inlineStr">
        <is>
          <t>Depth (no MLB IP)</t>
        </is>
      </c>
      <c r="J1019" s="17" t="inlineStr">
        <is>
          <t>Opening Day</t>
        </is>
      </c>
      <c r="K1019" s="11">
        <f>IFERROR(INDEX(Roles!$B$17:$B$20,MATCH(J1019,Roles!$A$17:$A$20,0)),1)</f>
        <v/>
      </c>
      <c r="L1019" s="18" t="n">
        <v>1</v>
      </c>
      <c r="M1019" s="18" t="n"/>
      <c r="N1019" s="18" t="n"/>
      <c r="O1019" s="18" t="n"/>
      <c r="P1019" s="18" t="n"/>
      <c r="Q1019" s="18" t="n"/>
      <c r="R1019" s="18" t="n"/>
      <c r="S1019" s="18" t="n"/>
      <c r="T1019" s="18" t="n"/>
      <c r="U1019" s="18" t="n"/>
      <c r="V1019" s="18" t="n"/>
      <c r="W1019" s="18" t="n"/>
      <c r="X1019" s="18" t="n"/>
      <c r="Y1019" s="13">
        <f>SUMPRODUCT(M1019:X1019,$M$2:$X$2)*$K1019*$L1019</f>
        <v/>
      </c>
      <c r="Z1019" s="14">
        <f>SUM(M1019:X1019)</f>
        <v/>
      </c>
      <c r="AA1019" s="13">
        <f>SUMPRODUCT(M1019:X1019,$M$3:$X$3)*$K1019*$L1019</f>
        <v/>
      </c>
      <c r="AB1019" s="13">
        <f>SUMPRODUCT(M1019:X1019,$M$4:$X$4)*$K1019*$L1019</f>
        <v/>
      </c>
      <c r="AC1019" s="15">
        <f>SUMPRODUCT(M1019:X1019,$M$5:$X$5)*$K1019*$L1019</f>
        <v/>
      </c>
      <c r="AD1019" s="15">
        <f>SUMPRODUCT(M1019:X1019,$M$6:$X$6)*$K1019*$L1019</f>
        <v/>
      </c>
      <c r="AE1019" s="19" t="n"/>
    </row>
    <row r="1020">
      <c r="A1020" s="9" t="n">
        <v>621249</v>
      </c>
      <c r="B1020" s="9" t="inlineStr">
        <is>
          <t>Duane Underwood Jr.</t>
        </is>
      </c>
      <c r="C1020" s="9" t="inlineStr">
        <is>
          <t>PIT</t>
        </is>
      </c>
      <c r="D1020" s="9" t="n">
        <v>32</v>
      </c>
      <c r="E1020" s="17" t="inlineStr">
        <is>
          <t>R</t>
        </is>
      </c>
      <c r="F1020" s="17" t="n"/>
      <c r="G1020" s="9" t="n">
        <v>100</v>
      </c>
      <c r="H1020" s="9" t="n">
        <v>359</v>
      </c>
      <c r="I1020" s="9" t="inlineStr">
        <is>
          <t>Depth (no MLB IP)</t>
        </is>
      </c>
      <c r="J1020" s="17" t="inlineStr">
        <is>
          <t>Opening Day</t>
        </is>
      </c>
      <c r="K1020" s="11">
        <f>IFERROR(INDEX(Roles!$B$17:$B$20,MATCH(J1020,Roles!$A$17:$A$20,0)),1)</f>
        <v/>
      </c>
      <c r="L1020" s="18" t="n">
        <v>1</v>
      </c>
      <c r="M1020" s="18" t="n"/>
      <c r="N1020" s="18" t="n"/>
      <c r="O1020" s="18" t="n"/>
      <c r="P1020" s="18" t="n"/>
      <c r="Q1020" s="18" t="n"/>
      <c r="R1020" s="18" t="n"/>
      <c r="S1020" s="18" t="n"/>
      <c r="T1020" s="18" t="n"/>
      <c r="U1020" s="18" t="n"/>
      <c r="V1020" s="18" t="n"/>
      <c r="W1020" s="18" t="n"/>
      <c r="X1020" s="18" t="n"/>
      <c r="Y1020" s="13">
        <f>SUMPRODUCT(M1020:X1020,$M$2:$X$2)*$K1020*$L1020</f>
        <v/>
      </c>
      <c r="Z1020" s="14">
        <f>SUM(M1020:X1020)</f>
        <v/>
      </c>
      <c r="AA1020" s="13">
        <f>SUMPRODUCT(M1020:X1020,$M$3:$X$3)*$K1020*$L1020</f>
        <v/>
      </c>
      <c r="AB1020" s="13">
        <f>SUMPRODUCT(M1020:X1020,$M$4:$X$4)*$K1020*$L1020</f>
        <v/>
      </c>
      <c r="AC1020" s="15">
        <f>SUMPRODUCT(M1020:X1020,$M$5:$X$5)*$K1020*$L1020</f>
        <v/>
      </c>
      <c r="AD1020" s="15">
        <f>SUMPRODUCT(M1020:X1020,$M$6:$X$6)*$K1020*$L1020</f>
        <v/>
      </c>
      <c r="AE1020" s="19" t="n"/>
    </row>
    <row r="1021">
      <c r="A1021" s="9" t="n">
        <v>571670</v>
      </c>
      <c r="B1021" s="9" t="inlineStr">
        <is>
          <t>Dylan Floro</t>
        </is>
      </c>
      <c r="C1021" s="9" t="inlineStr">
        <is>
          <t>ARI</t>
        </is>
      </c>
      <c r="D1021" s="9" t="n">
        <v>36</v>
      </c>
      <c r="E1021" s="17" t="inlineStr">
        <is>
          <t>R</t>
        </is>
      </c>
      <c r="F1021" s="17" t="n"/>
      <c r="G1021" s="9" t="n">
        <v>279</v>
      </c>
      <c r="H1021" s="9" t="n">
        <v>747</v>
      </c>
      <c r="I1021" s="9" t="inlineStr">
        <is>
          <t>Depth (no MLB IP)</t>
        </is>
      </c>
      <c r="J1021" s="17" t="inlineStr">
        <is>
          <t>Opening Day</t>
        </is>
      </c>
      <c r="K1021" s="11">
        <f>IFERROR(INDEX(Roles!$B$17:$B$20,MATCH(J1021,Roles!$A$17:$A$20,0)),1)</f>
        <v/>
      </c>
      <c r="L1021" s="18" t="n">
        <v>1</v>
      </c>
      <c r="M1021" s="18" t="n"/>
      <c r="N1021" s="18" t="n"/>
      <c r="O1021" s="18" t="n"/>
      <c r="P1021" s="18" t="n"/>
      <c r="Q1021" s="18" t="n"/>
      <c r="R1021" s="18" t="n"/>
      <c r="S1021" s="18" t="n"/>
      <c r="T1021" s="18" t="n"/>
      <c r="U1021" s="18" t="n"/>
      <c r="V1021" s="18" t="n"/>
      <c r="W1021" s="18" t="n"/>
      <c r="X1021" s="18" t="n"/>
      <c r="Y1021" s="13">
        <f>SUMPRODUCT(M1021:X1021,$M$2:$X$2)*$K1021*$L1021</f>
        <v/>
      </c>
      <c r="Z1021" s="14">
        <f>SUM(M1021:X1021)</f>
        <v/>
      </c>
      <c r="AA1021" s="13">
        <f>SUMPRODUCT(M1021:X1021,$M$3:$X$3)*$K1021*$L1021</f>
        <v/>
      </c>
      <c r="AB1021" s="13">
        <f>SUMPRODUCT(M1021:X1021,$M$4:$X$4)*$K1021*$L1021</f>
        <v/>
      </c>
      <c r="AC1021" s="15">
        <f>SUMPRODUCT(M1021:X1021,$M$5:$X$5)*$K1021*$L1021</f>
        <v/>
      </c>
      <c r="AD1021" s="15">
        <f>SUMPRODUCT(M1021:X1021,$M$6:$X$6)*$K1021*$L1021</f>
        <v/>
      </c>
      <c r="AE1021" s="19" t="n"/>
    </row>
    <row r="1022">
      <c r="A1022" s="9" t="n">
        <v>663903</v>
      </c>
      <c r="B1022" s="9" t="inlineStr">
        <is>
          <t>Brady Singer</t>
        </is>
      </c>
      <c r="C1022" s="9" t="inlineStr">
        <is>
          <t>CIN</t>
        </is>
      </c>
      <c r="D1022" s="9" t="n">
        <v>30</v>
      </c>
      <c r="E1022" s="17" t="inlineStr">
        <is>
          <t>R</t>
        </is>
      </c>
      <c r="F1022" s="17" t="n"/>
      <c r="G1022" s="9" t="n">
        <v>707</v>
      </c>
      <c r="H1022" s="9" t="n">
        <v>3508</v>
      </c>
      <c r="I1022" s="9" t="inlineStr">
        <is>
          <t>Mid-Rotation Starter (SP2-3)</t>
        </is>
      </c>
      <c r="J1022" s="17" t="inlineStr">
        <is>
          <t>Opening Day</t>
        </is>
      </c>
      <c r="K1022" s="11">
        <f>IFERROR(INDEX(Roles!$B$17:$B$20,MATCH(J1022,Roles!$A$17:$A$20,0)),1)</f>
        <v/>
      </c>
      <c r="L1022" s="18" t="n">
        <v>1</v>
      </c>
      <c r="M1022" s="18" t="n"/>
      <c r="N1022" s="18" t="n"/>
      <c r="O1022" s="18" t="n"/>
      <c r="P1022" s="18" t="n"/>
      <c r="Q1022" s="18" t="n"/>
      <c r="R1022" s="18" t="n"/>
      <c r="S1022" s="18" t="n"/>
      <c r="T1022" s="18" t="n"/>
      <c r="U1022" s="18" t="n"/>
      <c r="V1022" s="18" t="n"/>
      <c r="W1022" s="18" t="n"/>
      <c r="X1022" s="18" t="n"/>
      <c r="Y1022" s="13">
        <f>SUMPRODUCT(M1022:X1022,$M$2:$X$2)*$K1022*$L1022</f>
        <v/>
      </c>
      <c r="Z1022" s="14">
        <f>SUM(M1022:X1022)</f>
        <v/>
      </c>
      <c r="AA1022" s="13">
        <f>SUMPRODUCT(M1022:X1022,$M$3:$X$3)*$K1022*$L1022</f>
        <v/>
      </c>
      <c r="AB1022" s="13">
        <f>SUMPRODUCT(M1022:X1022,$M$4:$X$4)*$K1022*$L1022</f>
        <v/>
      </c>
      <c r="AC1022" s="15">
        <f>SUMPRODUCT(M1022:X1022,$M$5:$X$5)*$K1022*$L1022</f>
        <v/>
      </c>
      <c r="AD1022" s="15">
        <f>SUMPRODUCT(M1022:X1022,$M$6:$X$6)*$K1022*$L1022</f>
        <v/>
      </c>
      <c r="AE1022" s="19" t="n"/>
    </row>
    <row r="1023">
      <c r="A1023" s="9" t="n">
        <v>672724</v>
      </c>
      <c r="B1023" s="9" t="inlineStr">
        <is>
          <t>Oswald Peraza</t>
        </is>
      </c>
      <c r="C1023" s="9" t="inlineStr"/>
      <c r="D1023" s="9" t="n">
        <v>27</v>
      </c>
      <c r="E1023" s="17" t="inlineStr">
        <is>
          <t>R</t>
        </is>
      </c>
      <c r="F1023" s="17" t="n"/>
      <c r="G1023" s="9" t="n">
        <v>16</v>
      </c>
      <c r="H1023" s="9" t="n">
        <v>16</v>
      </c>
      <c r="I1023" s="9" t="inlineStr">
        <is>
          <t>Depth (no MLB IP)</t>
        </is>
      </c>
      <c r="J1023" s="17" t="inlineStr">
        <is>
          <t>Opening Day</t>
        </is>
      </c>
      <c r="K1023" s="11">
        <f>IFERROR(INDEX(Roles!$B$17:$B$20,MATCH(J1023,Roles!$A$17:$A$20,0)),1)</f>
        <v/>
      </c>
      <c r="L1023" s="18" t="n">
        <v>1</v>
      </c>
      <c r="M1023" s="18" t="n"/>
      <c r="N1023" s="18" t="n"/>
      <c r="O1023" s="18" t="n"/>
      <c r="P1023" s="18" t="n"/>
      <c r="Q1023" s="18" t="n"/>
      <c r="R1023" s="18" t="n"/>
      <c r="S1023" s="18" t="n"/>
      <c r="T1023" s="18" t="n"/>
      <c r="U1023" s="18" t="n"/>
      <c r="V1023" s="18" t="n"/>
      <c r="W1023" s="18" t="n"/>
      <c r="X1023" s="18" t="n"/>
      <c r="Y1023" s="13">
        <f>SUMPRODUCT(M1023:X1023,$M$2:$X$2)*$K1023*$L1023</f>
        <v/>
      </c>
      <c r="Z1023" s="14">
        <f>SUM(M1023:X1023)</f>
        <v/>
      </c>
      <c r="AA1023" s="13">
        <f>SUMPRODUCT(M1023:X1023,$M$3:$X$3)*$K1023*$L1023</f>
        <v/>
      </c>
      <c r="AB1023" s="13">
        <f>SUMPRODUCT(M1023:X1023,$M$4:$X$4)*$K1023*$L1023</f>
        <v/>
      </c>
      <c r="AC1023" s="15">
        <f>SUMPRODUCT(M1023:X1023,$M$5:$X$5)*$K1023*$L1023</f>
        <v/>
      </c>
      <c r="AD1023" s="15">
        <f>SUMPRODUCT(M1023:X1023,$M$6:$X$6)*$K1023*$L1023</f>
        <v/>
      </c>
      <c r="AE1023" s="19" t="n"/>
    </row>
    <row r="1024">
      <c r="A1024" s="9" t="n">
        <v>621028</v>
      </c>
      <c r="B1024" s="9" t="inlineStr">
        <is>
          <t>Kevin Newman</t>
        </is>
      </c>
      <c r="C1024" s="9" t="inlineStr"/>
      <c r="D1024" s="9" t="n">
        <v>33</v>
      </c>
      <c r="E1024" s="17" t="inlineStr">
        <is>
          <t>R</t>
        </is>
      </c>
      <c r="F1024" s="17" t="n"/>
      <c r="G1024" s="9" t="n">
        <v>16</v>
      </c>
      <c r="H1024" s="9" t="n">
        <v>16</v>
      </c>
      <c r="I1024" s="9" t="inlineStr">
        <is>
          <t>Depth (no MLB IP)</t>
        </is>
      </c>
      <c r="J1024" s="17" t="inlineStr">
        <is>
          <t>Opening Day</t>
        </is>
      </c>
      <c r="K1024" s="11">
        <f>IFERROR(INDEX(Roles!$B$17:$B$20,MATCH(J1024,Roles!$A$17:$A$20,0)),1)</f>
        <v/>
      </c>
      <c r="L1024" s="18" t="n">
        <v>1</v>
      </c>
      <c r="M1024" s="18" t="n"/>
      <c r="N1024" s="18" t="n"/>
      <c r="O1024" s="18" t="n"/>
      <c r="P1024" s="18" t="n"/>
      <c r="Q1024" s="18" t="n"/>
      <c r="R1024" s="18" t="n"/>
      <c r="S1024" s="18" t="n"/>
      <c r="T1024" s="18" t="n"/>
      <c r="U1024" s="18" t="n"/>
      <c r="V1024" s="18" t="n"/>
      <c r="W1024" s="18" t="n"/>
      <c r="X1024" s="18" t="n"/>
      <c r="Y1024" s="13">
        <f>SUMPRODUCT(M1024:X1024,$M$2:$X$2)*$K1024*$L1024</f>
        <v/>
      </c>
      <c r="Z1024" s="14">
        <f>SUM(M1024:X1024)</f>
        <v/>
      </c>
      <c r="AA1024" s="13">
        <f>SUMPRODUCT(M1024:X1024,$M$3:$X$3)*$K1024*$L1024</f>
        <v/>
      </c>
      <c r="AB1024" s="13">
        <f>SUMPRODUCT(M1024:X1024,$M$4:$X$4)*$K1024*$L1024</f>
        <v/>
      </c>
      <c r="AC1024" s="15">
        <f>SUMPRODUCT(M1024:X1024,$M$5:$X$5)*$K1024*$L1024</f>
        <v/>
      </c>
      <c r="AD1024" s="15">
        <f>SUMPRODUCT(M1024:X1024,$M$6:$X$6)*$K1024*$L1024</f>
        <v/>
      </c>
      <c r="AE1024" s="19" t="n"/>
    </row>
    <row r="1025">
      <c r="A1025" s="9" t="n">
        <v>543281</v>
      </c>
      <c r="B1025" s="9" t="inlineStr">
        <is>
          <t>Josh Harrison</t>
        </is>
      </c>
      <c r="C1025" s="9" t="inlineStr"/>
      <c r="D1025" s="9" t="n">
        <v>39</v>
      </c>
      <c r="E1025" s="17" t="inlineStr">
        <is>
          <t>R</t>
        </is>
      </c>
      <c r="F1025" s="17" t="n"/>
      <c r="G1025" s="9" t="n">
        <v>15</v>
      </c>
      <c r="H1025" s="9" t="n">
        <v>33</v>
      </c>
      <c r="I1025" s="9" t="inlineStr">
        <is>
          <t>Depth (no MLB IP)</t>
        </is>
      </c>
      <c r="J1025" s="17" t="inlineStr">
        <is>
          <t>Opening Day</t>
        </is>
      </c>
      <c r="K1025" s="11">
        <f>IFERROR(INDEX(Roles!$B$17:$B$20,MATCH(J1025,Roles!$A$17:$A$20,0)),1)</f>
        <v/>
      </c>
      <c r="L1025" s="18" t="n">
        <v>1</v>
      </c>
      <c r="M1025" s="18" t="n"/>
      <c r="N1025" s="18" t="n"/>
      <c r="O1025" s="18" t="n"/>
      <c r="P1025" s="18" t="n"/>
      <c r="Q1025" s="18" t="n"/>
      <c r="R1025" s="18" t="n"/>
      <c r="S1025" s="18" t="n"/>
      <c r="T1025" s="18" t="n"/>
      <c r="U1025" s="18" t="n"/>
      <c r="V1025" s="18" t="n"/>
      <c r="W1025" s="18" t="n"/>
      <c r="X1025" s="18" t="n"/>
      <c r="Y1025" s="13">
        <f>SUMPRODUCT(M1025:X1025,$M$2:$X$2)*$K1025*$L1025</f>
        <v/>
      </c>
      <c r="Z1025" s="14">
        <f>SUM(M1025:X1025)</f>
        <v/>
      </c>
      <c r="AA1025" s="13">
        <f>SUMPRODUCT(M1025:X1025,$M$3:$X$3)*$K1025*$L1025</f>
        <v/>
      </c>
      <c r="AB1025" s="13">
        <f>SUMPRODUCT(M1025:X1025,$M$4:$X$4)*$K1025*$L1025</f>
        <v/>
      </c>
      <c r="AC1025" s="15">
        <f>SUMPRODUCT(M1025:X1025,$M$5:$X$5)*$K1025*$L1025</f>
        <v/>
      </c>
      <c r="AD1025" s="15">
        <f>SUMPRODUCT(M1025:X1025,$M$6:$X$6)*$K1025*$L1025</f>
        <v/>
      </c>
      <c r="AE1025" s="19" t="n"/>
    </row>
    <row r="1026">
      <c r="A1026" s="9" t="n">
        <v>676391</v>
      </c>
      <c r="B1026" s="9" t="inlineStr">
        <is>
          <t>Ernie Clement</t>
        </is>
      </c>
      <c r="C1026" s="9" t="inlineStr"/>
      <c r="D1026" s="9" t="n">
        <v>31</v>
      </c>
      <c r="E1026" s="17" t="inlineStr">
        <is>
          <t>R</t>
        </is>
      </c>
      <c r="F1026" s="17" t="n"/>
      <c r="G1026" s="9" t="n">
        <v>5</v>
      </c>
      <c r="H1026" s="9" t="n">
        <v>23</v>
      </c>
      <c r="I1026" s="9" t="inlineStr">
        <is>
          <t>Depth (no MLB IP)</t>
        </is>
      </c>
      <c r="J1026" s="17" t="inlineStr">
        <is>
          <t>Opening Day</t>
        </is>
      </c>
      <c r="K1026" s="11">
        <f>IFERROR(INDEX(Roles!$B$17:$B$20,MATCH(J1026,Roles!$A$17:$A$20,0)),1)</f>
        <v/>
      </c>
      <c r="L1026" s="18" t="n">
        <v>1</v>
      </c>
      <c r="M1026" s="18" t="n"/>
      <c r="N1026" s="18" t="n"/>
      <c r="O1026" s="18" t="n"/>
      <c r="P1026" s="18" t="n"/>
      <c r="Q1026" s="18" t="n"/>
      <c r="R1026" s="18" t="n"/>
      <c r="S1026" s="18" t="n"/>
      <c r="T1026" s="18" t="n"/>
      <c r="U1026" s="18" t="n"/>
      <c r="V1026" s="18" t="n"/>
      <c r="W1026" s="18" t="n"/>
      <c r="X1026" s="18" t="n"/>
      <c r="Y1026" s="13">
        <f>SUMPRODUCT(M1026:X1026,$M$2:$X$2)*$K1026*$L1026</f>
        <v/>
      </c>
      <c r="Z1026" s="14">
        <f>SUM(M1026:X1026)</f>
        <v/>
      </c>
      <c r="AA1026" s="13">
        <f>SUMPRODUCT(M1026:X1026,$M$3:$X$3)*$K1026*$L1026</f>
        <v/>
      </c>
      <c r="AB1026" s="13">
        <f>SUMPRODUCT(M1026:X1026,$M$4:$X$4)*$K1026*$L1026</f>
        <v/>
      </c>
      <c r="AC1026" s="15">
        <f>SUMPRODUCT(M1026:X1026,$M$5:$X$5)*$K1026*$L1026</f>
        <v/>
      </c>
      <c r="AD1026" s="15">
        <f>SUMPRODUCT(M1026:X1026,$M$6:$X$6)*$K1026*$L1026</f>
        <v/>
      </c>
      <c r="AE1026" s="19" t="n"/>
    </row>
    <row r="1027">
      <c r="A1027" s="9" t="n">
        <v>605612</v>
      </c>
      <c r="B1027" s="9" t="inlineStr">
        <is>
          <t>Harold Castro</t>
        </is>
      </c>
      <c r="C1027" s="9" t="inlineStr"/>
      <c r="D1027" s="9" t="n">
        <v>33</v>
      </c>
      <c r="E1027" s="17" t="inlineStr">
        <is>
          <t>R</t>
        </is>
      </c>
      <c r="F1027" s="17" t="n"/>
      <c r="G1027" s="9" t="n">
        <v>11</v>
      </c>
      <c r="H1027" s="9" t="n">
        <v>29</v>
      </c>
      <c r="I1027" s="9" t="inlineStr">
        <is>
          <t>Depth (no MLB IP)</t>
        </is>
      </c>
      <c r="J1027" s="17" t="inlineStr">
        <is>
          <t>Opening Day</t>
        </is>
      </c>
      <c r="K1027" s="11">
        <f>IFERROR(INDEX(Roles!$B$17:$B$20,MATCH(J1027,Roles!$A$17:$A$20,0)),1)</f>
        <v/>
      </c>
      <c r="L1027" s="18" t="n">
        <v>1</v>
      </c>
      <c r="M1027" s="18" t="n"/>
      <c r="N1027" s="18" t="n"/>
      <c r="O1027" s="18" t="n"/>
      <c r="P1027" s="18" t="n"/>
      <c r="Q1027" s="18" t="n"/>
      <c r="R1027" s="18" t="n"/>
      <c r="S1027" s="18" t="n"/>
      <c r="T1027" s="18" t="n"/>
      <c r="U1027" s="18" t="n"/>
      <c r="V1027" s="18" t="n"/>
      <c r="W1027" s="18" t="n"/>
      <c r="X1027" s="18" t="n"/>
      <c r="Y1027" s="13">
        <f>SUMPRODUCT(M1027:X1027,$M$2:$X$2)*$K1027*$L1027</f>
        <v/>
      </c>
      <c r="Z1027" s="14">
        <f>SUM(M1027:X1027)</f>
        <v/>
      </c>
      <c r="AA1027" s="13">
        <f>SUMPRODUCT(M1027:X1027,$M$3:$X$3)*$K1027*$L1027</f>
        <v/>
      </c>
      <c r="AB1027" s="13">
        <f>SUMPRODUCT(M1027:X1027,$M$4:$X$4)*$K1027*$L1027</f>
        <v/>
      </c>
      <c r="AC1027" s="15">
        <f>SUMPRODUCT(M1027:X1027,$M$5:$X$5)*$K1027*$L1027</f>
        <v/>
      </c>
      <c r="AD1027" s="15">
        <f>SUMPRODUCT(M1027:X1027,$M$6:$X$6)*$K1027*$L1027</f>
        <v/>
      </c>
      <c r="AE1027" s="19" t="n"/>
    </row>
    <row r="1028">
      <c r="A1028" s="9" t="n">
        <v>676092</v>
      </c>
      <c r="B1028" s="9" t="inlineStr">
        <is>
          <t>Collin Snider</t>
        </is>
      </c>
      <c r="C1028" s="9" t="inlineStr">
        <is>
          <t>SEA</t>
        </is>
      </c>
      <c r="D1028" s="9" t="n">
        <v>31</v>
      </c>
      <c r="E1028" s="17" t="inlineStr">
        <is>
          <t>R</t>
        </is>
      </c>
      <c r="F1028" s="17" t="n"/>
      <c r="G1028" s="9" t="n">
        <v>119</v>
      </c>
      <c r="H1028" s="9" t="n">
        <v>534</v>
      </c>
      <c r="I1028" s="9" t="inlineStr">
        <is>
          <t>Bullpen Depth Arm</t>
        </is>
      </c>
      <c r="J1028" s="17" t="inlineStr">
        <is>
          <t>Opening Day</t>
        </is>
      </c>
      <c r="K1028" s="11">
        <f>IFERROR(INDEX(Roles!$B$17:$B$20,MATCH(J1028,Roles!$A$17:$A$20,0)),1)</f>
        <v/>
      </c>
      <c r="L1028" s="18" t="n">
        <v>1</v>
      </c>
      <c r="M1028" s="18" t="n"/>
      <c r="N1028" s="18" t="n"/>
      <c r="O1028" s="18" t="n"/>
      <c r="P1028" s="18" t="n"/>
      <c r="Q1028" s="18" t="n"/>
      <c r="R1028" s="18" t="n"/>
      <c r="S1028" s="18" t="n"/>
      <c r="T1028" s="18" t="n"/>
      <c r="U1028" s="18" t="n"/>
      <c r="V1028" s="18" t="n"/>
      <c r="W1028" s="18" t="n"/>
      <c r="X1028" s="18" t="n"/>
      <c r="Y1028" s="13">
        <f>SUMPRODUCT(M1028:X1028,$M$2:$X$2)*$K1028*$L1028</f>
        <v/>
      </c>
      <c r="Z1028" s="14">
        <f>SUM(M1028:X1028)</f>
        <v/>
      </c>
      <c r="AA1028" s="13">
        <f>SUMPRODUCT(M1028:X1028,$M$3:$X$3)*$K1028*$L1028</f>
        <v/>
      </c>
      <c r="AB1028" s="13">
        <f>SUMPRODUCT(M1028:X1028,$M$4:$X$4)*$K1028*$L1028</f>
        <v/>
      </c>
      <c r="AC1028" s="15">
        <f>SUMPRODUCT(M1028:X1028,$M$5:$X$5)*$K1028*$L1028</f>
        <v/>
      </c>
      <c r="AD1028" s="15">
        <f>SUMPRODUCT(M1028:X1028,$M$6:$X$6)*$K1028*$L1028</f>
        <v/>
      </c>
      <c r="AE1028" s="19" t="n"/>
    </row>
    <row r="1029">
      <c r="A1029" s="9" t="n">
        <v>685326</v>
      </c>
      <c r="B1029" s="9" t="inlineStr">
        <is>
          <t>McCade Brown</t>
        </is>
      </c>
      <c r="C1029" s="9" t="inlineStr">
        <is>
          <t>COL</t>
        </is>
      </c>
      <c r="D1029" s="9" t="n">
        <v>26</v>
      </c>
      <c r="E1029" s="17" t="inlineStr">
        <is>
          <t>R</t>
        </is>
      </c>
      <c r="F1029" s="17" t="n"/>
      <c r="G1029" s="9" t="n">
        <v>126</v>
      </c>
      <c r="H1029" s="9" t="n">
        <v>126</v>
      </c>
      <c r="I1029" s="9" t="inlineStr">
        <is>
          <t>End-of-Rotation Starter (SP4-5)</t>
        </is>
      </c>
      <c r="J1029" s="17" t="inlineStr">
        <is>
          <t>Opening Day</t>
        </is>
      </c>
      <c r="K1029" s="11">
        <f>IFERROR(INDEX(Roles!$B$17:$B$20,MATCH(J1029,Roles!$A$17:$A$20,0)),1)</f>
        <v/>
      </c>
      <c r="L1029" s="18" t="n">
        <v>1</v>
      </c>
      <c r="M1029" s="18" t="n"/>
      <c r="N1029" s="18" t="n"/>
      <c r="O1029" s="18" t="n"/>
      <c r="P1029" s="18" t="n"/>
      <c r="Q1029" s="18" t="n"/>
      <c r="R1029" s="18" t="n"/>
      <c r="S1029" s="18" t="n"/>
      <c r="T1029" s="18" t="n"/>
      <c r="U1029" s="18" t="n"/>
      <c r="V1029" s="18" t="n"/>
      <c r="W1029" s="18" t="n"/>
      <c r="X1029" s="18" t="n"/>
      <c r="Y1029" s="13">
        <f>SUMPRODUCT(M1029:X1029,$M$2:$X$2)*$K1029*$L1029</f>
        <v/>
      </c>
      <c r="Z1029" s="14">
        <f>SUM(M1029:X1029)</f>
        <v/>
      </c>
      <c r="AA1029" s="13">
        <f>SUMPRODUCT(M1029:X1029,$M$3:$X$3)*$K1029*$L1029</f>
        <v/>
      </c>
      <c r="AB1029" s="13">
        <f>SUMPRODUCT(M1029:X1029,$M$4:$X$4)*$K1029*$L1029</f>
        <v/>
      </c>
      <c r="AC1029" s="15">
        <f>SUMPRODUCT(M1029:X1029,$M$5:$X$5)*$K1029*$L1029</f>
        <v/>
      </c>
      <c r="AD1029" s="15">
        <f>SUMPRODUCT(M1029:X1029,$M$6:$X$6)*$K1029*$L1029</f>
        <v/>
      </c>
      <c r="AE1029" s="19" t="n"/>
    </row>
    <row r="1030">
      <c r="A1030" s="9" t="n">
        <v>663753</v>
      </c>
      <c r="B1030" s="9" t="inlineStr">
        <is>
          <t>Reiss Knehr</t>
        </is>
      </c>
      <c r="C1030" s="9" t="inlineStr">
        <is>
          <t>SD</t>
        </is>
      </c>
      <c r="D1030" s="9" t="n">
        <v>30</v>
      </c>
      <c r="E1030" s="17" t="inlineStr">
        <is>
          <t>R</t>
        </is>
      </c>
      <c r="F1030" s="17" t="n"/>
      <c r="G1030" s="9" t="n">
        <v>32</v>
      </c>
      <c r="H1030" s="9" t="n">
        <v>91</v>
      </c>
      <c r="I1030" s="9" t="inlineStr">
        <is>
          <t>Depth (no MLB IP)</t>
        </is>
      </c>
      <c r="J1030" s="17" t="inlineStr">
        <is>
          <t>Opening Day</t>
        </is>
      </c>
      <c r="K1030" s="11">
        <f>IFERROR(INDEX(Roles!$B$17:$B$20,MATCH(J1030,Roles!$A$17:$A$20,0)),1)</f>
        <v/>
      </c>
      <c r="L1030" s="18" t="n">
        <v>1</v>
      </c>
      <c r="M1030" s="18" t="n"/>
      <c r="N1030" s="18" t="n"/>
      <c r="O1030" s="18" t="n"/>
      <c r="P1030" s="18" t="n"/>
      <c r="Q1030" s="18" t="n"/>
      <c r="R1030" s="18" t="n"/>
      <c r="S1030" s="18" t="n"/>
      <c r="T1030" s="18" t="n"/>
      <c r="U1030" s="18" t="n"/>
      <c r="V1030" s="18" t="n"/>
      <c r="W1030" s="18" t="n"/>
      <c r="X1030" s="18" t="n"/>
      <c r="Y1030" s="13">
        <f>SUMPRODUCT(M1030:X1030,$M$2:$X$2)*$K1030*$L1030</f>
        <v/>
      </c>
      <c r="Z1030" s="14">
        <f>SUM(M1030:X1030)</f>
        <v/>
      </c>
      <c r="AA1030" s="13">
        <f>SUMPRODUCT(M1030:X1030,$M$3:$X$3)*$K1030*$L1030</f>
        <v/>
      </c>
      <c r="AB1030" s="13">
        <f>SUMPRODUCT(M1030:X1030,$M$4:$X$4)*$K1030*$L1030</f>
        <v/>
      </c>
      <c r="AC1030" s="15">
        <f>SUMPRODUCT(M1030:X1030,$M$5:$X$5)*$K1030*$L1030</f>
        <v/>
      </c>
      <c r="AD1030" s="15">
        <f>SUMPRODUCT(M1030:X1030,$M$6:$X$6)*$K1030*$L1030</f>
        <v/>
      </c>
      <c r="AE1030" s="19" t="n"/>
    </row>
    <row r="1031">
      <c r="A1031" s="9" t="n">
        <v>684442</v>
      </c>
      <c r="B1031" s="9" t="inlineStr">
        <is>
          <t>Kohl Drake</t>
        </is>
      </c>
      <c r="C1031" s="9" t="inlineStr">
        <is>
          <t>ARI</t>
        </is>
      </c>
      <c r="D1031" s="9" t="n">
        <v>26</v>
      </c>
      <c r="E1031" s="17" t="inlineStr">
        <is>
          <t>L</t>
        </is>
      </c>
      <c r="F1031" s="17" t="n"/>
      <c r="G1031" s="9" t="n">
        <v>95</v>
      </c>
      <c r="H1031" s="9" t="n">
        <v>95</v>
      </c>
      <c r="I1031" s="9" t="inlineStr">
        <is>
          <t>End-of-Rotation Starter (SP4-5)</t>
        </is>
      </c>
      <c r="J1031" s="17" t="inlineStr">
        <is>
          <t>Opening Day</t>
        </is>
      </c>
      <c r="K1031" s="11">
        <f>IFERROR(INDEX(Roles!$B$17:$B$20,MATCH(J1031,Roles!$A$17:$A$20,0)),1)</f>
        <v/>
      </c>
      <c r="L1031" s="18" t="n">
        <v>1</v>
      </c>
      <c r="M1031" s="18" t="n"/>
      <c r="N1031" s="18" t="n"/>
      <c r="O1031" s="18" t="n"/>
      <c r="P1031" s="18" t="n"/>
      <c r="Q1031" s="18" t="n"/>
      <c r="R1031" s="18" t="n"/>
      <c r="S1031" s="18" t="n"/>
      <c r="T1031" s="18" t="n"/>
      <c r="U1031" s="18" t="n"/>
      <c r="V1031" s="18" t="n"/>
      <c r="W1031" s="18" t="n"/>
      <c r="X1031" s="18" t="n"/>
      <c r="Y1031" s="13">
        <f>SUMPRODUCT(M1031:X1031,$M$2:$X$2)*$K1031*$L1031</f>
        <v/>
      </c>
      <c r="Z1031" s="14">
        <f>SUM(M1031:X1031)</f>
        <v/>
      </c>
      <c r="AA1031" s="13">
        <f>SUMPRODUCT(M1031:X1031,$M$3:$X$3)*$K1031*$L1031</f>
        <v/>
      </c>
      <c r="AB1031" s="13">
        <f>SUMPRODUCT(M1031:X1031,$M$4:$X$4)*$K1031*$L1031</f>
        <v/>
      </c>
      <c r="AC1031" s="15">
        <f>SUMPRODUCT(M1031:X1031,$M$5:$X$5)*$K1031*$L1031</f>
        <v/>
      </c>
      <c r="AD1031" s="15">
        <f>SUMPRODUCT(M1031:X1031,$M$6:$X$6)*$K1031*$L1031</f>
        <v/>
      </c>
      <c r="AE1031" s="19" t="n"/>
    </row>
    <row r="1032">
      <c r="A1032" s="9" t="n">
        <v>472551</v>
      </c>
      <c r="B1032" s="9" t="inlineStr">
        <is>
          <t>Fernando Abad</t>
        </is>
      </c>
      <c r="C1032" s="9" t="inlineStr">
        <is>
          <t>COL</t>
        </is>
      </c>
      <c r="D1032" s="9" t="n">
        <v>41</v>
      </c>
      <c r="E1032" s="17" t="inlineStr">
        <is>
          <t>L</t>
        </is>
      </c>
      <c r="F1032" s="17" t="n"/>
      <c r="G1032" s="9" t="n">
        <v>32</v>
      </c>
      <c r="H1032" s="9" t="n">
        <v>32</v>
      </c>
      <c r="I1032" s="9" t="inlineStr">
        <is>
          <t>Depth (no MLB IP)</t>
        </is>
      </c>
      <c r="J1032" s="17" t="inlineStr">
        <is>
          <t>Opening Day</t>
        </is>
      </c>
      <c r="K1032" s="11">
        <f>IFERROR(INDEX(Roles!$B$17:$B$20,MATCH(J1032,Roles!$A$17:$A$20,0)),1)</f>
        <v/>
      </c>
      <c r="L1032" s="18" t="n">
        <v>1</v>
      </c>
      <c r="M1032" s="18" t="n"/>
      <c r="N1032" s="18" t="n"/>
      <c r="O1032" s="18" t="n"/>
      <c r="P1032" s="18" t="n"/>
      <c r="Q1032" s="18" t="n"/>
      <c r="R1032" s="18" t="n"/>
      <c r="S1032" s="18" t="n"/>
      <c r="T1032" s="18" t="n"/>
      <c r="U1032" s="18" t="n"/>
      <c r="V1032" s="18" t="n"/>
      <c r="W1032" s="18" t="n"/>
      <c r="X1032" s="18" t="n"/>
      <c r="Y1032" s="13">
        <f>SUMPRODUCT(M1032:X1032,$M$2:$X$2)*$K1032*$L1032</f>
        <v/>
      </c>
      <c r="Z1032" s="14">
        <f>SUM(M1032:X1032)</f>
        <v/>
      </c>
      <c r="AA1032" s="13">
        <f>SUMPRODUCT(M1032:X1032,$M$3:$X$3)*$K1032*$L1032</f>
        <v/>
      </c>
      <c r="AB1032" s="13">
        <f>SUMPRODUCT(M1032:X1032,$M$4:$X$4)*$K1032*$L1032</f>
        <v/>
      </c>
      <c r="AC1032" s="15">
        <f>SUMPRODUCT(M1032:X1032,$M$5:$X$5)*$K1032*$L1032</f>
        <v/>
      </c>
      <c r="AD1032" s="15">
        <f>SUMPRODUCT(M1032:X1032,$M$6:$X$6)*$K1032*$L1032</f>
        <v/>
      </c>
      <c r="AE1032" s="19" t="n"/>
    </row>
    <row r="1033">
      <c r="A1033" s="9" t="n">
        <v>672335</v>
      </c>
      <c r="B1033" s="9" t="inlineStr">
        <is>
          <t>Cionel Pérez</t>
        </is>
      </c>
      <c r="C1033" s="9" t="inlineStr">
        <is>
          <t>NYM</t>
        </is>
      </c>
      <c r="D1033" s="9" t="n">
        <v>31</v>
      </c>
      <c r="E1033" s="17" t="inlineStr">
        <is>
          <t>L</t>
        </is>
      </c>
      <c r="F1033" s="17" t="n"/>
      <c r="G1033" s="9" t="n">
        <v>181</v>
      </c>
      <c r="H1033" s="9" t="n">
        <v>1010</v>
      </c>
      <c r="I1033" s="9" t="inlineStr">
        <is>
          <t>Bullpen Depth Arm</t>
        </is>
      </c>
      <c r="J1033" s="17" t="inlineStr">
        <is>
          <t>Opening Day</t>
        </is>
      </c>
      <c r="K1033" s="11">
        <f>IFERROR(INDEX(Roles!$B$17:$B$20,MATCH(J1033,Roles!$A$17:$A$20,0)),1)</f>
        <v/>
      </c>
      <c r="L1033" s="18" t="n">
        <v>1</v>
      </c>
      <c r="M1033" s="18" t="n"/>
      <c r="N1033" s="18" t="n"/>
      <c r="O1033" s="18" t="n"/>
      <c r="P1033" s="18" t="n"/>
      <c r="Q1033" s="18" t="n"/>
      <c r="R1033" s="18" t="n"/>
      <c r="S1033" s="18" t="n"/>
      <c r="T1033" s="18" t="n"/>
      <c r="U1033" s="18" t="n"/>
      <c r="V1033" s="18" t="n"/>
      <c r="W1033" s="18" t="n"/>
      <c r="X1033" s="18" t="n"/>
      <c r="Y1033" s="13">
        <f>SUMPRODUCT(M1033:X1033,$M$2:$X$2)*$K1033*$L1033</f>
        <v/>
      </c>
      <c r="Z1033" s="14">
        <f>SUM(M1033:X1033)</f>
        <v/>
      </c>
      <c r="AA1033" s="13">
        <f>SUMPRODUCT(M1033:X1033,$M$3:$X$3)*$K1033*$L1033</f>
        <v/>
      </c>
      <c r="AB1033" s="13">
        <f>SUMPRODUCT(M1033:X1033,$M$4:$X$4)*$K1033*$L1033</f>
        <v/>
      </c>
      <c r="AC1033" s="15">
        <f>SUMPRODUCT(M1033:X1033,$M$5:$X$5)*$K1033*$L1033</f>
        <v/>
      </c>
      <c r="AD1033" s="15">
        <f>SUMPRODUCT(M1033:X1033,$M$6:$X$6)*$K1033*$L1033</f>
        <v/>
      </c>
      <c r="AE1033" s="19" t="n"/>
    </row>
    <row r="1034">
      <c r="A1034" s="9" t="n">
        <v>571948</v>
      </c>
      <c r="B1034" s="9" t="inlineStr">
        <is>
          <t>Hoby Milner</t>
        </is>
      </c>
      <c r="C1034" s="9" t="inlineStr">
        <is>
          <t>SEA</t>
        </is>
      </c>
      <c r="D1034" s="9" t="n">
        <v>36</v>
      </c>
      <c r="E1034" s="17" t="inlineStr">
        <is>
          <t>L</t>
        </is>
      </c>
      <c r="F1034" s="17" t="n"/>
      <c r="G1034" s="9" t="n">
        <v>165</v>
      </c>
      <c r="H1034" s="9" t="n">
        <v>1250</v>
      </c>
      <c r="I1034" s="9" t="inlineStr">
        <is>
          <t>Middle Relief</t>
        </is>
      </c>
      <c r="J1034" s="17" t="inlineStr">
        <is>
          <t>Opening Day</t>
        </is>
      </c>
      <c r="K1034" s="11">
        <f>IFERROR(INDEX(Roles!$B$17:$B$20,MATCH(J1034,Roles!$A$17:$A$20,0)),1)</f>
        <v/>
      </c>
      <c r="L1034" s="18" t="n">
        <v>1</v>
      </c>
      <c r="M1034" s="18" t="n"/>
      <c r="N1034" s="18" t="n"/>
      <c r="O1034" s="18" t="n"/>
      <c r="P1034" s="18" t="n"/>
      <c r="Q1034" s="18" t="n"/>
      <c r="R1034" s="18" t="n"/>
      <c r="S1034" s="18" t="n"/>
      <c r="T1034" s="18" t="n"/>
      <c r="U1034" s="18" t="n"/>
      <c r="V1034" s="18" t="n"/>
      <c r="W1034" s="18" t="n"/>
      <c r="X1034" s="18" t="n"/>
      <c r="Y1034" s="13">
        <f>SUMPRODUCT(M1034:X1034,$M$2:$X$2)*$K1034*$L1034</f>
        <v/>
      </c>
      <c r="Z1034" s="14">
        <f>SUM(M1034:X1034)</f>
        <v/>
      </c>
      <c r="AA1034" s="13">
        <f>SUMPRODUCT(M1034:X1034,$M$3:$X$3)*$K1034*$L1034</f>
        <v/>
      </c>
      <c r="AB1034" s="13">
        <f>SUMPRODUCT(M1034:X1034,$M$4:$X$4)*$K1034*$L1034</f>
        <v/>
      </c>
      <c r="AC1034" s="15">
        <f>SUMPRODUCT(M1034:X1034,$M$5:$X$5)*$K1034*$L1034</f>
        <v/>
      </c>
      <c r="AD1034" s="15">
        <f>SUMPRODUCT(M1034:X1034,$M$6:$X$6)*$K1034*$L1034</f>
        <v/>
      </c>
      <c r="AE1034" s="19" t="n"/>
    </row>
    <row r="1035">
      <c r="A1035" s="9" t="n">
        <v>670090</v>
      </c>
      <c r="B1035" s="9" t="inlineStr">
        <is>
          <t>Wyatt Mills</t>
        </is>
      </c>
      <c r="C1035" s="9" t="inlineStr">
        <is>
          <t>LAD</t>
        </is>
      </c>
      <c r="D1035" s="9" t="n">
        <v>32</v>
      </c>
      <c r="E1035" s="17" t="inlineStr">
        <is>
          <t>R</t>
        </is>
      </c>
      <c r="F1035" s="17" t="n"/>
      <c r="G1035" s="9" t="n">
        <v>36</v>
      </c>
      <c r="H1035" s="9" t="n">
        <v>164</v>
      </c>
      <c r="I1035" s="9" t="inlineStr">
        <is>
          <t>Bullpen Depth Arm</t>
        </is>
      </c>
      <c r="J1035" s="17" t="inlineStr">
        <is>
          <t>Opening Day</t>
        </is>
      </c>
      <c r="K1035" s="11">
        <f>IFERROR(INDEX(Roles!$B$17:$B$20,MATCH(J1035,Roles!$A$17:$A$20,0)),1)</f>
        <v/>
      </c>
      <c r="L1035" s="18" t="n">
        <v>1</v>
      </c>
      <c r="M1035" s="18" t="n"/>
      <c r="N1035" s="18" t="n"/>
      <c r="O1035" s="18" t="n"/>
      <c r="P1035" s="18" t="n"/>
      <c r="Q1035" s="18" t="n"/>
      <c r="R1035" s="18" t="n"/>
      <c r="S1035" s="18" t="n"/>
      <c r="T1035" s="18" t="n"/>
      <c r="U1035" s="18" t="n"/>
      <c r="V1035" s="18" t="n"/>
      <c r="W1035" s="18" t="n"/>
      <c r="X1035" s="18" t="n"/>
      <c r="Y1035" s="13">
        <f>SUMPRODUCT(M1035:X1035,$M$2:$X$2)*$K1035*$L1035</f>
        <v/>
      </c>
      <c r="Z1035" s="14">
        <f>SUM(M1035:X1035)</f>
        <v/>
      </c>
      <c r="AA1035" s="13">
        <f>SUMPRODUCT(M1035:X1035,$M$3:$X$3)*$K1035*$L1035</f>
        <v/>
      </c>
      <c r="AB1035" s="13">
        <f>SUMPRODUCT(M1035:X1035,$M$4:$X$4)*$K1035*$L1035</f>
        <v/>
      </c>
      <c r="AC1035" s="15">
        <f>SUMPRODUCT(M1035:X1035,$M$5:$X$5)*$K1035*$L1035</f>
        <v/>
      </c>
      <c r="AD1035" s="15">
        <f>SUMPRODUCT(M1035:X1035,$M$6:$X$6)*$K1035*$L1035</f>
        <v/>
      </c>
      <c r="AE1035" s="19" t="n"/>
    </row>
    <row r="1036">
      <c r="A1036" s="9" t="n">
        <v>624428</v>
      </c>
      <c r="B1036" s="9" t="inlineStr">
        <is>
          <t>Adam Frazier</t>
        </is>
      </c>
      <c r="C1036" s="9" t="inlineStr"/>
      <c r="D1036" s="9" t="n">
        <v>35</v>
      </c>
      <c r="E1036" s="17" t="inlineStr">
        <is>
          <t>R</t>
        </is>
      </c>
      <c r="F1036" s="17" t="n"/>
      <c r="G1036" s="9" t="n">
        <v>14</v>
      </c>
      <c r="H1036" s="9" t="n">
        <v>14</v>
      </c>
      <c r="I1036" s="9" t="inlineStr">
        <is>
          <t>Depth (no MLB IP)</t>
        </is>
      </c>
      <c r="J1036" s="17" t="inlineStr">
        <is>
          <t>Opening Day</t>
        </is>
      </c>
      <c r="K1036" s="11">
        <f>IFERROR(INDEX(Roles!$B$17:$B$20,MATCH(J1036,Roles!$A$17:$A$20,0)),1)</f>
        <v/>
      </c>
      <c r="L1036" s="18" t="n">
        <v>1</v>
      </c>
      <c r="M1036" s="18" t="n"/>
      <c r="N1036" s="18" t="n"/>
      <c r="O1036" s="18" t="n"/>
      <c r="P1036" s="18" t="n"/>
      <c r="Q1036" s="18" t="n"/>
      <c r="R1036" s="18" t="n"/>
      <c r="S1036" s="18" t="n"/>
      <c r="T1036" s="18" t="n"/>
      <c r="U1036" s="18" t="n"/>
      <c r="V1036" s="18" t="n"/>
      <c r="W1036" s="18" t="n"/>
      <c r="X1036" s="18" t="n"/>
      <c r="Y1036" s="13">
        <f>SUMPRODUCT(M1036:X1036,$M$2:$X$2)*$K1036*$L1036</f>
        <v/>
      </c>
      <c r="Z1036" s="14">
        <f>SUM(M1036:X1036)</f>
        <v/>
      </c>
      <c r="AA1036" s="13">
        <f>SUMPRODUCT(M1036:X1036,$M$3:$X$3)*$K1036*$L1036</f>
        <v/>
      </c>
      <c r="AB1036" s="13">
        <f>SUMPRODUCT(M1036:X1036,$M$4:$X$4)*$K1036*$L1036</f>
        <v/>
      </c>
      <c r="AC1036" s="15">
        <f>SUMPRODUCT(M1036:X1036,$M$5:$X$5)*$K1036*$L1036</f>
        <v/>
      </c>
      <c r="AD1036" s="15">
        <f>SUMPRODUCT(M1036:X1036,$M$6:$X$6)*$K1036*$L1036</f>
        <v/>
      </c>
      <c r="AE1036" s="19" t="n"/>
    </row>
    <row r="1037">
      <c r="A1037" s="9" t="n">
        <v>660593</v>
      </c>
      <c r="B1037" s="9" t="inlineStr">
        <is>
          <t>Denyi Reyes</t>
        </is>
      </c>
      <c r="C1037" s="9" t="inlineStr">
        <is>
          <t>NYM</t>
        </is>
      </c>
      <c r="D1037" s="9" t="n">
        <v>30</v>
      </c>
      <c r="E1037" s="17" t="inlineStr">
        <is>
          <t>R</t>
        </is>
      </c>
      <c r="F1037" s="17" t="n"/>
      <c r="G1037" s="9" t="n">
        <v>90</v>
      </c>
      <c r="H1037" s="9" t="n">
        <v>121</v>
      </c>
      <c r="I1037" s="9" t="inlineStr">
        <is>
          <t>Depth (no MLB IP)</t>
        </is>
      </c>
      <c r="J1037" s="17" t="inlineStr">
        <is>
          <t>Opening Day</t>
        </is>
      </c>
      <c r="K1037" s="11">
        <f>IFERROR(INDEX(Roles!$B$17:$B$20,MATCH(J1037,Roles!$A$17:$A$20,0)),1)</f>
        <v/>
      </c>
      <c r="L1037" s="18" t="n">
        <v>1</v>
      </c>
      <c r="M1037" s="18" t="n"/>
      <c r="N1037" s="18" t="n"/>
      <c r="O1037" s="18" t="n"/>
      <c r="P1037" s="18" t="n"/>
      <c r="Q1037" s="18" t="n"/>
      <c r="R1037" s="18" t="n"/>
      <c r="S1037" s="18" t="n"/>
      <c r="T1037" s="18" t="n"/>
      <c r="U1037" s="18" t="n"/>
      <c r="V1037" s="18" t="n"/>
      <c r="W1037" s="18" t="n"/>
      <c r="X1037" s="18" t="n"/>
      <c r="Y1037" s="13">
        <f>SUMPRODUCT(M1037:X1037,$M$2:$X$2)*$K1037*$L1037</f>
        <v/>
      </c>
      <c r="Z1037" s="14">
        <f>SUM(M1037:X1037)</f>
        <v/>
      </c>
      <c r="AA1037" s="13">
        <f>SUMPRODUCT(M1037:X1037,$M$3:$X$3)*$K1037*$L1037</f>
        <v/>
      </c>
      <c r="AB1037" s="13">
        <f>SUMPRODUCT(M1037:X1037,$M$4:$X$4)*$K1037*$L1037</f>
        <v/>
      </c>
      <c r="AC1037" s="15">
        <f>SUMPRODUCT(M1037:X1037,$M$5:$X$5)*$K1037*$L1037</f>
        <v/>
      </c>
      <c r="AD1037" s="15">
        <f>SUMPRODUCT(M1037:X1037,$M$6:$X$6)*$K1037*$L1037</f>
        <v/>
      </c>
      <c r="AE1037" s="19" t="n"/>
    </row>
    <row r="1038">
      <c r="A1038" s="9" t="n">
        <v>802419</v>
      </c>
      <c r="B1038" s="9" t="inlineStr">
        <is>
          <t>Thomas Harrington</t>
        </is>
      </c>
      <c r="C1038" s="9" t="inlineStr">
        <is>
          <t>PIT</t>
        </is>
      </c>
      <c r="D1038" s="9" t="n">
        <v>25</v>
      </c>
      <c r="E1038" s="17" t="inlineStr">
        <is>
          <t>R</t>
        </is>
      </c>
      <c r="F1038" s="17" t="n"/>
      <c r="G1038" s="9" t="n">
        <v>50</v>
      </c>
      <c r="H1038" s="9" t="n">
        <v>50</v>
      </c>
      <c r="I1038" s="9" t="inlineStr">
        <is>
          <t>Bullpen Depth Arm</t>
        </is>
      </c>
      <c r="J1038" s="17" t="inlineStr">
        <is>
          <t>Opening Day</t>
        </is>
      </c>
      <c r="K1038" s="11">
        <f>IFERROR(INDEX(Roles!$B$17:$B$20,MATCH(J1038,Roles!$A$17:$A$20,0)),1)</f>
        <v/>
      </c>
      <c r="L1038" s="18" t="n">
        <v>1</v>
      </c>
      <c r="M1038" s="18" t="n"/>
      <c r="N1038" s="18" t="n"/>
      <c r="O1038" s="18" t="n"/>
      <c r="P1038" s="18" t="n"/>
      <c r="Q1038" s="18" t="n"/>
      <c r="R1038" s="18" t="n"/>
      <c r="S1038" s="18" t="n"/>
      <c r="T1038" s="18" t="n"/>
      <c r="U1038" s="18" t="n"/>
      <c r="V1038" s="18" t="n"/>
      <c r="W1038" s="18" t="n"/>
      <c r="X1038" s="18" t="n"/>
      <c r="Y1038" s="13">
        <f>SUMPRODUCT(M1038:X1038,$M$2:$X$2)*$K1038*$L1038</f>
        <v/>
      </c>
      <c r="Z1038" s="14">
        <f>SUM(M1038:X1038)</f>
        <v/>
      </c>
      <c r="AA1038" s="13">
        <f>SUMPRODUCT(M1038:X1038,$M$3:$X$3)*$K1038*$L1038</f>
        <v/>
      </c>
      <c r="AB1038" s="13">
        <f>SUMPRODUCT(M1038:X1038,$M$4:$X$4)*$K1038*$L1038</f>
        <v/>
      </c>
      <c r="AC1038" s="15">
        <f>SUMPRODUCT(M1038:X1038,$M$5:$X$5)*$K1038*$L1038</f>
        <v/>
      </c>
      <c r="AD1038" s="15">
        <f>SUMPRODUCT(M1038:X1038,$M$6:$X$6)*$K1038*$L1038</f>
        <v/>
      </c>
      <c r="AE1038" s="19" t="n"/>
    </row>
    <row r="1039">
      <c r="A1039" s="9" t="n">
        <v>663947</v>
      </c>
      <c r="B1039" s="9" t="inlineStr">
        <is>
          <t>Tyler Holton</t>
        </is>
      </c>
      <c r="C1039" s="9" t="inlineStr">
        <is>
          <t>DET</t>
        </is>
      </c>
      <c r="D1039" s="9" t="n">
        <v>31</v>
      </c>
      <c r="E1039" s="17" t="inlineStr">
        <is>
          <t>L</t>
        </is>
      </c>
      <c r="F1039" s="17" t="n"/>
      <c r="G1039" s="9" t="n">
        <v>296</v>
      </c>
      <c r="H1039" s="9" t="n">
        <v>1325</v>
      </c>
      <c r="I1039" s="9" t="inlineStr">
        <is>
          <t>Bullpen Depth Arm</t>
        </is>
      </c>
      <c r="J1039" s="17" t="inlineStr">
        <is>
          <t>Opening Day</t>
        </is>
      </c>
      <c r="K1039" s="11">
        <f>IFERROR(INDEX(Roles!$B$17:$B$20,MATCH(J1039,Roles!$A$17:$A$20,0)),1)</f>
        <v/>
      </c>
      <c r="L1039" s="18" t="n">
        <v>1</v>
      </c>
      <c r="M1039" s="18" t="n"/>
      <c r="N1039" s="18" t="n"/>
      <c r="O1039" s="18" t="n"/>
      <c r="P1039" s="18" t="n"/>
      <c r="Q1039" s="18" t="n"/>
      <c r="R1039" s="18" t="n"/>
      <c r="S1039" s="18" t="n"/>
      <c r="T1039" s="18" t="n"/>
      <c r="U1039" s="18" t="n"/>
      <c r="V1039" s="18" t="n"/>
      <c r="W1039" s="18" t="n"/>
      <c r="X1039" s="18" t="n"/>
      <c r="Y1039" s="13">
        <f>SUMPRODUCT(M1039:X1039,$M$2:$X$2)*$K1039*$L1039</f>
        <v/>
      </c>
      <c r="Z1039" s="14">
        <f>SUM(M1039:X1039)</f>
        <v/>
      </c>
      <c r="AA1039" s="13">
        <f>SUMPRODUCT(M1039:X1039,$M$3:$X$3)*$K1039*$L1039</f>
        <v/>
      </c>
      <c r="AB1039" s="13">
        <f>SUMPRODUCT(M1039:X1039,$M$4:$X$4)*$K1039*$L1039</f>
        <v/>
      </c>
      <c r="AC1039" s="15">
        <f>SUMPRODUCT(M1039:X1039,$M$5:$X$5)*$K1039*$L1039</f>
        <v/>
      </c>
      <c r="AD1039" s="15">
        <f>SUMPRODUCT(M1039:X1039,$M$6:$X$6)*$K1039*$L1039</f>
        <v/>
      </c>
      <c r="AE1039" s="19" t="n"/>
    </row>
    <row r="1040">
      <c r="A1040" s="9" t="n">
        <v>675919</v>
      </c>
      <c r="B1040" s="9" t="inlineStr">
        <is>
          <t>Nick Raquet</t>
        </is>
      </c>
      <c r="C1040" s="9" t="inlineStr"/>
      <c r="D1040" s="9" t="n">
        <v>31</v>
      </c>
      <c r="E1040" s="17" t="inlineStr">
        <is>
          <t>L</t>
        </is>
      </c>
      <c r="F1040" s="17" t="n"/>
      <c r="G1040" s="9" t="n">
        <v>17</v>
      </c>
      <c r="H1040" s="9" t="n">
        <v>24</v>
      </c>
      <c r="I1040" s="9" t="inlineStr">
        <is>
          <t>Depth (no MLB IP)</t>
        </is>
      </c>
      <c r="J1040" s="17" t="inlineStr">
        <is>
          <t>Opening Day</t>
        </is>
      </c>
      <c r="K1040" s="11">
        <f>IFERROR(INDEX(Roles!$B$17:$B$20,MATCH(J1040,Roles!$A$17:$A$20,0)),1)</f>
        <v/>
      </c>
      <c r="L1040" s="18" t="n">
        <v>1</v>
      </c>
      <c r="M1040" s="18" t="n"/>
      <c r="N1040" s="18" t="n"/>
      <c r="O1040" s="18" t="n"/>
      <c r="P1040" s="18" t="n"/>
      <c r="Q1040" s="18" t="n"/>
      <c r="R1040" s="18" t="n"/>
      <c r="S1040" s="18" t="n"/>
      <c r="T1040" s="18" t="n"/>
      <c r="U1040" s="18" t="n"/>
      <c r="V1040" s="18" t="n"/>
      <c r="W1040" s="18" t="n"/>
      <c r="X1040" s="18" t="n"/>
      <c r="Y1040" s="13">
        <f>SUMPRODUCT(M1040:X1040,$M$2:$X$2)*$K1040*$L1040</f>
        <v/>
      </c>
      <c r="Z1040" s="14">
        <f>SUM(M1040:X1040)</f>
        <v/>
      </c>
      <c r="AA1040" s="13">
        <f>SUMPRODUCT(M1040:X1040,$M$3:$X$3)*$K1040*$L1040</f>
        <v/>
      </c>
      <c r="AB1040" s="13">
        <f>SUMPRODUCT(M1040:X1040,$M$4:$X$4)*$K1040*$L1040</f>
        <v/>
      </c>
      <c r="AC1040" s="15">
        <f>SUMPRODUCT(M1040:X1040,$M$5:$X$5)*$K1040*$L1040</f>
        <v/>
      </c>
      <c r="AD1040" s="15">
        <f>SUMPRODUCT(M1040:X1040,$M$6:$X$6)*$K1040*$L1040</f>
        <v/>
      </c>
      <c r="AE1040" s="19" t="n"/>
    </row>
    <row r="1041">
      <c r="A1041" s="9" t="n">
        <v>676510</v>
      </c>
      <c r="B1041" s="9" t="inlineStr">
        <is>
          <t>Nolan Hoffman</t>
        </is>
      </c>
      <c r="C1041" s="9" t="inlineStr">
        <is>
          <t>KC</t>
        </is>
      </c>
      <c r="D1041" s="9" t="n">
        <v>29</v>
      </c>
      <c r="E1041" s="17" t="inlineStr">
        <is>
          <t>R</t>
        </is>
      </c>
      <c r="F1041" s="17" t="n"/>
      <c r="G1041" s="9" t="n">
        <v>45</v>
      </c>
      <c r="H1041" s="9" t="n">
        <v>52</v>
      </c>
      <c r="I1041" s="9" t="inlineStr">
        <is>
          <t>Bullpen Depth Arm</t>
        </is>
      </c>
      <c r="J1041" s="17" t="inlineStr">
        <is>
          <t>Opening Day</t>
        </is>
      </c>
      <c r="K1041" s="11">
        <f>IFERROR(INDEX(Roles!$B$17:$B$20,MATCH(J1041,Roles!$A$17:$A$20,0)),1)</f>
        <v/>
      </c>
      <c r="L1041" s="18" t="n">
        <v>1</v>
      </c>
      <c r="M1041" s="18" t="n"/>
      <c r="N1041" s="18" t="n"/>
      <c r="O1041" s="18" t="n"/>
      <c r="P1041" s="18" t="n"/>
      <c r="Q1041" s="18" t="n"/>
      <c r="R1041" s="18" t="n"/>
      <c r="S1041" s="18" t="n"/>
      <c r="T1041" s="18" t="n"/>
      <c r="U1041" s="18" t="n"/>
      <c r="V1041" s="18" t="n"/>
      <c r="W1041" s="18" t="n"/>
      <c r="X1041" s="18" t="n"/>
      <c r="Y1041" s="13">
        <f>SUMPRODUCT(M1041:X1041,$M$2:$X$2)*$K1041*$L1041</f>
        <v/>
      </c>
      <c r="Z1041" s="14">
        <f>SUM(M1041:X1041)</f>
        <v/>
      </c>
      <c r="AA1041" s="13">
        <f>SUMPRODUCT(M1041:X1041,$M$3:$X$3)*$K1041*$L1041</f>
        <v/>
      </c>
      <c r="AB1041" s="13">
        <f>SUMPRODUCT(M1041:X1041,$M$4:$X$4)*$K1041*$L1041</f>
        <v/>
      </c>
      <c r="AC1041" s="15">
        <f>SUMPRODUCT(M1041:X1041,$M$5:$X$5)*$K1041*$L1041</f>
        <v/>
      </c>
      <c r="AD1041" s="15">
        <f>SUMPRODUCT(M1041:X1041,$M$6:$X$6)*$K1041*$L1041</f>
        <v/>
      </c>
      <c r="AE1041" s="19" t="n"/>
    </row>
    <row r="1042">
      <c r="A1042" s="9" t="n">
        <v>608723</v>
      </c>
      <c r="B1042" s="9" t="inlineStr">
        <is>
          <t>Austin Voth</t>
        </is>
      </c>
      <c r="C1042" s="9" t="inlineStr">
        <is>
          <t>MIN</t>
        </is>
      </c>
      <c r="D1042" s="9" t="n">
        <v>35</v>
      </c>
      <c r="E1042" s="17" t="inlineStr">
        <is>
          <t>R</t>
        </is>
      </c>
      <c r="F1042" s="17" t="n"/>
      <c r="G1042" s="9" t="n">
        <v>56</v>
      </c>
      <c r="H1042" s="9" t="n">
        <v>906</v>
      </c>
      <c r="I1042" s="9" t="inlineStr">
        <is>
          <t>Bullpen Depth Arm</t>
        </is>
      </c>
      <c r="J1042" s="17" t="inlineStr">
        <is>
          <t>Opening Day</t>
        </is>
      </c>
      <c r="K1042" s="11">
        <f>IFERROR(INDEX(Roles!$B$17:$B$20,MATCH(J1042,Roles!$A$17:$A$20,0)),1)</f>
        <v/>
      </c>
      <c r="L1042" s="18" t="n">
        <v>1</v>
      </c>
      <c r="M1042" s="18" t="n"/>
      <c r="N1042" s="18" t="n"/>
      <c r="O1042" s="18" t="n"/>
      <c r="P1042" s="18" t="n"/>
      <c r="Q1042" s="18" t="n"/>
      <c r="R1042" s="18" t="n"/>
      <c r="S1042" s="18" t="n"/>
      <c r="T1042" s="18" t="n"/>
      <c r="U1042" s="18" t="n"/>
      <c r="V1042" s="18" t="n"/>
      <c r="W1042" s="18" t="n"/>
      <c r="X1042" s="18" t="n"/>
      <c r="Y1042" s="13">
        <f>SUMPRODUCT(M1042:X1042,$M$2:$X$2)*$K1042*$L1042</f>
        <v/>
      </c>
      <c r="Z1042" s="14">
        <f>SUM(M1042:X1042)</f>
        <v/>
      </c>
      <c r="AA1042" s="13">
        <f>SUMPRODUCT(M1042:X1042,$M$3:$X$3)*$K1042*$L1042</f>
        <v/>
      </c>
      <c r="AB1042" s="13">
        <f>SUMPRODUCT(M1042:X1042,$M$4:$X$4)*$K1042*$L1042</f>
        <v/>
      </c>
      <c r="AC1042" s="15">
        <f>SUMPRODUCT(M1042:X1042,$M$5:$X$5)*$K1042*$L1042</f>
        <v/>
      </c>
      <c r="AD1042" s="15">
        <f>SUMPRODUCT(M1042:X1042,$M$6:$X$6)*$K1042*$L1042</f>
        <v/>
      </c>
      <c r="AE1042" s="19" t="n"/>
    </row>
    <row r="1043">
      <c r="A1043" s="9" t="n">
        <v>681347</v>
      </c>
      <c r="B1043" s="9" t="inlineStr">
        <is>
          <t>Mike Burrows</t>
        </is>
      </c>
      <c r="C1043" s="9" t="inlineStr">
        <is>
          <t>HOU</t>
        </is>
      </c>
      <c r="D1043" s="9" t="n">
        <v>27</v>
      </c>
      <c r="E1043" s="17" t="inlineStr">
        <is>
          <t>R</t>
        </is>
      </c>
      <c r="F1043" s="17" t="n"/>
      <c r="G1043" s="9" t="n">
        <v>423</v>
      </c>
      <c r="H1043" s="9" t="n">
        <v>839</v>
      </c>
      <c r="I1043" s="9" t="inlineStr">
        <is>
          <t>End-of-Rotation Starter (SP4-5)</t>
        </is>
      </c>
      <c r="J1043" s="17" t="inlineStr">
        <is>
          <t>Opening Day</t>
        </is>
      </c>
      <c r="K1043" s="11">
        <f>IFERROR(INDEX(Roles!$B$17:$B$20,MATCH(J1043,Roles!$A$17:$A$20,0)),1)</f>
        <v/>
      </c>
      <c r="L1043" s="18" t="n">
        <v>1</v>
      </c>
      <c r="M1043" s="18" t="n"/>
      <c r="N1043" s="18" t="n"/>
      <c r="O1043" s="18" t="n"/>
      <c r="P1043" s="18" t="n"/>
      <c r="Q1043" s="18" t="n"/>
      <c r="R1043" s="18" t="n"/>
      <c r="S1043" s="18" t="n"/>
      <c r="T1043" s="18" t="n"/>
      <c r="U1043" s="18" t="n"/>
      <c r="V1043" s="18" t="n"/>
      <c r="W1043" s="18" t="n"/>
      <c r="X1043" s="18" t="n"/>
      <c r="Y1043" s="13">
        <f>SUMPRODUCT(M1043:X1043,$M$2:$X$2)*$K1043*$L1043</f>
        <v/>
      </c>
      <c r="Z1043" s="14">
        <f>SUM(M1043:X1043)</f>
        <v/>
      </c>
      <c r="AA1043" s="13">
        <f>SUMPRODUCT(M1043:X1043,$M$3:$X$3)*$K1043*$L1043</f>
        <v/>
      </c>
      <c r="AB1043" s="13">
        <f>SUMPRODUCT(M1043:X1043,$M$4:$X$4)*$K1043*$L1043</f>
        <v/>
      </c>
      <c r="AC1043" s="15">
        <f>SUMPRODUCT(M1043:X1043,$M$5:$X$5)*$K1043*$L1043</f>
        <v/>
      </c>
      <c r="AD1043" s="15">
        <f>SUMPRODUCT(M1043:X1043,$M$6:$X$6)*$K1043*$L1043</f>
        <v/>
      </c>
      <c r="AE1043" s="19" t="n"/>
    </row>
    <row r="1044">
      <c r="A1044" s="9" t="n">
        <v>682610</v>
      </c>
      <c r="B1044" s="9" t="inlineStr">
        <is>
          <t>Roddery Muñoz</t>
        </is>
      </c>
      <c r="C1044" s="9" t="inlineStr">
        <is>
          <t>HOU</t>
        </is>
      </c>
      <c r="D1044" s="9" t="n">
        <v>27</v>
      </c>
      <c r="E1044" s="17" t="inlineStr">
        <is>
          <t>R</t>
        </is>
      </c>
      <c r="F1044" s="17" t="n"/>
      <c r="G1044" s="9" t="n">
        <v>25</v>
      </c>
      <c r="H1044" s="9" t="n">
        <v>455</v>
      </c>
      <c r="I1044" s="9" t="inlineStr">
        <is>
          <t>End-of-Rotation Starter (SP4-5)</t>
        </is>
      </c>
      <c r="J1044" s="17" t="inlineStr">
        <is>
          <t>Opening Day</t>
        </is>
      </c>
      <c r="K1044" s="11">
        <f>IFERROR(INDEX(Roles!$B$17:$B$20,MATCH(J1044,Roles!$A$17:$A$20,0)),1)</f>
        <v/>
      </c>
      <c r="L1044" s="18" t="n">
        <v>1</v>
      </c>
      <c r="M1044" s="18" t="n"/>
      <c r="N1044" s="18" t="n"/>
      <c r="O1044" s="18" t="n"/>
      <c r="P1044" s="18" t="n"/>
      <c r="Q1044" s="18" t="n"/>
      <c r="R1044" s="18" t="n"/>
      <c r="S1044" s="18" t="n"/>
      <c r="T1044" s="18" t="n"/>
      <c r="U1044" s="18" t="n"/>
      <c r="V1044" s="18" t="n"/>
      <c r="W1044" s="18" t="n"/>
      <c r="X1044" s="18" t="n"/>
      <c r="Y1044" s="13">
        <f>SUMPRODUCT(M1044:X1044,$M$2:$X$2)*$K1044*$L1044</f>
        <v/>
      </c>
      <c r="Z1044" s="14">
        <f>SUM(M1044:X1044)</f>
        <v/>
      </c>
      <c r="AA1044" s="13">
        <f>SUMPRODUCT(M1044:X1044,$M$3:$X$3)*$K1044*$L1044</f>
        <v/>
      </c>
      <c r="AB1044" s="13">
        <f>SUMPRODUCT(M1044:X1044,$M$4:$X$4)*$K1044*$L1044</f>
        <v/>
      </c>
      <c r="AC1044" s="15">
        <f>SUMPRODUCT(M1044:X1044,$M$5:$X$5)*$K1044*$L1044</f>
        <v/>
      </c>
      <c r="AD1044" s="15">
        <f>SUMPRODUCT(M1044:X1044,$M$6:$X$6)*$K1044*$L1044</f>
        <v/>
      </c>
      <c r="AE1044" s="19" t="n"/>
    </row>
    <row r="1045">
      <c r="A1045" s="9" t="n">
        <v>689167</v>
      </c>
      <c r="B1045" s="9" t="inlineStr">
        <is>
          <t>Jeff Lindgren</t>
        </is>
      </c>
      <c r="C1045" s="9" t="inlineStr">
        <is>
          <t>MIA</t>
        </is>
      </c>
      <c r="D1045" s="9" t="n">
        <v>30</v>
      </c>
      <c r="E1045" s="17" t="inlineStr">
        <is>
          <t>R</t>
        </is>
      </c>
      <c r="F1045" s="17" t="n"/>
      <c r="G1045" s="9" t="n">
        <v>28</v>
      </c>
      <c r="H1045" s="9" t="n">
        <v>28</v>
      </c>
      <c r="I1045" s="9" t="inlineStr">
        <is>
          <t>Depth (no MLB IP)</t>
        </is>
      </c>
      <c r="J1045" s="17" t="inlineStr">
        <is>
          <t>Opening Day</t>
        </is>
      </c>
      <c r="K1045" s="11">
        <f>IFERROR(INDEX(Roles!$B$17:$B$20,MATCH(J1045,Roles!$A$17:$A$20,0)),1)</f>
        <v/>
      </c>
      <c r="L1045" s="18" t="n">
        <v>1</v>
      </c>
      <c r="M1045" s="18" t="n"/>
      <c r="N1045" s="18" t="n"/>
      <c r="O1045" s="18" t="n"/>
      <c r="P1045" s="18" t="n"/>
      <c r="Q1045" s="18" t="n"/>
      <c r="R1045" s="18" t="n"/>
      <c r="S1045" s="18" t="n"/>
      <c r="T1045" s="18" t="n"/>
      <c r="U1045" s="18" t="n"/>
      <c r="V1045" s="18" t="n"/>
      <c r="W1045" s="18" t="n"/>
      <c r="X1045" s="18" t="n"/>
      <c r="Y1045" s="13">
        <f>SUMPRODUCT(M1045:X1045,$M$2:$X$2)*$K1045*$L1045</f>
        <v/>
      </c>
      <c r="Z1045" s="14">
        <f>SUM(M1045:X1045)</f>
        <v/>
      </c>
      <c r="AA1045" s="13">
        <f>SUMPRODUCT(M1045:X1045,$M$3:$X$3)*$K1045*$L1045</f>
        <v/>
      </c>
      <c r="AB1045" s="13">
        <f>SUMPRODUCT(M1045:X1045,$M$4:$X$4)*$K1045*$L1045</f>
        <v/>
      </c>
      <c r="AC1045" s="15">
        <f>SUMPRODUCT(M1045:X1045,$M$5:$X$5)*$K1045*$L1045</f>
        <v/>
      </c>
      <c r="AD1045" s="15">
        <f>SUMPRODUCT(M1045:X1045,$M$6:$X$6)*$K1045*$L1045</f>
        <v/>
      </c>
      <c r="AE1045" s="19" t="n"/>
    </row>
    <row r="1046">
      <c r="A1046" s="9" t="n">
        <v>702273</v>
      </c>
      <c r="B1046" s="9" t="inlineStr">
        <is>
          <t>Noah Schultz</t>
        </is>
      </c>
      <c r="C1046" s="9" t="inlineStr">
        <is>
          <t>CWS</t>
        </is>
      </c>
      <c r="D1046" s="9" t="n">
        <v>23</v>
      </c>
      <c r="E1046" s="17" t="inlineStr">
        <is>
          <t>L</t>
        </is>
      </c>
      <c r="F1046" s="17" t="n"/>
      <c r="G1046" s="9" t="n">
        <v>297</v>
      </c>
      <c r="H1046" s="9" t="n">
        <v>297</v>
      </c>
      <c r="I1046" s="9" t="inlineStr">
        <is>
          <t>End-of-Rotation Starter (SP4-5)</t>
        </is>
      </c>
      <c r="J1046" s="17" t="inlineStr">
        <is>
          <t>Opening Day</t>
        </is>
      </c>
      <c r="K1046" s="11">
        <f>IFERROR(INDEX(Roles!$B$17:$B$20,MATCH(J1046,Roles!$A$17:$A$20,0)),1)</f>
        <v/>
      </c>
      <c r="L1046" s="18" t="n">
        <v>1</v>
      </c>
      <c r="M1046" s="18" t="n"/>
      <c r="N1046" s="18" t="n"/>
      <c r="O1046" s="18" t="n"/>
      <c r="P1046" s="18" t="n"/>
      <c r="Q1046" s="18" t="n"/>
      <c r="R1046" s="18" t="n"/>
      <c r="S1046" s="18" t="n"/>
      <c r="T1046" s="18" t="n"/>
      <c r="U1046" s="18" t="n"/>
      <c r="V1046" s="18" t="n"/>
      <c r="W1046" s="18" t="n"/>
      <c r="X1046" s="18" t="n"/>
      <c r="Y1046" s="13">
        <f>SUMPRODUCT(M1046:X1046,$M$2:$X$2)*$K1046*$L1046</f>
        <v/>
      </c>
      <c r="Z1046" s="14">
        <f>SUM(M1046:X1046)</f>
        <v/>
      </c>
      <c r="AA1046" s="13">
        <f>SUMPRODUCT(M1046:X1046,$M$3:$X$3)*$K1046*$L1046</f>
        <v/>
      </c>
      <c r="AB1046" s="13">
        <f>SUMPRODUCT(M1046:X1046,$M$4:$X$4)*$K1046*$L1046</f>
        <v/>
      </c>
      <c r="AC1046" s="15">
        <f>SUMPRODUCT(M1046:X1046,$M$5:$X$5)*$K1046*$L1046</f>
        <v/>
      </c>
      <c r="AD1046" s="15">
        <f>SUMPRODUCT(M1046:X1046,$M$6:$X$6)*$K1046*$L1046</f>
        <v/>
      </c>
      <c r="AE1046" s="19" t="n"/>
    </row>
    <row r="1047">
      <c r="A1047" s="9" t="n">
        <v>656186</v>
      </c>
      <c r="B1047" s="9" t="inlineStr">
        <is>
          <t>Dan Altavilla</t>
        </is>
      </c>
      <c r="C1047" s="9" t="inlineStr">
        <is>
          <t>CWS</t>
        </is>
      </c>
      <c r="D1047" s="9" t="n">
        <v>34</v>
      </c>
      <c r="E1047" s="17" t="inlineStr">
        <is>
          <t>R</t>
        </is>
      </c>
      <c r="F1047" s="17" t="n"/>
      <c r="G1047" s="9" t="n">
        <v>120</v>
      </c>
      <c r="H1047" s="9" t="n">
        <v>141</v>
      </c>
      <c r="I1047" s="9" t="inlineStr">
        <is>
          <t>Bullpen Depth Arm</t>
        </is>
      </c>
      <c r="J1047" s="17" t="inlineStr">
        <is>
          <t>Opening Day</t>
        </is>
      </c>
      <c r="K1047" s="11">
        <f>IFERROR(INDEX(Roles!$B$17:$B$20,MATCH(J1047,Roles!$A$17:$A$20,0)),1)</f>
        <v/>
      </c>
      <c r="L1047" s="18" t="n">
        <v>1</v>
      </c>
      <c r="M1047" s="18" t="n"/>
      <c r="N1047" s="18" t="n"/>
      <c r="O1047" s="18" t="n"/>
      <c r="P1047" s="18" t="n"/>
      <c r="Q1047" s="18" t="n"/>
      <c r="R1047" s="18" t="n"/>
      <c r="S1047" s="18" t="n"/>
      <c r="T1047" s="18" t="n"/>
      <c r="U1047" s="18" t="n"/>
      <c r="V1047" s="18" t="n"/>
      <c r="W1047" s="18" t="n"/>
      <c r="X1047" s="18" t="n"/>
      <c r="Y1047" s="13">
        <f>SUMPRODUCT(M1047:X1047,$M$2:$X$2)*$K1047*$L1047</f>
        <v/>
      </c>
      <c r="Z1047" s="14">
        <f>SUM(M1047:X1047)</f>
        <v/>
      </c>
      <c r="AA1047" s="13">
        <f>SUMPRODUCT(M1047:X1047,$M$3:$X$3)*$K1047*$L1047</f>
        <v/>
      </c>
      <c r="AB1047" s="13">
        <f>SUMPRODUCT(M1047:X1047,$M$4:$X$4)*$K1047*$L1047</f>
        <v/>
      </c>
      <c r="AC1047" s="15">
        <f>SUMPRODUCT(M1047:X1047,$M$5:$X$5)*$K1047*$L1047</f>
        <v/>
      </c>
      <c r="AD1047" s="15">
        <f>SUMPRODUCT(M1047:X1047,$M$6:$X$6)*$K1047*$L1047</f>
        <v/>
      </c>
      <c r="AE1047" s="19" t="n"/>
    </row>
    <row r="1048">
      <c r="A1048" s="9" t="n">
        <v>622503</v>
      </c>
      <c r="B1048" s="9" t="inlineStr">
        <is>
          <t>Nabil Crismatt</t>
        </is>
      </c>
      <c r="C1048" s="9" t="inlineStr">
        <is>
          <t>ARI</t>
        </is>
      </c>
      <c r="D1048" s="9" t="n">
        <v>32</v>
      </c>
      <c r="E1048" s="17" t="inlineStr">
        <is>
          <t>R</t>
        </is>
      </c>
      <c r="F1048" s="17" t="n"/>
      <c r="G1048" s="9" t="n">
        <v>153</v>
      </c>
      <c r="H1048" s="9" t="n">
        <v>524</v>
      </c>
      <c r="I1048" s="9" t="inlineStr">
        <is>
          <t>End-of-Rotation Starter (SP4-5)</t>
        </is>
      </c>
      <c r="J1048" s="17" t="inlineStr">
        <is>
          <t>Opening Day</t>
        </is>
      </c>
      <c r="K1048" s="11">
        <f>IFERROR(INDEX(Roles!$B$17:$B$20,MATCH(J1048,Roles!$A$17:$A$20,0)),1)</f>
        <v/>
      </c>
      <c r="L1048" s="18" t="n">
        <v>1</v>
      </c>
      <c r="M1048" s="18" t="n"/>
      <c r="N1048" s="18" t="n"/>
      <c r="O1048" s="18" t="n"/>
      <c r="P1048" s="18" t="n"/>
      <c r="Q1048" s="18" t="n"/>
      <c r="R1048" s="18" t="n"/>
      <c r="S1048" s="18" t="n"/>
      <c r="T1048" s="18" t="n"/>
      <c r="U1048" s="18" t="n"/>
      <c r="V1048" s="18" t="n"/>
      <c r="W1048" s="18" t="n"/>
      <c r="X1048" s="18" t="n"/>
      <c r="Y1048" s="13">
        <f>SUMPRODUCT(M1048:X1048,$M$2:$X$2)*$K1048*$L1048</f>
        <v/>
      </c>
      <c r="Z1048" s="14">
        <f>SUM(M1048:X1048)</f>
        <v/>
      </c>
      <c r="AA1048" s="13">
        <f>SUMPRODUCT(M1048:X1048,$M$3:$X$3)*$K1048*$L1048</f>
        <v/>
      </c>
      <c r="AB1048" s="13">
        <f>SUMPRODUCT(M1048:X1048,$M$4:$X$4)*$K1048*$L1048</f>
        <v/>
      </c>
      <c r="AC1048" s="15">
        <f>SUMPRODUCT(M1048:X1048,$M$5:$X$5)*$K1048*$L1048</f>
        <v/>
      </c>
      <c r="AD1048" s="15">
        <f>SUMPRODUCT(M1048:X1048,$M$6:$X$6)*$K1048*$L1048</f>
        <v/>
      </c>
      <c r="AE1048" s="19" t="n"/>
    </row>
    <row r="1049">
      <c r="A1049" s="9" t="n">
        <v>665625</v>
      </c>
      <c r="B1049" s="9" t="inlineStr">
        <is>
          <t>Elvis Peguero</t>
        </is>
      </c>
      <c r="C1049" s="9" t="inlineStr">
        <is>
          <t>CWS</t>
        </is>
      </c>
      <c r="D1049" s="9" t="n">
        <v>30</v>
      </c>
      <c r="E1049" s="17" t="inlineStr">
        <is>
          <t>R</t>
        </is>
      </c>
      <c r="F1049" s="17" t="n"/>
      <c r="G1049" s="9" t="n">
        <v>47</v>
      </c>
      <c r="H1049" s="9" t="n">
        <v>603</v>
      </c>
      <c r="I1049" s="9" t="inlineStr">
        <is>
          <t>Bullpen Depth Arm</t>
        </is>
      </c>
      <c r="J1049" s="17" t="inlineStr">
        <is>
          <t>Opening Day</t>
        </is>
      </c>
      <c r="K1049" s="11">
        <f>IFERROR(INDEX(Roles!$B$17:$B$20,MATCH(J1049,Roles!$A$17:$A$20,0)),1)</f>
        <v/>
      </c>
      <c r="L1049" s="18" t="n">
        <v>1</v>
      </c>
      <c r="M1049" s="18" t="n"/>
      <c r="N1049" s="18" t="n"/>
      <c r="O1049" s="18" t="n"/>
      <c r="P1049" s="18" t="n"/>
      <c r="Q1049" s="18" t="n"/>
      <c r="R1049" s="18" t="n"/>
      <c r="S1049" s="18" t="n"/>
      <c r="T1049" s="18" t="n"/>
      <c r="U1049" s="18" t="n"/>
      <c r="V1049" s="18" t="n"/>
      <c r="W1049" s="18" t="n"/>
      <c r="X1049" s="18" t="n"/>
      <c r="Y1049" s="13">
        <f>SUMPRODUCT(M1049:X1049,$M$2:$X$2)*$K1049*$L1049</f>
        <v/>
      </c>
      <c r="Z1049" s="14">
        <f>SUM(M1049:X1049)</f>
        <v/>
      </c>
      <c r="AA1049" s="13">
        <f>SUMPRODUCT(M1049:X1049,$M$3:$X$3)*$K1049*$L1049</f>
        <v/>
      </c>
      <c r="AB1049" s="13">
        <f>SUMPRODUCT(M1049:X1049,$M$4:$X$4)*$K1049*$L1049</f>
        <v/>
      </c>
      <c r="AC1049" s="15">
        <f>SUMPRODUCT(M1049:X1049,$M$5:$X$5)*$K1049*$L1049</f>
        <v/>
      </c>
      <c r="AD1049" s="15">
        <f>SUMPRODUCT(M1049:X1049,$M$6:$X$6)*$K1049*$L1049</f>
        <v/>
      </c>
      <c r="AE1049" s="19" t="n"/>
    </row>
    <row r="1050">
      <c r="A1050" s="9" t="n">
        <v>628708</v>
      </c>
      <c r="B1050" s="9" t="inlineStr">
        <is>
          <t>Yunior Marte</t>
        </is>
      </c>
      <c r="C1050" s="9" t="inlineStr">
        <is>
          <t>PHI</t>
        </is>
      </c>
      <c r="D1050" s="9" t="n">
        <v>32</v>
      </c>
      <c r="E1050" s="17" t="inlineStr">
        <is>
          <t>R</t>
        </is>
      </c>
      <c r="F1050" s="17" t="n"/>
      <c r="G1050" s="9" t="n">
        <v>6</v>
      </c>
      <c r="H1050" s="9" t="n">
        <v>529</v>
      </c>
      <c r="I1050" s="9" t="inlineStr">
        <is>
          <t>Depth (no MLB IP)</t>
        </is>
      </c>
      <c r="J1050" s="17" t="inlineStr">
        <is>
          <t>Opening Day</t>
        </is>
      </c>
      <c r="K1050" s="11">
        <f>IFERROR(INDEX(Roles!$B$17:$B$20,MATCH(J1050,Roles!$A$17:$A$20,0)),1)</f>
        <v/>
      </c>
      <c r="L1050" s="18" t="n">
        <v>1</v>
      </c>
      <c r="M1050" s="18" t="n"/>
      <c r="N1050" s="18" t="n"/>
      <c r="O1050" s="18" t="n"/>
      <c r="P1050" s="18" t="n"/>
      <c r="Q1050" s="18" t="n"/>
      <c r="R1050" s="18" t="n"/>
      <c r="S1050" s="18" t="n"/>
      <c r="T1050" s="18" t="n"/>
      <c r="U1050" s="18" t="n"/>
      <c r="V1050" s="18" t="n"/>
      <c r="W1050" s="18" t="n"/>
      <c r="X1050" s="18" t="n"/>
      <c r="Y1050" s="13">
        <f>SUMPRODUCT(M1050:X1050,$M$2:$X$2)*$K1050*$L1050</f>
        <v/>
      </c>
      <c r="Z1050" s="14">
        <f>SUM(M1050:X1050)</f>
        <v/>
      </c>
      <c r="AA1050" s="13">
        <f>SUMPRODUCT(M1050:X1050,$M$3:$X$3)*$K1050*$L1050</f>
        <v/>
      </c>
      <c r="AB1050" s="13">
        <f>SUMPRODUCT(M1050:X1050,$M$4:$X$4)*$K1050*$L1050</f>
        <v/>
      </c>
      <c r="AC1050" s="15">
        <f>SUMPRODUCT(M1050:X1050,$M$5:$X$5)*$K1050*$L1050</f>
        <v/>
      </c>
      <c r="AD1050" s="15">
        <f>SUMPRODUCT(M1050:X1050,$M$6:$X$6)*$K1050*$L1050</f>
        <v/>
      </c>
      <c r="AE1050" s="19" t="n"/>
    </row>
    <row r="1051">
      <c r="A1051" s="9" t="n">
        <v>645444</v>
      </c>
      <c r="B1051" s="9" t="inlineStr">
        <is>
          <t>Jose Herrera</t>
        </is>
      </c>
      <c r="C1051" s="9" t="inlineStr"/>
      <c r="D1051" s="9" t="n">
        <v>30</v>
      </c>
      <c r="E1051" s="17" t="inlineStr">
        <is>
          <t>R</t>
        </is>
      </c>
      <c r="F1051" s="17" t="n"/>
      <c r="G1051" s="9" t="n">
        <v>10</v>
      </c>
      <c r="H1051" s="9" t="n">
        <v>20</v>
      </c>
      <c r="I1051" s="9" t="inlineStr">
        <is>
          <t>Depth (no MLB IP)</t>
        </is>
      </c>
      <c r="J1051" s="17" t="inlineStr">
        <is>
          <t>Opening Day</t>
        </is>
      </c>
      <c r="K1051" s="11">
        <f>IFERROR(INDEX(Roles!$B$17:$B$20,MATCH(J1051,Roles!$A$17:$A$20,0)),1)</f>
        <v/>
      </c>
      <c r="L1051" s="18" t="n">
        <v>1</v>
      </c>
      <c r="M1051" s="18" t="n"/>
      <c r="N1051" s="18" t="n"/>
      <c r="O1051" s="18" t="n"/>
      <c r="P1051" s="18" t="n"/>
      <c r="Q1051" s="18" t="n"/>
      <c r="R1051" s="18" t="n"/>
      <c r="S1051" s="18" t="n"/>
      <c r="T1051" s="18" t="n"/>
      <c r="U1051" s="18" t="n"/>
      <c r="V1051" s="18" t="n"/>
      <c r="W1051" s="18" t="n"/>
      <c r="X1051" s="18" t="n"/>
      <c r="Y1051" s="13">
        <f>SUMPRODUCT(M1051:X1051,$M$2:$X$2)*$K1051*$L1051</f>
        <v/>
      </c>
      <c r="Z1051" s="14">
        <f>SUM(M1051:X1051)</f>
        <v/>
      </c>
      <c r="AA1051" s="13">
        <f>SUMPRODUCT(M1051:X1051,$M$3:$X$3)*$K1051*$L1051</f>
        <v/>
      </c>
      <c r="AB1051" s="13">
        <f>SUMPRODUCT(M1051:X1051,$M$4:$X$4)*$K1051*$L1051</f>
        <v/>
      </c>
      <c r="AC1051" s="15">
        <f>SUMPRODUCT(M1051:X1051,$M$5:$X$5)*$K1051*$L1051</f>
        <v/>
      </c>
      <c r="AD1051" s="15">
        <f>SUMPRODUCT(M1051:X1051,$M$6:$X$6)*$K1051*$L1051</f>
        <v/>
      </c>
      <c r="AE1051" s="19" t="n"/>
    </row>
    <row r="1052">
      <c r="A1052" s="9" t="n">
        <v>676051</v>
      </c>
      <c r="B1052" s="9" t="inlineStr">
        <is>
          <t>Codi Heuer</t>
        </is>
      </c>
      <c r="C1052" s="9" t="inlineStr">
        <is>
          <t>CLE</t>
        </is>
      </c>
      <c r="D1052" s="9" t="n">
        <v>30</v>
      </c>
      <c r="E1052" s="17" t="inlineStr">
        <is>
          <t>R</t>
        </is>
      </c>
      <c r="F1052" s="17" t="n"/>
      <c r="G1052" s="9" t="n">
        <v>46</v>
      </c>
      <c r="H1052" s="9" t="n">
        <v>67</v>
      </c>
      <c r="I1052" s="9" t="inlineStr">
        <is>
          <t>Bullpen Depth Arm</t>
        </is>
      </c>
      <c r="J1052" s="17" t="inlineStr">
        <is>
          <t>Opening Day</t>
        </is>
      </c>
      <c r="K1052" s="11">
        <f>IFERROR(INDEX(Roles!$B$17:$B$20,MATCH(J1052,Roles!$A$17:$A$20,0)),1)</f>
        <v/>
      </c>
      <c r="L1052" s="18" t="n">
        <v>1</v>
      </c>
      <c r="M1052" s="18" t="n"/>
      <c r="N1052" s="18" t="n"/>
      <c r="O1052" s="18" t="n"/>
      <c r="P1052" s="18" t="n"/>
      <c r="Q1052" s="18" t="n"/>
      <c r="R1052" s="18" t="n"/>
      <c r="S1052" s="18" t="n"/>
      <c r="T1052" s="18" t="n"/>
      <c r="U1052" s="18" t="n"/>
      <c r="V1052" s="18" t="n"/>
      <c r="W1052" s="18" t="n"/>
      <c r="X1052" s="18" t="n"/>
      <c r="Y1052" s="13">
        <f>SUMPRODUCT(M1052:X1052,$M$2:$X$2)*$K1052*$L1052</f>
        <v/>
      </c>
      <c r="Z1052" s="14">
        <f>SUM(M1052:X1052)</f>
        <v/>
      </c>
      <c r="AA1052" s="13">
        <f>SUMPRODUCT(M1052:X1052,$M$3:$X$3)*$K1052*$L1052</f>
        <v/>
      </c>
      <c r="AB1052" s="13">
        <f>SUMPRODUCT(M1052:X1052,$M$4:$X$4)*$K1052*$L1052</f>
        <v/>
      </c>
      <c r="AC1052" s="15">
        <f>SUMPRODUCT(M1052:X1052,$M$5:$X$5)*$K1052*$L1052</f>
        <v/>
      </c>
      <c r="AD1052" s="15">
        <f>SUMPRODUCT(M1052:X1052,$M$6:$X$6)*$K1052*$L1052</f>
        <v/>
      </c>
      <c r="AE1052" s="19" t="n"/>
    </row>
    <row r="1053">
      <c r="A1053" s="9" t="n">
        <v>664199</v>
      </c>
      <c r="B1053" s="9" t="inlineStr">
        <is>
          <t>Taylor Clarke</t>
        </is>
      </c>
      <c r="C1053" s="9" t="inlineStr">
        <is>
          <t>ARI</t>
        </is>
      </c>
      <c r="D1053" s="9" t="n">
        <v>34</v>
      </c>
      <c r="E1053" s="17" t="inlineStr">
        <is>
          <t>R</t>
        </is>
      </c>
      <c r="F1053" s="17" t="n"/>
      <c r="G1053" s="9" t="n">
        <v>268</v>
      </c>
      <c r="H1053" s="9" t="n">
        <v>943</v>
      </c>
      <c r="I1053" s="9" t="inlineStr">
        <is>
          <t>Bullpen Depth Arm</t>
        </is>
      </c>
      <c r="J1053" s="17" t="inlineStr">
        <is>
          <t>Opening Day</t>
        </is>
      </c>
      <c r="K1053" s="11">
        <f>IFERROR(INDEX(Roles!$B$17:$B$20,MATCH(J1053,Roles!$A$17:$A$20,0)),1)</f>
        <v/>
      </c>
      <c r="L1053" s="18" t="n">
        <v>1</v>
      </c>
      <c r="M1053" s="18" t="n"/>
      <c r="N1053" s="18" t="n"/>
      <c r="O1053" s="18" t="n"/>
      <c r="P1053" s="18" t="n"/>
      <c r="Q1053" s="18" t="n"/>
      <c r="R1053" s="18" t="n"/>
      <c r="S1053" s="18" t="n"/>
      <c r="T1053" s="18" t="n"/>
      <c r="U1053" s="18" t="n"/>
      <c r="V1053" s="18" t="n"/>
      <c r="W1053" s="18" t="n"/>
      <c r="X1053" s="18" t="n"/>
      <c r="Y1053" s="13">
        <f>SUMPRODUCT(M1053:X1053,$M$2:$X$2)*$K1053*$L1053</f>
        <v/>
      </c>
      <c r="Z1053" s="14">
        <f>SUM(M1053:X1053)</f>
        <v/>
      </c>
      <c r="AA1053" s="13">
        <f>SUMPRODUCT(M1053:X1053,$M$3:$X$3)*$K1053*$L1053</f>
        <v/>
      </c>
      <c r="AB1053" s="13">
        <f>SUMPRODUCT(M1053:X1053,$M$4:$X$4)*$K1053*$L1053</f>
        <v/>
      </c>
      <c r="AC1053" s="15">
        <f>SUMPRODUCT(M1053:X1053,$M$5:$X$5)*$K1053*$L1053</f>
        <v/>
      </c>
      <c r="AD1053" s="15">
        <f>SUMPRODUCT(M1053:X1053,$M$6:$X$6)*$K1053*$L1053</f>
        <v/>
      </c>
      <c r="AE1053" s="19" t="n"/>
    </row>
    <row r="1054">
      <c r="A1054" s="9" t="n">
        <v>571901</v>
      </c>
      <c r="B1054" s="9" t="inlineStr">
        <is>
          <t>Aaron Loup</t>
        </is>
      </c>
      <c r="C1054" s="9" t="inlineStr">
        <is>
          <t>LAA</t>
        </is>
      </c>
      <c r="D1054" s="9" t="n">
        <v>39</v>
      </c>
      <c r="E1054" s="17" t="inlineStr">
        <is>
          <t>L</t>
        </is>
      </c>
      <c r="F1054" s="17" t="n"/>
      <c r="G1054" s="9" t="n">
        <v>231</v>
      </c>
      <c r="H1054" s="9" t="n">
        <v>491</v>
      </c>
      <c r="I1054" s="9" t="inlineStr">
        <is>
          <t>Depth (no MLB IP)</t>
        </is>
      </c>
      <c r="J1054" s="17" t="inlineStr">
        <is>
          <t>Opening Day</t>
        </is>
      </c>
      <c r="K1054" s="11">
        <f>IFERROR(INDEX(Roles!$B$17:$B$20,MATCH(J1054,Roles!$A$17:$A$20,0)),1)</f>
        <v/>
      </c>
      <c r="L1054" s="18" t="n">
        <v>1</v>
      </c>
      <c r="M1054" s="18" t="n"/>
      <c r="N1054" s="18" t="n"/>
      <c r="O1054" s="18" t="n"/>
      <c r="P1054" s="18" t="n"/>
      <c r="Q1054" s="18" t="n"/>
      <c r="R1054" s="18" t="n"/>
      <c r="S1054" s="18" t="n"/>
      <c r="T1054" s="18" t="n"/>
      <c r="U1054" s="18" t="n"/>
      <c r="V1054" s="18" t="n"/>
      <c r="W1054" s="18" t="n"/>
      <c r="X1054" s="18" t="n"/>
      <c r="Y1054" s="13">
        <f>SUMPRODUCT(M1054:X1054,$M$2:$X$2)*$K1054*$L1054</f>
        <v/>
      </c>
      <c r="Z1054" s="14">
        <f>SUM(M1054:X1054)</f>
        <v/>
      </c>
      <c r="AA1054" s="13">
        <f>SUMPRODUCT(M1054:X1054,$M$3:$X$3)*$K1054*$L1054</f>
        <v/>
      </c>
      <c r="AB1054" s="13">
        <f>SUMPRODUCT(M1054:X1054,$M$4:$X$4)*$K1054*$L1054</f>
        <v/>
      </c>
      <c r="AC1054" s="15">
        <f>SUMPRODUCT(M1054:X1054,$M$5:$X$5)*$K1054*$L1054</f>
        <v/>
      </c>
      <c r="AD1054" s="15">
        <f>SUMPRODUCT(M1054:X1054,$M$6:$X$6)*$K1054*$L1054</f>
        <v/>
      </c>
      <c r="AE1054" s="19" t="n"/>
    </row>
    <row r="1055">
      <c r="A1055" s="9" t="n">
        <v>672730</v>
      </c>
      <c r="B1055" s="9" t="inlineStr">
        <is>
          <t>Juan Then</t>
        </is>
      </c>
      <c r="C1055" s="9" t="inlineStr">
        <is>
          <t>SEA</t>
        </is>
      </c>
      <c r="D1055" s="9" t="n">
        <v>27</v>
      </c>
      <c r="E1055" s="17" t="inlineStr">
        <is>
          <t>R</t>
        </is>
      </c>
      <c r="F1055" s="17" t="n"/>
      <c r="G1055" s="9" t="n">
        <v>48</v>
      </c>
      <c r="H1055" s="9" t="n">
        <v>48</v>
      </c>
      <c r="I1055" s="9" t="inlineStr">
        <is>
          <t>Depth (no MLB IP)</t>
        </is>
      </c>
      <c r="J1055" s="17" t="inlineStr">
        <is>
          <t>Opening Day</t>
        </is>
      </c>
      <c r="K1055" s="11">
        <f>IFERROR(INDEX(Roles!$B$17:$B$20,MATCH(J1055,Roles!$A$17:$A$20,0)),1)</f>
        <v/>
      </c>
      <c r="L1055" s="18" t="n">
        <v>1</v>
      </c>
      <c r="M1055" s="18" t="n"/>
      <c r="N1055" s="18" t="n"/>
      <c r="O1055" s="18" t="n"/>
      <c r="P1055" s="18" t="n"/>
      <c r="Q1055" s="18" t="n"/>
      <c r="R1055" s="18" t="n"/>
      <c r="S1055" s="18" t="n"/>
      <c r="T1055" s="18" t="n"/>
      <c r="U1055" s="18" t="n"/>
      <c r="V1055" s="18" t="n"/>
      <c r="W1055" s="18" t="n"/>
      <c r="X1055" s="18" t="n"/>
      <c r="Y1055" s="13">
        <f>SUMPRODUCT(M1055:X1055,$M$2:$X$2)*$K1055*$L1055</f>
        <v/>
      </c>
      <c r="Z1055" s="14">
        <f>SUM(M1055:X1055)</f>
        <v/>
      </c>
      <c r="AA1055" s="13">
        <f>SUMPRODUCT(M1055:X1055,$M$3:$X$3)*$K1055*$L1055</f>
        <v/>
      </c>
      <c r="AB1055" s="13">
        <f>SUMPRODUCT(M1055:X1055,$M$4:$X$4)*$K1055*$L1055</f>
        <v/>
      </c>
      <c r="AC1055" s="15">
        <f>SUMPRODUCT(M1055:X1055,$M$5:$X$5)*$K1055*$L1055</f>
        <v/>
      </c>
      <c r="AD1055" s="15">
        <f>SUMPRODUCT(M1055:X1055,$M$6:$X$6)*$K1055*$L1055</f>
        <v/>
      </c>
      <c r="AE1055" s="19" t="n"/>
    </row>
    <row r="1056">
      <c r="A1056" s="9" t="n">
        <v>668942</v>
      </c>
      <c r="B1056" s="9" t="inlineStr">
        <is>
          <t>Josh Rojas</t>
        </is>
      </c>
      <c r="C1056" s="9" t="inlineStr"/>
      <c r="D1056" s="9" t="n">
        <v>33</v>
      </c>
      <c r="E1056" s="17" t="inlineStr">
        <is>
          <t>R</t>
        </is>
      </c>
      <c r="F1056" s="17" t="n"/>
      <c r="G1056" s="9" t="n">
        <v>4</v>
      </c>
      <c r="H1056" s="9" t="n">
        <v>25</v>
      </c>
      <c r="I1056" s="9" t="inlineStr">
        <is>
          <t>Depth (no MLB IP)</t>
        </is>
      </c>
      <c r="J1056" s="17" t="inlineStr">
        <is>
          <t>Opening Day</t>
        </is>
      </c>
      <c r="K1056" s="11">
        <f>IFERROR(INDEX(Roles!$B$17:$B$20,MATCH(J1056,Roles!$A$17:$A$20,0)),1)</f>
        <v/>
      </c>
      <c r="L1056" s="18" t="n">
        <v>1</v>
      </c>
      <c r="M1056" s="18" t="n"/>
      <c r="N1056" s="18" t="n"/>
      <c r="O1056" s="18" t="n"/>
      <c r="P1056" s="18" t="n"/>
      <c r="Q1056" s="18" t="n"/>
      <c r="R1056" s="18" t="n"/>
      <c r="S1056" s="18" t="n"/>
      <c r="T1056" s="18" t="n"/>
      <c r="U1056" s="18" t="n"/>
      <c r="V1056" s="18" t="n"/>
      <c r="W1056" s="18" t="n"/>
      <c r="X1056" s="18" t="n"/>
      <c r="Y1056" s="13">
        <f>SUMPRODUCT(M1056:X1056,$M$2:$X$2)*$K1056*$L1056</f>
        <v/>
      </c>
      <c r="Z1056" s="14">
        <f>SUM(M1056:X1056)</f>
        <v/>
      </c>
      <c r="AA1056" s="13">
        <f>SUMPRODUCT(M1056:X1056,$M$3:$X$3)*$K1056*$L1056</f>
        <v/>
      </c>
      <c r="AB1056" s="13">
        <f>SUMPRODUCT(M1056:X1056,$M$4:$X$4)*$K1056*$L1056</f>
        <v/>
      </c>
      <c r="AC1056" s="15">
        <f>SUMPRODUCT(M1056:X1056,$M$5:$X$5)*$K1056*$L1056</f>
        <v/>
      </c>
      <c r="AD1056" s="15">
        <f>SUMPRODUCT(M1056:X1056,$M$6:$X$6)*$K1056*$L1056</f>
        <v/>
      </c>
      <c r="AE1056" s="19" t="n"/>
    </row>
    <row r="1057">
      <c r="A1057" s="9" t="n">
        <v>620982</v>
      </c>
      <c r="B1057" s="9" t="inlineStr">
        <is>
          <t>Ricardo Pinto</t>
        </is>
      </c>
      <c r="C1057" s="9" t="inlineStr">
        <is>
          <t>PHI</t>
        </is>
      </c>
      <c r="D1057" s="9" t="n">
        <v>33</v>
      </c>
      <c r="E1057" s="17" t="inlineStr">
        <is>
          <t>R</t>
        </is>
      </c>
      <c r="F1057" s="17" t="n"/>
      <c r="G1057" s="9" t="n">
        <v>59</v>
      </c>
      <c r="H1057" s="9" t="n">
        <v>59</v>
      </c>
      <c r="I1057" s="9" t="inlineStr">
        <is>
          <t>Depth (no MLB IP)</t>
        </is>
      </c>
      <c r="J1057" s="17" t="inlineStr">
        <is>
          <t>Opening Day</t>
        </is>
      </c>
      <c r="K1057" s="11">
        <f>IFERROR(INDEX(Roles!$B$17:$B$20,MATCH(J1057,Roles!$A$17:$A$20,0)),1)</f>
        <v/>
      </c>
      <c r="L1057" s="18" t="n">
        <v>1</v>
      </c>
      <c r="M1057" s="18" t="n"/>
      <c r="N1057" s="18" t="n"/>
      <c r="O1057" s="18" t="n"/>
      <c r="P1057" s="18" t="n"/>
      <c r="Q1057" s="18" t="n"/>
      <c r="R1057" s="18" t="n"/>
      <c r="S1057" s="18" t="n"/>
      <c r="T1057" s="18" t="n"/>
      <c r="U1057" s="18" t="n"/>
      <c r="V1057" s="18" t="n"/>
      <c r="W1057" s="18" t="n"/>
      <c r="X1057" s="18" t="n"/>
      <c r="Y1057" s="13">
        <f>SUMPRODUCT(M1057:X1057,$M$2:$X$2)*$K1057*$L1057</f>
        <v/>
      </c>
      <c r="Z1057" s="14">
        <f>SUM(M1057:X1057)</f>
        <v/>
      </c>
      <c r="AA1057" s="13">
        <f>SUMPRODUCT(M1057:X1057,$M$3:$X$3)*$K1057*$L1057</f>
        <v/>
      </c>
      <c r="AB1057" s="13">
        <f>SUMPRODUCT(M1057:X1057,$M$4:$X$4)*$K1057*$L1057</f>
        <v/>
      </c>
      <c r="AC1057" s="15">
        <f>SUMPRODUCT(M1057:X1057,$M$5:$X$5)*$K1057*$L1057</f>
        <v/>
      </c>
      <c r="AD1057" s="15">
        <f>SUMPRODUCT(M1057:X1057,$M$6:$X$6)*$K1057*$L1057</f>
        <v/>
      </c>
      <c r="AE1057" s="19" t="n"/>
    </row>
    <row r="1058">
      <c r="A1058" s="9" t="n">
        <v>607625</v>
      </c>
      <c r="B1058" s="9" t="inlineStr">
        <is>
          <t>Seth Lugo</t>
        </is>
      </c>
      <c r="C1058" s="9" t="inlineStr">
        <is>
          <t>KC</t>
        </is>
      </c>
      <c r="D1058" s="9" t="n">
        <v>37</v>
      </c>
      <c r="E1058" s="17" t="inlineStr">
        <is>
          <t>R</t>
        </is>
      </c>
      <c r="F1058" s="17" t="n"/>
      <c r="G1058" s="9" t="n">
        <v>709</v>
      </c>
      <c r="H1058" s="9" t="n">
        <v>3032</v>
      </c>
      <c r="I1058" s="9" t="inlineStr">
        <is>
          <t>Mid-Rotation Starter (SP2-3)</t>
        </is>
      </c>
      <c r="J1058" s="17" t="inlineStr">
        <is>
          <t>Opening Day</t>
        </is>
      </c>
      <c r="K1058" s="11">
        <f>IFERROR(INDEX(Roles!$B$17:$B$20,MATCH(J1058,Roles!$A$17:$A$20,0)),1)</f>
        <v/>
      </c>
      <c r="L1058" s="18" t="n">
        <v>1</v>
      </c>
      <c r="M1058" s="18" t="n"/>
      <c r="N1058" s="18" t="n"/>
      <c r="O1058" s="18" t="n"/>
      <c r="P1058" s="18" t="n"/>
      <c r="Q1058" s="18" t="n"/>
      <c r="R1058" s="18" t="n"/>
      <c r="S1058" s="18" t="n"/>
      <c r="T1058" s="18" t="n"/>
      <c r="U1058" s="18" t="n"/>
      <c r="V1058" s="18" t="n"/>
      <c r="W1058" s="18" t="n"/>
      <c r="X1058" s="18" t="n"/>
      <c r="Y1058" s="13">
        <f>SUMPRODUCT(M1058:X1058,$M$2:$X$2)*$K1058*$L1058</f>
        <v/>
      </c>
      <c r="Z1058" s="14">
        <f>SUM(M1058:X1058)</f>
        <v/>
      </c>
      <c r="AA1058" s="13">
        <f>SUMPRODUCT(M1058:X1058,$M$3:$X$3)*$K1058*$L1058</f>
        <v/>
      </c>
      <c r="AB1058" s="13">
        <f>SUMPRODUCT(M1058:X1058,$M$4:$X$4)*$K1058*$L1058</f>
        <v/>
      </c>
      <c r="AC1058" s="15">
        <f>SUMPRODUCT(M1058:X1058,$M$5:$X$5)*$K1058*$L1058</f>
        <v/>
      </c>
      <c r="AD1058" s="15">
        <f>SUMPRODUCT(M1058:X1058,$M$6:$X$6)*$K1058*$L1058</f>
        <v/>
      </c>
      <c r="AE1058" s="19" t="n"/>
    </row>
    <row r="1059">
      <c r="A1059" s="9" t="n">
        <v>690928</v>
      </c>
      <c r="B1059" s="9" t="inlineStr">
        <is>
          <t>Hunter Dobbins</t>
        </is>
      </c>
      <c r="C1059" s="9" t="inlineStr">
        <is>
          <t>STL</t>
        </is>
      </c>
      <c r="D1059" s="9" t="n">
        <v>27</v>
      </c>
      <c r="E1059" s="17" t="inlineStr">
        <is>
          <t>R</t>
        </is>
      </c>
      <c r="F1059" s="17" t="n"/>
      <c r="G1059" s="9" t="n">
        <v>231</v>
      </c>
      <c r="H1059" s="9" t="n">
        <v>487</v>
      </c>
      <c r="I1059" s="9" t="inlineStr">
        <is>
          <t>End-of-Rotation Starter (SP4-5)</t>
        </is>
      </c>
      <c r="J1059" s="17" t="inlineStr">
        <is>
          <t>Opening Day</t>
        </is>
      </c>
      <c r="K1059" s="11">
        <f>IFERROR(INDEX(Roles!$B$17:$B$20,MATCH(J1059,Roles!$A$17:$A$20,0)),1)</f>
        <v/>
      </c>
      <c r="L1059" s="18" t="n">
        <v>1</v>
      </c>
      <c r="M1059" s="18" t="n"/>
      <c r="N1059" s="18" t="n"/>
      <c r="O1059" s="18" t="n"/>
      <c r="P1059" s="18" t="n"/>
      <c r="Q1059" s="18" t="n"/>
      <c r="R1059" s="18" t="n"/>
      <c r="S1059" s="18" t="n"/>
      <c r="T1059" s="18" t="n"/>
      <c r="U1059" s="18" t="n"/>
      <c r="V1059" s="18" t="n"/>
      <c r="W1059" s="18" t="n"/>
      <c r="X1059" s="18" t="n"/>
      <c r="Y1059" s="13">
        <f>SUMPRODUCT(M1059:X1059,$M$2:$X$2)*$K1059*$L1059</f>
        <v/>
      </c>
      <c r="Z1059" s="14">
        <f>SUM(M1059:X1059)</f>
        <v/>
      </c>
      <c r="AA1059" s="13">
        <f>SUMPRODUCT(M1059:X1059,$M$3:$X$3)*$K1059*$L1059</f>
        <v/>
      </c>
      <c r="AB1059" s="13">
        <f>SUMPRODUCT(M1059:X1059,$M$4:$X$4)*$K1059*$L1059</f>
        <v/>
      </c>
      <c r="AC1059" s="15">
        <f>SUMPRODUCT(M1059:X1059,$M$5:$X$5)*$K1059*$L1059</f>
        <v/>
      </c>
      <c r="AD1059" s="15">
        <f>SUMPRODUCT(M1059:X1059,$M$6:$X$6)*$K1059*$L1059</f>
        <v/>
      </c>
      <c r="AE1059" s="19" t="n"/>
    </row>
    <row r="1060">
      <c r="A1060" s="9" t="n">
        <v>674944</v>
      </c>
      <c r="B1060" s="9" t="inlineStr">
        <is>
          <t>Sean Guenther</t>
        </is>
      </c>
      <c r="C1060" s="9" t="inlineStr">
        <is>
          <t>DET</t>
        </is>
      </c>
      <c r="D1060" s="9" t="n">
        <v>31</v>
      </c>
      <c r="E1060" s="17" t="inlineStr">
        <is>
          <t>L</t>
        </is>
      </c>
      <c r="F1060" s="17" t="n"/>
      <c r="G1060" s="9" t="n">
        <v>43</v>
      </c>
      <c r="H1060" s="9" t="n">
        <v>116</v>
      </c>
      <c r="I1060" s="9" t="inlineStr">
        <is>
          <t>Bullpen Depth Arm</t>
        </is>
      </c>
      <c r="J1060" s="17" t="inlineStr">
        <is>
          <t>Opening Day</t>
        </is>
      </c>
      <c r="K1060" s="11">
        <f>IFERROR(INDEX(Roles!$B$17:$B$20,MATCH(J1060,Roles!$A$17:$A$20,0)),1)</f>
        <v/>
      </c>
      <c r="L1060" s="18" t="n">
        <v>1</v>
      </c>
      <c r="M1060" s="18" t="n"/>
      <c r="N1060" s="18" t="n"/>
      <c r="O1060" s="18" t="n"/>
      <c r="P1060" s="18" t="n"/>
      <c r="Q1060" s="18" t="n"/>
      <c r="R1060" s="18" t="n"/>
      <c r="S1060" s="18" t="n"/>
      <c r="T1060" s="18" t="n"/>
      <c r="U1060" s="18" t="n"/>
      <c r="V1060" s="18" t="n"/>
      <c r="W1060" s="18" t="n"/>
      <c r="X1060" s="18" t="n"/>
      <c r="Y1060" s="13">
        <f>SUMPRODUCT(M1060:X1060,$M$2:$X$2)*$K1060*$L1060</f>
        <v/>
      </c>
      <c r="Z1060" s="14">
        <f>SUM(M1060:X1060)</f>
        <v/>
      </c>
      <c r="AA1060" s="13">
        <f>SUMPRODUCT(M1060:X1060,$M$3:$X$3)*$K1060*$L1060</f>
        <v/>
      </c>
      <c r="AB1060" s="13">
        <f>SUMPRODUCT(M1060:X1060,$M$4:$X$4)*$K1060*$L1060</f>
        <v/>
      </c>
      <c r="AC1060" s="15">
        <f>SUMPRODUCT(M1060:X1060,$M$5:$X$5)*$K1060*$L1060</f>
        <v/>
      </c>
      <c r="AD1060" s="15">
        <f>SUMPRODUCT(M1060:X1060,$M$6:$X$6)*$K1060*$L1060</f>
        <v/>
      </c>
      <c r="AE1060" s="19" t="n"/>
    </row>
    <row r="1061">
      <c r="A1061" s="9" t="n">
        <v>690990</v>
      </c>
      <c r="B1061" s="9" t="inlineStr">
        <is>
          <t>Cade Horton</t>
        </is>
      </c>
      <c r="C1061" s="9" t="inlineStr">
        <is>
          <t>CHC</t>
        </is>
      </c>
      <c r="D1061" s="9" t="n">
        <v>25</v>
      </c>
      <c r="E1061" s="17" t="inlineStr">
        <is>
          <t>R</t>
        </is>
      </c>
      <c r="F1061" s="17" t="n"/>
      <c r="G1061" s="9" t="n">
        <v>26</v>
      </c>
      <c r="H1061" s="9" t="n">
        <v>502</v>
      </c>
      <c r="I1061" s="9" t="inlineStr">
        <is>
          <t>Mid-Rotation Starter (SP2-3)</t>
        </is>
      </c>
      <c r="J1061" s="17" t="inlineStr">
        <is>
          <t>Opening Day</t>
        </is>
      </c>
      <c r="K1061" s="11">
        <f>IFERROR(INDEX(Roles!$B$17:$B$20,MATCH(J1061,Roles!$A$17:$A$20,0)),1)</f>
        <v/>
      </c>
      <c r="L1061" s="18" t="n">
        <v>1</v>
      </c>
      <c r="M1061" s="18" t="n"/>
      <c r="N1061" s="18" t="n"/>
      <c r="O1061" s="18" t="n"/>
      <c r="P1061" s="18" t="n"/>
      <c r="Q1061" s="18" t="n"/>
      <c r="R1061" s="18" t="n"/>
      <c r="S1061" s="18" t="n"/>
      <c r="T1061" s="18" t="n"/>
      <c r="U1061" s="18" t="n"/>
      <c r="V1061" s="18" t="n"/>
      <c r="W1061" s="18" t="n"/>
      <c r="X1061" s="18" t="n"/>
      <c r="Y1061" s="13">
        <f>SUMPRODUCT(M1061:X1061,$M$2:$X$2)*$K1061*$L1061</f>
        <v/>
      </c>
      <c r="Z1061" s="14">
        <f>SUM(M1061:X1061)</f>
        <v/>
      </c>
      <c r="AA1061" s="13">
        <f>SUMPRODUCT(M1061:X1061,$M$3:$X$3)*$K1061*$L1061</f>
        <v/>
      </c>
      <c r="AB1061" s="13">
        <f>SUMPRODUCT(M1061:X1061,$M$4:$X$4)*$K1061*$L1061</f>
        <v/>
      </c>
      <c r="AC1061" s="15">
        <f>SUMPRODUCT(M1061:X1061,$M$5:$X$5)*$K1061*$L1061</f>
        <v/>
      </c>
      <c r="AD1061" s="15">
        <f>SUMPRODUCT(M1061:X1061,$M$6:$X$6)*$K1061*$L1061</f>
        <v/>
      </c>
      <c r="AE1061" s="19" t="n"/>
    </row>
    <row r="1062">
      <c r="A1062" s="9" t="n">
        <v>695549</v>
      </c>
      <c r="B1062" s="9" t="inlineStr">
        <is>
          <t>Jackson Jobe</t>
        </is>
      </c>
      <c r="C1062" s="9" t="inlineStr">
        <is>
          <t>DET</t>
        </is>
      </c>
      <c r="D1062" s="9" t="n">
        <v>24</v>
      </c>
      <c r="E1062" s="17" t="inlineStr">
        <is>
          <t>R</t>
        </is>
      </c>
      <c r="F1062" s="17" t="n"/>
      <c r="G1062" s="9" t="n">
        <v>148</v>
      </c>
      <c r="H1062" s="9" t="n">
        <v>382</v>
      </c>
      <c r="I1062" s="9" t="inlineStr">
        <is>
          <t>End-of-Rotation Starter (SP4-5)</t>
        </is>
      </c>
      <c r="J1062" s="17" t="inlineStr">
        <is>
          <t>Opening Day</t>
        </is>
      </c>
      <c r="K1062" s="11">
        <f>IFERROR(INDEX(Roles!$B$17:$B$20,MATCH(J1062,Roles!$A$17:$A$20,0)),1)</f>
        <v/>
      </c>
      <c r="L1062" s="18" t="n">
        <v>1</v>
      </c>
      <c r="M1062" s="18" t="n"/>
      <c r="N1062" s="18" t="n"/>
      <c r="O1062" s="18" t="n"/>
      <c r="P1062" s="18" t="n"/>
      <c r="Q1062" s="18" t="n"/>
      <c r="R1062" s="18" t="n"/>
      <c r="S1062" s="18" t="n"/>
      <c r="T1062" s="18" t="n"/>
      <c r="U1062" s="18" t="n"/>
      <c r="V1062" s="18" t="n"/>
      <c r="W1062" s="18" t="n"/>
      <c r="X1062" s="18" t="n"/>
      <c r="Y1062" s="13">
        <f>SUMPRODUCT(M1062:X1062,$M$2:$X$2)*$K1062*$L1062</f>
        <v/>
      </c>
      <c r="Z1062" s="14">
        <f>SUM(M1062:X1062)</f>
        <v/>
      </c>
      <c r="AA1062" s="13">
        <f>SUMPRODUCT(M1062:X1062,$M$3:$X$3)*$K1062*$L1062</f>
        <v/>
      </c>
      <c r="AB1062" s="13">
        <f>SUMPRODUCT(M1062:X1062,$M$4:$X$4)*$K1062*$L1062</f>
        <v/>
      </c>
      <c r="AC1062" s="15">
        <f>SUMPRODUCT(M1062:X1062,$M$5:$X$5)*$K1062*$L1062</f>
        <v/>
      </c>
      <c r="AD1062" s="15">
        <f>SUMPRODUCT(M1062:X1062,$M$6:$X$6)*$K1062*$L1062</f>
        <v/>
      </c>
      <c r="AE1062" s="19" t="n"/>
    </row>
    <row r="1063">
      <c r="A1063" s="9" t="n">
        <v>670032</v>
      </c>
      <c r="B1063" s="9" t="inlineStr">
        <is>
          <t>Nicky Lopez</t>
        </is>
      </c>
      <c r="C1063" s="9" t="inlineStr"/>
      <c r="D1063" s="9" t="n">
        <v>32</v>
      </c>
      <c r="E1063" s="17" t="inlineStr">
        <is>
          <t>R</t>
        </is>
      </c>
      <c r="F1063" s="17" t="n"/>
      <c r="G1063" s="9" t="n">
        <v>7</v>
      </c>
      <c r="H1063" s="9" t="n">
        <v>28</v>
      </c>
      <c r="I1063" s="9" t="inlineStr">
        <is>
          <t>Depth (no MLB IP)</t>
        </is>
      </c>
      <c r="J1063" s="17" t="inlineStr">
        <is>
          <t>Opening Day</t>
        </is>
      </c>
      <c r="K1063" s="11">
        <f>IFERROR(INDEX(Roles!$B$17:$B$20,MATCH(J1063,Roles!$A$17:$A$20,0)),1)</f>
        <v/>
      </c>
      <c r="L1063" s="18" t="n">
        <v>1</v>
      </c>
      <c r="M1063" s="18" t="n"/>
      <c r="N1063" s="18" t="n"/>
      <c r="O1063" s="18" t="n"/>
      <c r="P1063" s="18" t="n"/>
      <c r="Q1063" s="18" t="n"/>
      <c r="R1063" s="18" t="n"/>
      <c r="S1063" s="18" t="n"/>
      <c r="T1063" s="18" t="n"/>
      <c r="U1063" s="18" t="n"/>
      <c r="V1063" s="18" t="n"/>
      <c r="W1063" s="18" t="n"/>
      <c r="X1063" s="18" t="n"/>
      <c r="Y1063" s="13">
        <f>SUMPRODUCT(M1063:X1063,$M$2:$X$2)*$K1063*$L1063</f>
        <v/>
      </c>
      <c r="Z1063" s="14">
        <f>SUM(M1063:X1063)</f>
        <v/>
      </c>
      <c r="AA1063" s="13">
        <f>SUMPRODUCT(M1063:X1063,$M$3:$X$3)*$K1063*$L1063</f>
        <v/>
      </c>
      <c r="AB1063" s="13">
        <f>SUMPRODUCT(M1063:X1063,$M$4:$X$4)*$K1063*$L1063</f>
        <v/>
      </c>
      <c r="AC1063" s="15">
        <f>SUMPRODUCT(M1063:X1063,$M$5:$X$5)*$K1063*$L1063</f>
        <v/>
      </c>
      <c r="AD1063" s="15">
        <f>SUMPRODUCT(M1063:X1063,$M$6:$X$6)*$K1063*$L1063</f>
        <v/>
      </c>
      <c r="AE1063" s="19" t="n"/>
    </row>
    <row r="1064">
      <c r="A1064" s="9" t="n">
        <v>686228</v>
      </c>
      <c r="B1064" s="9" t="inlineStr">
        <is>
          <t>Juan Burgos</t>
        </is>
      </c>
      <c r="C1064" s="9" t="inlineStr">
        <is>
          <t>ARI</t>
        </is>
      </c>
      <c r="D1064" s="9" t="n">
        <v>27</v>
      </c>
      <c r="E1064" s="17" t="inlineStr">
        <is>
          <t>R</t>
        </is>
      </c>
      <c r="F1064" s="17" t="n"/>
      <c r="G1064" s="9" t="n">
        <v>17</v>
      </c>
      <c r="H1064" s="9" t="n">
        <v>82</v>
      </c>
      <c r="I1064" s="9" t="inlineStr">
        <is>
          <t>Bullpen Depth Arm</t>
        </is>
      </c>
      <c r="J1064" s="17" t="inlineStr">
        <is>
          <t>Opening Day</t>
        </is>
      </c>
      <c r="K1064" s="11">
        <f>IFERROR(INDEX(Roles!$B$17:$B$20,MATCH(J1064,Roles!$A$17:$A$20,0)),1)</f>
        <v/>
      </c>
      <c r="L1064" s="18" t="n">
        <v>1</v>
      </c>
      <c r="M1064" s="18" t="n"/>
      <c r="N1064" s="18" t="n"/>
      <c r="O1064" s="18" t="n"/>
      <c r="P1064" s="18" t="n"/>
      <c r="Q1064" s="18" t="n"/>
      <c r="R1064" s="18" t="n"/>
      <c r="S1064" s="18" t="n"/>
      <c r="T1064" s="18" t="n"/>
      <c r="U1064" s="18" t="n"/>
      <c r="V1064" s="18" t="n"/>
      <c r="W1064" s="18" t="n"/>
      <c r="X1064" s="18" t="n"/>
      <c r="Y1064" s="13">
        <f>SUMPRODUCT(M1064:X1064,$M$2:$X$2)*$K1064*$L1064</f>
        <v/>
      </c>
      <c r="Z1064" s="14">
        <f>SUM(M1064:X1064)</f>
        <v/>
      </c>
      <c r="AA1064" s="13">
        <f>SUMPRODUCT(M1064:X1064,$M$3:$X$3)*$K1064*$L1064</f>
        <v/>
      </c>
      <c r="AB1064" s="13">
        <f>SUMPRODUCT(M1064:X1064,$M$4:$X$4)*$K1064*$L1064</f>
        <v/>
      </c>
      <c r="AC1064" s="15">
        <f>SUMPRODUCT(M1064:X1064,$M$5:$X$5)*$K1064*$L1064</f>
        <v/>
      </c>
      <c r="AD1064" s="15">
        <f>SUMPRODUCT(M1064:X1064,$M$6:$X$6)*$K1064*$L1064</f>
        <v/>
      </c>
      <c r="AE1064" s="19" t="n"/>
    </row>
    <row r="1065">
      <c r="A1065" s="9" t="n">
        <v>672578</v>
      </c>
      <c r="B1065" s="9" t="inlineStr">
        <is>
          <t>Carlos Hernández</t>
        </is>
      </c>
      <c r="C1065" s="9" t="inlineStr">
        <is>
          <t>CLE</t>
        </is>
      </c>
      <c r="D1065" s="9" t="n">
        <v>30</v>
      </c>
      <c r="E1065" s="17" t="inlineStr">
        <is>
          <t>R</t>
        </is>
      </c>
      <c r="F1065" s="17" t="n"/>
      <c r="G1065" s="9" t="n">
        <v>14</v>
      </c>
      <c r="H1065" s="9" t="n">
        <v>912</v>
      </c>
      <c r="I1065" s="9" t="inlineStr">
        <is>
          <t>Bullpen Depth Arm</t>
        </is>
      </c>
      <c r="J1065" s="17" t="inlineStr">
        <is>
          <t>Opening Day</t>
        </is>
      </c>
      <c r="K1065" s="11">
        <f>IFERROR(INDEX(Roles!$B$17:$B$20,MATCH(J1065,Roles!$A$17:$A$20,0)),1)</f>
        <v/>
      </c>
      <c r="L1065" s="18" t="n">
        <v>1</v>
      </c>
      <c r="M1065" s="18" t="n"/>
      <c r="N1065" s="18" t="n"/>
      <c r="O1065" s="18" t="n"/>
      <c r="P1065" s="18" t="n"/>
      <c r="Q1065" s="18" t="n"/>
      <c r="R1065" s="18" t="n"/>
      <c r="S1065" s="18" t="n"/>
      <c r="T1065" s="18" t="n"/>
      <c r="U1065" s="18" t="n"/>
      <c r="V1065" s="18" t="n"/>
      <c r="W1065" s="18" t="n"/>
      <c r="X1065" s="18" t="n"/>
      <c r="Y1065" s="13">
        <f>SUMPRODUCT(M1065:X1065,$M$2:$X$2)*$K1065*$L1065</f>
        <v/>
      </c>
      <c r="Z1065" s="14">
        <f>SUM(M1065:X1065)</f>
        <v/>
      </c>
      <c r="AA1065" s="13">
        <f>SUMPRODUCT(M1065:X1065,$M$3:$X$3)*$K1065*$L1065</f>
        <v/>
      </c>
      <c r="AB1065" s="13">
        <f>SUMPRODUCT(M1065:X1065,$M$4:$X$4)*$K1065*$L1065</f>
        <v/>
      </c>
      <c r="AC1065" s="15">
        <f>SUMPRODUCT(M1065:X1065,$M$5:$X$5)*$K1065*$L1065</f>
        <v/>
      </c>
      <c r="AD1065" s="15">
        <f>SUMPRODUCT(M1065:X1065,$M$6:$X$6)*$K1065*$L1065</f>
        <v/>
      </c>
      <c r="AE1065" s="19" t="n"/>
    </row>
    <row r="1066">
      <c r="A1066" s="9" t="n">
        <v>692285</v>
      </c>
      <c r="B1066" s="9" t="inlineStr">
        <is>
          <t>Luis Guerrero</t>
        </is>
      </c>
      <c r="C1066" s="9" t="inlineStr">
        <is>
          <t>BOS</t>
        </is>
      </c>
      <c r="D1066" s="9" t="n">
        <v>26</v>
      </c>
      <c r="E1066" s="17" t="inlineStr">
        <is>
          <t>R</t>
        </is>
      </c>
      <c r="F1066" s="17" t="n"/>
      <c r="G1066" s="9" t="n">
        <v>72</v>
      </c>
      <c r="H1066" s="9" t="n">
        <v>108</v>
      </c>
      <c r="I1066" s="9" t="inlineStr">
        <is>
          <t>Bullpen Depth Arm</t>
        </is>
      </c>
      <c r="J1066" s="17" t="inlineStr">
        <is>
          <t>Opening Day</t>
        </is>
      </c>
      <c r="K1066" s="11">
        <f>IFERROR(INDEX(Roles!$B$17:$B$20,MATCH(J1066,Roles!$A$17:$A$20,0)),1)</f>
        <v/>
      </c>
      <c r="L1066" s="18" t="n">
        <v>1</v>
      </c>
      <c r="M1066" s="18" t="n"/>
      <c r="N1066" s="18" t="n"/>
      <c r="O1066" s="18" t="n"/>
      <c r="P1066" s="18" t="n"/>
      <c r="Q1066" s="18" t="n"/>
      <c r="R1066" s="18" t="n"/>
      <c r="S1066" s="18" t="n"/>
      <c r="T1066" s="18" t="n"/>
      <c r="U1066" s="18" t="n"/>
      <c r="V1066" s="18" t="n"/>
      <c r="W1066" s="18" t="n"/>
      <c r="X1066" s="18" t="n"/>
      <c r="Y1066" s="13">
        <f>SUMPRODUCT(M1066:X1066,$M$2:$X$2)*$K1066*$L1066</f>
        <v/>
      </c>
      <c r="Z1066" s="14">
        <f>SUM(M1066:X1066)</f>
        <v/>
      </c>
      <c r="AA1066" s="13">
        <f>SUMPRODUCT(M1066:X1066,$M$3:$X$3)*$K1066*$L1066</f>
        <v/>
      </c>
      <c r="AB1066" s="13">
        <f>SUMPRODUCT(M1066:X1066,$M$4:$X$4)*$K1066*$L1066</f>
        <v/>
      </c>
      <c r="AC1066" s="15">
        <f>SUMPRODUCT(M1066:X1066,$M$5:$X$5)*$K1066*$L1066</f>
        <v/>
      </c>
      <c r="AD1066" s="15">
        <f>SUMPRODUCT(M1066:X1066,$M$6:$X$6)*$K1066*$L1066</f>
        <v/>
      </c>
      <c r="AE1066" s="19" t="n"/>
    </row>
    <row r="1067">
      <c r="A1067" s="9" t="n">
        <v>643396</v>
      </c>
      <c r="B1067" s="9" t="inlineStr">
        <is>
          <t>Isiah Kiner-Falefa</t>
        </is>
      </c>
      <c r="C1067" s="9" t="inlineStr"/>
      <c r="D1067" s="9" t="n">
        <v>32</v>
      </c>
      <c r="E1067" s="17" t="inlineStr">
        <is>
          <t>R</t>
        </is>
      </c>
      <c r="F1067" s="17" t="n"/>
      <c r="G1067" s="9" t="n">
        <v>2</v>
      </c>
      <c r="H1067" s="9" t="n">
        <v>27</v>
      </c>
      <c r="I1067" s="9" t="inlineStr">
        <is>
          <t>Depth (no MLB IP)</t>
        </is>
      </c>
      <c r="J1067" s="17" t="inlineStr">
        <is>
          <t>Opening Day</t>
        </is>
      </c>
      <c r="K1067" s="11">
        <f>IFERROR(INDEX(Roles!$B$17:$B$20,MATCH(J1067,Roles!$A$17:$A$20,0)),1)</f>
        <v/>
      </c>
      <c r="L1067" s="18" t="n">
        <v>1</v>
      </c>
      <c r="M1067" s="18" t="n"/>
      <c r="N1067" s="18" t="n"/>
      <c r="O1067" s="18" t="n"/>
      <c r="P1067" s="18" t="n"/>
      <c r="Q1067" s="18" t="n"/>
      <c r="R1067" s="18" t="n"/>
      <c r="S1067" s="18" t="n"/>
      <c r="T1067" s="18" t="n"/>
      <c r="U1067" s="18" t="n"/>
      <c r="V1067" s="18" t="n"/>
      <c r="W1067" s="18" t="n"/>
      <c r="X1067" s="18" t="n"/>
      <c r="Y1067" s="13">
        <f>SUMPRODUCT(M1067:X1067,$M$2:$X$2)*$K1067*$L1067</f>
        <v/>
      </c>
      <c r="Z1067" s="14">
        <f>SUM(M1067:X1067)</f>
        <v/>
      </c>
      <c r="AA1067" s="13">
        <f>SUMPRODUCT(M1067:X1067,$M$3:$X$3)*$K1067*$L1067</f>
        <v/>
      </c>
      <c r="AB1067" s="13">
        <f>SUMPRODUCT(M1067:X1067,$M$4:$X$4)*$K1067*$L1067</f>
        <v/>
      </c>
      <c r="AC1067" s="15">
        <f>SUMPRODUCT(M1067:X1067,$M$5:$X$5)*$K1067*$L1067</f>
        <v/>
      </c>
      <c r="AD1067" s="15">
        <f>SUMPRODUCT(M1067:X1067,$M$6:$X$6)*$K1067*$L1067</f>
        <v/>
      </c>
      <c r="AE1067" s="19" t="n"/>
    </row>
    <row r="1068">
      <c r="A1068" s="9" t="n">
        <v>657424</v>
      </c>
      <c r="B1068" s="9" t="inlineStr">
        <is>
          <t>Matt Gage</t>
        </is>
      </c>
      <c r="C1068" s="9" t="inlineStr">
        <is>
          <t>SF</t>
        </is>
      </c>
      <c r="D1068" s="9" t="n">
        <v>34</v>
      </c>
      <c r="E1068" s="17" t="inlineStr">
        <is>
          <t>L</t>
        </is>
      </c>
      <c r="F1068" s="17" t="n"/>
      <c r="G1068" s="9" t="n">
        <v>126</v>
      </c>
      <c r="H1068" s="9" t="n">
        <v>340</v>
      </c>
      <c r="I1068" s="9" t="inlineStr">
        <is>
          <t>Bullpen Depth Arm</t>
        </is>
      </c>
      <c r="J1068" s="17" t="inlineStr">
        <is>
          <t>Opening Day</t>
        </is>
      </c>
      <c r="K1068" s="11">
        <f>IFERROR(INDEX(Roles!$B$17:$B$20,MATCH(J1068,Roles!$A$17:$A$20,0)),1)</f>
        <v/>
      </c>
      <c r="L1068" s="18" t="n">
        <v>1</v>
      </c>
      <c r="M1068" s="18" t="n"/>
      <c r="N1068" s="18" t="n"/>
      <c r="O1068" s="18" t="n"/>
      <c r="P1068" s="18" t="n"/>
      <c r="Q1068" s="18" t="n"/>
      <c r="R1068" s="18" t="n"/>
      <c r="S1068" s="18" t="n"/>
      <c r="T1068" s="18" t="n"/>
      <c r="U1068" s="18" t="n"/>
      <c r="V1068" s="18" t="n"/>
      <c r="W1068" s="18" t="n"/>
      <c r="X1068" s="18" t="n"/>
      <c r="Y1068" s="13">
        <f>SUMPRODUCT(M1068:X1068,$M$2:$X$2)*$K1068*$L1068</f>
        <v/>
      </c>
      <c r="Z1068" s="14">
        <f>SUM(M1068:X1068)</f>
        <v/>
      </c>
      <c r="AA1068" s="13">
        <f>SUMPRODUCT(M1068:X1068,$M$3:$X$3)*$K1068*$L1068</f>
        <v/>
      </c>
      <c r="AB1068" s="13">
        <f>SUMPRODUCT(M1068:X1068,$M$4:$X$4)*$K1068*$L1068</f>
        <v/>
      </c>
      <c r="AC1068" s="15">
        <f>SUMPRODUCT(M1068:X1068,$M$5:$X$5)*$K1068*$L1068</f>
        <v/>
      </c>
      <c r="AD1068" s="15">
        <f>SUMPRODUCT(M1068:X1068,$M$6:$X$6)*$K1068*$L1068</f>
        <v/>
      </c>
      <c r="AE1068" s="19" t="n"/>
    </row>
    <row r="1069">
      <c r="A1069" s="9" t="n">
        <v>669618</v>
      </c>
      <c r="B1069" s="9" t="inlineStr">
        <is>
          <t>Joe Barlow</t>
        </is>
      </c>
      <c r="C1069" s="9" t="inlineStr">
        <is>
          <t>TEX</t>
        </is>
      </c>
      <c r="D1069" s="9" t="n">
        <v>31</v>
      </c>
      <c r="E1069" s="17" t="inlineStr">
        <is>
          <t>R</t>
        </is>
      </c>
      <c r="F1069" s="17" t="n"/>
      <c r="G1069" s="9" t="n">
        <v>44</v>
      </c>
      <c r="H1069" s="9" t="n">
        <v>190</v>
      </c>
      <c r="I1069" s="9" t="inlineStr">
        <is>
          <t>Depth (no MLB IP)</t>
        </is>
      </c>
      <c r="J1069" s="17" t="inlineStr">
        <is>
          <t>Opening Day</t>
        </is>
      </c>
      <c r="K1069" s="11">
        <f>IFERROR(INDEX(Roles!$B$17:$B$20,MATCH(J1069,Roles!$A$17:$A$20,0)),1)</f>
        <v/>
      </c>
      <c r="L1069" s="18" t="n">
        <v>1</v>
      </c>
      <c r="M1069" s="18" t="n"/>
      <c r="N1069" s="18" t="n"/>
      <c r="O1069" s="18" t="n"/>
      <c r="P1069" s="18" t="n"/>
      <c r="Q1069" s="18" t="n"/>
      <c r="R1069" s="18" t="n"/>
      <c r="S1069" s="18" t="n"/>
      <c r="T1069" s="18" t="n"/>
      <c r="U1069" s="18" t="n"/>
      <c r="V1069" s="18" t="n"/>
      <c r="W1069" s="18" t="n"/>
      <c r="X1069" s="18" t="n"/>
      <c r="Y1069" s="13">
        <f>SUMPRODUCT(M1069:X1069,$M$2:$X$2)*$K1069*$L1069</f>
        <v/>
      </c>
      <c r="Z1069" s="14">
        <f>SUM(M1069:X1069)</f>
        <v/>
      </c>
      <c r="AA1069" s="13">
        <f>SUMPRODUCT(M1069:X1069,$M$3:$X$3)*$K1069*$L1069</f>
        <v/>
      </c>
      <c r="AB1069" s="13">
        <f>SUMPRODUCT(M1069:X1069,$M$4:$X$4)*$K1069*$L1069</f>
        <v/>
      </c>
      <c r="AC1069" s="15">
        <f>SUMPRODUCT(M1069:X1069,$M$5:$X$5)*$K1069*$L1069</f>
        <v/>
      </c>
      <c r="AD1069" s="15">
        <f>SUMPRODUCT(M1069:X1069,$M$6:$X$6)*$K1069*$L1069</f>
        <v/>
      </c>
      <c r="AE1069" s="19" t="n"/>
    </row>
    <row r="1070">
      <c r="A1070" s="9" t="n">
        <v>661527</v>
      </c>
      <c r="B1070" s="9" t="inlineStr">
        <is>
          <t>Seth Martinez</t>
        </is>
      </c>
      <c r="C1070" s="9" t="inlineStr">
        <is>
          <t>MIA</t>
        </is>
      </c>
      <c r="D1070" s="9" t="n">
        <v>32</v>
      </c>
      <c r="E1070" s="17" t="inlineStr">
        <is>
          <t>R</t>
        </is>
      </c>
      <c r="F1070" s="17" t="n"/>
      <c r="G1070" s="9" t="n">
        <v>6</v>
      </c>
      <c r="H1070" s="9" t="n">
        <v>605</v>
      </c>
      <c r="I1070" s="9" t="inlineStr">
        <is>
          <t>Bullpen Depth Arm</t>
        </is>
      </c>
      <c r="J1070" s="17" t="inlineStr">
        <is>
          <t>Opening Day</t>
        </is>
      </c>
      <c r="K1070" s="11">
        <f>IFERROR(INDEX(Roles!$B$17:$B$20,MATCH(J1070,Roles!$A$17:$A$20,0)),1)</f>
        <v/>
      </c>
      <c r="L1070" s="18" t="n">
        <v>1</v>
      </c>
      <c r="M1070" s="18" t="n"/>
      <c r="N1070" s="18" t="n"/>
      <c r="O1070" s="18" t="n"/>
      <c r="P1070" s="18" t="n"/>
      <c r="Q1070" s="18" t="n"/>
      <c r="R1070" s="18" t="n"/>
      <c r="S1070" s="18" t="n"/>
      <c r="T1070" s="18" t="n"/>
      <c r="U1070" s="18" t="n"/>
      <c r="V1070" s="18" t="n"/>
      <c r="W1070" s="18" t="n"/>
      <c r="X1070" s="18" t="n"/>
      <c r="Y1070" s="13">
        <f>SUMPRODUCT(M1070:X1070,$M$2:$X$2)*$K1070*$L1070</f>
        <v/>
      </c>
      <c r="Z1070" s="14">
        <f>SUM(M1070:X1070)</f>
        <v/>
      </c>
      <c r="AA1070" s="13">
        <f>SUMPRODUCT(M1070:X1070,$M$3:$X$3)*$K1070*$L1070</f>
        <v/>
      </c>
      <c r="AB1070" s="13">
        <f>SUMPRODUCT(M1070:X1070,$M$4:$X$4)*$K1070*$L1070</f>
        <v/>
      </c>
      <c r="AC1070" s="15">
        <f>SUMPRODUCT(M1070:X1070,$M$5:$X$5)*$K1070*$L1070</f>
        <v/>
      </c>
      <c r="AD1070" s="15">
        <f>SUMPRODUCT(M1070:X1070,$M$6:$X$6)*$K1070*$L1070</f>
        <v/>
      </c>
      <c r="AE1070" s="19" t="n"/>
    </row>
    <row r="1071">
      <c r="A1071" s="9" t="n">
        <v>572020</v>
      </c>
      <c r="B1071" s="9" t="inlineStr">
        <is>
          <t>James Paxton</t>
        </is>
      </c>
      <c r="C1071" s="9" t="inlineStr">
        <is>
          <t>BOS</t>
        </is>
      </c>
      <c r="D1071" s="9" t="n">
        <v>38</v>
      </c>
      <c r="E1071" s="17" t="inlineStr">
        <is>
          <t>L</t>
        </is>
      </c>
      <c r="F1071" s="17" t="n"/>
      <c r="G1071" s="9" t="n">
        <v>437</v>
      </c>
      <c r="H1071" s="9" t="n">
        <v>848</v>
      </c>
      <c r="I1071" s="9" t="inlineStr">
        <is>
          <t>Depth (no MLB IP)</t>
        </is>
      </c>
      <c r="J1071" s="17" t="inlineStr">
        <is>
          <t>Opening Day</t>
        </is>
      </c>
      <c r="K1071" s="11">
        <f>IFERROR(INDEX(Roles!$B$17:$B$20,MATCH(J1071,Roles!$A$17:$A$20,0)),1)</f>
        <v/>
      </c>
      <c r="L1071" s="18" t="n">
        <v>1</v>
      </c>
      <c r="M1071" s="18" t="n"/>
      <c r="N1071" s="18" t="n"/>
      <c r="O1071" s="18" t="n"/>
      <c r="P1071" s="18" t="n"/>
      <c r="Q1071" s="18" t="n"/>
      <c r="R1071" s="18" t="n"/>
      <c r="S1071" s="18" t="n"/>
      <c r="T1071" s="18" t="n"/>
      <c r="U1071" s="18" t="n"/>
      <c r="V1071" s="18" t="n"/>
      <c r="W1071" s="18" t="n"/>
      <c r="X1071" s="18" t="n"/>
      <c r="Y1071" s="13">
        <f>SUMPRODUCT(M1071:X1071,$M$2:$X$2)*$K1071*$L1071</f>
        <v/>
      </c>
      <c r="Z1071" s="14">
        <f>SUM(M1071:X1071)</f>
        <v/>
      </c>
      <c r="AA1071" s="13">
        <f>SUMPRODUCT(M1071:X1071,$M$3:$X$3)*$K1071*$L1071</f>
        <v/>
      </c>
      <c r="AB1071" s="13">
        <f>SUMPRODUCT(M1071:X1071,$M$4:$X$4)*$K1071*$L1071</f>
        <v/>
      </c>
      <c r="AC1071" s="15">
        <f>SUMPRODUCT(M1071:X1071,$M$5:$X$5)*$K1071*$L1071</f>
        <v/>
      </c>
      <c r="AD1071" s="15">
        <f>SUMPRODUCT(M1071:X1071,$M$6:$X$6)*$K1071*$L1071</f>
        <v/>
      </c>
      <c r="AE1071" s="19" t="n"/>
    </row>
    <row r="1072">
      <c r="A1072" s="9" t="n">
        <v>676571</v>
      </c>
      <c r="B1072" s="9" t="inlineStr">
        <is>
          <t>PJ Poulin</t>
        </is>
      </c>
      <c r="C1072" s="9" t="inlineStr">
        <is>
          <t>WSH</t>
        </is>
      </c>
      <c r="D1072" s="9" t="n">
        <v>30</v>
      </c>
      <c r="E1072" s="17" t="inlineStr">
        <is>
          <t>L</t>
        </is>
      </c>
      <c r="F1072" s="17" t="n"/>
      <c r="G1072" s="9" t="n">
        <v>153</v>
      </c>
      <c r="H1072" s="9" t="n">
        <v>263</v>
      </c>
      <c r="I1072" s="9" t="inlineStr">
        <is>
          <t>Bullpen Depth Arm</t>
        </is>
      </c>
      <c r="J1072" s="17" t="inlineStr">
        <is>
          <t>Opening Day</t>
        </is>
      </c>
      <c r="K1072" s="11">
        <f>IFERROR(INDEX(Roles!$B$17:$B$20,MATCH(J1072,Roles!$A$17:$A$20,0)),1)</f>
        <v/>
      </c>
      <c r="L1072" s="18" t="n">
        <v>1</v>
      </c>
      <c r="M1072" s="18" t="n"/>
      <c r="N1072" s="18" t="n"/>
      <c r="O1072" s="18" t="n"/>
      <c r="P1072" s="18" t="n"/>
      <c r="Q1072" s="18" t="n"/>
      <c r="R1072" s="18" t="n"/>
      <c r="S1072" s="18" t="n"/>
      <c r="T1072" s="18" t="n"/>
      <c r="U1072" s="18" t="n"/>
      <c r="V1072" s="18" t="n"/>
      <c r="W1072" s="18" t="n"/>
      <c r="X1072" s="18" t="n"/>
      <c r="Y1072" s="13">
        <f>SUMPRODUCT(M1072:X1072,$M$2:$X$2)*$K1072*$L1072</f>
        <v/>
      </c>
      <c r="Z1072" s="14">
        <f>SUM(M1072:X1072)</f>
        <v/>
      </c>
      <c r="AA1072" s="13">
        <f>SUMPRODUCT(M1072:X1072,$M$3:$X$3)*$K1072*$L1072</f>
        <v/>
      </c>
      <c r="AB1072" s="13">
        <f>SUMPRODUCT(M1072:X1072,$M$4:$X$4)*$K1072*$L1072</f>
        <v/>
      </c>
      <c r="AC1072" s="15">
        <f>SUMPRODUCT(M1072:X1072,$M$5:$X$5)*$K1072*$L1072</f>
        <v/>
      </c>
      <c r="AD1072" s="15">
        <f>SUMPRODUCT(M1072:X1072,$M$6:$X$6)*$K1072*$L1072</f>
        <v/>
      </c>
      <c r="AE1072" s="19" t="n"/>
    </row>
    <row r="1073">
      <c r="A1073" s="9" t="n">
        <v>641778</v>
      </c>
      <c r="B1073" s="9" t="inlineStr">
        <is>
          <t>Eric Lauer</t>
        </is>
      </c>
      <c r="C1073" s="9" t="inlineStr">
        <is>
          <t>LAD</t>
        </is>
      </c>
      <c r="D1073" s="9" t="n">
        <v>32</v>
      </c>
      <c r="E1073" s="17" t="inlineStr">
        <is>
          <t>L</t>
        </is>
      </c>
      <c r="F1073" s="17" t="n"/>
      <c r="G1073" s="9" t="n">
        <v>466</v>
      </c>
      <c r="H1073" s="9" t="n">
        <v>1764</v>
      </c>
      <c r="I1073" s="9" t="inlineStr">
        <is>
          <t>End-of-Rotation Starter (SP4-5)</t>
        </is>
      </c>
      <c r="J1073" s="17" t="inlineStr">
        <is>
          <t>Opening Day</t>
        </is>
      </c>
      <c r="K1073" s="11">
        <f>IFERROR(INDEX(Roles!$B$17:$B$20,MATCH(J1073,Roles!$A$17:$A$20,0)),1)</f>
        <v/>
      </c>
      <c r="L1073" s="18" t="n">
        <v>1</v>
      </c>
      <c r="M1073" s="18" t="n"/>
      <c r="N1073" s="18" t="n"/>
      <c r="O1073" s="18" t="n"/>
      <c r="P1073" s="18" t="n"/>
      <c r="Q1073" s="18" t="n"/>
      <c r="R1073" s="18" t="n"/>
      <c r="S1073" s="18" t="n"/>
      <c r="T1073" s="18" t="n"/>
      <c r="U1073" s="18" t="n"/>
      <c r="V1073" s="18" t="n"/>
      <c r="W1073" s="18" t="n"/>
      <c r="X1073" s="18" t="n"/>
      <c r="Y1073" s="13">
        <f>SUMPRODUCT(M1073:X1073,$M$2:$X$2)*$K1073*$L1073</f>
        <v/>
      </c>
      <c r="Z1073" s="14">
        <f>SUM(M1073:X1073)</f>
        <v/>
      </c>
      <c r="AA1073" s="13">
        <f>SUMPRODUCT(M1073:X1073,$M$3:$X$3)*$K1073*$L1073</f>
        <v/>
      </c>
      <c r="AB1073" s="13">
        <f>SUMPRODUCT(M1073:X1073,$M$4:$X$4)*$K1073*$L1073</f>
        <v/>
      </c>
      <c r="AC1073" s="15">
        <f>SUMPRODUCT(M1073:X1073,$M$5:$X$5)*$K1073*$L1073</f>
        <v/>
      </c>
      <c r="AD1073" s="15">
        <f>SUMPRODUCT(M1073:X1073,$M$6:$X$6)*$K1073*$L1073</f>
        <v/>
      </c>
      <c r="AE1073" s="19" t="n"/>
    </row>
    <row r="1074">
      <c r="A1074" s="9" t="n">
        <v>681168</v>
      </c>
      <c r="B1074" s="9" t="inlineStr">
        <is>
          <t>Luis Curvelo</t>
        </is>
      </c>
      <c r="C1074" s="9" t="inlineStr">
        <is>
          <t>TEX</t>
        </is>
      </c>
      <c r="D1074" s="9" t="n">
        <v>26</v>
      </c>
      <c r="E1074" s="17" t="inlineStr">
        <is>
          <t>R</t>
        </is>
      </c>
      <c r="F1074" s="17" t="n"/>
      <c r="G1074" s="9" t="n">
        <v>55</v>
      </c>
      <c r="H1074" s="9" t="n">
        <v>139</v>
      </c>
      <c r="I1074" s="9" t="inlineStr">
        <is>
          <t>Bullpen Depth Arm</t>
        </is>
      </c>
      <c r="J1074" s="17" t="inlineStr">
        <is>
          <t>Opening Day</t>
        </is>
      </c>
      <c r="K1074" s="11">
        <f>IFERROR(INDEX(Roles!$B$17:$B$20,MATCH(J1074,Roles!$A$17:$A$20,0)),1)</f>
        <v/>
      </c>
      <c r="L1074" s="18" t="n">
        <v>1</v>
      </c>
      <c r="M1074" s="18" t="n"/>
      <c r="N1074" s="18" t="n"/>
      <c r="O1074" s="18" t="n"/>
      <c r="P1074" s="18" t="n"/>
      <c r="Q1074" s="18" t="n"/>
      <c r="R1074" s="18" t="n"/>
      <c r="S1074" s="18" t="n"/>
      <c r="T1074" s="18" t="n"/>
      <c r="U1074" s="18" t="n"/>
      <c r="V1074" s="18" t="n"/>
      <c r="W1074" s="18" t="n"/>
      <c r="X1074" s="18" t="n"/>
      <c r="Y1074" s="13">
        <f>SUMPRODUCT(M1074:X1074,$M$2:$X$2)*$K1074*$L1074</f>
        <v/>
      </c>
      <c r="Z1074" s="14">
        <f>SUM(M1074:X1074)</f>
        <v/>
      </c>
      <c r="AA1074" s="13">
        <f>SUMPRODUCT(M1074:X1074,$M$3:$X$3)*$K1074*$L1074</f>
        <v/>
      </c>
      <c r="AB1074" s="13">
        <f>SUMPRODUCT(M1074:X1074,$M$4:$X$4)*$K1074*$L1074</f>
        <v/>
      </c>
      <c r="AC1074" s="15">
        <f>SUMPRODUCT(M1074:X1074,$M$5:$X$5)*$K1074*$L1074</f>
        <v/>
      </c>
      <c r="AD1074" s="15">
        <f>SUMPRODUCT(M1074:X1074,$M$6:$X$6)*$K1074*$L1074</f>
        <v/>
      </c>
      <c r="AE1074" s="19" t="n"/>
    </row>
    <row r="1075">
      <c r="A1075" s="9" t="n">
        <v>621244</v>
      </c>
      <c r="B1075" s="9" t="inlineStr">
        <is>
          <t>José Berríos</t>
        </is>
      </c>
      <c r="C1075" s="9" t="inlineStr">
        <is>
          <t>TOR</t>
        </is>
      </c>
      <c r="D1075" s="9" t="n">
        <v>33</v>
      </c>
      <c r="E1075" s="17" t="inlineStr">
        <is>
          <t>R</t>
        </is>
      </c>
      <c r="F1075" s="17" t="n"/>
      <c r="G1075" s="9" t="n">
        <v>698</v>
      </c>
      <c r="H1075" s="9" t="n">
        <v>3019</v>
      </c>
      <c r="I1075" s="9" t="inlineStr">
        <is>
          <t>Mid-Rotation Starter (SP2-3)</t>
        </is>
      </c>
      <c r="J1075" s="17" t="inlineStr">
        <is>
          <t>Opening Day</t>
        </is>
      </c>
      <c r="K1075" s="11">
        <f>IFERROR(INDEX(Roles!$B$17:$B$20,MATCH(J1075,Roles!$A$17:$A$20,0)),1)</f>
        <v/>
      </c>
      <c r="L1075" s="18" t="n">
        <v>1</v>
      </c>
      <c r="M1075" s="18" t="n"/>
      <c r="N1075" s="18" t="n"/>
      <c r="O1075" s="18" t="n"/>
      <c r="P1075" s="18" t="n"/>
      <c r="Q1075" s="18" t="n"/>
      <c r="R1075" s="18" t="n"/>
      <c r="S1075" s="18" t="n"/>
      <c r="T1075" s="18" t="n"/>
      <c r="U1075" s="18" t="n"/>
      <c r="V1075" s="18" t="n"/>
      <c r="W1075" s="18" t="n"/>
      <c r="X1075" s="18" t="n"/>
      <c r="Y1075" s="13">
        <f>SUMPRODUCT(M1075:X1075,$M$2:$X$2)*$K1075*$L1075</f>
        <v/>
      </c>
      <c r="Z1075" s="14">
        <f>SUM(M1075:X1075)</f>
        <v/>
      </c>
      <c r="AA1075" s="13">
        <f>SUMPRODUCT(M1075:X1075,$M$3:$X$3)*$K1075*$L1075</f>
        <v/>
      </c>
      <c r="AB1075" s="13">
        <f>SUMPRODUCT(M1075:X1075,$M$4:$X$4)*$K1075*$L1075</f>
        <v/>
      </c>
      <c r="AC1075" s="15">
        <f>SUMPRODUCT(M1075:X1075,$M$5:$X$5)*$K1075*$L1075</f>
        <v/>
      </c>
      <c r="AD1075" s="15">
        <f>SUMPRODUCT(M1075:X1075,$M$6:$X$6)*$K1075*$L1075</f>
        <v/>
      </c>
      <c r="AE1075" s="19" t="n"/>
    </row>
    <row r="1076">
      <c r="A1076" s="9" t="n">
        <v>695001</v>
      </c>
      <c r="B1076" s="9" t="inlineStr">
        <is>
          <t>Alimber Santa</t>
        </is>
      </c>
      <c r="C1076" s="9" t="inlineStr">
        <is>
          <t>HOU</t>
        </is>
      </c>
      <c r="D1076" s="9" t="n">
        <v>24</v>
      </c>
      <c r="E1076" s="17" t="inlineStr">
        <is>
          <t>R</t>
        </is>
      </c>
      <c r="F1076" s="17" t="n"/>
      <c r="G1076" s="9" t="n">
        <v>59</v>
      </c>
      <c r="H1076" s="9" t="n">
        <v>59</v>
      </c>
      <c r="I1076" s="9" t="inlineStr">
        <is>
          <t>Bullpen Depth Arm</t>
        </is>
      </c>
      <c r="J1076" s="17" t="inlineStr">
        <is>
          <t>Opening Day</t>
        </is>
      </c>
      <c r="K1076" s="11">
        <f>IFERROR(INDEX(Roles!$B$17:$B$20,MATCH(J1076,Roles!$A$17:$A$20,0)),1)</f>
        <v/>
      </c>
      <c r="L1076" s="18" t="n">
        <v>1</v>
      </c>
      <c r="M1076" s="18" t="n"/>
      <c r="N1076" s="18" t="n"/>
      <c r="O1076" s="18" t="n"/>
      <c r="P1076" s="18" t="n"/>
      <c r="Q1076" s="18" t="n"/>
      <c r="R1076" s="18" t="n"/>
      <c r="S1076" s="18" t="n"/>
      <c r="T1076" s="18" t="n"/>
      <c r="U1076" s="18" t="n"/>
      <c r="V1076" s="18" t="n"/>
      <c r="W1076" s="18" t="n"/>
      <c r="X1076" s="18" t="n"/>
      <c r="Y1076" s="13">
        <f>SUMPRODUCT(M1076:X1076,$M$2:$X$2)*$K1076*$L1076</f>
        <v/>
      </c>
      <c r="Z1076" s="14">
        <f>SUM(M1076:X1076)</f>
        <v/>
      </c>
      <c r="AA1076" s="13">
        <f>SUMPRODUCT(M1076:X1076,$M$3:$X$3)*$K1076*$L1076</f>
        <v/>
      </c>
      <c r="AB1076" s="13">
        <f>SUMPRODUCT(M1076:X1076,$M$4:$X$4)*$K1076*$L1076</f>
        <v/>
      </c>
      <c r="AC1076" s="15">
        <f>SUMPRODUCT(M1076:X1076,$M$5:$X$5)*$K1076*$L1076</f>
        <v/>
      </c>
      <c r="AD1076" s="15">
        <f>SUMPRODUCT(M1076:X1076,$M$6:$X$6)*$K1076*$L1076</f>
        <v/>
      </c>
      <c r="AE1076" s="19" t="n"/>
    </row>
    <row r="1077">
      <c r="A1077" s="9" t="n">
        <v>805074</v>
      </c>
      <c r="B1077" s="9" t="inlineStr">
        <is>
          <t>Yunior Marte</t>
        </is>
      </c>
      <c r="C1077" s="9" t="inlineStr">
        <is>
          <t>SF</t>
        </is>
      </c>
      <c r="D1077" s="9" t="n">
        <v>23</v>
      </c>
      <c r="E1077" s="17" t="inlineStr">
        <is>
          <t>R</t>
        </is>
      </c>
      <c r="F1077" s="17" t="n"/>
      <c r="G1077" s="9" t="n">
        <v>59</v>
      </c>
      <c r="H1077" s="9" t="n">
        <v>59</v>
      </c>
      <c r="I1077" s="9" t="inlineStr">
        <is>
          <t>End-of-Rotation Starter (SP4-5)</t>
        </is>
      </c>
      <c r="J1077" s="17" t="inlineStr">
        <is>
          <t>Opening Day</t>
        </is>
      </c>
      <c r="K1077" s="11">
        <f>IFERROR(INDEX(Roles!$B$17:$B$20,MATCH(J1077,Roles!$A$17:$A$20,0)),1)</f>
        <v/>
      </c>
      <c r="L1077" s="18" t="n">
        <v>1</v>
      </c>
      <c r="M1077" s="18" t="n"/>
      <c r="N1077" s="18" t="n"/>
      <c r="O1077" s="18" t="n"/>
      <c r="P1077" s="18" t="n"/>
      <c r="Q1077" s="18" t="n"/>
      <c r="R1077" s="18" t="n"/>
      <c r="S1077" s="18" t="n"/>
      <c r="T1077" s="18" t="n"/>
      <c r="U1077" s="18" t="n"/>
      <c r="V1077" s="18" t="n"/>
      <c r="W1077" s="18" t="n"/>
      <c r="X1077" s="18" t="n"/>
      <c r="Y1077" s="13">
        <f>SUMPRODUCT(M1077:X1077,$M$2:$X$2)*$K1077*$L1077</f>
        <v/>
      </c>
      <c r="Z1077" s="14">
        <f>SUM(M1077:X1077)</f>
        <v/>
      </c>
      <c r="AA1077" s="13">
        <f>SUMPRODUCT(M1077:X1077,$M$3:$X$3)*$K1077*$L1077</f>
        <v/>
      </c>
      <c r="AB1077" s="13">
        <f>SUMPRODUCT(M1077:X1077,$M$4:$X$4)*$K1077*$L1077</f>
        <v/>
      </c>
      <c r="AC1077" s="15">
        <f>SUMPRODUCT(M1077:X1077,$M$5:$X$5)*$K1077*$L1077</f>
        <v/>
      </c>
      <c r="AD1077" s="15">
        <f>SUMPRODUCT(M1077:X1077,$M$6:$X$6)*$K1077*$L1077</f>
        <v/>
      </c>
      <c r="AE1077" s="19" t="n"/>
    </row>
    <row r="1078">
      <c r="A1078" s="9" t="n">
        <v>607359</v>
      </c>
      <c r="B1078" s="9" t="inlineStr">
        <is>
          <t>Spencer Patton</t>
        </is>
      </c>
      <c r="C1078" s="9" t="inlineStr">
        <is>
          <t>OAK</t>
        </is>
      </c>
      <c r="D1078" s="9" t="n">
        <v>39</v>
      </c>
      <c r="E1078" s="17" t="inlineStr">
        <is>
          <t>R</t>
        </is>
      </c>
      <c r="F1078" s="17" t="n"/>
      <c r="G1078" s="9" t="n">
        <v>55</v>
      </c>
      <c r="H1078" s="9" t="n">
        <v>84</v>
      </c>
      <c r="I1078" s="9" t="inlineStr">
        <is>
          <t>Depth (no MLB IP)</t>
        </is>
      </c>
      <c r="J1078" s="17" t="inlineStr">
        <is>
          <t>Opening Day</t>
        </is>
      </c>
      <c r="K1078" s="11">
        <f>IFERROR(INDEX(Roles!$B$17:$B$20,MATCH(J1078,Roles!$A$17:$A$20,0)),1)</f>
        <v/>
      </c>
      <c r="L1078" s="18" t="n">
        <v>1</v>
      </c>
      <c r="M1078" s="18" t="n"/>
      <c r="N1078" s="18" t="n"/>
      <c r="O1078" s="18" t="n"/>
      <c r="P1078" s="18" t="n"/>
      <c r="Q1078" s="18" t="n"/>
      <c r="R1078" s="18" t="n"/>
      <c r="S1078" s="18" t="n"/>
      <c r="T1078" s="18" t="n"/>
      <c r="U1078" s="18" t="n"/>
      <c r="V1078" s="18" t="n"/>
      <c r="W1078" s="18" t="n"/>
      <c r="X1078" s="18" t="n"/>
      <c r="Y1078" s="13">
        <f>SUMPRODUCT(M1078:X1078,$M$2:$X$2)*$K1078*$L1078</f>
        <v/>
      </c>
      <c r="Z1078" s="14">
        <f>SUM(M1078:X1078)</f>
        <v/>
      </c>
      <c r="AA1078" s="13">
        <f>SUMPRODUCT(M1078:X1078,$M$3:$X$3)*$K1078*$L1078</f>
        <v/>
      </c>
      <c r="AB1078" s="13">
        <f>SUMPRODUCT(M1078:X1078,$M$4:$X$4)*$K1078*$L1078</f>
        <v/>
      </c>
      <c r="AC1078" s="15">
        <f>SUMPRODUCT(M1078:X1078,$M$5:$X$5)*$K1078*$L1078</f>
        <v/>
      </c>
      <c r="AD1078" s="15">
        <f>SUMPRODUCT(M1078:X1078,$M$6:$X$6)*$K1078*$L1078</f>
        <v/>
      </c>
      <c r="AE1078" s="19" t="n"/>
    </row>
    <row r="1079">
      <c r="A1079" s="9" t="n">
        <v>641540</v>
      </c>
      <c r="B1079" s="9" t="inlineStr">
        <is>
          <t>Dane Dunning</t>
        </is>
      </c>
      <c r="C1079" s="9" t="inlineStr">
        <is>
          <t>ATL</t>
        </is>
      </c>
      <c r="D1079" s="9" t="n">
        <v>32</v>
      </c>
      <c r="E1079" s="17" t="inlineStr">
        <is>
          <t>R</t>
        </is>
      </c>
      <c r="F1079" s="17" t="n"/>
      <c r="G1079" s="9" t="n">
        <v>95</v>
      </c>
      <c r="H1079" s="9" t="n">
        <v>1909</v>
      </c>
      <c r="I1079" s="9" t="inlineStr">
        <is>
          <t>Bullpen Depth Arm</t>
        </is>
      </c>
      <c r="J1079" s="17" t="inlineStr">
        <is>
          <t>Opening Day</t>
        </is>
      </c>
      <c r="K1079" s="11">
        <f>IFERROR(INDEX(Roles!$B$17:$B$20,MATCH(J1079,Roles!$A$17:$A$20,0)),1)</f>
        <v/>
      </c>
      <c r="L1079" s="18" t="n">
        <v>1</v>
      </c>
      <c r="M1079" s="18" t="n"/>
      <c r="N1079" s="18" t="n"/>
      <c r="O1079" s="18" t="n"/>
      <c r="P1079" s="18" t="n"/>
      <c r="Q1079" s="18" t="n"/>
      <c r="R1079" s="18" t="n"/>
      <c r="S1079" s="18" t="n"/>
      <c r="T1079" s="18" t="n"/>
      <c r="U1079" s="18" t="n"/>
      <c r="V1079" s="18" t="n"/>
      <c r="W1079" s="18" t="n"/>
      <c r="X1079" s="18" t="n"/>
      <c r="Y1079" s="13">
        <f>SUMPRODUCT(M1079:X1079,$M$2:$X$2)*$K1079*$L1079</f>
        <v/>
      </c>
      <c r="Z1079" s="14">
        <f>SUM(M1079:X1079)</f>
        <v/>
      </c>
      <c r="AA1079" s="13">
        <f>SUMPRODUCT(M1079:X1079,$M$3:$X$3)*$K1079*$L1079</f>
        <v/>
      </c>
      <c r="AB1079" s="13">
        <f>SUMPRODUCT(M1079:X1079,$M$4:$X$4)*$K1079*$L1079</f>
        <v/>
      </c>
      <c r="AC1079" s="15">
        <f>SUMPRODUCT(M1079:X1079,$M$5:$X$5)*$K1079*$L1079</f>
        <v/>
      </c>
      <c r="AD1079" s="15">
        <f>SUMPRODUCT(M1079:X1079,$M$6:$X$6)*$K1079*$L1079</f>
        <v/>
      </c>
      <c r="AE1079" s="19" t="n"/>
    </row>
    <row r="1080">
      <c r="A1080" s="9" t="n">
        <v>476594</v>
      </c>
      <c r="B1080" s="9" t="inlineStr">
        <is>
          <t>Robert Stock</t>
        </is>
      </c>
      <c r="C1080" s="9" t="inlineStr">
        <is>
          <t>NYM</t>
        </is>
      </c>
      <c r="D1080" s="9" t="n">
        <v>37</v>
      </c>
      <c r="E1080" s="17" t="inlineStr">
        <is>
          <t>R</t>
        </is>
      </c>
      <c r="F1080" s="17" t="n"/>
      <c r="G1080" s="9" t="n">
        <v>147</v>
      </c>
      <c r="H1080" s="9" t="n">
        <v>162</v>
      </c>
      <c r="I1080" s="9" t="inlineStr">
        <is>
          <t>End-of-Rotation Starter (SP4-5)</t>
        </is>
      </c>
      <c r="J1080" s="17" t="inlineStr">
        <is>
          <t>Opening Day</t>
        </is>
      </c>
      <c r="K1080" s="11">
        <f>IFERROR(INDEX(Roles!$B$17:$B$20,MATCH(J1080,Roles!$A$17:$A$20,0)),1)</f>
        <v/>
      </c>
      <c r="L1080" s="18" t="n">
        <v>1</v>
      </c>
      <c r="M1080" s="18" t="n"/>
      <c r="N1080" s="18" t="n"/>
      <c r="O1080" s="18" t="n"/>
      <c r="P1080" s="18" t="n"/>
      <c r="Q1080" s="18" t="n"/>
      <c r="R1080" s="18" t="n"/>
      <c r="S1080" s="18" t="n"/>
      <c r="T1080" s="18" t="n"/>
      <c r="U1080" s="18" t="n"/>
      <c r="V1080" s="18" t="n"/>
      <c r="W1080" s="18" t="n"/>
      <c r="X1080" s="18" t="n"/>
      <c r="Y1080" s="13">
        <f>SUMPRODUCT(M1080:X1080,$M$2:$X$2)*$K1080*$L1080</f>
        <v/>
      </c>
      <c r="Z1080" s="14">
        <f>SUM(M1080:X1080)</f>
        <v/>
      </c>
      <c r="AA1080" s="13">
        <f>SUMPRODUCT(M1080:X1080,$M$3:$X$3)*$K1080*$L1080</f>
        <v/>
      </c>
      <c r="AB1080" s="13">
        <f>SUMPRODUCT(M1080:X1080,$M$4:$X$4)*$K1080*$L1080</f>
        <v/>
      </c>
      <c r="AC1080" s="15">
        <f>SUMPRODUCT(M1080:X1080,$M$5:$X$5)*$K1080*$L1080</f>
        <v/>
      </c>
      <c r="AD1080" s="15">
        <f>SUMPRODUCT(M1080:X1080,$M$6:$X$6)*$K1080*$L1080</f>
        <v/>
      </c>
      <c r="AE1080" s="19" t="n"/>
    </row>
    <row r="1081">
      <c r="A1081" s="9" t="n">
        <v>621366</v>
      </c>
      <c r="B1081" s="9" t="inlineStr">
        <is>
          <t>Ryan Borucki</t>
        </is>
      </c>
      <c r="C1081" s="9" t="inlineStr">
        <is>
          <t>SF</t>
        </is>
      </c>
      <c r="D1081" s="9" t="n">
        <v>33</v>
      </c>
      <c r="E1081" s="17" t="inlineStr">
        <is>
          <t>L</t>
        </is>
      </c>
      <c r="F1081" s="17" t="n"/>
      <c r="G1081" s="9" t="n">
        <v>104</v>
      </c>
      <c r="H1081" s="9" t="n">
        <v>563</v>
      </c>
      <c r="I1081" s="9" t="inlineStr">
        <is>
          <t>Bullpen Depth Arm</t>
        </is>
      </c>
      <c r="J1081" s="17" t="inlineStr">
        <is>
          <t>Opening Day</t>
        </is>
      </c>
      <c r="K1081" s="11">
        <f>IFERROR(INDEX(Roles!$B$17:$B$20,MATCH(J1081,Roles!$A$17:$A$20,0)),1)</f>
        <v/>
      </c>
      <c r="L1081" s="18" t="n">
        <v>1</v>
      </c>
      <c r="M1081" s="18" t="n"/>
      <c r="N1081" s="18" t="n"/>
      <c r="O1081" s="18" t="n"/>
      <c r="P1081" s="18" t="n"/>
      <c r="Q1081" s="18" t="n"/>
      <c r="R1081" s="18" t="n"/>
      <c r="S1081" s="18" t="n"/>
      <c r="T1081" s="18" t="n"/>
      <c r="U1081" s="18" t="n"/>
      <c r="V1081" s="18" t="n"/>
      <c r="W1081" s="18" t="n"/>
      <c r="X1081" s="18" t="n"/>
      <c r="Y1081" s="13">
        <f>SUMPRODUCT(M1081:X1081,$M$2:$X$2)*$K1081*$L1081</f>
        <v/>
      </c>
      <c r="Z1081" s="14">
        <f>SUM(M1081:X1081)</f>
        <v/>
      </c>
      <c r="AA1081" s="13">
        <f>SUMPRODUCT(M1081:X1081,$M$3:$X$3)*$K1081*$L1081</f>
        <v/>
      </c>
      <c r="AB1081" s="13">
        <f>SUMPRODUCT(M1081:X1081,$M$4:$X$4)*$K1081*$L1081</f>
        <v/>
      </c>
      <c r="AC1081" s="15">
        <f>SUMPRODUCT(M1081:X1081,$M$5:$X$5)*$K1081*$L1081</f>
        <v/>
      </c>
      <c r="AD1081" s="15">
        <f>SUMPRODUCT(M1081:X1081,$M$6:$X$6)*$K1081*$L1081</f>
        <v/>
      </c>
      <c r="AE1081" s="19" t="n"/>
    </row>
    <row r="1082">
      <c r="A1082" s="9" t="n">
        <v>472610</v>
      </c>
      <c r="B1082" s="9" t="inlineStr">
        <is>
          <t>Luis García</t>
        </is>
      </c>
      <c r="C1082" s="9" t="inlineStr">
        <is>
          <t>MIN</t>
        </is>
      </c>
      <c r="D1082" s="9" t="n">
        <v>40</v>
      </c>
      <c r="E1082" s="17" t="inlineStr">
        <is>
          <t>R</t>
        </is>
      </c>
      <c r="F1082" s="17" t="n"/>
      <c r="G1082" s="9" t="n">
        <v>74</v>
      </c>
      <c r="H1082" s="9" t="n">
        <v>1087</v>
      </c>
      <c r="I1082" s="9" t="inlineStr">
        <is>
          <t>Bullpen Depth Arm</t>
        </is>
      </c>
      <c r="J1082" s="17" t="inlineStr">
        <is>
          <t>Opening Day</t>
        </is>
      </c>
      <c r="K1082" s="11">
        <f>IFERROR(INDEX(Roles!$B$17:$B$20,MATCH(J1082,Roles!$A$17:$A$20,0)),1)</f>
        <v/>
      </c>
      <c r="L1082" s="18" t="n">
        <v>1</v>
      </c>
      <c r="M1082" s="18" t="n"/>
      <c r="N1082" s="18" t="n"/>
      <c r="O1082" s="18" t="n"/>
      <c r="P1082" s="18" t="n"/>
      <c r="Q1082" s="18" t="n"/>
      <c r="R1082" s="18" t="n"/>
      <c r="S1082" s="18" t="n"/>
      <c r="T1082" s="18" t="n"/>
      <c r="U1082" s="18" t="n"/>
      <c r="V1082" s="18" t="n"/>
      <c r="W1082" s="18" t="n"/>
      <c r="X1082" s="18" t="n"/>
      <c r="Y1082" s="13">
        <f>SUMPRODUCT(M1082:X1082,$M$2:$X$2)*$K1082*$L1082</f>
        <v/>
      </c>
      <c r="Z1082" s="14">
        <f>SUM(M1082:X1082)</f>
        <v/>
      </c>
      <c r="AA1082" s="13">
        <f>SUMPRODUCT(M1082:X1082,$M$3:$X$3)*$K1082*$L1082</f>
        <v/>
      </c>
      <c r="AB1082" s="13">
        <f>SUMPRODUCT(M1082:X1082,$M$4:$X$4)*$K1082*$L1082</f>
        <v/>
      </c>
      <c r="AC1082" s="15">
        <f>SUMPRODUCT(M1082:X1082,$M$5:$X$5)*$K1082*$L1082</f>
        <v/>
      </c>
      <c r="AD1082" s="15">
        <f>SUMPRODUCT(M1082:X1082,$M$6:$X$6)*$K1082*$L1082</f>
        <v/>
      </c>
      <c r="AE1082" s="19" t="n"/>
    </row>
    <row r="1083">
      <c r="A1083" s="9" t="n">
        <v>544727</v>
      </c>
      <c r="B1083" s="9" t="inlineStr">
        <is>
          <t>Jeurys Familia</t>
        </is>
      </c>
      <c r="C1083" s="9" t="inlineStr">
        <is>
          <t>OAK</t>
        </is>
      </c>
      <c r="D1083" s="9" t="n">
        <v>37</v>
      </c>
      <c r="E1083" s="17" t="inlineStr">
        <is>
          <t>R</t>
        </is>
      </c>
      <c r="F1083" s="17" t="n"/>
      <c r="G1083" s="9" t="n">
        <v>64</v>
      </c>
      <c r="H1083" s="9" t="n">
        <v>268</v>
      </c>
      <c r="I1083" s="9" t="inlineStr">
        <is>
          <t>Depth (no MLB IP)</t>
        </is>
      </c>
      <c r="J1083" s="17" t="inlineStr">
        <is>
          <t>Opening Day</t>
        </is>
      </c>
      <c r="K1083" s="11">
        <f>IFERROR(INDEX(Roles!$B$17:$B$20,MATCH(J1083,Roles!$A$17:$A$20,0)),1)</f>
        <v/>
      </c>
      <c r="L1083" s="18" t="n">
        <v>1</v>
      </c>
      <c r="M1083" s="18" t="n"/>
      <c r="N1083" s="18" t="n"/>
      <c r="O1083" s="18" t="n"/>
      <c r="P1083" s="18" t="n"/>
      <c r="Q1083" s="18" t="n"/>
      <c r="R1083" s="18" t="n"/>
      <c r="S1083" s="18" t="n"/>
      <c r="T1083" s="18" t="n"/>
      <c r="U1083" s="18" t="n"/>
      <c r="V1083" s="18" t="n"/>
      <c r="W1083" s="18" t="n"/>
      <c r="X1083" s="18" t="n"/>
      <c r="Y1083" s="13">
        <f>SUMPRODUCT(M1083:X1083,$M$2:$X$2)*$K1083*$L1083</f>
        <v/>
      </c>
      <c r="Z1083" s="14">
        <f>SUM(M1083:X1083)</f>
        <v/>
      </c>
      <c r="AA1083" s="13">
        <f>SUMPRODUCT(M1083:X1083,$M$3:$X$3)*$K1083*$L1083</f>
        <v/>
      </c>
      <c r="AB1083" s="13">
        <f>SUMPRODUCT(M1083:X1083,$M$4:$X$4)*$K1083*$L1083</f>
        <v/>
      </c>
      <c r="AC1083" s="15">
        <f>SUMPRODUCT(M1083:X1083,$M$5:$X$5)*$K1083*$L1083</f>
        <v/>
      </c>
      <c r="AD1083" s="15">
        <f>SUMPRODUCT(M1083:X1083,$M$6:$X$6)*$K1083*$L1083</f>
        <v/>
      </c>
      <c r="AE1083" s="19" t="n"/>
    </row>
    <row r="1084">
      <c r="A1084" s="9" t="n">
        <v>695418</v>
      </c>
      <c r="B1084" s="9" t="inlineStr">
        <is>
          <t>Brad Lord</t>
        </is>
      </c>
      <c r="C1084" s="9" t="inlineStr">
        <is>
          <t>WSH</t>
        </is>
      </c>
      <c r="D1084" s="9" t="n">
        <v>27</v>
      </c>
      <c r="E1084" s="17" t="inlineStr">
        <is>
          <t>R</t>
        </is>
      </c>
      <c r="F1084" s="17" t="n"/>
      <c r="G1084" s="9" t="n">
        <v>338</v>
      </c>
      <c r="H1084" s="9" t="n">
        <v>884</v>
      </c>
      <c r="I1084" s="9" t="inlineStr">
        <is>
          <t>Middle Relief</t>
        </is>
      </c>
      <c r="J1084" s="17" t="inlineStr">
        <is>
          <t>Opening Day</t>
        </is>
      </c>
      <c r="K1084" s="11">
        <f>IFERROR(INDEX(Roles!$B$17:$B$20,MATCH(J1084,Roles!$A$17:$A$20,0)),1)</f>
        <v/>
      </c>
      <c r="L1084" s="18" t="n">
        <v>1</v>
      </c>
      <c r="M1084" s="18" t="n"/>
      <c r="N1084" s="18" t="n"/>
      <c r="O1084" s="18" t="n"/>
      <c r="P1084" s="18" t="n"/>
      <c r="Q1084" s="18" t="n"/>
      <c r="R1084" s="18" t="n"/>
      <c r="S1084" s="18" t="n"/>
      <c r="T1084" s="18" t="n"/>
      <c r="U1084" s="18" t="n"/>
      <c r="V1084" s="18" t="n"/>
      <c r="W1084" s="18" t="n"/>
      <c r="X1084" s="18" t="n"/>
      <c r="Y1084" s="13">
        <f>SUMPRODUCT(M1084:X1084,$M$2:$X$2)*$K1084*$L1084</f>
        <v/>
      </c>
      <c r="Z1084" s="14">
        <f>SUM(M1084:X1084)</f>
        <v/>
      </c>
      <c r="AA1084" s="13">
        <f>SUMPRODUCT(M1084:X1084,$M$3:$X$3)*$K1084*$L1084</f>
        <v/>
      </c>
      <c r="AB1084" s="13">
        <f>SUMPRODUCT(M1084:X1084,$M$4:$X$4)*$K1084*$L1084</f>
        <v/>
      </c>
      <c r="AC1084" s="15">
        <f>SUMPRODUCT(M1084:X1084,$M$5:$X$5)*$K1084*$L1084</f>
        <v/>
      </c>
      <c r="AD1084" s="15">
        <f>SUMPRODUCT(M1084:X1084,$M$6:$X$6)*$K1084*$L1084</f>
        <v/>
      </c>
      <c r="AE1084" s="19" t="n"/>
    </row>
    <row r="1085">
      <c r="A1085" s="9" t="n">
        <v>642216</v>
      </c>
      <c r="B1085" s="9" t="inlineStr">
        <is>
          <t>Allan Winans</t>
        </is>
      </c>
      <c r="C1085" s="9" t="inlineStr">
        <is>
          <t>NYY</t>
        </is>
      </c>
      <c r="D1085" s="9" t="n">
        <v>31</v>
      </c>
      <c r="E1085" s="17" t="inlineStr">
        <is>
          <t>R</t>
        </is>
      </c>
      <c r="F1085" s="17" t="n"/>
      <c r="G1085" s="9" t="n">
        <v>46</v>
      </c>
      <c r="H1085" s="9" t="n">
        <v>228</v>
      </c>
      <c r="I1085" s="9" t="inlineStr">
        <is>
          <t>Bullpen Depth Arm</t>
        </is>
      </c>
      <c r="J1085" s="17" t="inlineStr">
        <is>
          <t>Opening Day</t>
        </is>
      </c>
      <c r="K1085" s="11">
        <f>IFERROR(INDEX(Roles!$B$17:$B$20,MATCH(J1085,Roles!$A$17:$A$20,0)),1)</f>
        <v/>
      </c>
      <c r="L1085" s="18" t="n">
        <v>1</v>
      </c>
      <c r="M1085" s="18" t="n"/>
      <c r="N1085" s="18" t="n"/>
      <c r="O1085" s="18" t="n"/>
      <c r="P1085" s="18" t="n"/>
      <c r="Q1085" s="18" t="n"/>
      <c r="R1085" s="18" t="n"/>
      <c r="S1085" s="18" t="n"/>
      <c r="T1085" s="18" t="n"/>
      <c r="U1085" s="18" t="n"/>
      <c r="V1085" s="18" t="n"/>
      <c r="W1085" s="18" t="n"/>
      <c r="X1085" s="18" t="n"/>
      <c r="Y1085" s="13">
        <f>SUMPRODUCT(M1085:X1085,$M$2:$X$2)*$K1085*$L1085</f>
        <v/>
      </c>
      <c r="Z1085" s="14">
        <f>SUM(M1085:X1085)</f>
        <v/>
      </c>
      <c r="AA1085" s="13">
        <f>SUMPRODUCT(M1085:X1085,$M$3:$X$3)*$K1085*$L1085</f>
        <v/>
      </c>
      <c r="AB1085" s="13">
        <f>SUMPRODUCT(M1085:X1085,$M$4:$X$4)*$K1085*$L1085</f>
        <v/>
      </c>
      <c r="AC1085" s="15">
        <f>SUMPRODUCT(M1085:X1085,$M$5:$X$5)*$K1085*$L1085</f>
        <v/>
      </c>
      <c r="AD1085" s="15">
        <f>SUMPRODUCT(M1085:X1085,$M$6:$X$6)*$K1085*$L1085</f>
        <v/>
      </c>
      <c r="AE1085" s="19" t="n"/>
    </row>
    <row r="1086">
      <c r="A1086" s="9" t="n">
        <v>666364</v>
      </c>
      <c r="B1086" s="9" t="inlineStr">
        <is>
          <t>Jordan Balazovic</t>
        </is>
      </c>
      <c r="C1086" s="9" t="inlineStr">
        <is>
          <t>MIN</t>
        </is>
      </c>
      <c r="D1086" s="9" t="n">
        <v>28</v>
      </c>
      <c r="E1086" s="17" t="inlineStr">
        <is>
          <t>R</t>
        </is>
      </c>
      <c r="F1086" s="17" t="n"/>
      <c r="G1086" s="9" t="n">
        <v>108</v>
      </c>
      <c r="H1086" s="9" t="n">
        <v>108</v>
      </c>
      <c r="I1086" s="9" t="inlineStr">
        <is>
          <t>Depth (no MLB IP)</t>
        </is>
      </c>
      <c r="J1086" s="17" t="inlineStr">
        <is>
          <t>Opening Day</t>
        </is>
      </c>
      <c r="K1086" s="11">
        <f>IFERROR(INDEX(Roles!$B$17:$B$20,MATCH(J1086,Roles!$A$17:$A$20,0)),1)</f>
        <v/>
      </c>
      <c r="L1086" s="18" t="n">
        <v>1</v>
      </c>
      <c r="M1086" s="18" t="n"/>
      <c r="N1086" s="18" t="n"/>
      <c r="O1086" s="18" t="n"/>
      <c r="P1086" s="18" t="n"/>
      <c r="Q1086" s="18" t="n"/>
      <c r="R1086" s="18" t="n"/>
      <c r="S1086" s="18" t="n"/>
      <c r="T1086" s="18" t="n"/>
      <c r="U1086" s="18" t="n"/>
      <c r="V1086" s="18" t="n"/>
      <c r="W1086" s="18" t="n"/>
      <c r="X1086" s="18" t="n"/>
      <c r="Y1086" s="13">
        <f>SUMPRODUCT(M1086:X1086,$M$2:$X$2)*$K1086*$L1086</f>
        <v/>
      </c>
      <c r="Z1086" s="14">
        <f>SUM(M1086:X1086)</f>
        <v/>
      </c>
      <c r="AA1086" s="13">
        <f>SUMPRODUCT(M1086:X1086,$M$3:$X$3)*$K1086*$L1086</f>
        <v/>
      </c>
      <c r="AB1086" s="13">
        <f>SUMPRODUCT(M1086:X1086,$M$4:$X$4)*$K1086*$L1086</f>
        <v/>
      </c>
      <c r="AC1086" s="15">
        <f>SUMPRODUCT(M1086:X1086,$M$5:$X$5)*$K1086*$L1086</f>
        <v/>
      </c>
      <c r="AD1086" s="15">
        <f>SUMPRODUCT(M1086:X1086,$M$6:$X$6)*$K1086*$L1086</f>
        <v/>
      </c>
      <c r="AE1086" s="19" t="n"/>
    </row>
    <row r="1087">
      <c r="A1087" s="9" t="n">
        <v>686930</v>
      </c>
      <c r="B1087" s="9" t="inlineStr">
        <is>
          <t>Mason Barnett</t>
        </is>
      </c>
      <c r="C1087" s="9" t="inlineStr">
        <is>
          <t>OAK</t>
        </is>
      </c>
      <c r="D1087" s="9" t="n">
        <v>26</v>
      </c>
      <c r="E1087" s="17" t="inlineStr">
        <is>
          <t>R</t>
        </is>
      </c>
      <c r="F1087" s="17" t="n"/>
      <c r="G1087" s="9" t="n">
        <v>185</v>
      </c>
      <c r="H1087" s="9" t="n">
        <v>289</v>
      </c>
      <c r="I1087" s="9" t="inlineStr">
        <is>
          <t>Bullpen Depth Arm</t>
        </is>
      </c>
      <c r="J1087" s="17" t="inlineStr">
        <is>
          <t>Opening Day</t>
        </is>
      </c>
      <c r="K1087" s="11">
        <f>IFERROR(INDEX(Roles!$B$17:$B$20,MATCH(J1087,Roles!$A$17:$A$20,0)),1)</f>
        <v/>
      </c>
      <c r="L1087" s="18" t="n">
        <v>1</v>
      </c>
      <c r="M1087" s="18" t="n"/>
      <c r="N1087" s="18" t="n"/>
      <c r="O1087" s="18" t="n"/>
      <c r="P1087" s="18" t="n"/>
      <c r="Q1087" s="18" t="n"/>
      <c r="R1087" s="18" t="n"/>
      <c r="S1087" s="18" t="n"/>
      <c r="T1087" s="18" t="n"/>
      <c r="U1087" s="18" t="n"/>
      <c r="V1087" s="18" t="n"/>
      <c r="W1087" s="18" t="n"/>
      <c r="X1087" s="18" t="n"/>
      <c r="Y1087" s="13">
        <f>SUMPRODUCT(M1087:X1087,$M$2:$X$2)*$K1087*$L1087</f>
        <v/>
      </c>
      <c r="Z1087" s="14">
        <f>SUM(M1087:X1087)</f>
        <v/>
      </c>
      <c r="AA1087" s="13">
        <f>SUMPRODUCT(M1087:X1087,$M$3:$X$3)*$K1087*$L1087</f>
        <v/>
      </c>
      <c r="AB1087" s="13">
        <f>SUMPRODUCT(M1087:X1087,$M$4:$X$4)*$K1087*$L1087</f>
        <v/>
      </c>
      <c r="AC1087" s="15">
        <f>SUMPRODUCT(M1087:X1087,$M$5:$X$5)*$K1087*$L1087</f>
        <v/>
      </c>
      <c r="AD1087" s="15">
        <f>SUMPRODUCT(M1087:X1087,$M$6:$X$6)*$K1087*$L1087</f>
        <v/>
      </c>
      <c r="AE1087" s="19" t="n"/>
    </row>
    <row r="1088">
      <c r="A1088" s="9" t="n">
        <v>694646</v>
      </c>
      <c r="B1088" s="9" t="inlineStr">
        <is>
          <t>Chayce McDermott</t>
        </is>
      </c>
      <c r="C1088" s="9" t="inlineStr">
        <is>
          <t>NYM</t>
        </is>
      </c>
      <c r="D1088" s="9" t="n">
        <v>28</v>
      </c>
      <c r="E1088" s="17" t="inlineStr">
        <is>
          <t>R</t>
        </is>
      </c>
      <c r="F1088" s="17" t="n"/>
      <c r="G1088" s="9" t="n">
        <v>36</v>
      </c>
      <c r="H1088" s="9" t="n">
        <v>105</v>
      </c>
      <c r="I1088" s="9" t="inlineStr">
        <is>
          <t>Bullpen Depth Arm</t>
        </is>
      </c>
      <c r="J1088" s="17" t="inlineStr">
        <is>
          <t>Opening Day</t>
        </is>
      </c>
      <c r="K1088" s="11">
        <f>IFERROR(INDEX(Roles!$B$17:$B$20,MATCH(J1088,Roles!$A$17:$A$20,0)),1)</f>
        <v/>
      </c>
      <c r="L1088" s="18" t="n">
        <v>1</v>
      </c>
      <c r="M1088" s="18" t="n"/>
      <c r="N1088" s="18" t="n"/>
      <c r="O1088" s="18" t="n"/>
      <c r="P1088" s="18" t="n"/>
      <c r="Q1088" s="18" t="n"/>
      <c r="R1088" s="18" t="n"/>
      <c r="S1088" s="18" t="n"/>
      <c r="T1088" s="18" t="n"/>
      <c r="U1088" s="18" t="n"/>
      <c r="V1088" s="18" t="n"/>
      <c r="W1088" s="18" t="n"/>
      <c r="X1088" s="18" t="n"/>
      <c r="Y1088" s="13">
        <f>SUMPRODUCT(M1088:X1088,$M$2:$X$2)*$K1088*$L1088</f>
        <v/>
      </c>
      <c r="Z1088" s="14">
        <f>SUM(M1088:X1088)</f>
        <v/>
      </c>
      <c r="AA1088" s="13">
        <f>SUMPRODUCT(M1088:X1088,$M$3:$X$3)*$K1088*$L1088</f>
        <v/>
      </c>
      <c r="AB1088" s="13">
        <f>SUMPRODUCT(M1088:X1088,$M$4:$X$4)*$K1088*$L1088</f>
        <v/>
      </c>
      <c r="AC1088" s="15">
        <f>SUMPRODUCT(M1088:X1088,$M$5:$X$5)*$K1088*$L1088</f>
        <v/>
      </c>
      <c r="AD1088" s="15">
        <f>SUMPRODUCT(M1088:X1088,$M$6:$X$6)*$K1088*$L1088</f>
        <v/>
      </c>
      <c r="AE1088" s="19" t="n"/>
    </row>
    <row r="1089">
      <c r="A1089" s="9" t="n">
        <v>596142</v>
      </c>
      <c r="B1089" s="9" t="inlineStr">
        <is>
          <t>Gary Sánchez</t>
        </is>
      </c>
      <c r="C1089" s="9" t="inlineStr"/>
      <c r="D1089" s="9" t="n">
        <v>34</v>
      </c>
      <c r="E1089" s="17" t="inlineStr">
        <is>
          <t>R</t>
        </is>
      </c>
      <c r="F1089" s="17" t="n"/>
      <c r="G1089" s="9" t="n">
        <v>10</v>
      </c>
      <c r="H1089" s="9" t="n">
        <v>17</v>
      </c>
      <c r="I1089" s="9" t="inlineStr">
        <is>
          <t>Depth (no MLB IP)</t>
        </is>
      </c>
      <c r="J1089" s="17" t="inlineStr">
        <is>
          <t>Opening Day</t>
        </is>
      </c>
      <c r="K1089" s="11">
        <f>IFERROR(INDEX(Roles!$B$17:$B$20,MATCH(J1089,Roles!$A$17:$A$20,0)),1)</f>
        <v/>
      </c>
      <c r="L1089" s="18" t="n">
        <v>1</v>
      </c>
      <c r="M1089" s="18" t="n"/>
      <c r="N1089" s="18" t="n"/>
      <c r="O1089" s="18" t="n"/>
      <c r="P1089" s="18" t="n"/>
      <c r="Q1089" s="18" t="n"/>
      <c r="R1089" s="18" t="n"/>
      <c r="S1089" s="18" t="n"/>
      <c r="T1089" s="18" t="n"/>
      <c r="U1089" s="18" t="n"/>
      <c r="V1089" s="18" t="n"/>
      <c r="W1089" s="18" t="n"/>
      <c r="X1089" s="18" t="n"/>
      <c r="Y1089" s="13">
        <f>SUMPRODUCT(M1089:X1089,$M$2:$X$2)*$K1089*$L1089</f>
        <v/>
      </c>
      <c r="Z1089" s="14">
        <f>SUM(M1089:X1089)</f>
        <v/>
      </c>
      <c r="AA1089" s="13">
        <f>SUMPRODUCT(M1089:X1089,$M$3:$X$3)*$K1089*$L1089</f>
        <v/>
      </c>
      <c r="AB1089" s="13">
        <f>SUMPRODUCT(M1089:X1089,$M$4:$X$4)*$K1089*$L1089</f>
        <v/>
      </c>
      <c r="AC1089" s="15">
        <f>SUMPRODUCT(M1089:X1089,$M$5:$X$5)*$K1089*$L1089</f>
        <v/>
      </c>
      <c r="AD1089" s="15">
        <f>SUMPRODUCT(M1089:X1089,$M$6:$X$6)*$K1089*$L1089</f>
        <v/>
      </c>
      <c r="AE1089" s="19" t="n"/>
    </row>
    <row r="1090">
      <c r="A1090" s="9" t="n">
        <v>598264</v>
      </c>
      <c r="B1090" s="9" t="inlineStr">
        <is>
          <t>Matt Barnes</t>
        </is>
      </c>
      <c r="C1090" s="9" t="inlineStr">
        <is>
          <t>WSH</t>
        </is>
      </c>
      <c r="D1090" s="9" t="n">
        <v>37</v>
      </c>
      <c r="E1090" s="17" t="inlineStr">
        <is>
          <t>R</t>
        </is>
      </c>
      <c r="F1090" s="17" t="n"/>
      <c r="G1090" s="9" t="n">
        <v>60</v>
      </c>
      <c r="H1090" s="9" t="n">
        <v>335</v>
      </c>
      <c r="I1090" s="9" t="inlineStr">
        <is>
          <t>Depth (no MLB IP)</t>
        </is>
      </c>
      <c r="J1090" s="17" t="inlineStr">
        <is>
          <t>Opening Day</t>
        </is>
      </c>
      <c r="K1090" s="11">
        <f>IFERROR(INDEX(Roles!$B$17:$B$20,MATCH(J1090,Roles!$A$17:$A$20,0)),1)</f>
        <v/>
      </c>
      <c r="L1090" s="18" t="n">
        <v>1</v>
      </c>
      <c r="M1090" s="18" t="n"/>
      <c r="N1090" s="18" t="n"/>
      <c r="O1090" s="18" t="n"/>
      <c r="P1090" s="18" t="n"/>
      <c r="Q1090" s="18" t="n"/>
      <c r="R1090" s="18" t="n"/>
      <c r="S1090" s="18" t="n"/>
      <c r="T1090" s="18" t="n"/>
      <c r="U1090" s="18" t="n"/>
      <c r="V1090" s="18" t="n"/>
      <c r="W1090" s="18" t="n"/>
      <c r="X1090" s="18" t="n"/>
      <c r="Y1090" s="13">
        <f>SUMPRODUCT(M1090:X1090,$M$2:$X$2)*$K1090*$L1090</f>
        <v/>
      </c>
      <c r="Z1090" s="14">
        <f>SUM(M1090:X1090)</f>
        <v/>
      </c>
      <c r="AA1090" s="13">
        <f>SUMPRODUCT(M1090:X1090,$M$3:$X$3)*$K1090*$L1090</f>
        <v/>
      </c>
      <c r="AB1090" s="13">
        <f>SUMPRODUCT(M1090:X1090,$M$4:$X$4)*$K1090*$L1090</f>
        <v/>
      </c>
      <c r="AC1090" s="15">
        <f>SUMPRODUCT(M1090:X1090,$M$5:$X$5)*$K1090*$L1090</f>
        <v/>
      </c>
      <c r="AD1090" s="15">
        <f>SUMPRODUCT(M1090:X1090,$M$6:$X$6)*$K1090*$L1090</f>
        <v/>
      </c>
      <c r="AE1090" s="19" t="n"/>
    </row>
    <row r="1091">
      <c r="A1091" s="9" t="n">
        <v>681807</v>
      </c>
      <c r="B1091" s="9" t="inlineStr">
        <is>
          <t>David Fry</t>
        </is>
      </c>
      <c r="C1091" s="9" t="inlineStr">
        <is>
          <t>CLE</t>
        </is>
      </c>
      <c r="D1091" s="9" t="n">
        <v>31</v>
      </c>
      <c r="E1091" s="17" t="inlineStr">
        <is>
          <t>R</t>
        </is>
      </c>
      <c r="F1091" s="17" t="n"/>
      <c r="G1091" s="9" t="n">
        <v>26</v>
      </c>
      <c r="H1091" s="9" t="n">
        <v>26</v>
      </c>
      <c r="I1091" s="9" t="inlineStr">
        <is>
          <t>Depth (no MLB IP)</t>
        </is>
      </c>
      <c r="J1091" s="17" t="inlineStr">
        <is>
          <t>Opening Day</t>
        </is>
      </c>
      <c r="K1091" s="11">
        <f>IFERROR(INDEX(Roles!$B$17:$B$20,MATCH(J1091,Roles!$A$17:$A$20,0)),1)</f>
        <v/>
      </c>
      <c r="L1091" s="18" t="n">
        <v>1</v>
      </c>
      <c r="M1091" s="18" t="n"/>
      <c r="N1091" s="18" t="n"/>
      <c r="O1091" s="18" t="n"/>
      <c r="P1091" s="18" t="n"/>
      <c r="Q1091" s="18" t="n"/>
      <c r="R1091" s="18" t="n"/>
      <c r="S1091" s="18" t="n"/>
      <c r="T1091" s="18" t="n"/>
      <c r="U1091" s="18" t="n"/>
      <c r="V1091" s="18" t="n"/>
      <c r="W1091" s="18" t="n"/>
      <c r="X1091" s="18" t="n"/>
      <c r="Y1091" s="13">
        <f>SUMPRODUCT(M1091:X1091,$M$2:$X$2)*$K1091*$L1091</f>
        <v/>
      </c>
      <c r="Z1091" s="14">
        <f>SUM(M1091:X1091)</f>
        <v/>
      </c>
      <c r="AA1091" s="13">
        <f>SUMPRODUCT(M1091:X1091,$M$3:$X$3)*$K1091*$L1091</f>
        <v/>
      </c>
      <c r="AB1091" s="13">
        <f>SUMPRODUCT(M1091:X1091,$M$4:$X$4)*$K1091*$L1091</f>
        <v/>
      </c>
      <c r="AC1091" s="15">
        <f>SUMPRODUCT(M1091:X1091,$M$5:$X$5)*$K1091*$L1091</f>
        <v/>
      </c>
      <c r="AD1091" s="15">
        <f>SUMPRODUCT(M1091:X1091,$M$6:$X$6)*$K1091*$L1091</f>
        <v/>
      </c>
      <c r="AE1091" s="19" t="n"/>
    </row>
    <row r="1092">
      <c r="A1092" s="9" t="n">
        <v>686894</v>
      </c>
      <c r="B1092" s="9" t="inlineStr">
        <is>
          <t>Joey Wiemer</t>
        </is>
      </c>
      <c r="C1092" s="9" t="inlineStr"/>
      <c r="D1092" s="9" t="n">
        <v>28</v>
      </c>
      <c r="E1092" s="17" t="inlineStr">
        <is>
          <t>R</t>
        </is>
      </c>
      <c r="F1092" s="17" t="n"/>
      <c r="G1092" s="9" t="n">
        <v>16</v>
      </c>
      <c r="H1092" s="9" t="n">
        <v>16</v>
      </c>
      <c r="I1092" s="9" t="inlineStr">
        <is>
          <t>Depth (no MLB IP)</t>
        </is>
      </c>
      <c r="J1092" s="17" t="inlineStr">
        <is>
          <t>Opening Day</t>
        </is>
      </c>
      <c r="K1092" s="11">
        <f>IFERROR(INDEX(Roles!$B$17:$B$20,MATCH(J1092,Roles!$A$17:$A$20,0)),1)</f>
        <v/>
      </c>
      <c r="L1092" s="18" t="n">
        <v>1</v>
      </c>
      <c r="M1092" s="18" t="n"/>
      <c r="N1092" s="18" t="n"/>
      <c r="O1092" s="18" t="n"/>
      <c r="P1092" s="18" t="n"/>
      <c r="Q1092" s="18" t="n"/>
      <c r="R1092" s="18" t="n"/>
      <c r="S1092" s="18" t="n"/>
      <c r="T1092" s="18" t="n"/>
      <c r="U1092" s="18" t="n"/>
      <c r="V1092" s="18" t="n"/>
      <c r="W1092" s="18" t="n"/>
      <c r="X1092" s="18" t="n"/>
      <c r="Y1092" s="13">
        <f>SUMPRODUCT(M1092:X1092,$M$2:$X$2)*$K1092*$L1092</f>
        <v/>
      </c>
      <c r="Z1092" s="14">
        <f>SUM(M1092:X1092)</f>
        <v/>
      </c>
      <c r="AA1092" s="13">
        <f>SUMPRODUCT(M1092:X1092,$M$3:$X$3)*$K1092*$L1092</f>
        <v/>
      </c>
      <c r="AB1092" s="13">
        <f>SUMPRODUCT(M1092:X1092,$M$4:$X$4)*$K1092*$L1092</f>
        <v/>
      </c>
      <c r="AC1092" s="15">
        <f>SUMPRODUCT(M1092:X1092,$M$5:$X$5)*$K1092*$L1092</f>
        <v/>
      </c>
      <c r="AD1092" s="15">
        <f>SUMPRODUCT(M1092:X1092,$M$6:$X$6)*$K1092*$L1092</f>
        <v/>
      </c>
      <c r="AE1092" s="19" t="n"/>
    </row>
    <row r="1093">
      <c r="A1093" s="9" t="n">
        <v>694346</v>
      </c>
      <c r="B1093" s="9" t="inlineStr">
        <is>
          <t>Trey Gibson</t>
        </is>
      </c>
      <c r="C1093" s="9" t="inlineStr">
        <is>
          <t>BAL</t>
        </is>
      </c>
      <c r="D1093" s="9" t="n">
        <v>25</v>
      </c>
      <c r="E1093" s="17" t="inlineStr">
        <is>
          <t>R</t>
        </is>
      </c>
      <c r="F1093" s="17" t="n"/>
      <c r="G1093" s="9" t="n">
        <v>161</v>
      </c>
      <c r="H1093" s="9" t="n">
        <v>161</v>
      </c>
      <c r="I1093" s="9" t="inlineStr">
        <is>
          <t>End-of-Rotation Starter (SP4-5)</t>
        </is>
      </c>
      <c r="J1093" s="17" t="inlineStr">
        <is>
          <t>Opening Day</t>
        </is>
      </c>
      <c r="K1093" s="11">
        <f>IFERROR(INDEX(Roles!$B$17:$B$20,MATCH(J1093,Roles!$A$17:$A$20,0)),1)</f>
        <v/>
      </c>
      <c r="L1093" s="18" t="n">
        <v>1</v>
      </c>
      <c r="M1093" s="18" t="n"/>
      <c r="N1093" s="18" t="n"/>
      <c r="O1093" s="18" t="n"/>
      <c r="P1093" s="18" t="n"/>
      <c r="Q1093" s="18" t="n"/>
      <c r="R1093" s="18" t="n"/>
      <c r="S1093" s="18" t="n"/>
      <c r="T1093" s="18" t="n"/>
      <c r="U1093" s="18" t="n"/>
      <c r="V1093" s="18" t="n"/>
      <c r="W1093" s="18" t="n"/>
      <c r="X1093" s="18" t="n"/>
      <c r="Y1093" s="13">
        <f>SUMPRODUCT(M1093:X1093,$M$2:$X$2)*$K1093*$L1093</f>
        <v/>
      </c>
      <c r="Z1093" s="14">
        <f>SUM(M1093:X1093)</f>
        <v/>
      </c>
      <c r="AA1093" s="13">
        <f>SUMPRODUCT(M1093:X1093,$M$3:$X$3)*$K1093*$L1093</f>
        <v/>
      </c>
      <c r="AB1093" s="13">
        <f>SUMPRODUCT(M1093:X1093,$M$4:$X$4)*$K1093*$L1093</f>
        <v/>
      </c>
      <c r="AC1093" s="15">
        <f>SUMPRODUCT(M1093:X1093,$M$5:$X$5)*$K1093*$L1093</f>
        <v/>
      </c>
      <c r="AD1093" s="15">
        <f>SUMPRODUCT(M1093:X1093,$M$6:$X$6)*$K1093*$L1093</f>
        <v/>
      </c>
      <c r="AE1093" s="19" t="n"/>
    </row>
    <row r="1094">
      <c r="A1094" s="9" t="n">
        <v>663423</v>
      </c>
      <c r="B1094" s="9" t="inlineStr">
        <is>
          <t>Trent Thornton</t>
        </is>
      </c>
      <c r="C1094" s="9" t="inlineStr">
        <is>
          <t>CHC</t>
        </is>
      </c>
      <c r="D1094" s="9" t="n">
        <v>33</v>
      </c>
      <c r="E1094" s="17" t="inlineStr">
        <is>
          <t>R</t>
        </is>
      </c>
      <c r="F1094" s="17" t="n"/>
      <c r="G1094" s="9" t="n">
        <v>196</v>
      </c>
      <c r="H1094" s="9" t="n">
        <v>984</v>
      </c>
      <c r="I1094" s="9" t="inlineStr">
        <is>
          <t>Bullpen Depth Arm</t>
        </is>
      </c>
      <c r="J1094" s="17" t="inlineStr">
        <is>
          <t>Opening Day</t>
        </is>
      </c>
      <c r="K1094" s="11">
        <f>IFERROR(INDEX(Roles!$B$17:$B$20,MATCH(J1094,Roles!$A$17:$A$20,0)),1)</f>
        <v/>
      </c>
      <c r="L1094" s="18" t="n">
        <v>1</v>
      </c>
      <c r="M1094" s="18" t="n"/>
      <c r="N1094" s="18" t="n"/>
      <c r="O1094" s="18" t="n"/>
      <c r="P1094" s="18" t="n"/>
      <c r="Q1094" s="18" t="n"/>
      <c r="R1094" s="18" t="n"/>
      <c r="S1094" s="18" t="n"/>
      <c r="T1094" s="18" t="n"/>
      <c r="U1094" s="18" t="n"/>
      <c r="V1094" s="18" t="n"/>
      <c r="W1094" s="18" t="n"/>
      <c r="X1094" s="18" t="n"/>
      <c r="Y1094" s="13">
        <f>SUMPRODUCT(M1094:X1094,$M$2:$X$2)*$K1094*$L1094</f>
        <v/>
      </c>
      <c r="Z1094" s="14">
        <f>SUM(M1094:X1094)</f>
        <v/>
      </c>
      <c r="AA1094" s="13">
        <f>SUMPRODUCT(M1094:X1094,$M$3:$X$3)*$K1094*$L1094</f>
        <v/>
      </c>
      <c r="AB1094" s="13">
        <f>SUMPRODUCT(M1094:X1094,$M$4:$X$4)*$K1094*$L1094</f>
        <v/>
      </c>
      <c r="AC1094" s="15">
        <f>SUMPRODUCT(M1094:X1094,$M$5:$X$5)*$K1094*$L1094</f>
        <v/>
      </c>
      <c r="AD1094" s="15">
        <f>SUMPRODUCT(M1094:X1094,$M$6:$X$6)*$K1094*$L1094</f>
        <v/>
      </c>
      <c r="AE1094" s="19" t="n"/>
    </row>
    <row r="1095">
      <c r="A1095" s="9" t="n">
        <v>663992</v>
      </c>
      <c r="B1095" s="9" t="inlineStr">
        <is>
          <t>Richard Lovelady</t>
        </is>
      </c>
      <c r="C1095" s="9" t="inlineStr">
        <is>
          <t>WSH</t>
        </is>
      </c>
      <c r="D1095" s="9" t="n">
        <v>31</v>
      </c>
      <c r="E1095" s="17" t="inlineStr">
        <is>
          <t>L</t>
        </is>
      </c>
      <c r="F1095" s="17" t="n"/>
      <c r="G1095" s="9" t="n">
        <v>154</v>
      </c>
      <c r="H1095" s="9" t="n">
        <v>454</v>
      </c>
      <c r="I1095" s="9" t="inlineStr">
        <is>
          <t>Bullpen Depth Arm</t>
        </is>
      </c>
      <c r="J1095" s="17" t="inlineStr">
        <is>
          <t>Opening Day</t>
        </is>
      </c>
      <c r="K1095" s="11">
        <f>IFERROR(INDEX(Roles!$B$17:$B$20,MATCH(J1095,Roles!$A$17:$A$20,0)),1)</f>
        <v/>
      </c>
      <c r="L1095" s="18" t="n">
        <v>1</v>
      </c>
      <c r="M1095" s="18" t="n"/>
      <c r="N1095" s="18" t="n"/>
      <c r="O1095" s="18" t="n"/>
      <c r="P1095" s="18" t="n"/>
      <c r="Q1095" s="18" t="n"/>
      <c r="R1095" s="18" t="n"/>
      <c r="S1095" s="18" t="n"/>
      <c r="T1095" s="18" t="n"/>
      <c r="U1095" s="18" t="n"/>
      <c r="V1095" s="18" t="n"/>
      <c r="W1095" s="18" t="n"/>
      <c r="X1095" s="18" t="n"/>
      <c r="Y1095" s="13">
        <f>SUMPRODUCT(M1095:X1095,$M$2:$X$2)*$K1095*$L1095</f>
        <v/>
      </c>
      <c r="Z1095" s="14">
        <f>SUM(M1095:X1095)</f>
        <v/>
      </c>
      <c r="AA1095" s="13">
        <f>SUMPRODUCT(M1095:X1095,$M$3:$X$3)*$K1095*$L1095</f>
        <v/>
      </c>
      <c r="AB1095" s="13">
        <f>SUMPRODUCT(M1095:X1095,$M$4:$X$4)*$K1095*$L1095</f>
        <v/>
      </c>
      <c r="AC1095" s="15">
        <f>SUMPRODUCT(M1095:X1095,$M$5:$X$5)*$K1095*$L1095</f>
        <v/>
      </c>
      <c r="AD1095" s="15">
        <f>SUMPRODUCT(M1095:X1095,$M$6:$X$6)*$K1095*$L1095</f>
        <v/>
      </c>
      <c r="AE1095" s="19" t="n"/>
    </row>
    <row r="1096">
      <c r="A1096" s="9" t="n">
        <v>671096</v>
      </c>
      <c r="B1096" s="9" t="inlineStr">
        <is>
          <t>Andrew Abbott</t>
        </is>
      </c>
      <c r="C1096" s="9" t="inlineStr">
        <is>
          <t>CIN</t>
        </is>
      </c>
      <c r="D1096" s="9" t="n">
        <v>28</v>
      </c>
      <c r="E1096" s="17" t="inlineStr">
        <is>
          <t>L</t>
        </is>
      </c>
      <c r="F1096" s="17" t="n"/>
      <c r="G1096" s="9" t="n">
        <v>701</v>
      </c>
      <c r="H1096" s="9" t="n">
        <v>2430</v>
      </c>
      <c r="I1096" s="9" t="inlineStr">
        <is>
          <t>Mid-Rotation Starter (SP2-3)</t>
        </is>
      </c>
      <c r="J1096" s="17" t="inlineStr">
        <is>
          <t>Opening Day</t>
        </is>
      </c>
      <c r="K1096" s="11">
        <f>IFERROR(INDEX(Roles!$B$17:$B$20,MATCH(J1096,Roles!$A$17:$A$20,0)),1)</f>
        <v/>
      </c>
      <c r="L1096" s="18" t="n">
        <v>1</v>
      </c>
      <c r="M1096" s="18" t="n"/>
      <c r="N1096" s="18" t="n"/>
      <c r="O1096" s="18" t="n"/>
      <c r="P1096" s="18" t="n"/>
      <c r="Q1096" s="18" t="n"/>
      <c r="R1096" s="18" t="n"/>
      <c r="S1096" s="18" t="n"/>
      <c r="T1096" s="18" t="n"/>
      <c r="U1096" s="18" t="n"/>
      <c r="V1096" s="18" t="n"/>
      <c r="W1096" s="18" t="n"/>
      <c r="X1096" s="18" t="n"/>
      <c r="Y1096" s="13">
        <f>SUMPRODUCT(M1096:X1096,$M$2:$X$2)*$K1096*$L1096</f>
        <v/>
      </c>
      <c r="Z1096" s="14">
        <f>SUM(M1096:X1096)</f>
        <v/>
      </c>
      <c r="AA1096" s="13">
        <f>SUMPRODUCT(M1096:X1096,$M$3:$X$3)*$K1096*$L1096</f>
        <v/>
      </c>
      <c r="AB1096" s="13">
        <f>SUMPRODUCT(M1096:X1096,$M$4:$X$4)*$K1096*$L1096</f>
        <v/>
      </c>
      <c r="AC1096" s="15">
        <f>SUMPRODUCT(M1096:X1096,$M$5:$X$5)*$K1096*$L1096</f>
        <v/>
      </c>
      <c r="AD1096" s="15">
        <f>SUMPRODUCT(M1096:X1096,$M$6:$X$6)*$K1096*$L1096</f>
        <v/>
      </c>
      <c r="AE1096" s="19" t="n"/>
    </row>
    <row r="1097">
      <c r="A1097" s="9" t="n">
        <v>642239</v>
      </c>
      <c r="B1097" s="9" t="inlineStr">
        <is>
          <t>Rob Zastryzny</t>
        </is>
      </c>
      <c r="C1097" s="9" t="inlineStr">
        <is>
          <t>MIL</t>
        </is>
      </c>
      <c r="D1097" s="9" t="n">
        <v>35</v>
      </c>
      <c r="E1097" s="17" t="inlineStr">
        <is>
          <t>L</t>
        </is>
      </c>
      <c r="F1097" s="17" t="n"/>
      <c r="G1097" s="9" t="n">
        <v>93</v>
      </c>
      <c r="H1097" s="9" t="n">
        <v>235</v>
      </c>
      <c r="I1097" s="9" t="inlineStr">
        <is>
          <t>Bullpen Depth Arm</t>
        </is>
      </c>
      <c r="J1097" s="17" t="inlineStr">
        <is>
          <t>Opening Day</t>
        </is>
      </c>
      <c r="K1097" s="11">
        <f>IFERROR(INDEX(Roles!$B$17:$B$20,MATCH(J1097,Roles!$A$17:$A$20,0)),1)</f>
        <v/>
      </c>
      <c r="L1097" s="18" t="n">
        <v>1</v>
      </c>
      <c r="M1097" s="18" t="n"/>
      <c r="N1097" s="18" t="n"/>
      <c r="O1097" s="18" t="n"/>
      <c r="P1097" s="18" t="n"/>
      <c r="Q1097" s="18" t="n"/>
      <c r="R1097" s="18" t="n"/>
      <c r="S1097" s="18" t="n"/>
      <c r="T1097" s="18" t="n"/>
      <c r="U1097" s="18" t="n"/>
      <c r="V1097" s="18" t="n"/>
      <c r="W1097" s="18" t="n"/>
      <c r="X1097" s="18" t="n"/>
      <c r="Y1097" s="13">
        <f>SUMPRODUCT(M1097:X1097,$M$2:$X$2)*$K1097*$L1097</f>
        <v/>
      </c>
      <c r="Z1097" s="14">
        <f>SUM(M1097:X1097)</f>
        <v/>
      </c>
      <c r="AA1097" s="13">
        <f>SUMPRODUCT(M1097:X1097,$M$3:$X$3)*$K1097*$L1097</f>
        <v/>
      </c>
      <c r="AB1097" s="13">
        <f>SUMPRODUCT(M1097:X1097,$M$4:$X$4)*$K1097*$L1097</f>
        <v/>
      </c>
      <c r="AC1097" s="15">
        <f>SUMPRODUCT(M1097:X1097,$M$5:$X$5)*$K1097*$L1097</f>
        <v/>
      </c>
      <c r="AD1097" s="15">
        <f>SUMPRODUCT(M1097:X1097,$M$6:$X$6)*$K1097*$L1097</f>
        <v/>
      </c>
      <c r="AE1097" s="19" t="n"/>
    </row>
    <row r="1098">
      <c r="A1098" s="9" t="n">
        <v>666818</v>
      </c>
      <c r="B1098" s="9" t="inlineStr">
        <is>
          <t>Luis Frías</t>
        </is>
      </c>
      <c r="C1098" s="9" t="inlineStr">
        <is>
          <t>TOR</t>
        </is>
      </c>
      <c r="D1098" s="9" t="n">
        <v>29</v>
      </c>
      <c r="E1098" s="17" t="inlineStr">
        <is>
          <t>R</t>
        </is>
      </c>
      <c r="F1098" s="17" t="n"/>
      <c r="G1098" s="9" t="n">
        <v>53</v>
      </c>
      <c r="H1098" s="9" t="n">
        <v>282</v>
      </c>
      <c r="I1098" s="9" t="inlineStr">
        <is>
          <t>Depth (no MLB IP)</t>
        </is>
      </c>
      <c r="J1098" s="17" t="inlineStr">
        <is>
          <t>Opening Day</t>
        </is>
      </c>
      <c r="K1098" s="11">
        <f>IFERROR(INDEX(Roles!$B$17:$B$20,MATCH(J1098,Roles!$A$17:$A$20,0)),1)</f>
        <v/>
      </c>
      <c r="L1098" s="18" t="n">
        <v>1</v>
      </c>
      <c r="M1098" s="18" t="n"/>
      <c r="N1098" s="18" t="n"/>
      <c r="O1098" s="18" t="n"/>
      <c r="P1098" s="18" t="n"/>
      <c r="Q1098" s="18" t="n"/>
      <c r="R1098" s="18" t="n"/>
      <c r="S1098" s="18" t="n"/>
      <c r="T1098" s="18" t="n"/>
      <c r="U1098" s="18" t="n"/>
      <c r="V1098" s="18" t="n"/>
      <c r="W1098" s="18" t="n"/>
      <c r="X1098" s="18" t="n"/>
      <c r="Y1098" s="13">
        <f>SUMPRODUCT(M1098:X1098,$M$2:$X$2)*$K1098*$L1098</f>
        <v/>
      </c>
      <c r="Z1098" s="14">
        <f>SUM(M1098:X1098)</f>
        <v/>
      </c>
      <c r="AA1098" s="13">
        <f>SUMPRODUCT(M1098:X1098,$M$3:$X$3)*$K1098*$L1098</f>
        <v/>
      </c>
      <c r="AB1098" s="13">
        <f>SUMPRODUCT(M1098:X1098,$M$4:$X$4)*$K1098*$L1098</f>
        <v/>
      </c>
      <c r="AC1098" s="15">
        <f>SUMPRODUCT(M1098:X1098,$M$5:$X$5)*$K1098*$L1098</f>
        <v/>
      </c>
      <c r="AD1098" s="15">
        <f>SUMPRODUCT(M1098:X1098,$M$6:$X$6)*$K1098*$L1098</f>
        <v/>
      </c>
      <c r="AE1098" s="19" t="n"/>
    </row>
    <row r="1099">
      <c r="A1099" s="9" t="n">
        <v>542932</v>
      </c>
      <c r="B1099" s="9" t="inlineStr">
        <is>
          <t>Jon Berti</t>
        </is>
      </c>
      <c r="C1099" s="9" t="inlineStr"/>
      <c r="D1099" s="9" t="n">
        <v>37</v>
      </c>
      <c r="E1099" s="17" t="inlineStr">
        <is>
          <t>R</t>
        </is>
      </c>
      <c r="F1099" s="17" t="n"/>
      <c r="G1099" s="9" t="n">
        <v>19</v>
      </c>
      <c r="H1099" s="9" t="n">
        <v>19</v>
      </c>
      <c r="I1099" s="9" t="inlineStr">
        <is>
          <t>Depth (no MLB IP)</t>
        </is>
      </c>
      <c r="J1099" s="17" t="inlineStr">
        <is>
          <t>Opening Day</t>
        </is>
      </c>
      <c r="K1099" s="11">
        <f>IFERROR(INDEX(Roles!$B$17:$B$20,MATCH(J1099,Roles!$A$17:$A$20,0)),1)</f>
        <v/>
      </c>
      <c r="L1099" s="18" t="n">
        <v>1</v>
      </c>
      <c r="M1099" s="18" t="n"/>
      <c r="N1099" s="18" t="n"/>
      <c r="O1099" s="18" t="n"/>
      <c r="P1099" s="18" t="n"/>
      <c r="Q1099" s="18" t="n"/>
      <c r="R1099" s="18" t="n"/>
      <c r="S1099" s="18" t="n"/>
      <c r="T1099" s="18" t="n"/>
      <c r="U1099" s="18" t="n"/>
      <c r="V1099" s="18" t="n"/>
      <c r="W1099" s="18" t="n"/>
      <c r="X1099" s="18" t="n"/>
      <c r="Y1099" s="13">
        <f>SUMPRODUCT(M1099:X1099,$M$2:$X$2)*$K1099*$L1099</f>
        <v/>
      </c>
      <c r="Z1099" s="14">
        <f>SUM(M1099:X1099)</f>
        <v/>
      </c>
      <c r="AA1099" s="13">
        <f>SUMPRODUCT(M1099:X1099,$M$3:$X$3)*$K1099*$L1099</f>
        <v/>
      </c>
      <c r="AB1099" s="13">
        <f>SUMPRODUCT(M1099:X1099,$M$4:$X$4)*$K1099*$L1099</f>
        <v/>
      </c>
      <c r="AC1099" s="15">
        <f>SUMPRODUCT(M1099:X1099,$M$5:$X$5)*$K1099*$L1099</f>
        <v/>
      </c>
      <c r="AD1099" s="15">
        <f>SUMPRODUCT(M1099:X1099,$M$6:$X$6)*$K1099*$L1099</f>
        <v/>
      </c>
      <c r="AE1099" s="19" t="n"/>
    </row>
    <row r="1100">
      <c r="A1100" s="9" t="n">
        <v>668984</v>
      </c>
      <c r="B1100" s="9" t="inlineStr">
        <is>
          <t>Casey Legumina</t>
        </is>
      </c>
      <c r="C1100" s="9" t="inlineStr">
        <is>
          <t>TB</t>
        </is>
      </c>
      <c r="D1100" s="9" t="n">
        <v>30</v>
      </c>
      <c r="E1100" s="17" t="inlineStr">
        <is>
          <t>R</t>
        </is>
      </c>
      <c r="F1100" s="17" t="n"/>
      <c r="G1100" s="9" t="n">
        <v>284</v>
      </c>
      <c r="H1100" s="9" t="n">
        <v>611</v>
      </c>
      <c r="I1100" s="9" t="inlineStr">
        <is>
          <t>Bullpen Depth Arm</t>
        </is>
      </c>
      <c r="J1100" s="17" t="inlineStr">
        <is>
          <t>Opening Day</t>
        </is>
      </c>
      <c r="K1100" s="11">
        <f>IFERROR(INDEX(Roles!$B$17:$B$20,MATCH(J1100,Roles!$A$17:$A$20,0)),1)</f>
        <v/>
      </c>
      <c r="L1100" s="18" t="n">
        <v>1</v>
      </c>
      <c r="M1100" s="18" t="n"/>
      <c r="N1100" s="18" t="n"/>
      <c r="O1100" s="18" t="n"/>
      <c r="P1100" s="18" t="n"/>
      <c r="Q1100" s="18" t="n"/>
      <c r="R1100" s="18" t="n"/>
      <c r="S1100" s="18" t="n"/>
      <c r="T1100" s="18" t="n"/>
      <c r="U1100" s="18" t="n"/>
      <c r="V1100" s="18" t="n"/>
      <c r="W1100" s="18" t="n"/>
      <c r="X1100" s="18" t="n"/>
      <c r="Y1100" s="13">
        <f>SUMPRODUCT(M1100:X1100,$M$2:$X$2)*$K1100*$L1100</f>
        <v/>
      </c>
      <c r="Z1100" s="14">
        <f>SUM(M1100:X1100)</f>
        <v/>
      </c>
      <c r="AA1100" s="13">
        <f>SUMPRODUCT(M1100:X1100,$M$3:$X$3)*$K1100*$L1100</f>
        <v/>
      </c>
      <c r="AB1100" s="13">
        <f>SUMPRODUCT(M1100:X1100,$M$4:$X$4)*$K1100*$L1100</f>
        <v/>
      </c>
      <c r="AC1100" s="15">
        <f>SUMPRODUCT(M1100:X1100,$M$5:$X$5)*$K1100*$L1100</f>
        <v/>
      </c>
      <c r="AD1100" s="15">
        <f>SUMPRODUCT(M1100:X1100,$M$6:$X$6)*$K1100*$L1100</f>
        <v/>
      </c>
      <c r="AE1100" s="19" t="n"/>
    </row>
    <row r="1101">
      <c r="A1101" s="9" t="n">
        <v>701643</v>
      </c>
      <c r="B1101" s="9" t="inlineStr">
        <is>
          <t>Grant Hartwig</t>
        </is>
      </c>
      <c r="C1101" s="9" t="inlineStr">
        <is>
          <t>NYM</t>
        </is>
      </c>
      <c r="D1101" s="9" t="n">
        <v>29</v>
      </c>
      <c r="E1101" s="17" t="inlineStr">
        <is>
          <t>R</t>
        </is>
      </c>
      <c r="F1101" s="17" t="n"/>
      <c r="G1101" s="9" t="n">
        <v>31</v>
      </c>
      <c r="H1101" s="9" t="n">
        <v>189</v>
      </c>
      <c r="I1101" s="9" t="inlineStr">
        <is>
          <t>Depth (no MLB IP)</t>
        </is>
      </c>
      <c r="J1101" s="17" t="inlineStr">
        <is>
          <t>Opening Day</t>
        </is>
      </c>
      <c r="K1101" s="11">
        <f>IFERROR(INDEX(Roles!$B$17:$B$20,MATCH(J1101,Roles!$A$17:$A$20,0)),1)</f>
        <v/>
      </c>
      <c r="L1101" s="18" t="n">
        <v>1</v>
      </c>
      <c r="M1101" s="18" t="n"/>
      <c r="N1101" s="18" t="n"/>
      <c r="O1101" s="18" t="n"/>
      <c r="P1101" s="18" t="n"/>
      <c r="Q1101" s="18" t="n"/>
      <c r="R1101" s="18" t="n"/>
      <c r="S1101" s="18" t="n"/>
      <c r="T1101" s="18" t="n"/>
      <c r="U1101" s="18" t="n"/>
      <c r="V1101" s="18" t="n"/>
      <c r="W1101" s="18" t="n"/>
      <c r="X1101" s="18" t="n"/>
      <c r="Y1101" s="13">
        <f>SUMPRODUCT(M1101:X1101,$M$2:$X$2)*$K1101*$L1101</f>
        <v/>
      </c>
      <c r="Z1101" s="14">
        <f>SUM(M1101:X1101)</f>
        <v/>
      </c>
      <c r="AA1101" s="13">
        <f>SUMPRODUCT(M1101:X1101,$M$3:$X$3)*$K1101*$L1101</f>
        <v/>
      </c>
      <c r="AB1101" s="13">
        <f>SUMPRODUCT(M1101:X1101,$M$4:$X$4)*$K1101*$L1101</f>
        <v/>
      </c>
      <c r="AC1101" s="15">
        <f>SUMPRODUCT(M1101:X1101,$M$5:$X$5)*$K1101*$L1101</f>
        <v/>
      </c>
      <c r="AD1101" s="15">
        <f>SUMPRODUCT(M1101:X1101,$M$6:$X$6)*$K1101*$L1101</f>
        <v/>
      </c>
      <c r="AE1101" s="19" t="n"/>
    </row>
    <row r="1102">
      <c r="A1102" s="9" t="n">
        <v>656557</v>
      </c>
      <c r="B1102" s="9" t="inlineStr">
        <is>
          <t>Tanner Houck</t>
        </is>
      </c>
      <c r="C1102" s="9" t="inlineStr">
        <is>
          <t>BOS</t>
        </is>
      </c>
      <c r="D1102" s="9" t="n">
        <v>31</v>
      </c>
      <c r="E1102" s="17" t="inlineStr">
        <is>
          <t>R</t>
        </is>
      </c>
      <c r="F1102" s="17" t="n"/>
      <c r="G1102" s="9" t="n">
        <v>203</v>
      </c>
      <c r="H1102" s="9" t="n">
        <v>1656</v>
      </c>
      <c r="I1102" s="9" t="inlineStr">
        <is>
          <t>Mid-Rotation Starter (SP2-3)</t>
        </is>
      </c>
      <c r="J1102" s="17" t="inlineStr">
        <is>
          <t>Opening Day</t>
        </is>
      </c>
      <c r="K1102" s="11">
        <f>IFERROR(INDEX(Roles!$B$17:$B$20,MATCH(J1102,Roles!$A$17:$A$20,0)),1)</f>
        <v/>
      </c>
      <c r="L1102" s="18" t="n">
        <v>1</v>
      </c>
      <c r="M1102" s="18" t="n"/>
      <c r="N1102" s="18" t="n"/>
      <c r="O1102" s="18" t="n"/>
      <c r="P1102" s="18" t="n"/>
      <c r="Q1102" s="18" t="n"/>
      <c r="R1102" s="18" t="n"/>
      <c r="S1102" s="18" t="n"/>
      <c r="T1102" s="18" t="n"/>
      <c r="U1102" s="18" t="n"/>
      <c r="V1102" s="18" t="n"/>
      <c r="W1102" s="18" t="n"/>
      <c r="X1102" s="18" t="n"/>
      <c r="Y1102" s="13">
        <f>SUMPRODUCT(M1102:X1102,$M$2:$X$2)*$K1102*$L1102</f>
        <v/>
      </c>
      <c r="Z1102" s="14">
        <f>SUM(M1102:X1102)</f>
        <v/>
      </c>
      <c r="AA1102" s="13">
        <f>SUMPRODUCT(M1102:X1102,$M$3:$X$3)*$K1102*$L1102</f>
        <v/>
      </c>
      <c r="AB1102" s="13">
        <f>SUMPRODUCT(M1102:X1102,$M$4:$X$4)*$K1102*$L1102</f>
        <v/>
      </c>
      <c r="AC1102" s="15">
        <f>SUMPRODUCT(M1102:X1102,$M$5:$X$5)*$K1102*$L1102</f>
        <v/>
      </c>
      <c r="AD1102" s="15">
        <f>SUMPRODUCT(M1102:X1102,$M$6:$X$6)*$K1102*$L1102</f>
        <v/>
      </c>
      <c r="AE1102" s="19" t="n"/>
    </row>
    <row r="1103">
      <c r="A1103" s="9" t="n">
        <v>685116</v>
      </c>
      <c r="B1103" s="9" t="inlineStr">
        <is>
          <t>Austin Kitchen</t>
        </is>
      </c>
      <c r="C1103" s="9" t="inlineStr">
        <is>
          <t>MIA</t>
        </is>
      </c>
      <c r="D1103" s="9" t="n">
        <v>30</v>
      </c>
      <c r="E1103" s="17" t="inlineStr">
        <is>
          <t>L</t>
        </is>
      </c>
      <c r="F1103" s="17" t="n"/>
      <c r="G1103" s="9" t="n">
        <v>42</v>
      </c>
      <c r="H1103" s="9" t="n">
        <v>42</v>
      </c>
      <c r="I1103" s="9" t="inlineStr">
        <is>
          <t>Depth (no MLB IP)</t>
        </is>
      </c>
      <c r="J1103" s="17" t="inlineStr">
        <is>
          <t>Opening Day</t>
        </is>
      </c>
      <c r="K1103" s="11">
        <f>IFERROR(INDEX(Roles!$B$17:$B$20,MATCH(J1103,Roles!$A$17:$A$20,0)),1)</f>
        <v/>
      </c>
      <c r="L1103" s="18" t="n">
        <v>1</v>
      </c>
      <c r="M1103" s="18" t="n"/>
      <c r="N1103" s="18" t="n"/>
      <c r="O1103" s="18" t="n"/>
      <c r="P1103" s="18" t="n"/>
      <c r="Q1103" s="18" t="n"/>
      <c r="R1103" s="18" t="n"/>
      <c r="S1103" s="18" t="n"/>
      <c r="T1103" s="18" t="n"/>
      <c r="U1103" s="18" t="n"/>
      <c r="V1103" s="18" t="n"/>
      <c r="W1103" s="18" t="n"/>
      <c r="X1103" s="18" t="n"/>
      <c r="Y1103" s="13">
        <f>SUMPRODUCT(M1103:X1103,$M$2:$X$2)*$K1103*$L1103</f>
        <v/>
      </c>
      <c r="Z1103" s="14">
        <f>SUM(M1103:X1103)</f>
        <v/>
      </c>
      <c r="AA1103" s="13">
        <f>SUMPRODUCT(M1103:X1103,$M$3:$X$3)*$K1103*$L1103</f>
        <v/>
      </c>
      <c r="AB1103" s="13">
        <f>SUMPRODUCT(M1103:X1103,$M$4:$X$4)*$K1103*$L1103</f>
        <v/>
      </c>
      <c r="AC1103" s="15">
        <f>SUMPRODUCT(M1103:X1103,$M$5:$X$5)*$K1103*$L1103</f>
        <v/>
      </c>
      <c r="AD1103" s="15">
        <f>SUMPRODUCT(M1103:X1103,$M$6:$X$6)*$K1103*$L1103</f>
        <v/>
      </c>
      <c r="AE1103" s="19" t="n"/>
    </row>
    <row r="1104">
      <c r="A1104" s="9" t="n">
        <v>592346</v>
      </c>
      <c r="B1104" s="9" t="inlineStr">
        <is>
          <t>Chi Chi González</t>
        </is>
      </c>
      <c r="C1104" s="9" t="inlineStr">
        <is>
          <t>NYY</t>
        </is>
      </c>
      <c r="D1104" s="9" t="n">
        <v>35</v>
      </c>
      <c r="E1104" s="17" t="inlineStr">
        <is>
          <t>R</t>
        </is>
      </c>
      <c r="F1104" s="17" t="n"/>
      <c r="G1104" s="9" t="n">
        <v>19</v>
      </c>
      <c r="H1104" s="9" t="n">
        <v>118</v>
      </c>
      <c r="I1104" s="9" t="inlineStr">
        <is>
          <t>Depth (no MLB IP)</t>
        </is>
      </c>
      <c r="J1104" s="17" t="inlineStr">
        <is>
          <t>Opening Day</t>
        </is>
      </c>
      <c r="K1104" s="11">
        <f>IFERROR(INDEX(Roles!$B$17:$B$20,MATCH(J1104,Roles!$A$17:$A$20,0)),1)</f>
        <v/>
      </c>
      <c r="L1104" s="18" t="n">
        <v>1</v>
      </c>
      <c r="M1104" s="18" t="n"/>
      <c r="N1104" s="18" t="n"/>
      <c r="O1104" s="18" t="n"/>
      <c r="P1104" s="18" t="n"/>
      <c r="Q1104" s="18" t="n"/>
      <c r="R1104" s="18" t="n"/>
      <c r="S1104" s="18" t="n"/>
      <c r="T1104" s="18" t="n"/>
      <c r="U1104" s="18" t="n"/>
      <c r="V1104" s="18" t="n"/>
      <c r="W1104" s="18" t="n"/>
      <c r="X1104" s="18" t="n"/>
      <c r="Y1104" s="13">
        <f>SUMPRODUCT(M1104:X1104,$M$2:$X$2)*$K1104*$L1104</f>
        <v/>
      </c>
      <c r="Z1104" s="14">
        <f>SUM(M1104:X1104)</f>
        <v/>
      </c>
      <c r="AA1104" s="13">
        <f>SUMPRODUCT(M1104:X1104,$M$3:$X$3)*$K1104*$L1104</f>
        <v/>
      </c>
      <c r="AB1104" s="13">
        <f>SUMPRODUCT(M1104:X1104,$M$4:$X$4)*$K1104*$L1104</f>
        <v/>
      </c>
      <c r="AC1104" s="15">
        <f>SUMPRODUCT(M1104:X1104,$M$5:$X$5)*$K1104*$L1104</f>
        <v/>
      </c>
      <c r="AD1104" s="15">
        <f>SUMPRODUCT(M1104:X1104,$M$6:$X$6)*$K1104*$L1104</f>
        <v/>
      </c>
      <c r="AE1104" s="19" t="n"/>
    </row>
    <row r="1105">
      <c r="A1105" s="9" t="n">
        <v>622761</v>
      </c>
      <c r="B1105" s="9" t="inlineStr">
        <is>
          <t>Jorge Mateo</t>
        </is>
      </c>
      <c r="C1105" s="9" t="inlineStr"/>
      <c r="D1105" s="9" t="n">
        <v>32</v>
      </c>
      <c r="E1105" s="17" t="inlineStr">
        <is>
          <t>R</t>
        </is>
      </c>
      <c r="F1105" s="17" t="n"/>
      <c r="G1105" s="9" t="n">
        <v>12</v>
      </c>
      <c r="H1105" s="9" t="n">
        <v>23</v>
      </c>
      <c r="I1105" s="9" t="inlineStr">
        <is>
          <t>Depth (no MLB IP)</t>
        </is>
      </c>
      <c r="J1105" s="17" t="inlineStr">
        <is>
          <t>Opening Day</t>
        </is>
      </c>
      <c r="K1105" s="11">
        <f>IFERROR(INDEX(Roles!$B$17:$B$20,MATCH(J1105,Roles!$A$17:$A$20,0)),1)</f>
        <v/>
      </c>
      <c r="L1105" s="18" t="n">
        <v>1</v>
      </c>
      <c r="M1105" s="18" t="n"/>
      <c r="N1105" s="18" t="n"/>
      <c r="O1105" s="18" t="n"/>
      <c r="P1105" s="18" t="n"/>
      <c r="Q1105" s="18" t="n"/>
      <c r="R1105" s="18" t="n"/>
      <c r="S1105" s="18" t="n"/>
      <c r="T1105" s="18" t="n"/>
      <c r="U1105" s="18" t="n"/>
      <c r="V1105" s="18" t="n"/>
      <c r="W1105" s="18" t="n"/>
      <c r="X1105" s="18" t="n"/>
      <c r="Y1105" s="13">
        <f>SUMPRODUCT(M1105:X1105,$M$2:$X$2)*$K1105*$L1105</f>
        <v/>
      </c>
      <c r="Z1105" s="14">
        <f>SUM(M1105:X1105)</f>
        <v/>
      </c>
      <c r="AA1105" s="13">
        <f>SUMPRODUCT(M1105:X1105,$M$3:$X$3)*$K1105*$L1105</f>
        <v/>
      </c>
      <c r="AB1105" s="13">
        <f>SUMPRODUCT(M1105:X1105,$M$4:$X$4)*$K1105*$L1105</f>
        <v/>
      </c>
      <c r="AC1105" s="15">
        <f>SUMPRODUCT(M1105:X1105,$M$5:$X$5)*$K1105*$L1105</f>
        <v/>
      </c>
      <c r="AD1105" s="15">
        <f>SUMPRODUCT(M1105:X1105,$M$6:$X$6)*$K1105*$L1105</f>
        <v/>
      </c>
      <c r="AE1105" s="19" t="n"/>
    </row>
    <row r="1106">
      <c r="A1106" s="9" t="n">
        <v>621057</v>
      </c>
      <c r="B1106" s="9" t="inlineStr">
        <is>
          <t>Justin Garza</t>
        </is>
      </c>
      <c r="C1106" s="9" t="inlineStr">
        <is>
          <t>NYM</t>
        </is>
      </c>
      <c r="D1106" s="9" t="n">
        <v>33</v>
      </c>
      <c r="E1106" s="17" t="inlineStr">
        <is>
          <t>R</t>
        </is>
      </c>
      <c r="F1106" s="17" t="n"/>
      <c r="G1106" s="9" t="n">
        <v>28</v>
      </c>
      <c r="H1106" s="9" t="n">
        <v>119</v>
      </c>
      <c r="I1106" s="9" t="inlineStr">
        <is>
          <t>Bullpen Depth Arm</t>
        </is>
      </c>
      <c r="J1106" s="17" t="inlineStr">
        <is>
          <t>Opening Day</t>
        </is>
      </c>
      <c r="K1106" s="11">
        <f>IFERROR(INDEX(Roles!$B$17:$B$20,MATCH(J1106,Roles!$A$17:$A$20,0)),1)</f>
        <v/>
      </c>
      <c r="L1106" s="18" t="n">
        <v>1</v>
      </c>
      <c r="M1106" s="18" t="n"/>
      <c r="N1106" s="18" t="n"/>
      <c r="O1106" s="18" t="n"/>
      <c r="P1106" s="18" t="n"/>
      <c r="Q1106" s="18" t="n"/>
      <c r="R1106" s="18" t="n"/>
      <c r="S1106" s="18" t="n"/>
      <c r="T1106" s="18" t="n"/>
      <c r="U1106" s="18" t="n"/>
      <c r="V1106" s="18" t="n"/>
      <c r="W1106" s="18" t="n"/>
      <c r="X1106" s="18" t="n"/>
      <c r="Y1106" s="13">
        <f>SUMPRODUCT(M1106:X1106,$M$2:$X$2)*$K1106*$L1106</f>
        <v/>
      </c>
      <c r="Z1106" s="14">
        <f>SUM(M1106:X1106)</f>
        <v/>
      </c>
      <c r="AA1106" s="13">
        <f>SUMPRODUCT(M1106:X1106,$M$3:$X$3)*$K1106*$L1106</f>
        <v/>
      </c>
      <c r="AB1106" s="13">
        <f>SUMPRODUCT(M1106:X1106,$M$4:$X$4)*$K1106*$L1106</f>
        <v/>
      </c>
      <c r="AC1106" s="15">
        <f>SUMPRODUCT(M1106:X1106,$M$5:$X$5)*$K1106*$L1106</f>
        <v/>
      </c>
      <c r="AD1106" s="15">
        <f>SUMPRODUCT(M1106:X1106,$M$6:$X$6)*$K1106*$L1106</f>
        <v/>
      </c>
      <c r="AE1106" s="19" t="n"/>
    </row>
    <row r="1107">
      <c r="A1107" s="9" t="n">
        <v>663554</v>
      </c>
      <c r="B1107" s="9" t="inlineStr">
        <is>
          <t>Casey Mize</t>
        </is>
      </c>
      <c r="C1107" s="9" t="inlineStr">
        <is>
          <t>SD</t>
        </is>
      </c>
      <c r="D1107" s="9" t="n">
        <v>30</v>
      </c>
      <c r="E1107" s="17" t="inlineStr">
        <is>
          <t>R</t>
        </is>
      </c>
      <c r="F1107" s="17" t="n"/>
      <c r="G1107" s="9" t="n">
        <v>510</v>
      </c>
      <c r="H1107" s="9" t="n">
        <v>1634</v>
      </c>
      <c r="I1107" s="9" t="inlineStr">
        <is>
          <t>Mid-Rotation Starter (SP2-3)</t>
        </is>
      </c>
      <c r="J1107" s="17" t="inlineStr">
        <is>
          <t>Opening Day</t>
        </is>
      </c>
      <c r="K1107" s="11">
        <f>IFERROR(INDEX(Roles!$B$17:$B$20,MATCH(J1107,Roles!$A$17:$A$20,0)),1)</f>
        <v/>
      </c>
      <c r="L1107" s="18" t="n">
        <v>1</v>
      </c>
      <c r="M1107" s="18" t="n"/>
      <c r="N1107" s="18" t="n"/>
      <c r="O1107" s="18" t="n"/>
      <c r="P1107" s="18" t="n"/>
      <c r="Q1107" s="18" t="n"/>
      <c r="R1107" s="18" t="n"/>
      <c r="S1107" s="18" t="n"/>
      <c r="T1107" s="18" t="n"/>
      <c r="U1107" s="18" t="n"/>
      <c r="V1107" s="18" t="n"/>
      <c r="W1107" s="18" t="n"/>
      <c r="X1107" s="18" t="n"/>
      <c r="Y1107" s="13">
        <f>SUMPRODUCT(M1107:X1107,$M$2:$X$2)*$K1107*$L1107</f>
        <v/>
      </c>
      <c r="Z1107" s="14">
        <f>SUM(M1107:X1107)</f>
        <v/>
      </c>
      <c r="AA1107" s="13">
        <f>SUMPRODUCT(M1107:X1107,$M$3:$X$3)*$K1107*$L1107</f>
        <v/>
      </c>
      <c r="AB1107" s="13">
        <f>SUMPRODUCT(M1107:X1107,$M$4:$X$4)*$K1107*$L1107</f>
        <v/>
      </c>
      <c r="AC1107" s="15">
        <f>SUMPRODUCT(M1107:X1107,$M$5:$X$5)*$K1107*$L1107</f>
        <v/>
      </c>
      <c r="AD1107" s="15">
        <f>SUMPRODUCT(M1107:X1107,$M$6:$X$6)*$K1107*$L1107</f>
        <v/>
      </c>
      <c r="AE1107" s="19" t="n"/>
    </row>
    <row r="1108">
      <c r="A1108" s="9" t="n">
        <v>656577</v>
      </c>
      <c r="B1108" s="9" t="inlineStr">
        <is>
          <t>Alex Jackson</t>
        </is>
      </c>
      <c r="C1108" s="9" t="inlineStr"/>
      <c r="D1108" s="9" t="n">
        <v>31</v>
      </c>
      <c r="E1108" s="17" t="inlineStr">
        <is>
          <t>R</t>
        </is>
      </c>
      <c r="F1108" s="17" t="n"/>
      <c r="G1108" s="9" t="n">
        <v>10</v>
      </c>
      <c r="H1108" s="9" t="n">
        <v>18</v>
      </c>
      <c r="I1108" s="9" t="inlineStr">
        <is>
          <t>Depth (no MLB IP)</t>
        </is>
      </c>
      <c r="J1108" s="17" t="inlineStr">
        <is>
          <t>Opening Day</t>
        </is>
      </c>
      <c r="K1108" s="11">
        <f>IFERROR(INDEX(Roles!$B$17:$B$20,MATCH(J1108,Roles!$A$17:$A$20,0)),1)</f>
        <v/>
      </c>
      <c r="L1108" s="18" t="n">
        <v>1</v>
      </c>
      <c r="M1108" s="18" t="n"/>
      <c r="N1108" s="18" t="n"/>
      <c r="O1108" s="18" t="n"/>
      <c r="P1108" s="18" t="n"/>
      <c r="Q1108" s="18" t="n"/>
      <c r="R1108" s="18" t="n"/>
      <c r="S1108" s="18" t="n"/>
      <c r="T1108" s="18" t="n"/>
      <c r="U1108" s="18" t="n"/>
      <c r="V1108" s="18" t="n"/>
      <c r="W1108" s="18" t="n"/>
      <c r="X1108" s="18" t="n"/>
      <c r="Y1108" s="13">
        <f>SUMPRODUCT(M1108:X1108,$M$2:$X$2)*$K1108*$L1108</f>
        <v/>
      </c>
      <c r="Z1108" s="14">
        <f>SUM(M1108:X1108)</f>
        <v/>
      </c>
      <c r="AA1108" s="13">
        <f>SUMPRODUCT(M1108:X1108,$M$3:$X$3)*$K1108*$L1108</f>
        <v/>
      </c>
      <c r="AB1108" s="13">
        <f>SUMPRODUCT(M1108:X1108,$M$4:$X$4)*$K1108*$L1108</f>
        <v/>
      </c>
      <c r="AC1108" s="15">
        <f>SUMPRODUCT(M1108:X1108,$M$5:$X$5)*$K1108*$L1108</f>
        <v/>
      </c>
      <c r="AD1108" s="15">
        <f>SUMPRODUCT(M1108:X1108,$M$6:$X$6)*$K1108*$L1108</f>
        <v/>
      </c>
      <c r="AE1108" s="19" t="n"/>
    </row>
    <row r="1109">
      <c r="A1109" s="9" t="n">
        <v>682995</v>
      </c>
      <c r="B1109" s="9" t="inlineStr">
        <is>
          <t>Hunter Barco</t>
        </is>
      </c>
      <c r="C1109" s="9" t="inlineStr">
        <is>
          <t>PIT</t>
        </is>
      </c>
      <c r="D1109" s="9" t="n">
        <v>26</v>
      </c>
      <c r="E1109" s="17" t="inlineStr">
        <is>
          <t>L</t>
        </is>
      </c>
      <c r="F1109" s="17" t="n"/>
      <c r="G1109" s="9" t="n">
        <v>87</v>
      </c>
      <c r="H1109" s="9" t="n">
        <v>99</v>
      </c>
      <c r="I1109" s="9" t="inlineStr">
        <is>
          <t>Bullpen Depth Arm</t>
        </is>
      </c>
      <c r="J1109" s="17" t="inlineStr">
        <is>
          <t>Opening Day</t>
        </is>
      </c>
      <c r="K1109" s="11">
        <f>IFERROR(INDEX(Roles!$B$17:$B$20,MATCH(J1109,Roles!$A$17:$A$20,0)),1)</f>
        <v/>
      </c>
      <c r="L1109" s="18" t="n">
        <v>1</v>
      </c>
      <c r="M1109" s="18" t="n"/>
      <c r="N1109" s="18" t="n"/>
      <c r="O1109" s="18" t="n"/>
      <c r="P1109" s="18" t="n"/>
      <c r="Q1109" s="18" t="n"/>
      <c r="R1109" s="18" t="n"/>
      <c r="S1109" s="18" t="n"/>
      <c r="T1109" s="18" t="n"/>
      <c r="U1109" s="18" t="n"/>
      <c r="V1109" s="18" t="n"/>
      <c r="W1109" s="18" t="n"/>
      <c r="X1109" s="18" t="n"/>
      <c r="Y1109" s="13">
        <f>SUMPRODUCT(M1109:X1109,$M$2:$X$2)*$K1109*$L1109</f>
        <v/>
      </c>
      <c r="Z1109" s="14">
        <f>SUM(M1109:X1109)</f>
        <v/>
      </c>
      <c r="AA1109" s="13">
        <f>SUMPRODUCT(M1109:X1109,$M$3:$X$3)*$K1109*$L1109</f>
        <v/>
      </c>
      <c r="AB1109" s="13">
        <f>SUMPRODUCT(M1109:X1109,$M$4:$X$4)*$K1109*$L1109</f>
        <v/>
      </c>
      <c r="AC1109" s="15">
        <f>SUMPRODUCT(M1109:X1109,$M$5:$X$5)*$K1109*$L1109</f>
        <v/>
      </c>
      <c r="AD1109" s="15">
        <f>SUMPRODUCT(M1109:X1109,$M$6:$X$6)*$K1109*$L1109</f>
        <v/>
      </c>
      <c r="AE1109" s="19" t="n"/>
    </row>
    <row r="1110">
      <c r="A1110" s="9" t="n">
        <v>669461</v>
      </c>
      <c r="B1110" s="9" t="inlineStr">
        <is>
          <t>Matthew Liberatore</t>
        </is>
      </c>
      <c r="C1110" s="9" t="inlineStr">
        <is>
          <t>STL</t>
        </is>
      </c>
      <c r="D1110" s="9" t="n">
        <v>27</v>
      </c>
      <c r="E1110" s="17" t="inlineStr">
        <is>
          <t>L</t>
        </is>
      </c>
      <c r="F1110" s="17" t="n"/>
      <c r="G1110" s="9" t="n">
        <v>652</v>
      </c>
      <c r="H1110" s="9" t="n">
        <v>2094</v>
      </c>
      <c r="I1110" s="9" t="inlineStr">
        <is>
          <t>End-of-Rotation Starter (SP4-5)</t>
        </is>
      </c>
      <c r="J1110" s="17" t="inlineStr">
        <is>
          <t>Opening Day</t>
        </is>
      </c>
      <c r="K1110" s="11">
        <f>IFERROR(INDEX(Roles!$B$17:$B$20,MATCH(J1110,Roles!$A$17:$A$20,0)),1)</f>
        <v/>
      </c>
      <c r="L1110" s="18" t="n">
        <v>1</v>
      </c>
      <c r="M1110" s="18" t="n"/>
      <c r="N1110" s="18" t="n"/>
      <c r="O1110" s="18" t="n"/>
      <c r="P1110" s="18" t="n"/>
      <c r="Q1110" s="18" t="n"/>
      <c r="R1110" s="18" t="n"/>
      <c r="S1110" s="18" t="n"/>
      <c r="T1110" s="18" t="n"/>
      <c r="U1110" s="18" t="n"/>
      <c r="V1110" s="18" t="n"/>
      <c r="W1110" s="18" t="n"/>
      <c r="X1110" s="18" t="n"/>
      <c r="Y1110" s="13">
        <f>SUMPRODUCT(M1110:X1110,$M$2:$X$2)*$K1110*$L1110</f>
        <v/>
      </c>
      <c r="Z1110" s="14">
        <f>SUM(M1110:X1110)</f>
        <v/>
      </c>
      <c r="AA1110" s="13">
        <f>SUMPRODUCT(M1110:X1110,$M$3:$X$3)*$K1110*$L1110</f>
        <v/>
      </c>
      <c r="AB1110" s="13">
        <f>SUMPRODUCT(M1110:X1110,$M$4:$X$4)*$K1110*$L1110</f>
        <v/>
      </c>
      <c r="AC1110" s="15">
        <f>SUMPRODUCT(M1110:X1110,$M$5:$X$5)*$K1110*$L1110</f>
        <v/>
      </c>
      <c r="AD1110" s="15">
        <f>SUMPRODUCT(M1110:X1110,$M$6:$X$6)*$K1110*$L1110</f>
        <v/>
      </c>
      <c r="AE1110" s="19" t="n"/>
    </row>
    <row r="1111">
      <c r="A1111" s="9" t="n">
        <v>682847</v>
      </c>
      <c r="B1111" s="9" t="inlineStr">
        <is>
          <t>Luis Ortiz</t>
        </is>
      </c>
      <c r="C1111" s="9" t="inlineStr">
        <is>
          <t>CLE</t>
        </is>
      </c>
      <c r="D1111" s="9" t="n">
        <v>28</v>
      </c>
      <c r="E1111" s="17" t="inlineStr">
        <is>
          <t>R</t>
        </is>
      </c>
      <c r="F1111" s="17" t="n"/>
      <c r="G1111" s="9" t="n">
        <v>382</v>
      </c>
      <c r="H1111" s="9" t="n">
        <v>1407</v>
      </c>
      <c r="I1111" s="9" t="inlineStr">
        <is>
          <t>End-of-Rotation Starter (SP4-5)</t>
        </is>
      </c>
      <c r="J1111" s="17" t="inlineStr">
        <is>
          <t>Opening Day</t>
        </is>
      </c>
      <c r="K1111" s="11">
        <f>IFERROR(INDEX(Roles!$B$17:$B$20,MATCH(J1111,Roles!$A$17:$A$20,0)),1)</f>
        <v/>
      </c>
      <c r="L1111" s="18" t="n">
        <v>1</v>
      </c>
      <c r="M1111" s="18" t="n"/>
      <c r="N1111" s="18" t="n"/>
      <c r="O1111" s="18" t="n"/>
      <c r="P1111" s="18" t="n"/>
      <c r="Q1111" s="18" t="n"/>
      <c r="R1111" s="18" t="n"/>
      <c r="S1111" s="18" t="n"/>
      <c r="T1111" s="18" t="n"/>
      <c r="U1111" s="18" t="n"/>
      <c r="V1111" s="18" t="n"/>
      <c r="W1111" s="18" t="n"/>
      <c r="X1111" s="18" t="n"/>
      <c r="Y1111" s="13">
        <f>SUMPRODUCT(M1111:X1111,$M$2:$X$2)*$K1111*$L1111</f>
        <v/>
      </c>
      <c r="Z1111" s="14">
        <f>SUM(M1111:X1111)</f>
        <v/>
      </c>
      <c r="AA1111" s="13">
        <f>SUMPRODUCT(M1111:X1111,$M$3:$X$3)*$K1111*$L1111</f>
        <v/>
      </c>
      <c r="AB1111" s="13">
        <f>SUMPRODUCT(M1111:X1111,$M$4:$X$4)*$K1111*$L1111</f>
        <v/>
      </c>
      <c r="AC1111" s="15">
        <f>SUMPRODUCT(M1111:X1111,$M$5:$X$5)*$K1111*$L1111</f>
        <v/>
      </c>
      <c r="AD1111" s="15">
        <f>SUMPRODUCT(M1111:X1111,$M$6:$X$6)*$K1111*$L1111</f>
        <v/>
      </c>
      <c r="AE1111" s="19" t="n"/>
    </row>
    <row r="1112">
      <c r="A1112" s="9" t="n">
        <v>667725</v>
      </c>
      <c r="B1112" s="9" t="inlineStr">
        <is>
          <t>Kyle Tyler</t>
        </is>
      </c>
      <c r="C1112" s="9" t="inlineStr">
        <is>
          <t>MIA</t>
        </is>
      </c>
      <c r="D1112" s="9" t="n">
        <v>30</v>
      </c>
      <c r="E1112" s="17" t="inlineStr">
        <is>
          <t>R</t>
        </is>
      </c>
      <c r="F1112" s="17" t="n"/>
      <c r="G1112" s="9" t="n">
        <v>142</v>
      </c>
      <c r="H1112" s="9" t="n">
        <v>156</v>
      </c>
      <c r="I1112" s="9" t="inlineStr">
        <is>
          <t>Depth (no MLB IP)</t>
        </is>
      </c>
      <c r="J1112" s="17" t="inlineStr">
        <is>
          <t>Opening Day</t>
        </is>
      </c>
      <c r="K1112" s="11">
        <f>IFERROR(INDEX(Roles!$B$17:$B$20,MATCH(J1112,Roles!$A$17:$A$20,0)),1)</f>
        <v/>
      </c>
      <c r="L1112" s="18" t="n">
        <v>1</v>
      </c>
      <c r="M1112" s="18" t="n"/>
      <c r="N1112" s="18" t="n"/>
      <c r="O1112" s="18" t="n"/>
      <c r="P1112" s="18" t="n"/>
      <c r="Q1112" s="18" t="n"/>
      <c r="R1112" s="18" t="n"/>
      <c r="S1112" s="18" t="n"/>
      <c r="T1112" s="18" t="n"/>
      <c r="U1112" s="18" t="n"/>
      <c r="V1112" s="18" t="n"/>
      <c r="W1112" s="18" t="n"/>
      <c r="X1112" s="18" t="n"/>
      <c r="Y1112" s="13">
        <f>SUMPRODUCT(M1112:X1112,$M$2:$X$2)*$K1112*$L1112</f>
        <v/>
      </c>
      <c r="Z1112" s="14">
        <f>SUM(M1112:X1112)</f>
        <v/>
      </c>
      <c r="AA1112" s="13">
        <f>SUMPRODUCT(M1112:X1112,$M$3:$X$3)*$K1112*$L1112</f>
        <v/>
      </c>
      <c r="AB1112" s="13">
        <f>SUMPRODUCT(M1112:X1112,$M$4:$X$4)*$K1112*$L1112</f>
        <v/>
      </c>
      <c r="AC1112" s="15">
        <f>SUMPRODUCT(M1112:X1112,$M$5:$X$5)*$K1112*$L1112</f>
        <v/>
      </c>
      <c r="AD1112" s="15">
        <f>SUMPRODUCT(M1112:X1112,$M$6:$X$6)*$K1112*$L1112</f>
        <v/>
      </c>
      <c r="AE1112" s="19" t="n"/>
    </row>
    <row r="1113">
      <c r="A1113" s="9" t="n">
        <v>687849</v>
      </c>
      <c r="B1113" s="9" t="inlineStr">
        <is>
          <t>Zak Kent</t>
        </is>
      </c>
      <c r="C1113" s="9" t="inlineStr">
        <is>
          <t>WSH</t>
        </is>
      </c>
      <c r="D1113" s="9" t="n">
        <v>29</v>
      </c>
      <c r="E1113" s="17" t="inlineStr">
        <is>
          <t>R</t>
        </is>
      </c>
      <c r="F1113" s="17" t="n"/>
      <c r="G1113" s="9" t="n">
        <v>77</v>
      </c>
      <c r="H1113" s="9" t="n">
        <v>153</v>
      </c>
      <c r="I1113" s="9" t="inlineStr">
        <is>
          <t>Bullpen Depth Arm</t>
        </is>
      </c>
      <c r="J1113" s="17" t="inlineStr">
        <is>
          <t>Opening Day</t>
        </is>
      </c>
      <c r="K1113" s="11">
        <f>IFERROR(INDEX(Roles!$B$17:$B$20,MATCH(J1113,Roles!$A$17:$A$20,0)),1)</f>
        <v/>
      </c>
      <c r="L1113" s="18" t="n">
        <v>1</v>
      </c>
      <c r="M1113" s="18" t="n"/>
      <c r="N1113" s="18" t="n"/>
      <c r="O1113" s="18" t="n"/>
      <c r="P1113" s="18" t="n"/>
      <c r="Q1113" s="18" t="n"/>
      <c r="R1113" s="18" t="n"/>
      <c r="S1113" s="18" t="n"/>
      <c r="T1113" s="18" t="n"/>
      <c r="U1113" s="18" t="n"/>
      <c r="V1113" s="18" t="n"/>
      <c r="W1113" s="18" t="n"/>
      <c r="X1113" s="18" t="n"/>
      <c r="Y1113" s="13">
        <f>SUMPRODUCT(M1113:X1113,$M$2:$X$2)*$K1113*$L1113</f>
        <v/>
      </c>
      <c r="Z1113" s="14">
        <f>SUM(M1113:X1113)</f>
        <v/>
      </c>
      <c r="AA1113" s="13">
        <f>SUMPRODUCT(M1113:X1113,$M$3:$X$3)*$K1113*$L1113</f>
        <v/>
      </c>
      <c r="AB1113" s="13">
        <f>SUMPRODUCT(M1113:X1113,$M$4:$X$4)*$K1113*$L1113</f>
        <v/>
      </c>
      <c r="AC1113" s="15">
        <f>SUMPRODUCT(M1113:X1113,$M$5:$X$5)*$K1113*$L1113</f>
        <v/>
      </c>
      <c r="AD1113" s="15">
        <f>SUMPRODUCT(M1113:X1113,$M$6:$X$6)*$K1113*$L1113</f>
        <v/>
      </c>
      <c r="AE1113" s="19" t="n"/>
    </row>
    <row r="1114">
      <c r="A1114" s="9" t="n">
        <v>687473</v>
      </c>
      <c r="B1114" s="9" t="inlineStr">
        <is>
          <t>Ryan Gusto</t>
        </is>
      </c>
      <c r="C1114" s="9" t="inlineStr">
        <is>
          <t>MIA</t>
        </is>
      </c>
      <c r="D1114" s="9" t="n">
        <v>28</v>
      </c>
      <c r="E1114" s="17" t="inlineStr">
        <is>
          <t>R</t>
        </is>
      </c>
      <c r="F1114" s="17" t="n"/>
      <c r="G1114" s="9" t="n">
        <v>369</v>
      </c>
      <c r="H1114" s="9" t="n">
        <v>822</v>
      </c>
      <c r="I1114" s="9" t="inlineStr">
        <is>
          <t>End-of-Rotation Starter (SP4-5)</t>
        </is>
      </c>
      <c r="J1114" s="17" t="inlineStr">
        <is>
          <t>Opening Day</t>
        </is>
      </c>
      <c r="K1114" s="11">
        <f>IFERROR(INDEX(Roles!$B$17:$B$20,MATCH(J1114,Roles!$A$17:$A$20,0)),1)</f>
        <v/>
      </c>
      <c r="L1114" s="18" t="n">
        <v>1</v>
      </c>
      <c r="M1114" s="18" t="n"/>
      <c r="N1114" s="18" t="n"/>
      <c r="O1114" s="18" t="n"/>
      <c r="P1114" s="18" t="n"/>
      <c r="Q1114" s="18" t="n"/>
      <c r="R1114" s="18" t="n"/>
      <c r="S1114" s="18" t="n"/>
      <c r="T1114" s="18" t="n"/>
      <c r="U1114" s="18" t="n"/>
      <c r="V1114" s="18" t="n"/>
      <c r="W1114" s="18" t="n"/>
      <c r="X1114" s="18" t="n"/>
      <c r="Y1114" s="13">
        <f>SUMPRODUCT(M1114:X1114,$M$2:$X$2)*$K1114*$L1114</f>
        <v/>
      </c>
      <c r="Z1114" s="14">
        <f>SUM(M1114:X1114)</f>
        <v/>
      </c>
      <c r="AA1114" s="13">
        <f>SUMPRODUCT(M1114:X1114,$M$3:$X$3)*$K1114*$L1114</f>
        <v/>
      </c>
      <c r="AB1114" s="13">
        <f>SUMPRODUCT(M1114:X1114,$M$4:$X$4)*$K1114*$L1114</f>
        <v/>
      </c>
      <c r="AC1114" s="15">
        <f>SUMPRODUCT(M1114:X1114,$M$5:$X$5)*$K1114*$L1114</f>
        <v/>
      </c>
      <c r="AD1114" s="15">
        <f>SUMPRODUCT(M1114:X1114,$M$6:$X$6)*$K1114*$L1114</f>
        <v/>
      </c>
      <c r="AE1114" s="19" t="n"/>
    </row>
    <row r="1115">
      <c r="A1115" s="9" t="n">
        <v>675512</v>
      </c>
      <c r="B1115" s="9" t="inlineStr">
        <is>
          <t>Troy Melton</t>
        </is>
      </c>
      <c r="C1115" s="9" t="inlineStr">
        <is>
          <t>DET</t>
        </is>
      </c>
      <c r="D1115" s="9" t="n">
        <v>26</v>
      </c>
      <c r="E1115" s="17" t="inlineStr">
        <is>
          <t>R</t>
        </is>
      </c>
      <c r="F1115" s="17" t="n"/>
      <c r="G1115" s="9" t="n">
        <v>451</v>
      </c>
      <c r="H1115" s="9" t="n">
        <v>631</v>
      </c>
      <c r="I1115" s="9" t="inlineStr">
        <is>
          <t>Mid-Rotation Starter (SP2-3)</t>
        </is>
      </c>
      <c r="J1115" s="17" t="inlineStr">
        <is>
          <t>Opening Day</t>
        </is>
      </c>
      <c r="K1115" s="11">
        <f>IFERROR(INDEX(Roles!$B$17:$B$20,MATCH(J1115,Roles!$A$17:$A$20,0)),1)</f>
        <v/>
      </c>
      <c r="L1115" s="18" t="n">
        <v>1</v>
      </c>
      <c r="M1115" s="18" t="n"/>
      <c r="N1115" s="18" t="n"/>
      <c r="O1115" s="18" t="n"/>
      <c r="P1115" s="18" t="n"/>
      <c r="Q1115" s="18" t="n"/>
      <c r="R1115" s="18" t="n"/>
      <c r="S1115" s="18" t="n"/>
      <c r="T1115" s="18" t="n"/>
      <c r="U1115" s="18" t="n"/>
      <c r="V1115" s="18" t="n"/>
      <c r="W1115" s="18" t="n"/>
      <c r="X1115" s="18" t="n"/>
      <c r="Y1115" s="13">
        <f>SUMPRODUCT(M1115:X1115,$M$2:$X$2)*$K1115*$L1115</f>
        <v/>
      </c>
      <c r="Z1115" s="14">
        <f>SUM(M1115:X1115)</f>
        <v/>
      </c>
      <c r="AA1115" s="13">
        <f>SUMPRODUCT(M1115:X1115,$M$3:$X$3)*$K1115*$L1115</f>
        <v/>
      </c>
      <c r="AB1115" s="13">
        <f>SUMPRODUCT(M1115:X1115,$M$4:$X$4)*$K1115*$L1115</f>
        <v/>
      </c>
      <c r="AC1115" s="15">
        <f>SUMPRODUCT(M1115:X1115,$M$5:$X$5)*$K1115*$L1115</f>
        <v/>
      </c>
      <c r="AD1115" s="15">
        <f>SUMPRODUCT(M1115:X1115,$M$6:$X$6)*$K1115*$L1115</f>
        <v/>
      </c>
      <c r="AE1115" s="19" t="n"/>
    </row>
    <row r="1116">
      <c r="A1116" s="9" t="n">
        <v>671109</v>
      </c>
      <c r="B1116" s="9" t="inlineStr">
        <is>
          <t>Jake Eder</t>
        </is>
      </c>
      <c r="C1116" s="9" t="inlineStr">
        <is>
          <t>LAA</t>
        </is>
      </c>
      <c r="D1116" s="9" t="n">
        <v>28</v>
      </c>
      <c r="E1116" s="17" t="inlineStr">
        <is>
          <t>L</t>
        </is>
      </c>
      <c r="F1116" s="17" t="n"/>
      <c r="G1116" s="9" t="n">
        <v>15</v>
      </c>
      <c r="H1116" s="9" t="n">
        <v>102</v>
      </c>
      <c r="I1116" s="9" t="inlineStr">
        <is>
          <t>Bullpen Depth Arm</t>
        </is>
      </c>
      <c r="J1116" s="17" t="inlineStr">
        <is>
          <t>Opening Day</t>
        </is>
      </c>
      <c r="K1116" s="11">
        <f>IFERROR(INDEX(Roles!$B$17:$B$20,MATCH(J1116,Roles!$A$17:$A$20,0)),1)</f>
        <v/>
      </c>
      <c r="L1116" s="18" t="n">
        <v>1</v>
      </c>
      <c r="M1116" s="18" t="n"/>
      <c r="N1116" s="18" t="n"/>
      <c r="O1116" s="18" t="n"/>
      <c r="P1116" s="18" t="n"/>
      <c r="Q1116" s="18" t="n"/>
      <c r="R1116" s="18" t="n"/>
      <c r="S1116" s="18" t="n"/>
      <c r="T1116" s="18" t="n"/>
      <c r="U1116" s="18" t="n"/>
      <c r="V1116" s="18" t="n"/>
      <c r="W1116" s="18" t="n"/>
      <c r="X1116" s="18" t="n"/>
      <c r="Y1116" s="13">
        <f>SUMPRODUCT(M1116:X1116,$M$2:$X$2)*$K1116*$L1116</f>
        <v/>
      </c>
      <c r="Z1116" s="14">
        <f>SUM(M1116:X1116)</f>
        <v/>
      </c>
      <c r="AA1116" s="13">
        <f>SUMPRODUCT(M1116:X1116,$M$3:$X$3)*$K1116*$L1116</f>
        <v/>
      </c>
      <c r="AB1116" s="13">
        <f>SUMPRODUCT(M1116:X1116,$M$4:$X$4)*$K1116*$L1116</f>
        <v/>
      </c>
      <c r="AC1116" s="15">
        <f>SUMPRODUCT(M1116:X1116,$M$5:$X$5)*$K1116*$L1116</f>
        <v/>
      </c>
      <c r="AD1116" s="15">
        <f>SUMPRODUCT(M1116:X1116,$M$6:$X$6)*$K1116*$L1116</f>
        <v/>
      </c>
      <c r="AE1116" s="19" t="n"/>
    </row>
    <row r="1117">
      <c r="A1117" s="9" t="n">
        <v>622072</v>
      </c>
      <c r="B1117" s="9" t="inlineStr">
        <is>
          <t>Alex Wood</t>
        </is>
      </c>
      <c r="C1117" s="9" t="inlineStr">
        <is>
          <t>OAK</t>
        </is>
      </c>
      <c r="D1117" s="9" t="n">
        <v>36</v>
      </c>
      <c r="E1117" s="17" t="inlineStr">
        <is>
          <t>L</t>
        </is>
      </c>
      <c r="F1117" s="17" t="n"/>
      <c r="G1117" s="9" t="n">
        <v>186</v>
      </c>
      <c r="H1117" s="9" t="n">
        <v>1170</v>
      </c>
      <c r="I1117" s="9" t="inlineStr">
        <is>
          <t>Depth (no MLB IP)</t>
        </is>
      </c>
      <c r="J1117" s="17" t="inlineStr">
        <is>
          <t>Opening Day</t>
        </is>
      </c>
      <c r="K1117" s="11">
        <f>IFERROR(INDEX(Roles!$B$17:$B$20,MATCH(J1117,Roles!$A$17:$A$20,0)),1)</f>
        <v/>
      </c>
      <c r="L1117" s="18" t="n">
        <v>1</v>
      </c>
      <c r="M1117" s="18" t="n"/>
      <c r="N1117" s="18" t="n"/>
      <c r="O1117" s="18" t="n"/>
      <c r="P1117" s="18" t="n"/>
      <c r="Q1117" s="18" t="n"/>
      <c r="R1117" s="18" t="n"/>
      <c r="S1117" s="18" t="n"/>
      <c r="T1117" s="18" t="n"/>
      <c r="U1117" s="18" t="n"/>
      <c r="V1117" s="18" t="n"/>
      <c r="W1117" s="18" t="n"/>
      <c r="X1117" s="18" t="n"/>
      <c r="Y1117" s="13">
        <f>SUMPRODUCT(M1117:X1117,$M$2:$X$2)*$K1117*$L1117</f>
        <v/>
      </c>
      <c r="Z1117" s="14">
        <f>SUM(M1117:X1117)</f>
        <v/>
      </c>
      <c r="AA1117" s="13">
        <f>SUMPRODUCT(M1117:X1117,$M$3:$X$3)*$K1117*$L1117</f>
        <v/>
      </c>
      <c r="AB1117" s="13">
        <f>SUMPRODUCT(M1117:X1117,$M$4:$X$4)*$K1117*$L1117</f>
        <v/>
      </c>
      <c r="AC1117" s="15">
        <f>SUMPRODUCT(M1117:X1117,$M$5:$X$5)*$K1117*$L1117</f>
        <v/>
      </c>
      <c r="AD1117" s="15">
        <f>SUMPRODUCT(M1117:X1117,$M$6:$X$6)*$K1117*$L1117</f>
        <v/>
      </c>
      <c r="AE1117" s="19" t="n"/>
    </row>
    <row r="1118">
      <c r="A1118" s="9" t="n">
        <v>660644</v>
      </c>
      <c r="B1118" s="9" t="inlineStr">
        <is>
          <t>Vidal Bruján</t>
        </is>
      </c>
      <c r="C1118" s="9" t="inlineStr"/>
      <c r="D1118" s="9" t="n">
        <v>29</v>
      </c>
      <c r="E1118" s="17" t="inlineStr">
        <is>
          <t>R</t>
        </is>
      </c>
      <c r="F1118" s="17" t="n"/>
      <c r="G1118" s="9" t="n">
        <v>11</v>
      </c>
      <c r="H1118" s="9" t="n">
        <v>27</v>
      </c>
      <c r="I1118" s="9" t="inlineStr">
        <is>
          <t>Depth (no MLB IP)</t>
        </is>
      </c>
      <c r="J1118" s="17" t="inlineStr">
        <is>
          <t>Opening Day</t>
        </is>
      </c>
      <c r="K1118" s="11">
        <f>IFERROR(INDEX(Roles!$B$17:$B$20,MATCH(J1118,Roles!$A$17:$A$20,0)),1)</f>
        <v/>
      </c>
      <c r="L1118" s="18" t="n">
        <v>1</v>
      </c>
      <c r="M1118" s="18" t="n"/>
      <c r="N1118" s="18" t="n"/>
      <c r="O1118" s="18" t="n"/>
      <c r="P1118" s="18" t="n"/>
      <c r="Q1118" s="18" t="n"/>
      <c r="R1118" s="18" t="n"/>
      <c r="S1118" s="18" t="n"/>
      <c r="T1118" s="18" t="n"/>
      <c r="U1118" s="18" t="n"/>
      <c r="V1118" s="18" t="n"/>
      <c r="W1118" s="18" t="n"/>
      <c r="X1118" s="18" t="n"/>
      <c r="Y1118" s="13">
        <f>SUMPRODUCT(M1118:X1118,$M$2:$X$2)*$K1118*$L1118</f>
        <v/>
      </c>
      <c r="Z1118" s="14">
        <f>SUM(M1118:X1118)</f>
        <v/>
      </c>
      <c r="AA1118" s="13">
        <f>SUMPRODUCT(M1118:X1118,$M$3:$X$3)*$K1118*$L1118</f>
        <v/>
      </c>
      <c r="AB1118" s="13">
        <f>SUMPRODUCT(M1118:X1118,$M$4:$X$4)*$K1118*$L1118</f>
        <v/>
      </c>
      <c r="AC1118" s="15">
        <f>SUMPRODUCT(M1118:X1118,$M$5:$X$5)*$K1118*$L1118</f>
        <v/>
      </c>
      <c r="AD1118" s="15">
        <f>SUMPRODUCT(M1118:X1118,$M$6:$X$6)*$K1118*$L1118</f>
        <v/>
      </c>
      <c r="AE1118" s="19" t="n"/>
    </row>
    <row r="1119">
      <c r="A1119" s="9" t="n">
        <v>689225</v>
      </c>
      <c r="B1119" s="9" t="inlineStr">
        <is>
          <t>Beau Brieske</t>
        </is>
      </c>
      <c r="C1119" s="9" t="inlineStr">
        <is>
          <t>DET</t>
        </is>
      </c>
      <c r="D1119" s="9" t="n">
        <v>29</v>
      </c>
      <c r="E1119" s="17" t="inlineStr">
        <is>
          <t>R</t>
        </is>
      </c>
      <c r="F1119" s="17" t="n"/>
      <c r="G1119" s="9" t="n">
        <v>73</v>
      </c>
      <c r="H1119" s="9" t="n">
        <v>949</v>
      </c>
      <c r="I1119" s="9" t="inlineStr">
        <is>
          <t>Bullpen Depth Arm</t>
        </is>
      </c>
      <c r="J1119" s="17" t="inlineStr">
        <is>
          <t>Opening Day</t>
        </is>
      </c>
      <c r="K1119" s="11">
        <f>IFERROR(INDEX(Roles!$B$17:$B$20,MATCH(J1119,Roles!$A$17:$A$20,0)),1)</f>
        <v/>
      </c>
      <c r="L1119" s="18" t="n">
        <v>1</v>
      </c>
      <c r="M1119" s="18" t="n"/>
      <c r="N1119" s="18" t="n"/>
      <c r="O1119" s="18" t="n"/>
      <c r="P1119" s="18" t="n"/>
      <c r="Q1119" s="18" t="n"/>
      <c r="R1119" s="18" t="n"/>
      <c r="S1119" s="18" t="n"/>
      <c r="T1119" s="18" t="n"/>
      <c r="U1119" s="18" t="n"/>
      <c r="V1119" s="18" t="n"/>
      <c r="W1119" s="18" t="n"/>
      <c r="X1119" s="18" t="n"/>
      <c r="Y1119" s="13">
        <f>SUMPRODUCT(M1119:X1119,$M$2:$X$2)*$K1119*$L1119</f>
        <v/>
      </c>
      <c r="Z1119" s="14">
        <f>SUM(M1119:X1119)</f>
        <v/>
      </c>
      <c r="AA1119" s="13">
        <f>SUMPRODUCT(M1119:X1119,$M$3:$X$3)*$K1119*$L1119</f>
        <v/>
      </c>
      <c r="AB1119" s="13">
        <f>SUMPRODUCT(M1119:X1119,$M$4:$X$4)*$K1119*$L1119</f>
        <v/>
      </c>
      <c r="AC1119" s="15">
        <f>SUMPRODUCT(M1119:X1119,$M$5:$X$5)*$K1119*$L1119</f>
        <v/>
      </c>
      <c r="AD1119" s="15">
        <f>SUMPRODUCT(M1119:X1119,$M$6:$X$6)*$K1119*$L1119</f>
        <v/>
      </c>
      <c r="AE1119" s="19" t="n"/>
    </row>
    <row r="1120">
      <c r="A1120" s="9" t="n">
        <v>676775</v>
      </c>
      <c r="B1120" s="9" t="inlineStr">
        <is>
          <t>Keaton Winn</t>
        </is>
      </c>
      <c r="C1120" s="9" t="inlineStr">
        <is>
          <t>SF</t>
        </is>
      </c>
      <c r="D1120" s="9" t="n">
        <v>29</v>
      </c>
      <c r="E1120" s="17" t="inlineStr">
        <is>
          <t>R</t>
        </is>
      </c>
      <c r="F1120" s="17" t="n"/>
      <c r="G1120" s="9" t="n">
        <v>176</v>
      </c>
      <c r="H1120" s="9" t="n">
        <v>628</v>
      </c>
      <c r="I1120" s="9" t="inlineStr">
        <is>
          <t>Bullpen Depth Arm</t>
        </is>
      </c>
      <c r="J1120" s="17" t="inlineStr">
        <is>
          <t>Opening Day</t>
        </is>
      </c>
      <c r="K1120" s="11">
        <f>IFERROR(INDEX(Roles!$B$17:$B$20,MATCH(J1120,Roles!$A$17:$A$20,0)),1)</f>
        <v/>
      </c>
      <c r="L1120" s="18" t="n">
        <v>1</v>
      </c>
      <c r="M1120" s="18" t="n"/>
      <c r="N1120" s="18" t="n"/>
      <c r="O1120" s="18" t="n"/>
      <c r="P1120" s="18" t="n"/>
      <c r="Q1120" s="18" t="n"/>
      <c r="R1120" s="18" t="n"/>
      <c r="S1120" s="18" t="n"/>
      <c r="T1120" s="18" t="n"/>
      <c r="U1120" s="18" t="n"/>
      <c r="V1120" s="18" t="n"/>
      <c r="W1120" s="18" t="n"/>
      <c r="X1120" s="18" t="n"/>
      <c r="Y1120" s="13">
        <f>SUMPRODUCT(M1120:X1120,$M$2:$X$2)*$K1120*$L1120</f>
        <v/>
      </c>
      <c r="Z1120" s="14">
        <f>SUM(M1120:X1120)</f>
        <v/>
      </c>
      <c r="AA1120" s="13">
        <f>SUMPRODUCT(M1120:X1120,$M$3:$X$3)*$K1120*$L1120</f>
        <v/>
      </c>
      <c r="AB1120" s="13">
        <f>SUMPRODUCT(M1120:X1120,$M$4:$X$4)*$K1120*$L1120</f>
        <v/>
      </c>
      <c r="AC1120" s="15">
        <f>SUMPRODUCT(M1120:X1120,$M$5:$X$5)*$K1120*$L1120</f>
        <v/>
      </c>
      <c r="AD1120" s="15">
        <f>SUMPRODUCT(M1120:X1120,$M$6:$X$6)*$K1120*$L1120</f>
        <v/>
      </c>
      <c r="AE1120" s="19" t="n"/>
    </row>
    <row r="1121">
      <c r="A1121" s="9" t="n">
        <v>681151</v>
      </c>
      <c r="B1121" s="9" t="inlineStr">
        <is>
          <t>Jayden Murray</t>
        </is>
      </c>
      <c r="C1121" s="9" t="inlineStr">
        <is>
          <t>CHC</t>
        </is>
      </c>
      <c r="D1121" s="9" t="n">
        <v>30</v>
      </c>
      <c r="E1121" s="17" t="inlineStr">
        <is>
          <t>R</t>
        </is>
      </c>
      <c r="F1121" s="17" t="n"/>
      <c r="G1121" s="9" t="n">
        <v>79</v>
      </c>
      <c r="H1121" s="9" t="n">
        <v>126</v>
      </c>
      <c r="I1121" s="9" t="inlineStr">
        <is>
          <t>Bullpen Depth Arm</t>
        </is>
      </c>
      <c r="J1121" s="17" t="inlineStr">
        <is>
          <t>Opening Day</t>
        </is>
      </c>
      <c r="K1121" s="11">
        <f>IFERROR(INDEX(Roles!$B$17:$B$20,MATCH(J1121,Roles!$A$17:$A$20,0)),1)</f>
        <v/>
      </c>
      <c r="L1121" s="18" t="n">
        <v>1</v>
      </c>
      <c r="M1121" s="18" t="n"/>
      <c r="N1121" s="18" t="n"/>
      <c r="O1121" s="18" t="n"/>
      <c r="P1121" s="18" t="n"/>
      <c r="Q1121" s="18" t="n"/>
      <c r="R1121" s="18" t="n"/>
      <c r="S1121" s="18" t="n"/>
      <c r="T1121" s="18" t="n"/>
      <c r="U1121" s="18" t="n"/>
      <c r="V1121" s="18" t="n"/>
      <c r="W1121" s="18" t="n"/>
      <c r="X1121" s="18" t="n"/>
      <c r="Y1121" s="13">
        <f>SUMPRODUCT(M1121:X1121,$M$2:$X$2)*$K1121*$L1121</f>
        <v/>
      </c>
      <c r="Z1121" s="14">
        <f>SUM(M1121:X1121)</f>
        <v/>
      </c>
      <c r="AA1121" s="13">
        <f>SUMPRODUCT(M1121:X1121,$M$3:$X$3)*$K1121*$L1121</f>
        <v/>
      </c>
      <c r="AB1121" s="13">
        <f>SUMPRODUCT(M1121:X1121,$M$4:$X$4)*$K1121*$L1121</f>
        <v/>
      </c>
      <c r="AC1121" s="15">
        <f>SUMPRODUCT(M1121:X1121,$M$5:$X$5)*$K1121*$L1121</f>
        <v/>
      </c>
      <c r="AD1121" s="15">
        <f>SUMPRODUCT(M1121:X1121,$M$6:$X$6)*$K1121*$L1121</f>
        <v/>
      </c>
      <c r="AE1121" s="19" t="n"/>
    </row>
    <row r="1122">
      <c r="A1122" s="9" t="n">
        <v>669391</v>
      </c>
      <c r="B1122" s="9" t="inlineStr">
        <is>
          <t>Owen White</t>
        </is>
      </c>
      <c r="C1122" s="9" t="inlineStr">
        <is>
          <t>CWS</t>
        </is>
      </c>
      <c r="D1122" s="9" t="n">
        <v>27</v>
      </c>
      <c r="E1122" s="17" t="inlineStr">
        <is>
          <t>R</t>
        </is>
      </c>
      <c r="F1122" s="17" t="n"/>
      <c r="G1122" s="9" t="n">
        <v>35</v>
      </c>
      <c r="H1122" s="9" t="n">
        <v>72</v>
      </c>
      <c r="I1122" s="9" t="inlineStr">
        <is>
          <t>Bullpen Depth Arm</t>
        </is>
      </c>
      <c r="J1122" s="17" t="inlineStr">
        <is>
          <t>Opening Day</t>
        </is>
      </c>
      <c r="K1122" s="11">
        <f>IFERROR(INDEX(Roles!$B$17:$B$20,MATCH(J1122,Roles!$A$17:$A$20,0)),1)</f>
        <v/>
      </c>
      <c r="L1122" s="18" t="n">
        <v>1</v>
      </c>
      <c r="M1122" s="18" t="n"/>
      <c r="N1122" s="18" t="n"/>
      <c r="O1122" s="18" t="n"/>
      <c r="P1122" s="18" t="n"/>
      <c r="Q1122" s="18" t="n"/>
      <c r="R1122" s="18" t="n"/>
      <c r="S1122" s="18" t="n"/>
      <c r="T1122" s="18" t="n"/>
      <c r="U1122" s="18" t="n"/>
      <c r="V1122" s="18" t="n"/>
      <c r="W1122" s="18" t="n"/>
      <c r="X1122" s="18" t="n"/>
      <c r="Y1122" s="13">
        <f>SUMPRODUCT(M1122:X1122,$M$2:$X$2)*$K1122*$L1122</f>
        <v/>
      </c>
      <c r="Z1122" s="14">
        <f>SUM(M1122:X1122)</f>
        <v/>
      </c>
      <c r="AA1122" s="13">
        <f>SUMPRODUCT(M1122:X1122,$M$3:$X$3)*$K1122*$L1122</f>
        <v/>
      </c>
      <c r="AB1122" s="13">
        <f>SUMPRODUCT(M1122:X1122,$M$4:$X$4)*$K1122*$L1122</f>
        <v/>
      </c>
      <c r="AC1122" s="15">
        <f>SUMPRODUCT(M1122:X1122,$M$5:$X$5)*$K1122*$L1122</f>
        <v/>
      </c>
      <c r="AD1122" s="15">
        <f>SUMPRODUCT(M1122:X1122,$M$6:$X$6)*$K1122*$L1122</f>
        <v/>
      </c>
      <c r="AE1122" s="19" t="n"/>
    </row>
    <row r="1123">
      <c r="A1123" s="9" t="n">
        <v>600921</v>
      </c>
      <c r="B1123" s="9" t="inlineStr">
        <is>
          <t>Andrés Machado</t>
        </is>
      </c>
      <c r="C1123" s="9" t="inlineStr">
        <is>
          <t>WSH</t>
        </is>
      </c>
      <c r="D1123" s="9" t="n">
        <v>34</v>
      </c>
      <c r="E1123" s="17" t="inlineStr">
        <is>
          <t>R</t>
        </is>
      </c>
      <c r="F1123" s="17" t="n"/>
      <c r="G1123" s="9" t="n">
        <v>207</v>
      </c>
      <c r="H1123" s="9" t="n">
        <v>468</v>
      </c>
      <c r="I1123" s="9" t="inlineStr">
        <is>
          <t>Depth (no MLB IP)</t>
        </is>
      </c>
      <c r="J1123" s="17" t="inlineStr">
        <is>
          <t>Opening Day</t>
        </is>
      </c>
      <c r="K1123" s="11">
        <f>IFERROR(INDEX(Roles!$B$17:$B$20,MATCH(J1123,Roles!$A$17:$A$20,0)),1)</f>
        <v/>
      </c>
      <c r="L1123" s="18" t="n">
        <v>1</v>
      </c>
      <c r="M1123" s="18" t="n"/>
      <c r="N1123" s="18" t="n"/>
      <c r="O1123" s="18" t="n"/>
      <c r="P1123" s="18" t="n"/>
      <c r="Q1123" s="18" t="n"/>
      <c r="R1123" s="18" t="n"/>
      <c r="S1123" s="18" t="n"/>
      <c r="T1123" s="18" t="n"/>
      <c r="U1123" s="18" t="n"/>
      <c r="V1123" s="18" t="n"/>
      <c r="W1123" s="18" t="n"/>
      <c r="X1123" s="18" t="n"/>
      <c r="Y1123" s="13">
        <f>SUMPRODUCT(M1123:X1123,$M$2:$X$2)*$K1123*$L1123</f>
        <v/>
      </c>
      <c r="Z1123" s="14">
        <f>SUM(M1123:X1123)</f>
        <v/>
      </c>
      <c r="AA1123" s="13">
        <f>SUMPRODUCT(M1123:X1123,$M$3:$X$3)*$K1123*$L1123</f>
        <v/>
      </c>
      <c r="AB1123" s="13">
        <f>SUMPRODUCT(M1123:X1123,$M$4:$X$4)*$K1123*$L1123</f>
        <v/>
      </c>
      <c r="AC1123" s="15">
        <f>SUMPRODUCT(M1123:X1123,$M$5:$X$5)*$K1123*$L1123</f>
        <v/>
      </c>
      <c r="AD1123" s="15">
        <f>SUMPRODUCT(M1123:X1123,$M$6:$X$6)*$K1123*$L1123</f>
        <v/>
      </c>
      <c r="AE1123" s="19" t="n"/>
    </row>
    <row r="1124">
      <c r="A1124" s="9" t="n">
        <v>806960</v>
      </c>
      <c r="B1124" s="9" t="inlineStr">
        <is>
          <t>Luis Morales</t>
        </is>
      </c>
      <c r="C1124" s="9" t="inlineStr">
        <is>
          <t>OAK</t>
        </is>
      </c>
      <c r="D1124" s="9" t="n">
        <v>24</v>
      </c>
      <c r="E1124" s="17" t="inlineStr">
        <is>
          <t>R</t>
        </is>
      </c>
      <c r="F1124" s="17" t="n"/>
      <c r="G1124" s="9" t="n">
        <v>90</v>
      </c>
      <c r="H1124" s="9" t="n">
        <v>289</v>
      </c>
      <c r="I1124" s="9" t="inlineStr">
        <is>
          <t>End-of-Rotation Starter (SP4-5)</t>
        </is>
      </c>
      <c r="J1124" s="17" t="inlineStr">
        <is>
          <t>Opening Day</t>
        </is>
      </c>
      <c r="K1124" s="11">
        <f>IFERROR(INDEX(Roles!$B$17:$B$20,MATCH(J1124,Roles!$A$17:$A$20,0)),1)</f>
        <v/>
      </c>
      <c r="L1124" s="18" t="n">
        <v>1</v>
      </c>
      <c r="M1124" s="18" t="n"/>
      <c r="N1124" s="18" t="n"/>
      <c r="O1124" s="18" t="n"/>
      <c r="P1124" s="18" t="n"/>
      <c r="Q1124" s="18" t="n"/>
      <c r="R1124" s="18" t="n"/>
      <c r="S1124" s="18" t="n"/>
      <c r="T1124" s="18" t="n"/>
      <c r="U1124" s="18" t="n"/>
      <c r="V1124" s="18" t="n"/>
      <c r="W1124" s="18" t="n"/>
      <c r="X1124" s="18" t="n"/>
      <c r="Y1124" s="13">
        <f>SUMPRODUCT(M1124:X1124,$M$2:$X$2)*$K1124*$L1124</f>
        <v/>
      </c>
      <c r="Z1124" s="14">
        <f>SUM(M1124:X1124)</f>
        <v/>
      </c>
      <c r="AA1124" s="13">
        <f>SUMPRODUCT(M1124:X1124,$M$3:$X$3)*$K1124*$L1124</f>
        <v/>
      </c>
      <c r="AB1124" s="13">
        <f>SUMPRODUCT(M1124:X1124,$M$4:$X$4)*$K1124*$L1124</f>
        <v/>
      </c>
      <c r="AC1124" s="15">
        <f>SUMPRODUCT(M1124:X1124,$M$5:$X$5)*$K1124*$L1124</f>
        <v/>
      </c>
      <c r="AD1124" s="15">
        <f>SUMPRODUCT(M1124:X1124,$M$6:$X$6)*$K1124*$L1124</f>
        <v/>
      </c>
      <c r="AE1124" s="19" t="n"/>
    </row>
    <row r="1125">
      <c r="A1125" s="9" t="n">
        <v>621112</v>
      </c>
      <c r="B1125" s="9" t="inlineStr">
        <is>
          <t>Paul Blackburn</t>
        </is>
      </c>
      <c r="C1125" s="9" t="inlineStr">
        <is>
          <t>NYY</t>
        </is>
      </c>
      <c r="D1125" s="9" t="n">
        <v>33</v>
      </c>
      <c r="E1125" s="17" t="inlineStr">
        <is>
          <t>R</t>
        </is>
      </c>
      <c r="F1125" s="17" t="n"/>
      <c r="G1125" s="9" t="n">
        <v>320</v>
      </c>
      <c r="H1125" s="9" t="n">
        <v>1742</v>
      </c>
      <c r="I1125" s="9" t="inlineStr">
        <is>
          <t>Middle Relief</t>
        </is>
      </c>
      <c r="J1125" s="17" t="inlineStr">
        <is>
          <t>Opening Day</t>
        </is>
      </c>
      <c r="K1125" s="11">
        <f>IFERROR(INDEX(Roles!$B$17:$B$20,MATCH(J1125,Roles!$A$17:$A$20,0)),1)</f>
        <v/>
      </c>
      <c r="L1125" s="18" t="n">
        <v>1</v>
      </c>
      <c r="M1125" s="18" t="n"/>
      <c r="N1125" s="18" t="n"/>
      <c r="O1125" s="18" t="n"/>
      <c r="P1125" s="18" t="n"/>
      <c r="Q1125" s="18" t="n"/>
      <c r="R1125" s="18" t="n"/>
      <c r="S1125" s="18" t="n"/>
      <c r="T1125" s="18" t="n"/>
      <c r="U1125" s="18" t="n"/>
      <c r="V1125" s="18" t="n"/>
      <c r="W1125" s="18" t="n"/>
      <c r="X1125" s="18" t="n"/>
      <c r="Y1125" s="13">
        <f>SUMPRODUCT(M1125:X1125,$M$2:$X$2)*$K1125*$L1125</f>
        <v/>
      </c>
      <c r="Z1125" s="14">
        <f>SUM(M1125:X1125)</f>
        <v/>
      </c>
      <c r="AA1125" s="13">
        <f>SUMPRODUCT(M1125:X1125,$M$3:$X$3)*$K1125*$L1125</f>
        <v/>
      </c>
      <c r="AB1125" s="13">
        <f>SUMPRODUCT(M1125:X1125,$M$4:$X$4)*$K1125*$L1125</f>
        <v/>
      </c>
      <c r="AC1125" s="15">
        <f>SUMPRODUCT(M1125:X1125,$M$5:$X$5)*$K1125*$L1125</f>
        <v/>
      </c>
      <c r="AD1125" s="15">
        <f>SUMPRODUCT(M1125:X1125,$M$6:$X$6)*$K1125*$L1125</f>
        <v/>
      </c>
      <c r="AE1125" s="19" t="n"/>
    </row>
    <row r="1126">
      <c r="A1126" s="9" t="n">
        <v>680729</v>
      </c>
      <c r="B1126" s="9" t="inlineStr">
        <is>
          <t>Garrett McDaniels</t>
        </is>
      </c>
      <c r="C1126" s="9" t="inlineStr">
        <is>
          <t>LAA</t>
        </is>
      </c>
      <c r="D1126" s="9" t="n">
        <v>27</v>
      </c>
      <c r="E1126" s="17" t="inlineStr">
        <is>
          <t>L</t>
        </is>
      </c>
      <c r="F1126" s="17" t="n"/>
      <c r="G1126" s="9" t="n">
        <v>50</v>
      </c>
      <c r="H1126" s="9" t="n">
        <v>50</v>
      </c>
      <c r="I1126" s="9" t="inlineStr">
        <is>
          <t>Bullpen Depth Arm</t>
        </is>
      </c>
      <c r="J1126" s="17" t="inlineStr">
        <is>
          <t>Opening Day</t>
        </is>
      </c>
      <c r="K1126" s="11">
        <f>IFERROR(INDEX(Roles!$B$17:$B$20,MATCH(J1126,Roles!$A$17:$A$20,0)),1)</f>
        <v/>
      </c>
      <c r="L1126" s="18" t="n">
        <v>1</v>
      </c>
      <c r="M1126" s="18" t="n"/>
      <c r="N1126" s="18" t="n"/>
      <c r="O1126" s="18" t="n"/>
      <c r="P1126" s="18" t="n"/>
      <c r="Q1126" s="18" t="n"/>
      <c r="R1126" s="18" t="n"/>
      <c r="S1126" s="18" t="n"/>
      <c r="T1126" s="18" t="n"/>
      <c r="U1126" s="18" t="n"/>
      <c r="V1126" s="18" t="n"/>
      <c r="W1126" s="18" t="n"/>
      <c r="X1126" s="18" t="n"/>
      <c r="Y1126" s="13">
        <f>SUMPRODUCT(M1126:X1126,$M$2:$X$2)*$K1126*$L1126</f>
        <v/>
      </c>
      <c r="Z1126" s="14">
        <f>SUM(M1126:X1126)</f>
        <v/>
      </c>
      <c r="AA1126" s="13">
        <f>SUMPRODUCT(M1126:X1126,$M$3:$X$3)*$K1126*$L1126</f>
        <v/>
      </c>
      <c r="AB1126" s="13">
        <f>SUMPRODUCT(M1126:X1126,$M$4:$X$4)*$K1126*$L1126</f>
        <v/>
      </c>
      <c r="AC1126" s="15">
        <f>SUMPRODUCT(M1126:X1126,$M$5:$X$5)*$K1126*$L1126</f>
        <v/>
      </c>
      <c r="AD1126" s="15">
        <f>SUMPRODUCT(M1126:X1126,$M$6:$X$6)*$K1126*$L1126</f>
        <v/>
      </c>
      <c r="AE1126" s="19" t="n"/>
    </row>
    <row r="1127">
      <c r="A1127" s="9" t="n">
        <v>661269</v>
      </c>
      <c r="B1127" s="9" t="inlineStr">
        <is>
          <t>Vladimir Gutierrez</t>
        </is>
      </c>
      <c r="C1127" s="9" t="inlineStr">
        <is>
          <t>CIN</t>
        </is>
      </c>
      <c r="D1127" s="9" t="n">
        <v>31</v>
      </c>
      <c r="E1127" s="17" t="inlineStr">
        <is>
          <t>R</t>
        </is>
      </c>
      <c r="F1127" s="17" t="n"/>
      <c r="G1127" s="9" t="n">
        <v>17</v>
      </c>
      <c r="H1127" s="9" t="n">
        <v>196</v>
      </c>
      <c r="I1127" s="9" t="inlineStr">
        <is>
          <t>Depth (no MLB IP)</t>
        </is>
      </c>
      <c r="J1127" s="17" t="inlineStr">
        <is>
          <t>Opening Day</t>
        </is>
      </c>
      <c r="K1127" s="11">
        <f>IFERROR(INDEX(Roles!$B$17:$B$20,MATCH(J1127,Roles!$A$17:$A$20,0)),1)</f>
        <v/>
      </c>
      <c r="L1127" s="18" t="n">
        <v>1</v>
      </c>
      <c r="M1127" s="18" t="n"/>
      <c r="N1127" s="18" t="n"/>
      <c r="O1127" s="18" t="n"/>
      <c r="P1127" s="18" t="n"/>
      <c r="Q1127" s="18" t="n"/>
      <c r="R1127" s="18" t="n"/>
      <c r="S1127" s="18" t="n"/>
      <c r="T1127" s="18" t="n"/>
      <c r="U1127" s="18" t="n"/>
      <c r="V1127" s="18" t="n"/>
      <c r="W1127" s="18" t="n"/>
      <c r="X1127" s="18" t="n"/>
      <c r="Y1127" s="13">
        <f>SUMPRODUCT(M1127:X1127,$M$2:$X$2)*$K1127*$L1127</f>
        <v/>
      </c>
      <c r="Z1127" s="14">
        <f>SUM(M1127:X1127)</f>
        <v/>
      </c>
      <c r="AA1127" s="13">
        <f>SUMPRODUCT(M1127:X1127,$M$3:$X$3)*$K1127*$L1127</f>
        <v/>
      </c>
      <c r="AB1127" s="13">
        <f>SUMPRODUCT(M1127:X1127,$M$4:$X$4)*$K1127*$L1127</f>
        <v/>
      </c>
      <c r="AC1127" s="15">
        <f>SUMPRODUCT(M1127:X1127,$M$5:$X$5)*$K1127*$L1127</f>
        <v/>
      </c>
      <c r="AD1127" s="15">
        <f>SUMPRODUCT(M1127:X1127,$M$6:$X$6)*$K1127*$L1127</f>
        <v/>
      </c>
      <c r="AE1127" s="19" t="n"/>
    </row>
    <row r="1128">
      <c r="A1128" s="9" t="n">
        <v>656457</v>
      </c>
      <c r="B1128" s="9" t="inlineStr">
        <is>
          <t>Tyler Gilbert</t>
        </is>
      </c>
      <c r="C1128" s="9" t="inlineStr">
        <is>
          <t>CWS</t>
        </is>
      </c>
      <c r="D1128" s="9" t="n">
        <v>33</v>
      </c>
      <c r="E1128" s="17" t="inlineStr">
        <is>
          <t>L</t>
        </is>
      </c>
      <c r="F1128" s="17" t="n"/>
      <c r="G1128" s="9" t="n">
        <v>32</v>
      </c>
      <c r="H1128" s="9" t="n">
        <v>503</v>
      </c>
      <c r="I1128" s="9" t="inlineStr">
        <is>
          <t>Bullpen Depth Arm</t>
        </is>
      </c>
      <c r="J1128" s="17" t="inlineStr">
        <is>
          <t>Opening Day</t>
        </is>
      </c>
      <c r="K1128" s="11">
        <f>IFERROR(INDEX(Roles!$B$17:$B$20,MATCH(J1128,Roles!$A$17:$A$20,0)),1)</f>
        <v/>
      </c>
      <c r="L1128" s="18" t="n">
        <v>1</v>
      </c>
      <c r="M1128" s="18" t="n"/>
      <c r="N1128" s="18" t="n"/>
      <c r="O1128" s="18" t="n"/>
      <c r="P1128" s="18" t="n"/>
      <c r="Q1128" s="18" t="n"/>
      <c r="R1128" s="18" t="n"/>
      <c r="S1128" s="18" t="n"/>
      <c r="T1128" s="18" t="n"/>
      <c r="U1128" s="18" t="n"/>
      <c r="V1128" s="18" t="n"/>
      <c r="W1128" s="18" t="n"/>
      <c r="X1128" s="18" t="n"/>
      <c r="Y1128" s="13">
        <f>SUMPRODUCT(M1128:X1128,$M$2:$X$2)*$K1128*$L1128</f>
        <v/>
      </c>
      <c r="Z1128" s="14">
        <f>SUM(M1128:X1128)</f>
        <v/>
      </c>
      <c r="AA1128" s="13">
        <f>SUMPRODUCT(M1128:X1128,$M$3:$X$3)*$K1128*$L1128</f>
        <v/>
      </c>
      <c r="AB1128" s="13">
        <f>SUMPRODUCT(M1128:X1128,$M$4:$X$4)*$K1128*$L1128</f>
        <v/>
      </c>
      <c r="AC1128" s="15">
        <f>SUMPRODUCT(M1128:X1128,$M$5:$X$5)*$K1128*$L1128</f>
        <v/>
      </c>
      <c r="AD1128" s="15">
        <f>SUMPRODUCT(M1128:X1128,$M$6:$X$6)*$K1128*$L1128</f>
        <v/>
      </c>
      <c r="AE1128" s="19" t="n"/>
    </row>
    <row r="1129">
      <c r="A1129" s="9" t="n">
        <v>680604</v>
      </c>
      <c r="B1129" s="9" t="inlineStr">
        <is>
          <t>Blas Castaño</t>
        </is>
      </c>
      <c r="C1129" s="9" t="inlineStr">
        <is>
          <t>COL</t>
        </is>
      </c>
      <c r="D1129" s="9" t="n">
        <v>28</v>
      </c>
      <c r="E1129" s="17" t="inlineStr">
        <is>
          <t>R</t>
        </is>
      </c>
      <c r="F1129" s="17" t="n"/>
      <c r="G1129" s="9" t="n">
        <v>111</v>
      </c>
      <c r="H1129" s="9" t="n">
        <v>127</v>
      </c>
      <c r="I1129" s="9" t="inlineStr">
        <is>
          <t>Bullpen Depth Arm</t>
        </is>
      </c>
      <c r="J1129" s="17" t="inlineStr">
        <is>
          <t>Opening Day</t>
        </is>
      </c>
      <c r="K1129" s="11">
        <f>IFERROR(INDEX(Roles!$B$17:$B$20,MATCH(J1129,Roles!$A$17:$A$20,0)),1)</f>
        <v/>
      </c>
      <c r="L1129" s="18" t="n">
        <v>1</v>
      </c>
      <c r="M1129" s="18" t="n"/>
      <c r="N1129" s="18" t="n"/>
      <c r="O1129" s="18" t="n"/>
      <c r="P1129" s="18" t="n"/>
      <c r="Q1129" s="18" t="n"/>
      <c r="R1129" s="18" t="n"/>
      <c r="S1129" s="18" t="n"/>
      <c r="T1129" s="18" t="n"/>
      <c r="U1129" s="18" t="n"/>
      <c r="V1129" s="18" t="n"/>
      <c r="W1129" s="18" t="n"/>
      <c r="X1129" s="18" t="n"/>
      <c r="Y1129" s="13">
        <f>SUMPRODUCT(M1129:X1129,$M$2:$X$2)*$K1129*$L1129</f>
        <v/>
      </c>
      <c r="Z1129" s="14">
        <f>SUM(M1129:X1129)</f>
        <v/>
      </c>
      <c r="AA1129" s="13">
        <f>SUMPRODUCT(M1129:X1129,$M$3:$X$3)*$K1129*$L1129</f>
        <v/>
      </c>
      <c r="AB1129" s="13">
        <f>SUMPRODUCT(M1129:X1129,$M$4:$X$4)*$K1129*$L1129</f>
        <v/>
      </c>
      <c r="AC1129" s="15">
        <f>SUMPRODUCT(M1129:X1129,$M$5:$X$5)*$K1129*$L1129</f>
        <v/>
      </c>
      <c r="AD1129" s="15">
        <f>SUMPRODUCT(M1129:X1129,$M$6:$X$6)*$K1129*$L1129</f>
        <v/>
      </c>
      <c r="AE1129" s="19" t="n"/>
    </row>
    <row r="1130">
      <c r="A1130" s="9" t="n">
        <v>694297</v>
      </c>
      <c r="B1130" s="9" t="inlineStr">
        <is>
          <t>Brandon Pfaadt</t>
        </is>
      </c>
      <c r="C1130" s="9" t="inlineStr">
        <is>
          <t>ARI</t>
        </is>
      </c>
      <c r="D1130" s="9" t="n">
        <v>28</v>
      </c>
      <c r="E1130" s="17" t="inlineStr">
        <is>
          <t>R</t>
        </is>
      </c>
      <c r="F1130" s="17" t="n"/>
      <c r="G1130" s="9" t="n">
        <v>513</v>
      </c>
      <c r="H1130" s="9" t="n">
        <v>2461</v>
      </c>
      <c r="I1130" s="9" t="inlineStr">
        <is>
          <t>Mid-Rotation Starter (SP2-3)</t>
        </is>
      </c>
      <c r="J1130" s="17" t="inlineStr">
        <is>
          <t>Opening Day</t>
        </is>
      </c>
      <c r="K1130" s="11">
        <f>IFERROR(INDEX(Roles!$B$17:$B$20,MATCH(J1130,Roles!$A$17:$A$20,0)),1)</f>
        <v/>
      </c>
      <c r="L1130" s="18" t="n">
        <v>1</v>
      </c>
      <c r="M1130" s="18" t="n"/>
      <c r="N1130" s="18" t="n"/>
      <c r="O1130" s="18" t="n"/>
      <c r="P1130" s="18" t="n"/>
      <c r="Q1130" s="18" t="n"/>
      <c r="R1130" s="18" t="n"/>
      <c r="S1130" s="18" t="n"/>
      <c r="T1130" s="18" t="n"/>
      <c r="U1130" s="18" t="n"/>
      <c r="V1130" s="18" t="n"/>
      <c r="W1130" s="18" t="n"/>
      <c r="X1130" s="18" t="n"/>
      <c r="Y1130" s="13">
        <f>SUMPRODUCT(M1130:X1130,$M$2:$X$2)*$K1130*$L1130</f>
        <v/>
      </c>
      <c r="Z1130" s="14">
        <f>SUM(M1130:X1130)</f>
        <v/>
      </c>
      <c r="AA1130" s="13">
        <f>SUMPRODUCT(M1130:X1130,$M$3:$X$3)*$K1130*$L1130</f>
        <v/>
      </c>
      <c r="AB1130" s="13">
        <f>SUMPRODUCT(M1130:X1130,$M$4:$X$4)*$K1130*$L1130</f>
        <v/>
      </c>
      <c r="AC1130" s="15">
        <f>SUMPRODUCT(M1130:X1130,$M$5:$X$5)*$K1130*$L1130</f>
        <v/>
      </c>
      <c r="AD1130" s="15">
        <f>SUMPRODUCT(M1130:X1130,$M$6:$X$6)*$K1130*$L1130</f>
        <v/>
      </c>
      <c r="AE1130" s="19" t="n"/>
    </row>
    <row r="1131">
      <c r="A1131" s="9" t="n">
        <v>571657</v>
      </c>
      <c r="B1131" s="9" t="inlineStr">
        <is>
          <t>Kyle Farmer</t>
        </is>
      </c>
      <c r="C1131" s="9" t="inlineStr"/>
      <c r="D1131" s="9" t="n">
        <v>36</v>
      </c>
      <c r="E1131" s="17" t="inlineStr">
        <is>
          <t>R</t>
        </is>
      </c>
      <c r="F1131" s="17" t="n"/>
      <c r="G1131" s="9" t="n">
        <v>5</v>
      </c>
      <c r="H1131" s="9" t="n">
        <v>24</v>
      </c>
      <c r="I1131" s="9" t="inlineStr">
        <is>
          <t>Depth (no MLB IP)</t>
        </is>
      </c>
      <c r="J1131" s="17" t="inlineStr">
        <is>
          <t>Opening Day</t>
        </is>
      </c>
      <c r="K1131" s="11">
        <f>IFERROR(INDEX(Roles!$B$17:$B$20,MATCH(J1131,Roles!$A$17:$A$20,0)),1)</f>
        <v/>
      </c>
      <c r="L1131" s="18" t="n">
        <v>1</v>
      </c>
      <c r="M1131" s="18" t="n"/>
      <c r="N1131" s="18" t="n"/>
      <c r="O1131" s="18" t="n"/>
      <c r="P1131" s="18" t="n"/>
      <c r="Q1131" s="18" t="n"/>
      <c r="R1131" s="18" t="n"/>
      <c r="S1131" s="18" t="n"/>
      <c r="T1131" s="18" t="n"/>
      <c r="U1131" s="18" t="n"/>
      <c r="V1131" s="18" t="n"/>
      <c r="W1131" s="18" t="n"/>
      <c r="X1131" s="18" t="n"/>
      <c r="Y1131" s="13">
        <f>SUMPRODUCT(M1131:X1131,$M$2:$X$2)*$K1131*$L1131</f>
        <v/>
      </c>
      <c r="Z1131" s="14">
        <f>SUM(M1131:X1131)</f>
        <v/>
      </c>
      <c r="AA1131" s="13">
        <f>SUMPRODUCT(M1131:X1131,$M$3:$X$3)*$K1131*$L1131</f>
        <v/>
      </c>
      <c r="AB1131" s="13">
        <f>SUMPRODUCT(M1131:X1131,$M$4:$X$4)*$K1131*$L1131</f>
        <v/>
      </c>
      <c r="AC1131" s="15">
        <f>SUMPRODUCT(M1131:X1131,$M$5:$X$5)*$K1131*$L1131</f>
        <v/>
      </c>
      <c r="AD1131" s="15">
        <f>SUMPRODUCT(M1131:X1131,$M$6:$X$6)*$K1131*$L1131</f>
        <v/>
      </c>
      <c r="AE1131" s="19" t="n"/>
    </row>
    <row r="1132">
      <c r="A1132" s="9" t="n">
        <v>543309</v>
      </c>
      <c r="B1132" s="9" t="inlineStr">
        <is>
          <t>Kyle Higashioka</t>
        </is>
      </c>
      <c r="C1132" s="9" t="inlineStr"/>
      <c r="D1132" s="9" t="n">
        <v>37</v>
      </c>
      <c r="E1132" s="17" t="inlineStr">
        <is>
          <t>R</t>
        </is>
      </c>
      <c r="F1132" s="17" t="n"/>
      <c r="G1132" s="9" t="n">
        <v>18</v>
      </c>
      <c r="H1132" s="9" t="n">
        <v>18</v>
      </c>
      <c r="I1132" s="9" t="inlineStr">
        <is>
          <t>Depth (no MLB IP)</t>
        </is>
      </c>
      <c r="J1132" s="17" t="inlineStr">
        <is>
          <t>Opening Day</t>
        </is>
      </c>
      <c r="K1132" s="11">
        <f>IFERROR(INDEX(Roles!$B$17:$B$20,MATCH(J1132,Roles!$A$17:$A$20,0)),1)</f>
        <v/>
      </c>
      <c r="L1132" s="18" t="n">
        <v>1</v>
      </c>
      <c r="M1132" s="18" t="n"/>
      <c r="N1132" s="18" t="n"/>
      <c r="O1132" s="18" t="n"/>
      <c r="P1132" s="18" t="n"/>
      <c r="Q1132" s="18" t="n"/>
      <c r="R1132" s="18" t="n"/>
      <c r="S1132" s="18" t="n"/>
      <c r="T1132" s="18" t="n"/>
      <c r="U1132" s="18" t="n"/>
      <c r="V1132" s="18" t="n"/>
      <c r="W1132" s="18" t="n"/>
      <c r="X1132" s="18" t="n"/>
      <c r="Y1132" s="13">
        <f>SUMPRODUCT(M1132:X1132,$M$2:$X$2)*$K1132*$L1132</f>
        <v/>
      </c>
      <c r="Z1132" s="14">
        <f>SUM(M1132:X1132)</f>
        <v/>
      </c>
      <c r="AA1132" s="13">
        <f>SUMPRODUCT(M1132:X1132,$M$3:$X$3)*$K1132*$L1132</f>
        <v/>
      </c>
      <c r="AB1132" s="13">
        <f>SUMPRODUCT(M1132:X1132,$M$4:$X$4)*$K1132*$L1132</f>
        <v/>
      </c>
      <c r="AC1132" s="15">
        <f>SUMPRODUCT(M1132:X1132,$M$5:$X$5)*$K1132*$L1132</f>
        <v/>
      </c>
      <c r="AD1132" s="15">
        <f>SUMPRODUCT(M1132:X1132,$M$6:$X$6)*$K1132*$L1132</f>
        <v/>
      </c>
      <c r="AE1132" s="19" t="n"/>
    </row>
    <row r="1133">
      <c r="A1133" s="9" t="n">
        <v>669438</v>
      </c>
      <c r="B1133" s="9" t="inlineStr">
        <is>
          <t>Mason Englert</t>
        </is>
      </c>
      <c r="C1133" s="9" t="inlineStr">
        <is>
          <t>TB</t>
        </is>
      </c>
      <c r="D1133" s="9" t="n">
        <v>27</v>
      </c>
      <c r="E1133" s="17" t="inlineStr">
        <is>
          <t>R</t>
        </is>
      </c>
      <c r="F1133" s="17" t="n"/>
      <c r="G1133" s="9" t="n">
        <v>157</v>
      </c>
      <c r="H1133" s="9" t="n">
        <v>688</v>
      </c>
      <c r="I1133" s="9" t="inlineStr">
        <is>
          <t>Bullpen Depth Arm</t>
        </is>
      </c>
      <c r="J1133" s="17" t="inlineStr">
        <is>
          <t>Opening Day</t>
        </is>
      </c>
      <c r="K1133" s="11">
        <f>IFERROR(INDEX(Roles!$B$17:$B$20,MATCH(J1133,Roles!$A$17:$A$20,0)),1)</f>
        <v/>
      </c>
      <c r="L1133" s="18" t="n">
        <v>1</v>
      </c>
      <c r="M1133" s="18" t="n"/>
      <c r="N1133" s="18" t="n"/>
      <c r="O1133" s="18" t="n"/>
      <c r="P1133" s="18" t="n"/>
      <c r="Q1133" s="18" t="n"/>
      <c r="R1133" s="18" t="n"/>
      <c r="S1133" s="18" t="n"/>
      <c r="T1133" s="18" t="n"/>
      <c r="U1133" s="18" t="n"/>
      <c r="V1133" s="18" t="n"/>
      <c r="W1133" s="18" t="n"/>
      <c r="X1133" s="18" t="n"/>
      <c r="Y1133" s="13">
        <f>SUMPRODUCT(M1133:X1133,$M$2:$X$2)*$K1133*$L1133</f>
        <v/>
      </c>
      <c r="Z1133" s="14">
        <f>SUM(M1133:X1133)</f>
        <v/>
      </c>
      <c r="AA1133" s="13">
        <f>SUMPRODUCT(M1133:X1133,$M$3:$X$3)*$K1133*$L1133</f>
        <v/>
      </c>
      <c r="AB1133" s="13">
        <f>SUMPRODUCT(M1133:X1133,$M$4:$X$4)*$K1133*$L1133</f>
        <v/>
      </c>
      <c r="AC1133" s="15">
        <f>SUMPRODUCT(M1133:X1133,$M$5:$X$5)*$K1133*$L1133</f>
        <v/>
      </c>
      <c r="AD1133" s="15">
        <f>SUMPRODUCT(M1133:X1133,$M$6:$X$6)*$K1133*$L1133</f>
        <v/>
      </c>
      <c r="AE1133" s="19" t="n"/>
    </row>
    <row r="1134">
      <c r="A1134" s="9" t="n">
        <v>622253</v>
      </c>
      <c r="B1134" s="9" t="inlineStr">
        <is>
          <t>Dillon Tate</t>
        </is>
      </c>
      <c r="C1134" s="9" t="inlineStr">
        <is>
          <t>TOR</t>
        </is>
      </c>
      <c r="D1134" s="9" t="n">
        <v>33</v>
      </c>
      <c r="E1134" s="17" t="inlineStr">
        <is>
          <t>R</t>
        </is>
      </c>
      <c r="F1134" s="17" t="n"/>
      <c r="G1134" s="9" t="n">
        <v>34</v>
      </c>
      <c r="H1134" s="9" t="n">
        <v>490</v>
      </c>
      <c r="I1134" s="9" t="inlineStr">
        <is>
          <t>Bullpen Depth Arm</t>
        </is>
      </c>
      <c r="J1134" s="17" t="inlineStr">
        <is>
          <t>Opening Day</t>
        </is>
      </c>
      <c r="K1134" s="11">
        <f>IFERROR(INDEX(Roles!$B$17:$B$20,MATCH(J1134,Roles!$A$17:$A$20,0)),1)</f>
        <v/>
      </c>
      <c r="L1134" s="18" t="n">
        <v>1</v>
      </c>
      <c r="M1134" s="18" t="n"/>
      <c r="N1134" s="18" t="n"/>
      <c r="O1134" s="18" t="n"/>
      <c r="P1134" s="18" t="n"/>
      <c r="Q1134" s="18" t="n"/>
      <c r="R1134" s="18" t="n"/>
      <c r="S1134" s="18" t="n"/>
      <c r="T1134" s="18" t="n"/>
      <c r="U1134" s="18" t="n"/>
      <c r="V1134" s="18" t="n"/>
      <c r="W1134" s="18" t="n"/>
      <c r="X1134" s="18" t="n"/>
      <c r="Y1134" s="13">
        <f>SUMPRODUCT(M1134:X1134,$M$2:$X$2)*$K1134*$L1134</f>
        <v/>
      </c>
      <c r="Z1134" s="14">
        <f>SUM(M1134:X1134)</f>
        <v/>
      </c>
      <c r="AA1134" s="13">
        <f>SUMPRODUCT(M1134:X1134,$M$3:$X$3)*$K1134*$L1134</f>
        <v/>
      </c>
      <c r="AB1134" s="13">
        <f>SUMPRODUCT(M1134:X1134,$M$4:$X$4)*$K1134*$L1134</f>
        <v/>
      </c>
      <c r="AC1134" s="15">
        <f>SUMPRODUCT(M1134:X1134,$M$5:$X$5)*$K1134*$L1134</f>
        <v/>
      </c>
      <c r="AD1134" s="15">
        <f>SUMPRODUCT(M1134:X1134,$M$6:$X$6)*$K1134*$L1134</f>
        <v/>
      </c>
      <c r="AE1134" s="19" t="n"/>
    </row>
    <row r="1135">
      <c r="A1135" s="9" t="n">
        <v>691725</v>
      </c>
      <c r="B1135" s="9" t="inlineStr">
        <is>
          <t>Andrew Painter</t>
        </is>
      </c>
      <c r="C1135" s="9" t="inlineStr">
        <is>
          <t>PHI</t>
        </is>
      </c>
      <c r="D1135" s="9" t="n">
        <v>24</v>
      </c>
      <c r="E1135" s="17" t="inlineStr">
        <is>
          <t>R</t>
        </is>
      </c>
      <c r="F1135" s="17" t="n"/>
      <c r="G1135" s="9" t="n">
        <v>507</v>
      </c>
      <c r="H1135" s="9" t="n">
        <v>507</v>
      </c>
      <c r="I1135" s="9" t="inlineStr">
        <is>
          <t>Mid-Rotation Starter (SP2-3)</t>
        </is>
      </c>
      <c r="J1135" s="17" t="inlineStr">
        <is>
          <t>Opening Day</t>
        </is>
      </c>
      <c r="K1135" s="11">
        <f>IFERROR(INDEX(Roles!$B$17:$B$20,MATCH(J1135,Roles!$A$17:$A$20,0)),1)</f>
        <v/>
      </c>
      <c r="L1135" s="18" t="n">
        <v>1</v>
      </c>
      <c r="M1135" s="18" t="n"/>
      <c r="N1135" s="18" t="n"/>
      <c r="O1135" s="18" t="n"/>
      <c r="P1135" s="18" t="n"/>
      <c r="Q1135" s="18" t="n"/>
      <c r="R1135" s="18" t="n"/>
      <c r="S1135" s="18" t="n"/>
      <c r="T1135" s="18" t="n"/>
      <c r="U1135" s="18" t="n"/>
      <c r="V1135" s="18" t="n"/>
      <c r="W1135" s="18" t="n"/>
      <c r="X1135" s="18" t="n"/>
      <c r="Y1135" s="13">
        <f>SUMPRODUCT(M1135:X1135,$M$2:$X$2)*$K1135*$L1135</f>
        <v/>
      </c>
      <c r="Z1135" s="14">
        <f>SUM(M1135:X1135)</f>
        <v/>
      </c>
      <c r="AA1135" s="13">
        <f>SUMPRODUCT(M1135:X1135,$M$3:$X$3)*$K1135*$L1135</f>
        <v/>
      </c>
      <c r="AB1135" s="13">
        <f>SUMPRODUCT(M1135:X1135,$M$4:$X$4)*$K1135*$L1135</f>
        <v/>
      </c>
      <c r="AC1135" s="15">
        <f>SUMPRODUCT(M1135:X1135,$M$5:$X$5)*$K1135*$L1135</f>
        <v/>
      </c>
      <c r="AD1135" s="15">
        <f>SUMPRODUCT(M1135:X1135,$M$6:$X$6)*$K1135*$L1135</f>
        <v/>
      </c>
      <c r="AE1135" s="19" t="n"/>
    </row>
    <row r="1136">
      <c r="A1136" s="9" t="n">
        <v>700363</v>
      </c>
      <c r="B1136" s="9" t="inlineStr">
        <is>
          <t>AJ Smith-Shawver</t>
        </is>
      </c>
      <c r="C1136" s="9" t="inlineStr">
        <is>
          <t>ATL</t>
        </is>
      </c>
      <c r="D1136" s="9" t="n">
        <v>24</v>
      </c>
      <c r="E1136" s="17" t="inlineStr">
        <is>
          <t>R</t>
        </is>
      </c>
      <c r="F1136" s="17" t="n"/>
      <c r="G1136" s="9" t="n">
        <v>124</v>
      </c>
      <c r="H1136" s="9" t="n">
        <v>439</v>
      </c>
      <c r="I1136" s="9" t="inlineStr">
        <is>
          <t>End-of-Rotation Starter (SP4-5)</t>
        </is>
      </c>
      <c r="J1136" s="17" t="inlineStr">
        <is>
          <t>Opening Day</t>
        </is>
      </c>
      <c r="K1136" s="11">
        <f>IFERROR(INDEX(Roles!$B$17:$B$20,MATCH(J1136,Roles!$A$17:$A$20,0)),1)</f>
        <v/>
      </c>
      <c r="L1136" s="18" t="n">
        <v>1</v>
      </c>
      <c r="M1136" s="18" t="n"/>
      <c r="N1136" s="18" t="n"/>
      <c r="O1136" s="18" t="n"/>
      <c r="P1136" s="18" t="n"/>
      <c r="Q1136" s="18" t="n"/>
      <c r="R1136" s="18" t="n"/>
      <c r="S1136" s="18" t="n"/>
      <c r="T1136" s="18" t="n"/>
      <c r="U1136" s="18" t="n"/>
      <c r="V1136" s="18" t="n"/>
      <c r="W1136" s="18" t="n"/>
      <c r="X1136" s="18" t="n"/>
      <c r="Y1136" s="13">
        <f>SUMPRODUCT(M1136:X1136,$M$2:$X$2)*$K1136*$L1136</f>
        <v/>
      </c>
      <c r="Z1136" s="14">
        <f>SUM(M1136:X1136)</f>
        <v/>
      </c>
      <c r="AA1136" s="13">
        <f>SUMPRODUCT(M1136:X1136,$M$3:$X$3)*$K1136*$L1136</f>
        <v/>
      </c>
      <c r="AB1136" s="13">
        <f>SUMPRODUCT(M1136:X1136,$M$4:$X$4)*$K1136*$L1136</f>
        <v/>
      </c>
      <c r="AC1136" s="15">
        <f>SUMPRODUCT(M1136:X1136,$M$5:$X$5)*$K1136*$L1136</f>
        <v/>
      </c>
      <c r="AD1136" s="15">
        <f>SUMPRODUCT(M1136:X1136,$M$6:$X$6)*$K1136*$L1136</f>
        <v/>
      </c>
      <c r="AE1136" s="19" t="n"/>
    </row>
    <row r="1137">
      <c r="A1137" s="9" t="n">
        <v>608328</v>
      </c>
      <c r="B1137" s="9" t="inlineStr">
        <is>
          <t>Chase De Jong</t>
        </is>
      </c>
      <c r="C1137" s="9" t="inlineStr">
        <is>
          <t>PIT</t>
        </is>
      </c>
      <c r="D1137" s="9" t="n">
        <v>33</v>
      </c>
      <c r="E1137" s="17" t="inlineStr">
        <is>
          <t>R</t>
        </is>
      </c>
      <c r="F1137" s="17" t="n"/>
      <c r="G1137" s="9" t="n">
        <v>60</v>
      </c>
      <c r="H1137" s="9" t="n">
        <v>353</v>
      </c>
      <c r="I1137" s="9" t="inlineStr">
        <is>
          <t>Depth (no MLB IP)</t>
        </is>
      </c>
      <c r="J1137" s="17" t="inlineStr">
        <is>
          <t>Opening Day</t>
        </is>
      </c>
      <c r="K1137" s="11">
        <f>IFERROR(INDEX(Roles!$B$17:$B$20,MATCH(J1137,Roles!$A$17:$A$20,0)),1)</f>
        <v/>
      </c>
      <c r="L1137" s="18" t="n">
        <v>1</v>
      </c>
      <c r="M1137" s="18" t="n"/>
      <c r="N1137" s="18" t="n"/>
      <c r="O1137" s="18" t="n"/>
      <c r="P1137" s="18" t="n"/>
      <c r="Q1137" s="18" t="n"/>
      <c r="R1137" s="18" t="n"/>
      <c r="S1137" s="18" t="n"/>
      <c r="T1137" s="18" t="n"/>
      <c r="U1137" s="18" t="n"/>
      <c r="V1137" s="18" t="n"/>
      <c r="W1137" s="18" t="n"/>
      <c r="X1137" s="18" t="n"/>
      <c r="Y1137" s="13">
        <f>SUMPRODUCT(M1137:X1137,$M$2:$X$2)*$K1137*$L1137</f>
        <v/>
      </c>
      <c r="Z1137" s="14">
        <f>SUM(M1137:X1137)</f>
        <v/>
      </c>
      <c r="AA1137" s="13">
        <f>SUMPRODUCT(M1137:X1137,$M$3:$X$3)*$K1137*$L1137</f>
        <v/>
      </c>
      <c r="AB1137" s="13">
        <f>SUMPRODUCT(M1137:X1137,$M$4:$X$4)*$K1137*$L1137</f>
        <v/>
      </c>
      <c r="AC1137" s="15">
        <f>SUMPRODUCT(M1137:X1137,$M$5:$X$5)*$K1137*$L1137</f>
        <v/>
      </c>
      <c r="AD1137" s="15">
        <f>SUMPRODUCT(M1137:X1137,$M$6:$X$6)*$K1137*$L1137</f>
        <v/>
      </c>
      <c r="AE1137" s="19" t="n"/>
    </row>
    <row r="1138">
      <c r="A1138" s="9" t="n">
        <v>674370</v>
      </c>
      <c r="B1138" s="9" t="inlineStr">
        <is>
          <t>Osvaldo Bido</t>
        </is>
      </c>
      <c r="C1138" s="9" t="inlineStr">
        <is>
          <t>CWS</t>
        </is>
      </c>
      <c r="D1138" s="9" t="n">
        <v>31</v>
      </c>
      <c r="E1138" s="17" t="inlineStr">
        <is>
          <t>R</t>
        </is>
      </c>
      <c r="F1138" s="17" t="n"/>
      <c r="G1138" s="9" t="n">
        <v>81</v>
      </c>
      <c r="H1138" s="9" t="n">
        <v>939</v>
      </c>
      <c r="I1138" s="9" t="inlineStr">
        <is>
          <t>Bullpen Depth Arm</t>
        </is>
      </c>
      <c r="J1138" s="17" t="inlineStr">
        <is>
          <t>Opening Day</t>
        </is>
      </c>
      <c r="K1138" s="11">
        <f>IFERROR(INDEX(Roles!$B$17:$B$20,MATCH(J1138,Roles!$A$17:$A$20,0)),1)</f>
        <v/>
      </c>
      <c r="L1138" s="18" t="n">
        <v>1</v>
      </c>
      <c r="M1138" s="18" t="n"/>
      <c r="N1138" s="18" t="n"/>
      <c r="O1138" s="18" t="n"/>
      <c r="P1138" s="18" t="n"/>
      <c r="Q1138" s="18" t="n"/>
      <c r="R1138" s="18" t="n"/>
      <c r="S1138" s="18" t="n"/>
      <c r="T1138" s="18" t="n"/>
      <c r="U1138" s="18" t="n"/>
      <c r="V1138" s="18" t="n"/>
      <c r="W1138" s="18" t="n"/>
      <c r="X1138" s="18" t="n"/>
      <c r="Y1138" s="13">
        <f>SUMPRODUCT(M1138:X1138,$M$2:$X$2)*$K1138*$L1138</f>
        <v/>
      </c>
      <c r="Z1138" s="14">
        <f>SUM(M1138:X1138)</f>
        <v/>
      </c>
      <c r="AA1138" s="13">
        <f>SUMPRODUCT(M1138:X1138,$M$3:$X$3)*$K1138*$L1138</f>
        <v/>
      </c>
      <c r="AB1138" s="13">
        <f>SUMPRODUCT(M1138:X1138,$M$4:$X$4)*$K1138*$L1138</f>
        <v/>
      </c>
      <c r="AC1138" s="15">
        <f>SUMPRODUCT(M1138:X1138,$M$5:$X$5)*$K1138*$L1138</f>
        <v/>
      </c>
      <c r="AD1138" s="15">
        <f>SUMPRODUCT(M1138:X1138,$M$6:$X$6)*$K1138*$L1138</f>
        <v/>
      </c>
      <c r="AE1138" s="19" t="n"/>
    </row>
    <row r="1139">
      <c r="A1139" s="9" t="n">
        <v>668964</v>
      </c>
      <c r="B1139" s="9" t="inlineStr">
        <is>
          <t>Tobias Myers</t>
        </is>
      </c>
      <c r="C1139" s="9" t="inlineStr">
        <is>
          <t>NYM</t>
        </is>
      </c>
      <c r="D1139" s="9" t="n">
        <v>28</v>
      </c>
      <c r="E1139" s="17" t="inlineStr">
        <is>
          <t>R</t>
        </is>
      </c>
      <c r="F1139" s="17" t="n"/>
      <c r="G1139" s="9" t="n">
        <v>213</v>
      </c>
      <c r="H1139" s="9" t="n">
        <v>1002</v>
      </c>
      <c r="I1139" s="9" t="inlineStr">
        <is>
          <t>End-of-Rotation Starter (SP4-5)</t>
        </is>
      </c>
      <c r="J1139" s="17" t="inlineStr">
        <is>
          <t>Opening Day</t>
        </is>
      </c>
      <c r="K1139" s="11">
        <f>IFERROR(INDEX(Roles!$B$17:$B$20,MATCH(J1139,Roles!$A$17:$A$20,0)),1)</f>
        <v/>
      </c>
      <c r="L1139" s="18" t="n">
        <v>1</v>
      </c>
      <c r="M1139" s="18" t="n"/>
      <c r="N1139" s="18" t="n"/>
      <c r="O1139" s="18" t="n"/>
      <c r="P1139" s="18" t="n"/>
      <c r="Q1139" s="18" t="n"/>
      <c r="R1139" s="18" t="n"/>
      <c r="S1139" s="18" t="n"/>
      <c r="T1139" s="18" t="n"/>
      <c r="U1139" s="18" t="n"/>
      <c r="V1139" s="18" t="n"/>
      <c r="W1139" s="18" t="n"/>
      <c r="X1139" s="18" t="n"/>
      <c r="Y1139" s="13">
        <f>SUMPRODUCT(M1139:X1139,$M$2:$X$2)*$K1139*$L1139</f>
        <v/>
      </c>
      <c r="Z1139" s="14">
        <f>SUM(M1139:X1139)</f>
        <v/>
      </c>
      <c r="AA1139" s="13">
        <f>SUMPRODUCT(M1139:X1139,$M$3:$X$3)*$K1139*$L1139</f>
        <v/>
      </c>
      <c r="AB1139" s="13">
        <f>SUMPRODUCT(M1139:X1139,$M$4:$X$4)*$K1139*$L1139</f>
        <v/>
      </c>
      <c r="AC1139" s="15">
        <f>SUMPRODUCT(M1139:X1139,$M$5:$X$5)*$K1139*$L1139</f>
        <v/>
      </c>
      <c r="AD1139" s="15">
        <f>SUMPRODUCT(M1139:X1139,$M$6:$X$6)*$K1139*$L1139</f>
        <v/>
      </c>
      <c r="AE1139" s="19" t="n"/>
    </row>
    <row r="1140">
      <c r="A1140" s="9" t="n">
        <v>687312</v>
      </c>
      <c r="B1140" s="9" t="inlineStr">
        <is>
          <t>Gabriel Hughes</t>
        </is>
      </c>
      <c r="C1140" s="9" t="inlineStr">
        <is>
          <t>COL</t>
        </is>
      </c>
      <c r="D1140" s="9" t="n">
        <v>25</v>
      </c>
      <c r="E1140" s="17" t="inlineStr">
        <is>
          <t>R</t>
        </is>
      </c>
      <c r="F1140" s="17" t="n"/>
      <c r="G1140" s="9" t="n">
        <v>263</v>
      </c>
      <c r="H1140" s="9" t="n">
        <v>263</v>
      </c>
      <c r="I1140" s="9" t="inlineStr">
        <is>
          <t>End-of-Rotation Starter (SP4-5)</t>
        </is>
      </c>
      <c r="J1140" s="17" t="inlineStr">
        <is>
          <t>Opening Day</t>
        </is>
      </c>
      <c r="K1140" s="11">
        <f>IFERROR(INDEX(Roles!$B$17:$B$20,MATCH(J1140,Roles!$A$17:$A$20,0)),1)</f>
        <v/>
      </c>
      <c r="L1140" s="18" t="n">
        <v>1</v>
      </c>
      <c r="M1140" s="18" t="n"/>
      <c r="N1140" s="18" t="n"/>
      <c r="O1140" s="18" t="n"/>
      <c r="P1140" s="18" t="n"/>
      <c r="Q1140" s="18" t="n"/>
      <c r="R1140" s="18" t="n"/>
      <c r="S1140" s="18" t="n"/>
      <c r="T1140" s="18" t="n"/>
      <c r="U1140" s="18" t="n"/>
      <c r="V1140" s="18" t="n"/>
      <c r="W1140" s="18" t="n"/>
      <c r="X1140" s="18" t="n"/>
      <c r="Y1140" s="13">
        <f>SUMPRODUCT(M1140:X1140,$M$2:$X$2)*$K1140*$L1140</f>
        <v/>
      </c>
      <c r="Z1140" s="14">
        <f>SUM(M1140:X1140)</f>
        <v/>
      </c>
      <c r="AA1140" s="13">
        <f>SUMPRODUCT(M1140:X1140,$M$3:$X$3)*$K1140*$L1140</f>
        <v/>
      </c>
      <c r="AB1140" s="13">
        <f>SUMPRODUCT(M1140:X1140,$M$4:$X$4)*$K1140*$L1140</f>
        <v/>
      </c>
      <c r="AC1140" s="15">
        <f>SUMPRODUCT(M1140:X1140,$M$5:$X$5)*$K1140*$L1140</f>
        <v/>
      </c>
      <c r="AD1140" s="15">
        <f>SUMPRODUCT(M1140:X1140,$M$6:$X$6)*$K1140*$L1140</f>
        <v/>
      </c>
      <c r="AE1140" s="19" t="n"/>
    </row>
    <row r="1141">
      <c r="A1141" s="9" t="n">
        <v>678024</v>
      </c>
      <c r="B1141" s="9" t="inlineStr">
        <is>
          <t>Mike Vasil</t>
        </is>
      </c>
      <c r="C1141" s="9" t="inlineStr">
        <is>
          <t>CWS</t>
        </is>
      </c>
      <c r="D1141" s="9" t="n">
        <v>27</v>
      </c>
      <c r="E1141" s="17" t="inlineStr">
        <is>
          <t>R</t>
        </is>
      </c>
      <c r="F1141" s="17" t="n"/>
      <c r="G1141" s="9" t="n">
        <v>423</v>
      </c>
      <c r="H1141" s="9" t="n">
        <v>423</v>
      </c>
      <c r="I1141" s="9" t="inlineStr">
        <is>
          <t>Bullpen Depth Arm</t>
        </is>
      </c>
      <c r="J1141" s="17" t="inlineStr">
        <is>
          <t>Opening Day</t>
        </is>
      </c>
      <c r="K1141" s="11">
        <f>IFERROR(INDEX(Roles!$B$17:$B$20,MATCH(J1141,Roles!$A$17:$A$20,0)),1)</f>
        <v/>
      </c>
      <c r="L1141" s="18" t="n">
        <v>1</v>
      </c>
      <c r="M1141" s="18" t="n"/>
      <c r="N1141" s="18" t="n"/>
      <c r="O1141" s="18" t="n"/>
      <c r="P1141" s="18" t="n"/>
      <c r="Q1141" s="18" t="n"/>
      <c r="R1141" s="18" t="n"/>
      <c r="S1141" s="18" t="n"/>
      <c r="T1141" s="18" t="n"/>
      <c r="U1141" s="18" t="n"/>
      <c r="V1141" s="18" t="n"/>
      <c r="W1141" s="18" t="n"/>
      <c r="X1141" s="18" t="n"/>
      <c r="Y1141" s="13">
        <f>SUMPRODUCT(M1141:X1141,$M$2:$X$2)*$K1141*$L1141</f>
        <v/>
      </c>
      <c r="Z1141" s="14">
        <f>SUM(M1141:X1141)</f>
        <v/>
      </c>
      <c r="AA1141" s="13">
        <f>SUMPRODUCT(M1141:X1141,$M$3:$X$3)*$K1141*$L1141</f>
        <v/>
      </c>
      <c r="AB1141" s="13">
        <f>SUMPRODUCT(M1141:X1141,$M$4:$X$4)*$K1141*$L1141</f>
        <v/>
      </c>
      <c r="AC1141" s="15">
        <f>SUMPRODUCT(M1141:X1141,$M$5:$X$5)*$K1141*$L1141</f>
        <v/>
      </c>
      <c r="AD1141" s="15">
        <f>SUMPRODUCT(M1141:X1141,$M$6:$X$6)*$K1141*$L1141</f>
        <v/>
      </c>
      <c r="AE1141" s="19" t="n"/>
    </row>
    <row r="1142">
      <c r="A1142" s="9" t="n">
        <v>690544</v>
      </c>
      <c r="B1142" s="9" t="inlineStr">
        <is>
          <t>Bailey Horn</t>
        </is>
      </c>
      <c r="C1142" s="9" t="inlineStr">
        <is>
          <t>DET</t>
        </is>
      </c>
      <c r="D1142" s="9" t="n">
        <v>29</v>
      </c>
      <c r="E1142" s="17" t="inlineStr">
        <is>
          <t>L</t>
        </is>
      </c>
      <c r="F1142" s="17" t="n"/>
      <c r="G1142" s="9" t="n">
        <v>50</v>
      </c>
      <c r="H1142" s="9" t="n">
        <v>138</v>
      </c>
      <c r="I1142" s="9" t="inlineStr">
        <is>
          <t>Bullpen Depth Arm</t>
        </is>
      </c>
      <c r="J1142" s="17" t="inlineStr">
        <is>
          <t>Opening Day</t>
        </is>
      </c>
      <c r="K1142" s="11">
        <f>IFERROR(INDEX(Roles!$B$17:$B$20,MATCH(J1142,Roles!$A$17:$A$20,0)),1)</f>
        <v/>
      </c>
      <c r="L1142" s="18" t="n">
        <v>1</v>
      </c>
      <c r="M1142" s="18" t="n"/>
      <c r="N1142" s="18" t="n"/>
      <c r="O1142" s="18" t="n"/>
      <c r="P1142" s="18" t="n"/>
      <c r="Q1142" s="18" t="n"/>
      <c r="R1142" s="18" t="n"/>
      <c r="S1142" s="18" t="n"/>
      <c r="T1142" s="18" t="n"/>
      <c r="U1142" s="18" t="n"/>
      <c r="V1142" s="18" t="n"/>
      <c r="W1142" s="18" t="n"/>
      <c r="X1142" s="18" t="n"/>
      <c r="Y1142" s="13">
        <f>SUMPRODUCT(M1142:X1142,$M$2:$X$2)*$K1142*$L1142</f>
        <v/>
      </c>
      <c r="Z1142" s="14">
        <f>SUM(M1142:X1142)</f>
        <v/>
      </c>
      <c r="AA1142" s="13">
        <f>SUMPRODUCT(M1142:X1142,$M$3:$X$3)*$K1142*$L1142</f>
        <v/>
      </c>
      <c r="AB1142" s="13">
        <f>SUMPRODUCT(M1142:X1142,$M$4:$X$4)*$K1142*$L1142</f>
        <v/>
      </c>
      <c r="AC1142" s="15">
        <f>SUMPRODUCT(M1142:X1142,$M$5:$X$5)*$K1142*$L1142</f>
        <v/>
      </c>
      <c r="AD1142" s="15">
        <f>SUMPRODUCT(M1142:X1142,$M$6:$X$6)*$K1142*$L1142</f>
        <v/>
      </c>
      <c r="AE1142" s="19" t="n"/>
    </row>
    <row r="1143">
      <c r="A1143" s="9" t="n">
        <v>678020</v>
      </c>
      <c r="B1143" s="9" t="inlineStr">
        <is>
          <t>Seth Halvorsen</t>
        </is>
      </c>
      <c r="C1143" s="9" t="inlineStr">
        <is>
          <t>LAD</t>
        </is>
      </c>
      <c r="D1143" s="9" t="n">
        <v>27</v>
      </c>
      <c r="E1143" s="17" t="inlineStr">
        <is>
          <t>R</t>
        </is>
      </c>
      <c r="F1143" s="17" t="n"/>
      <c r="G1143" s="9" t="n">
        <v>132</v>
      </c>
      <c r="H1143" s="9" t="n">
        <v>351</v>
      </c>
      <c r="I1143" s="9" t="inlineStr">
        <is>
          <t>Bullpen Depth Arm</t>
        </is>
      </c>
      <c r="J1143" s="17" t="inlineStr">
        <is>
          <t>Opening Day</t>
        </is>
      </c>
      <c r="K1143" s="11">
        <f>IFERROR(INDEX(Roles!$B$17:$B$20,MATCH(J1143,Roles!$A$17:$A$20,0)),1)</f>
        <v/>
      </c>
      <c r="L1143" s="18" t="n">
        <v>1</v>
      </c>
      <c r="M1143" s="18" t="n"/>
      <c r="N1143" s="18" t="n"/>
      <c r="O1143" s="18" t="n"/>
      <c r="P1143" s="18" t="n"/>
      <c r="Q1143" s="18" t="n"/>
      <c r="R1143" s="18" t="n"/>
      <c r="S1143" s="18" t="n"/>
      <c r="T1143" s="18" t="n"/>
      <c r="U1143" s="18" t="n"/>
      <c r="V1143" s="18" t="n"/>
      <c r="W1143" s="18" t="n"/>
      <c r="X1143" s="18" t="n"/>
      <c r="Y1143" s="13">
        <f>SUMPRODUCT(M1143:X1143,$M$2:$X$2)*$K1143*$L1143</f>
        <v/>
      </c>
      <c r="Z1143" s="14">
        <f>SUM(M1143:X1143)</f>
        <v/>
      </c>
      <c r="AA1143" s="13">
        <f>SUMPRODUCT(M1143:X1143,$M$3:$X$3)*$K1143*$L1143</f>
        <v/>
      </c>
      <c r="AB1143" s="13">
        <f>SUMPRODUCT(M1143:X1143,$M$4:$X$4)*$K1143*$L1143</f>
        <v/>
      </c>
      <c r="AC1143" s="15">
        <f>SUMPRODUCT(M1143:X1143,$M$5:$X$5)*$K1143*$L1143</f>
        <v/>
      </c>
      <c r="AD1143" s="15">
        <f>SUMPRODUCT(M1143:X1143,$M$6:$X$6)*$K1143*$L1143</f>
        <v/>
      </c>
      <c r="AE1143" s="19" t="n"/>
    </row>
    <row r="1144">
      <c r="A1144" s="9" t="n">
        <v>676467</v>
      </c>
      <c r="B1144" s="9" t="inlineStr">
        <is>
          <t>Colton Gordon</t>
        </is>
      </c>
      <c r="C1144" s="9" t="inlineStr">
        <is>
          <t>HOU</t>
        </is>
      </c>
      <c r="D1144" s="9" t="n">
        <v>28</v>
      </c>
      <c r="E1144" s="17" t="inlineStr">
        <is>
          <t>L</t>
        </is>
      </c>
      <c r="F1144" s="17" t="n"/>
      <c r="G1144" s="9" t="n">
        <v>50</v>
      </c>
      <c r="H1144" s="9" t="n">
        <v>429</v>
      </c>
      <c r="I1144" s="9" t="inlineStr">
        <is>
          <t>End-of-Rotation Starter (SP4-5)</t>
        </is>
      </c>
      <c r="J1144" s="17" t="inlineStr">
        <is>
          <t>Opening Day</t>
        </is>
      </c>
      <c r="K1144" s="11">
        <f>IFERROR(INDEX(Roles!$B$17:$B$20,MATCH(J1144,Roles!$A$17:$A$20,0)),1)</f>
        <v/>
      </c>
      <c r="L1144" s="18" t="n">
        <v>1</v>
      </c>
      <c r="M1144" s="18" t="n"/>
      <c r="N1144" s="18" t="n"/>
      <c r="O1144" s="18" t="n"/>
      <c r="P1144" s="18" t="n"/>
      <c r="Q1144" s="18" t="n"/>
      <c r="R1144" s="18" t="n"/>
      <c r="S1144" s="18" t="n"/>
      <c r="T1144" s="18" t="n"/>
      <c r="U1144" s="18" t="n"/>
      <c r="V1144" s="18" t="n"/>
      <c r="W1144" s="18" t="n"/>
      <c r="X1144" s="18" t="n"/>
      <c r="Y1144" s="13">
        <f>SUMPRODUCT(M1144:X1144,$M$2:$X$2)*$K1144*$L1144</f>
        <v/>
      </c>
      <c r="Z1144" s="14">
        <f>SUM(M1144:X1144)</f>
        <v/>
      </c>
      <c r="AA1144" s="13">
        <f>SUMPRODUCT(M1144:X1144,$M$3:$X$3)*$K1144*$L1144</f>
        <v/>
      </c>
      <c r="AB1144" s="13">
        <f>SUMPRODUCT(M1144:X1144,$M$4:$X$4)*$K1144*$L1144</f>
        <v/>
      </c>
      <c r="AC1144" s="15">
        <f>SUMPRODUCT(M1144:X1144,$M$5:$X$5)*$K1144*$L1144</f>
        <v/>
      </c>
      <c r="AD1144" s="15">
        <f>SUMPRODUCT(M1144:X1144,$M$6:$X$6)*$K1144*$L1144</f>
        <v/>
      </c>
      <c r="AE1144" s="19" t="n"/>
    </row>
    <row r="1145">
      <c r="A1145" s="9" t="n">
        <v>656240</v>
      </c>
      <c r="B1145" s="9" t="inlineStr">
        <is>
          <t>Scott Blewett</t>
        </is>
      </c>
      <c r="C1145" s="9" t="inlineStr">
        <is>
          <t>OAK</t>
        </is>
      </c>
      <c r="D1145" s="9" t="n">
        <v>31</v>
      </c>
      <c r="E1145" s="17" t="inlineStr">
        <is>
          <t>R</t>
        </is>
      </c>
      <c r="F1145" s="17" t="n"/>
      <c r="G1145" s="9" t="n">
        <v>134</v>
      </c>
      <c r="H1145" s="9" t="n">
        <v>413</v>
      </c>
      <c r="I1145" s="9" t="inlineStr">
        <is>
          <t>Bullpen Depth Arm</t>
        </is>
      </c>
      <c r="J1145" s="17" t="inlineStr">
        <is>
          <t>Opening Day</t>
        </is>
      </c>
      <c r="K1145" s="11">
        <f>IFERROR(INDEX(Roles!$B$17:$B$20,MATCH(J1145,Roles!$A$17:$A$20,0)),1)</f>
        <v/>
      </c>
      <c r="L1145" s="18" t="n">
        <v>1</v>
      </c>
      <c r="M1145" s="18" t="n"/>
      <c r="N1145" s="18" t="n"/>
      <c r="O1145" s="18" t="n"/>
      <c r="P1145" s="18" t="n"/>
      <c r="Q1145" s="18" t="n"/>
      <c r="R1145" s="18" t="n"/>
      <c r="S1145" s="18" t="n"/>
      <c r="T1145" s="18" t="n"/>
      <c r="U1145" s="18" t="n"/>
      <c r="V1145" s="18" t="n"/>
      <c r="W1145" s="18" t="n"/>
      <c r="X1145" s="18" t="n"/>
      <c r="Y1145" s="13">
        <f>SUMPRODUCT(M1145:X1145,$M$2:$X$2)*$K1145*$L1145</f>
        <v/>
      </c>
      <c r="Z1145" s="14">
        <f>SUM(M1145:X1145)</f>
        <v/>
      </c>
      <c r="AA1145" s="13">
        <f>SUMPRODUCT(M1145:X1145,$M$3:$X$3)*$K1145*$L1145</f>
        <v/>
      </c>
      <c r="AB1145" s="13">
        <f>SUMPRODUCT(M1145:X1145,$M$4:$X$4)*$K1145*$L1145</f>
        <v/>
      </c>
      <c r="AC1145" s="15">
        <f>SUMPRODUCT(M1145:X1145,$M$5:$X$5)*$K1145*$L1145</f>
        <v/>
      </c>
      <c r="AD1145" s="15">
        <f>SUMPRODUCT(M1145:X1145,$M$6:$X$6)*$K1145*$L1145</f>
        <v/>
      </c>
      <c r="AE1145" s="19" t="n"/>
    </row>
    <row r="1146">
      <c r="A1146" s="9" t="n">
        <v>686753</v>
      </c>
      <c r="B1146" s="9" t="inlineStr">
        <is>
          <t>Drey Jameson</t>
        </is>
      </c>
      <c r="C1146" s="9" t="inlineStr">
        <is>
          <t>ARI</t>
        </is>
      </c>
      <c r="D1146" s="9" t="n">
        <v>29</v>
      </c>
      <c r="E1146" s="17" t="inlineStr">
        <is>
          <t>R</t>
        </is>
      </c>
      <c r="F1146" s="17" t="n"/>
      <c r="G1146" s="9" t="n">
        <v>86</v>
      </c>
      <c r="H1146" s="9" t="n">
        <v>371</v>
      </c>
      <c r="I1146" s="9" t="inlineStr">
        <is>
          <t>Bullpen Depth Arm</t>
        </is>
      </c>
      <c r="J1146" s="17" t="inlineStr">
        <is>
          <t>Opening Day</t>
        </is>
      </c>
      <c r="K1146" s="11">
        <f>IFERROR(INDEX(Roles!$B$17:$B$20,MATCH(J1146,Roles!$A$17:$A$20,0)),1)</f>
        <v/>
      </c>
      <c r="L1146" s="18" t="n">
        <v>1</v>
      </c>
      <c r="M1146" s="18" t="n"/>
      <c r="N1146" s="18" t="n"/>
      <c r="O1146" s="18" t="n"/>
      <c r="P1146" s="18" t="n"/>
      <c r="Q1146" s="18" t="n"/>
      <c r="R1146" s="18" t="n"/>
      <c r="S1146" s="18" t="n"/>
      <c r="T1146" s="18" t="n"/>
      <c r="U1146" s="18" t="n"/>
      <c r="V1146" s="18" t="n"/>
      <c r="W1146" s="18" t="n"/>
      <c r="X1146" s="18" t="n"/>
      <c r="Y1146" s="13">
        <f>SUMPRODUCT(M1146:X1146,$M$2:$X$2)*$K1146*$L1146</f>
        <v/>
      </c>
      <c r="Z1146" s="14">
        <f>SUM(M1146:X1146)</f>
        <v/>
      </c>
      <c r="AA1146" s="13">
        <f>SUMPRODUCT(M1146:X1146,$M$3:$X$3)*$K1146*$L1146</f>
        <v/>
      </c>
      <c r="AB1146" s="13">
        <f>SUMPRODUCT(M1146:X1146,$M$4:$X$4)*$K1146*$L1146</f>
        <v/>
      </c>
      <c r="AC1146" s="15">
        <f>SUMPRODUCT(M1146:X1146,$M$5:$X$5)*$K1146*$L1146</f>
        <v/>
      </c>
      <c r="AD1146" s="15">
        <f>SUMPRODUCT(M1146:X1146,$M$6:$X$6)*$K1146*$L1146</f>
        <v/>
      </c>
      <c r="AE1146" s="19" t="n"/>
    </row>
    <row r="1147">
      <c r="A1147" s="9" t="n">
        <v>666721</v>
      </c>
      <c r="B1147" s="9" t="inlineStr">
        <is>
          <t>Max Castillo</t>
        </is>
      </c>
      <c r="C1147" s="9" t="inlineStr">
        <is>
          <t>KC</t>
        </is>
      </c>
      <c r="D1147" s="9" t="n">
        <v>28</v>
      </c>
      <c r="E1147" s="17" t="inlineStr">
        <is>
          <t>R</t>
        </is>
      </c>
      <c r="F1147" s="17" t="n"/>
      <c r="G1147" s="9" t="n">
        <v>89</v>
      </c>
      <c r="H1147" s="9" t="n">
        <v>259</v>
      </c>
      <c r="I1147" s="9" t="inlineStr">
        <is>
          <t>Depth (no MLB IP)</t>
        </is>
      </c>
      <c r="J1147" s="17" t="inlineStr">
        <is>
          <t>Opening Day</t>
        </is>
      </c>
      <c r="K1147" s="11">
        <f>IFERROR(INDEX(Roles!$B$17:$B$20,MATCH(J1147,Roles!$A$17:$A$20,0)),1)</f>
        <v/>
      </c>
      <c r="L1147" s="18" t="n">
        <v>1</v>
      </c>
      <c r="M1147" s="18" t="n"/>
      <c r="N1147" s="18" t="n"/>
      <c r="O1147" s="18" t="n"/>
      <c r="P1147" s="18" t="n"/>
      <c r="Q1147" s="18" t="n"/>
      <c r="R1147" s="18" t="n"/>
      <c r="S1147" s="18" t="n"/>
      <c r="T1147" s="18" t="n"/>
      <c r="U1147" s="18" t="n"/>
      <c r="V1147" s="18" t="n"/>
      <c r="W1147" s="18" t="n"/>
      <c r="X1147" s="18" t="n"/>
      <c r="Y1147" s="13">
        <f>SUMPRODUCT(M1147:X1147,$M$2:$X$2)*$K1147*$L1147</f>
        <v/>
      </c>
      <c r="Z1147" s="14">
        <f>SUM(M1147:X1147)</f>
        <v/>
      </c>
      <c r="AA1147" s="13">
        <f>SUMPRODUCT(M1147:X1147,$M$3:$X$3)*$K1147*$L1147</f>
        <v/>
      </c>
      <c r="AB1147" s="13">
        <f>SUMPRODUCT(M1147:X1147,$M$4:$X$4)*$K1147*$L1147</f>
        <v/>
      </c>
      <c r="AC1147" s="15">
        <f>SUMPRODUCT(M1147:X1147,$M$5:$X$5)*$K1147*$L1147</f>
        <v/>
      </c>
      <c r="AD1147" s="15">
        <f>SUMPRODUCT(M1147:X1147,$M$6:$X$6)*$K1147*$L1147</f>
        <v/>
      </c>
      <c r="AE1147" s="19" t="n"/>
    </row>
    <row r="1148">
      <c r="A1148" s="9" t="n">
        <v>668834</v>
      </c>
      <c r="B1148" s="9" t="inlineStr">
        <is>
          <t>Easton McGee</t>
        </is>
      </c>
      <c r="C1148" s="9" t="inlineStr">
        <is>
          <t>KC</t>
        </is>
      </c>
      <c r="D1148" s="9" t="n">
        <v>29</v>
      </c>
      <c r="E1148" s="17" t="inlineStr">
        <is>
          <t>R</t>
        </is>
      </c>
      <c r="F1148" s="17" t="n"/>
      <c r="G1148" s="9" t="n">
        <v>52</v>
      </c>
      <c r="H1148" s="9" t="n">
        <v>150</v>
      </c>
      <c r="I1148" s="9" t="inlineStr">
        <is>
          <t>Bullpen Depth Arm</t>
        </is>
      </c>
      <c r="J1148" s="17" t="inlineStr">
        <is>
          <t>Opening Day</t>
        </is>
      </c>
      <c r="K1148" s="11">
        <f>IFERROR(INDEX(Roles!$B$17:$B$20,MATCH(J1148,Roles!$A$17:$A$20,0)),1)</f>
        <v/>
      </c>
      <c r="L1148" s="18" t="n">
        <v>1</v>
      </c>
      <c r="M1148" s="18" t="n"/>
      <c r="N1148" s="18" t="n"/>
      <c r="O1148" s="18" t="n"/>
      <c r="P1148" s="18" t="n"/>
      <c r="Q1148" s="18" t="n"/>
      <c r="R1148" s="18" t="n"/>
      <c r="S1148" s="18" t="n"/>
      <c r="T1148" s="18" t="n"/>
      <c r="U1148" s="18" t="n"/>
      <c r="V1148" s="18" t="n"/>
      <c r="W1148" s="18" t="n"/>
      <c r="X1148" s="18" t="n"/>
      <c r="Y1148" s="13">
        <f>SUMPRODUCT(M1148:X1148,$M$2:$X$2)*$K1148*$L1148</f>
        <v/>
      </c>
      <c r="Z1148" s="14">
        <f>SUM(M1148:X1148)</f>
        <v/>
      </c>
      <c r="AA1148" s="13">
        <f>SUMPRODUCT(M1148:X1148,$M$3:$X$3)*$K1148*$L1148</f>
        <v/>
      </c>
      <c r="AB1148" s="13">
        <f>SUMPRODUCT(M1148:X1148,$M$4:$X$4)*$K1148*$L1148</f>
        <v/>
      </c>
      <c r="AC1148" s="15">
        <f>SUMPRODUCT(M1148:X1148,$M$5:$X$5)*$K1148*$L1148</f>
        <v/>
      </c>
      <c r="AD1148" s="15">
        <f>SUMPRODUCT(M1148:X1148,$M$6:$X$6)*$K1148*$L1148</f>
        <v/>
      </c>
      <c r="AE1148" s="19" t="n"/>
    </row>
    <row r="1149">
      <c r="A1149" s="9" t="n">
        <v>800600</v>
      </c>
      <c r="B1149" s="9" t="inlineStr">
        <is>
          <t>Jackson Kent</t>
        </is>
      </c>
      <c r="C1149" s="9" t="inlineStr">
        <is>
          <t>WSH</t>
        </is>
      </c>
      <c r="D1149" s="9" t="n">
        <v>24</v>
      </c>
      <c r="E1149" s="17" t="inlineStr">
        <is>
          <t>L</t>
        </is>
      </c>
      <c r="F1149" s="17" t="n"/>
      <c r="G1149" s="9" t="n">
        <v>151</v>
      </c>
      <c r="H1149" s="9" t="n">
        <v>151</v>
      </c>
      <c r="I1149" s="9" t="inlineStr">
        <is>
          <t>End-of-Rotation Starter (SP4-5)</t>
        </is>
      </c>
      <c r="J1149" s="17" t="inlineStr">
        <is>
          <t>Opening Day</t>
        </is>
      </c>
      <c r="K1149" s="11">
        <f>IFERROR(INDEX(Roles!$B$17:$B$20,MATCH(J1149,Roles!$A$17:$A$20,0)),1)</f>
        <v/>
      </c>
      <c r="L1149" s="18" t="n">
        <v>1</v>
      </c>
      <c r="M1149" s="18" t="n"/>
      <c r="N1149" s="18" t="n"/>
      <c r="O1149" s="18" t="n"/>
      <c r="P1149" s="18" t="n"/>
      <c r="Q1149" s="18" t="n"/>
      <c r="R1149" s="18" t="n"/>
      <c r="S1149" s="18" t="n"/>
      <c r="T1149" s="18" t="n"/>
      <c r="U1149" s="18" t="n"/>
      <c r="V1149" s="18" t="n"/>
      <c r="W1149" s="18" t="n"/>
      <c r="X1149" s="18" t="n"/>
      <c r="Y1149" s="13">
        <f>SUMPRODUCT(M1149:X1149,$M$2:$X$2)*$K1149*$L1149</f>
        <v/>
      </c>
      <c r="Z1149" s="14">
        <f>SUM(M1149:X1149)</f>
        <v/>
      </c>
      <c r="AA1149" s="13">
        <f>SUMPRODUCT(M1149:X1149,$M$3:$X$3)*$K1149*$L1149</f>
        <v/>
      </c>
      <c r="AB1149" s="13">
        <f>SUMPRODUCT(M1149:X1149,$M$4:$X$4)*$K1149*$L1149</f>
        <v/>
      </c>
      <c r="AC1149" s="15">
        <f>SUMPRODUCT(M1149:X1149,$M$5:$X$5)*$K1149*$L1149</f>
        <v/>
      </c>
      <c r="AD1149" s="15">
        <f>SUMPRODUCT(M1149:X1149,$M$6:$X$6)*$K1149*$L1149</f>
        <v/>
      </c>
      <c r="AE1149" s="19" t="n"/>
    </row>
    <row r="1150">
      <c r="A1150" s="9" t="n">
        <v>543101</v>
      </c>
      <c r="B1150" s="9" t="inlineStr">
        <is>
          <t>Anthony DeSclafani</t>
        </is>
      </c>
      <c r="C1150" s="9" t="inlineStr">
        <is>
          <t>ARI</t>
        </is>
      </c>
      <c r="D1150" s="9" t="n">
        <v>37</v>
      </c>
      <c r="E1150" s="17" t="inlineStr">
        <is>
          <t>R</t>
        </is>
      </c>
      <c r="F1150" s="17" t="n"/>
      <c r="G1150" s="9" t="n">
        <v>169</v>
      </c>
      <c r="H1150" s="9" t="n">
        <v>682</v>
      </c>
      <c r="I1150" s="9" t="inlineStr">
        <is>
          <t>Bullpen Depth Arm</t>
        </is>
      </c>
      <c r="J1150" s="17" t="inlineStr">
        <is>
          <t>Opening Day</t>
        </is>
      </c>
      <c r="K1150" s="11">
        <f>IFERROR(INDEX(Roles!$B$17:$B$20,MATCH(J1150,Roles!$A$17:$A$20,0)),1)</f>
        <v/>
      </c>
      <c r="L1150" s="18" t="n">
        <v>1</v>
      </c>
      <c r="M1150" s="18" t="n"/>
      <c r="N1150" s="18" t="n"/>
      <c r="O1150" s="18" t="n"/>
      <c r="P1150" s="18" t="n"/>
      <c r="Q1150" s="18" t="n"/>
      <c r="R1150" s="18" t="n"/>
      <c r="S1150" s="18" t="n"/>
      <c r="T1150" s="18" t="n"/>
      <c r="U1150" s="18" t="n"/>
      <c r="V1150" s="18" t="n"/>
      <c r="W1150" s="18" t="n"/>
      <c r="X1150" s="18" t="n"/>
      <c r="Y1150" s="13">
        <f>SUMPRODUCT(M1150:X1150,$M$2:$X$2)*$K1150*$L1150</f>
        <v/>
      </c>
      <c r="Z1150" s="14">
        <f>SUM(M1150:X1150)</f>
        <v/>
      </c>
      <c r="AA1150" s="13">
        <f>SUMPRODUCT(M1150:X1150,$M$3:$X$3)*$K1150*$L1150</f>
        <v/>
      </c>
      <c r="AB1150" s="13">
        <f>SUMPRODUCT(M1150:X1150,$M$4:$X$4)*$K1150*$L1150</f>
        <v/>
      </c>
      <c r="AC1150" s="15">
        <f>SUMPRODUCT(M1150:X1150,$M$5:$X$5)*$K1150*$L1150</f>
        <v/>
      </c>
      <c r="AD1150" s="15">
        <f>SUMPRODUCT(M1150:X1150,$M$6:$X$6)*$K1150*$L1150</f>
        <v/>
      </c>
      <c r="AE1150" s="19" t="n"/>
    </row>
    <row r="1151">
      <c r="A1151" s="9" t="n">
        <v>641386</v>
      </c>
      <c r="B1151" s="9" t="inlineStr">
        <is>
          <t>Ben Bowden</t>
        </is>
      </c>
      <c r="C1151" s="9" t="inlineStr">
        <is>
          <t>OAK</t>
        </is>
      </c>
      <c r="D1151" s="9" t="n">
        <v>32</v>
      </c>
      <c r="E1151" s="17" t="inlineStr">
        <is>
          <t>L</t>
        </is>
      </c>
      <c r="F1151" s="17" t="n"/>
      <c r="G1151" s="9" t="n">
        <v>8</v>
      </c>
      <c r="H1151" s="9" t="n">
        <v>55</v>
      </c>
      <c r="I1151" s="9" t="inlineStr">
        <is>
          <t>Bullpen Depth Arm</t>
        </is>
      </c>
      <c r="J1151" s="17" t="inlineStr">
        <is>
          <t>Opening Day</t>
        </is>
      </c>
      <c r="K1151" s="11">
        <f>IFERROR(INDEX(Roles!$B$17:$B$20,MATCH(J1151,Roles!$A$17:$A$20,0)),1)</f>
        <v/>
      </c>
      <c r="L1151" s="18" t="n">
        <v>1</v>
      </c>
      <c r="M1151" s="18" t="n"/>
      <c r="N1151" s="18" t="n"/>
      <c r="O1151" s="18" t="n"/>
      <c r="P1151" s="18" t="n"/>
      <c r="Q1151" s="18" t="n"/>
      <c r="R1151" s="18" t="n"/>
      <c r="S1151" s="18" t="n"/>
      <c r="T1151" s="18" t="n"/>
      <c r="U1151" s="18" t="n"/>
      <c r="V1151" s="18" t="n"/>
      <c r="W1151" s="18" t="n"/>
      <c r="X1151" s="18" t="n"/>
      <c r="Y1151" s="13">
        <f>SUMPRODUCT(M1151:X1151,$M$2:$X$2)*$K1151*$L1151</f>
        <v/>
      </c>
      <c r="Z1151" s="14">
        <f>SUM(M1151:X1151)</f>
        <v/>
      </c>
      <c r="AA1151" s="13">
        <f>SUMPRODUCT(M1151:X1151,$M$3:$X$3)*$K1151*$L1151</f>
        <v/>
      </c>
      <c r="AB1151" s="13">
        <f>SUMPRODUCT(M1151:X1151,$M$4:$X$4)*$K1151*$L1151</f>
        <v/>
      </c>
      <c r="AC1151" s="15">
        <f>SUMPRODUCT(M1151:X1151,$M$5:$X$5)*$K1151*$L1151</f>
        <v/>
      </c>
      <c r="AD1151" s="15">
        <f>SUMPRODUCT(M1151:X1151,$M$6:$X$6)*$K1151*$L1151</f>
        <v/>
      </c>
      <c r="AE1151" s="19" t="n"/>
    </row>
    <row r="1152">
      <c r="A1152" s="9" t="n">
        <v>663562</v>
      </c>
      <c r="B1152" s="9" t="inlineStr">
        <is>
          <t>Noah Davis</t>
        </is>
      </c>
      <c r="C1152" s="9" t="inlineStr">
        <is>
          <t>MIN</t>
        </is>
      </c>
      <c r="D1152" s="9" t="n">
        <v>30</v>
      </c>
      <c r="E1152" s="17" t="inlineStr">
        <is>
          <t>R</t>
        </is>
      </c>
      <c r="F1152" s="17" t="n"/>
      <c r="G1152" s="9" t="n">
        <v>65</v>
      </c>
      <c r="H1152" s="9" t="n">
        <v>314</v>
      </c>
      <c r="I1152" s="9" t="inlineStr">
        <is>
          <t>Bullpen Depth Arm</t>
        </is>
      </c>
      <c r="J1152" s="17" t="inlineStr">
        <is>
          <t>Opening Day</t>
        </is>
      </c>
      <c r="K1152" s="11">
        <f>IFERROR(INDEX(Roles!$B$17:$B$20,MATCH(J1152,Roles!$A$17:$A$20,0)),1)</f>
        <v/>
      </c>
      <c r="L1152" s="18" t="n">
        <v>1</v>
      </c>
      <c r="M1152" s="18" t="n"/>
      <c r="N1152" s="18" t="n"/>
      <c r="O1152" s="18" t="n"/>
      <c r="P1152" s="18" t="n"/>
      <c r="Q1152" s="18" t="n"/>
      <c r="R1152" s="18" t="n"/>
      <c r="S1152" s="18" t="n"/>
      <c r="T1152" s="18" t="n"/>
      <c r="U1152" s="18" t="n"/>
      <c r="V1152" s="18" t="n"/>
      <c r="W1152" s="18" t="n"/>
      <c r="X1152" s="18" t="n"/>
      <c r="Y1152" s="13">
        <f>SUMPRODUCT(M1152:X1152,$M$2:$X$2)*$K1152*$L1152</f>
        <v/>
      </c>
      <c r="Z1152" s="14">
        <f>SUM(M1152:X1152)</f>
        <v/>
      </c>
      <c r="AA1152" s="13">
        <f>SUMPRODUCT(M1152:X1152,$M$3:$X$3)*$K1152*$L1152</f>
        <v/>
      </c>
      <c r="AB1152" s="13">
        <f>SUMPRODUCT(M1152:X1152,$M$4:$X$4)*$K1152*$L1152</f>
        <v/>
      </c>
      <c r="AC1152" s="15">
        <f>SUMPRODUCT(M1152:X1152,$M$5:$X$5)*$K1152*$L1152</f>
        <v/>
      </c>
      <c r="AD1152" s="15">
        <f>SUMPRODUCT(M1152:X1152,$M$6:$X$6)*$K1152*$L1152</f>
        <v/>
      </c>
      <c r="AE1152" s="19" t="n"/>
    </row>
    <row r="1153">
      <c r="A1153" s="9" t="n">
        <v>699008</v>
      </c>
      <c r="B1153" s="9" t="inlineStr">
        <is>
          <t>Antwone Kelly</t>
        </is>
      </c>
      <c r="C1153" s="9" t="inlineStr">
        <is>
          <t>PIT</t>
        </is>
      </c>
      <c r="D1153" s="9" t="n">
        <v>23</v>
      </c>
      <c r="E1153" s="17" t="inlineStr">
        <is>
          <t>R</t>
        </is>
      </c>
      <c r="F1153" s="17" t="n"/>
      <c r="G1153" s="9" t="n">
        <v>63</v>
      </c>
      <c r="H1153" s="9" t="n">
        <v>63</v>
      </c>
      <c r="I1153" s="9" t="inlineStr">
        <is>
          <t>Bullpen Depth Arm</t>
        </is>
      </c>
      <c r="J1153" s="17" t="inlineStr">
        <is>
          <t>Opening Day</t>
        </is>
      </c>
      <c r="K1153" s="11">
        <f>IFERROR(INDEX(Roles!$B$17:$B$20,MATCH(J1153,Roles!$A$17:$A$20,0)),1)</f>
        <v/>
      </c>
      <c r="L1153" s="18" t="n">
        <v>1</v>
      </c>
      <c r="M1153" s="18" t="n"/>
      <c r="N1153" s="18" t="n"/>
      <c r="O1153" s="18" t="n"/>
      <c r="P1153" s="18" t="n"/>
      <c r="Q1153" s="18" t="n"/>
      <c r="R1153" s="18" t="n"/>
      <c r="S1153" s="18" t="n"/>
      <c r="T1153" s="18" t="n"/>
      <c r="U1153" s="18" t="n"/>
      <c r="V1153" s="18" t="n"/>
      <c r="W1153" s="18" t="n"/>
      <c r="X1153" s="18" t="n"/>
      <c r="Y1153" s="13">
        <f>SUMPRODUCT(M1153:X1153,$M$2:$X$2)*$K1153*$L1153</f>
        <v/>
      </c>
      <c r="Z1153" s="14">
        <f>SUM(M1153:X1153)</f>
        <v/>
      </c>
      <c r="AA1153" s="13">
        <f>SUMPRODUCT(M1153:X1153,$M$3:$X$3)*$K1153*$L1153</f>
        <v/>
      </c>
      <c r="AB1153" s="13">
        <f>SUMPRODUCT(M1153:X1153,$M$4:$X$4)*$K1153*$L1153</f>
        <v/>
      </c>
      <c r="AC1153" s="15">
        <f>SUMPRODUCT(M1153:X1153,$M$5:$X$5)*$K1153*$L1153</f>
        <v/>
      </c>
      <c r="AD1153" s="15">
        <f>SUMPRODUCT(M1153:X1153,$M$6:$X$6)*$K1153*$L1153</f>
        <v/>
      </c>
      <c r="AE1153" s="19" t="n"/>
    </row>
    <row r="1154">
      <c r="A1154" s="9" t="n">
        <v>666120</v>
      </c>
      <c r="B1154" s="9" t="inlineStr">
        <is>
          <t>Ian Anderson</t>
        </is>
      </c>
      <c r="C1154" s="9" t="inlineStr">
        <is>
          <t>LAA</t>
        </is>
      </c>
      <c r="D1154" s="9" t="n">
        <v>29</v>
      </c>
      <c r="E1154" s="17" t="inlineStr">
        <is>
          <t>R</t>
        </is>
      </c>
      <c r="F1154" s="17" t="n"/>
      <c r="G1154" s="9" t="n">
        <v>51</v>
      </c>
      <c r="H1154" s="9" t="n">
        <v>544</v>
      </c>
      <c r="I1154" s="9" t="inlineStr">
        <is>
          <t>Bullpen Depth Arm</t>
        </is>
      </c>
      <c r="J1154" s="17" t="inlineStr">
        <is>
          <t>Opening Day</t>
        </is>
      </c>
      <c r="K1154" s="11">
        <f>IFERROR(INDEX(Roles!$B$17:$B$20,MATCH(J1154,Roles!$A$17:$A$20,0)),1)</f>
        <v/>
      </c>
      <c r="L1154" s="18" t="n">
        <v>1</v>
      </c>
      <c r="M1154" s="18" t="n"/>
      <c r="N1154" s="18" t="n"/>
      <c r="O1154" s="18" t="n"/>
      <c r="P1154" s="18" t="n"/>
      <c r="Q1154" s="18" t="n"/>
      <c r="R1154" s="18" t="n"/>
      <c r="S1154" s="18" t="n"/>
      <c r="T1154" s="18" t="n"/>
      <c r="U1154" s="18" t="n"/>
      <c r="V1154" s="18" t="n"/>
      <c r="W1154" s="18" t="n"/>
      <c r="X1154" s="18" t="n"/>
      <c r="Y1154" s="13">
        <f>SUMPRODUCT(M1154:X1154,$M$2:$X$2)*$K1154*$L1154</f>
        <v/>
      </c>
      <c r="Z1154" s="14">
        <f>SUM(M1154:X1154)</f>
        <v/>
      </c>
      <c r="AA1154" s="13">
        <f>SUMPRODUCT(M1154:X1154,$M$3:$X$3)*$K1154*$L1154</f>
        <v/>
      </c>
      <c r="AB1154" s="13">
        <f>SUMPRODUCT(M1154:X1154,$M$4:$X$4)*$K1154*$L1154</f>
        <v/>
      </c>
      <c r="AC1154" s="15">
        <f>SUMPRODUCT(M1154:X1154,$M$5:$X$5)*$K1154*$L1154</f>
        <v/>
      </c>
      <c r="AD1154" s="15">
        <f>SUMPRODUCT(M1154:X1154,$M$6:$X$6)*$K1154*$L1154</f>
        <v/>
      </c>
      <c r="AE1154" s="19" t="n"/>
    </row>
    <row r="1155">
      <c r="A1155" s="9" t="n">
        <v>687239</v>
      </c>
      <c r="B1155" s="9" t="inlineStr">
        <is>
          <t>Ben Peoples</t>
        </is>
      </c>
      <c r="C1155" s="9" t="inlineStr">
        <is>
          <t>TEX</t>
        </is>
      </c>
      <c r="D1155" s="9" t="n">
        <v>26</v>
      </c>
      <c r="E1155" s="17" t="inlineStr">
        <is>
          <t>R</t>
        </is>
      </c>
      <c r="F1155" s="17" t="n"/>
      <c r="G1155" s="9" t="n">
        <v>68</v>
      </c>
      <c r="H1155" s="9" t="n">
        <v>68</v>
      </c>
      <c r="I1155" s="9" t="inlineStr">
        <is>
          <t>Bullpen Depth Arm</t>
        </is>
      </c>
      <c r="J1155" s="17" t="inlineStr">
        <is>
          <t>Opening Day</t>
        </is>
      </c>
      <c r="K1155" s="11">
        <f>IFERROR(INDEX(Roles!$B$17:$B$20,MATCH(J1155,Roles!$A$17:$A$20,0)),1)</f>
        <v/>
      </c>
      <c r="L1155" s="18" t="n">
        <v>1</v>
      </c>
      <c r="M1155" s="18" t="n"/>
      <c r="N1155" s="18" t="n"/>
      <c r="O1155" s="18" t="n"/>
      <c r="P1155" s="18" t="n"/>
      <c r="Q1155" s="18" t="n"/>
      <c r="R1155" s="18" t="n"/>
      <c r="S1155" s="18" t="n"/>
      <c r="T1155" s="18" t="n"/>
      <c r="U1155" s="18" t="n"/>
      <c r="V1155" s="18" t="n"/>
      <c r="W1155" s="18" t="n"/>
      <c r="X1155" s="18" t="n"/>
      <c r="Y1155" s="13">
        <f>SUMPRODUCT(M1155:X1155,$M$2:$X$2)*$K1155*$L1155</f>
        <v/>
      </c>
      <c r="Z1155" s="14">
        <f>SUM(M1155:X1155)</f>
        <v/>
      </c>
      <c r="AA1155" s="13">
        <f>SUMPRODUCT(M1155:X1155,$M$3:$X$3)*$K1155*$L1155</f>
        <v/>
      </c>
      <c r="AB1155" s="13">
        <f>SUMPRODUCT(M1155:X1155,$M$4:$X$4)*$K1155*$L1155</f>
        <v/>
      </c>
      <c r="AC1155" s="15">
        <f>SUMPRODUCT(M1155:X1155,$M$5:$X$5)*$K1155*$L1155</f>
        <v/>
      </c>
      <c r="AD1155" s="15">
        <f>SUMPRODUCT(M1155:X1155,$M$6:$X$6)*$K1155*$L1155</f>
        <v/>
      </c>
      <c r="AE1155" s="19" t="n"/>
    </row>
    <row r="1156">
      <c r="A1156" s="9" t="n">
        <v>660710</v>
      </c>
      <c r="B1156" s="9" t="inlineStr">
        <is>
          <t>Rodolfo Durán</t>
        </is>
      </c>
      <c r="C1156" s="9" t="inlineStr"/>
      <c r="D1156" s="9" t="n">
        <v>29</v>
      </c>
      <c r="E1156" s="17" t="inlineStr">
        <is>
          <t>R</t>
        </is>
      </c>
      <c r="F1156" s="17" t="n"/>
      <c r="G1156" s="9" t="n">
        <v>19</v>
      </c>
      <c r="H1156" s="9" t="n">
        <v>19</v>
      </c>
      <c r="I1156" s="9" t="inlineStr">
        <is>
          <t>Depth (no MLB IP)</t>
        </is>
      </c>
      <c r="J1156" s="17" t="inlineStr">
        <is>
          <t>Opening Day</t>
        </is>
      </c>
      <c r="K1156" s="11">
        <f>IFERROR(INDEX(Roles!$B$17:$B$20,MATCH(J1156,Roles!$A$17:$A$20,0)),1)</f>
        <v/>
      </c>
      <c r="L1156" s="18" t="n">
        <v>1</v>
      </c>
      <c r="M1156" s="18" t="n"/>
      <c r="N1156" s="18" t="n"/>
      <c r="O1156" s="18" t="n"/>
      <c r="P1156" s="18" t="n"/>
      <c r="Q1156" s="18" t="n"/>
      <c r="R1156" s="18" t="n"/>
      <c r="S1156" s="18" t="n"/>
      <c r="T1156" s="18" t="n"/>
      <c r="U1156" s="18" t="n"/>
      <c r="V1156" s="18" t="n"/>
      <c r="W1156" s="18" t="n"/>
      <c r="X1156" s="18" t="n"/>
      <c r="Y1156" s="13">
        <f>SUMPRODUCT(M1156:X1156,$M$2:$X$2)*$K1156*$L1156</f>
        <v/>
      </c>
      <c r="Z1156" s="14">
        <f>SUM(M1156:X1156)</f>
        <v/>
      </c>
      <c r="AA1156" s="13">
        <f>SUMPRODUCT(M1156:X1156,$M$3:$X$3)*$K1156*$L1156</f>
        <v/>
      </c>
      <c r="AB1156" s="13">
        <f>SUMPRODUCT(M1156:X1156,$M$4:$X$4)*$K1156*$L1156</f>
        <v/>
      </c>
      <c r="AC1156" s="15">
        <f>SUMPRODUCT(M1156:X1156,$M$5:$X$5)*$K1156*$L1156</f>
        <v/>
      </c>
      <c r="AD1156" s="15">
        <f>SUMPRODUCT(M1156:X1156,$M$6:$X$6)*$K1156*$L1156</f>
        <v/>
      </c>
      <c r="AE1156" s="19" t="n"/>
    </row>
    <row r="1157">
      <c r="A1157" s="9" t="n">
        <v>687424</v>
      </c>
      <c r="B1157" s="9" t="inlineStr">
        <is>
          <t>Anthony Maldonado</t>
        </is>
      </c>
      <c r="C1157" s="9" t="inlineStr">
        <is>
          <t>OAK</t>
        </is>
      </c>
      <c r="D1157" s="9" t="n">
        <v>29</v>
      </c>
      <c r="E1157" s="17" t="inlineStr">
        <is>
          <t>R</t>
        </is>
      </c>
      <c r="F1157" s="17" t="n"/>
      <c r="G1157" s="9" t="n">
        <v>33</v>
      </c>
      <c r="H1157" s="9" t="n">
        <v>115</v>
      </c>
      <c r="I1157" s="9" t="inlineStr">
        <is>
          <t>Bullpen Depth Arm</t>
        </is>
      </c>
      <c r="J1157" s="17" t="inlineStr">
        <is>
          <t>Opening Day</t>
        </is>
      </c>
      <c r="K1157" s="11">
        <f>IFERROR(INDEX(Roles!$B$17:$B$20,MATCH(J1157,Roles!$A$17:$A$20,0)),1)</f>
        <v/>
      </c>
      <c r="L1157" s="18" t="n">
        <v>1</v>
      </c>
      <c r="M1157" s="18" t="n"/>
      <c r="N1157" s="18" t="n"/>
      <c r="O1157" s="18" t="n"/>
      <c r="P1157" s="18" t="n"/>
      <c r="Q1157" s="18" t="n"/>
      <c r="R1157" s="18" t="n"/>
      <c r="S1157" s="18" t="n"/>
      <c r="T1157" s="18" t="n"/>
      <c r="U1157" s="18" t="n"/>
      <c r="V1157" s="18" t="n"/>
      <c r="W1157" s="18" t="n"/>
      <c r="X1157" s="18" t="n"/>
      <c r="Y1157" s="13">
        <f>SUMPRODUCT(M1157:X1157,$M$2:$X$2)*$K1157*$L1157</f>
        <v/>
      </c>
      <c r="Z1157" s="14">
        <f>SUM(M1157:X1157)</f>
        <v/>
      </c>
      <c r="AA1157" s="13">
        <f>SUMPRODUCT(M1157:X1157,$M$3:$X$3)*$K1157*$L1157</f>
        <v/>
      </c>
      <c r="AB1157" s="13">
        <f>SUMPRODUCT(M1157:X1157,$M$4:$X$4)*$K1157*$L1157</f>
        <v/>
      </c>
      <c r="AC1157" s="15">
        <f>SUMPRODUCT(M1157:X1157,$M$5:$X$5)*$K1157*$L1157</f>
        <v/>
      </c>
      <c r="AD1157" s="15">
        <f>SUMPRODUCT(M1157:X1157,$M$6:$X$6)*$K1157*$L1157</f>
        <v/>
      </c>
      <c r="AE1157" s="19" t="n"/>
    </row>
    <row r="1158">
      <c r="A1158" s="9" t="n">
        <v>682175</v>
      </c>
      <c r="B1158" s="9" t="inlineStr">
        <is>
          <t>Joe Jacques</t>
        </is>
      </c>
      <c r="C1158" s="9" t="inlineStr">
        <is>
          <t>BOS</t>
        </is>
      </c>
      <c r="D1158" s="9" t="n">
        <v>32</v>
      </c>
      <c r="E1158" s="17" t="inlineStr">
        <is>
          <t>L</t>
        </is>
      </c>
      <c r="F1158" s="17" t="n"/>
      <c r="G1158" s="9" t="n">
        <v>16</v>
      </c>
      <c r="H1158" s="9" t="n">
        <v>138</v>
      </c>
      <c r="I1158" s="9" t="inlineStr">
        <is>
          <t>Depth (no MLB IP)</t>
        </is>
      </c>
      <c r="J1158" s="17" t="inlineStr">
        <is>
          <t>Opening Day</t>
        </is>
      </c>
      <c r="K1158" s="11">
        <f>IFERROR(INDEX(Roles!$B$17:$B$20,MATCH(J1158,Roles!$A$17:$A$20,0)),1)</f>
        <v/>
      </c>
      <c r="L1158" s="18" t="n">
        <v>1</v>
      </c>
      <c r="M1158" s="18" t="n"/>
      <c r="N1158" s="18" t="n"/>
      <c r="O1158" s="18" t="n"/>
      <c r="P1158" s="18" t="n"/>
      <c r="Q1158" s="18" t="n"/>
      <c r="R1158" s="18" t="n"/>
      <c r="S1158" s="18" t="n"/>
      <c r="T1158" s="18" t="n"/>
      <c r="U1158" s="18" t="n"/>
      <c r="V1158" s="18" t="n"/>
      <c r="W1158" s="18" t="n"/>
      <c r="X1158" s="18" t="n"/>
      <c r="Y1158" s="13">
        <f>SUMPRODUCT(M1158:X1158,$M$2:$X$2)*$K1158*$L1158</f>
        <v/>
      </c>
      <c r="Z1158" s="14">
        <f>SUM(M1158:X1158)</f>
        <v/>
      </c>
      <c r="AA1158" s="13">
        <f>SUMPRODUCT(M1158:X1158,$M$3:$X$3)*$K1158*$L1158</f>
        <v/>
      </c>
      <c r="AB1158" s="13">
        <f>SUMPRODUCT(M1158:X1158,$M$4:$X$4)*$K1158*$L1158</f>
        <v/>
      </c>
      <c r="AC1158" s="15">
        <f>SUMPRODUCT(M1158:X1158,$M$5:$X$5)*$K1158*$L1158</f>
        <v/>
      </c>
      <c r="AD1158" s="15">
        <f>SUMPRODUCT(M1158:X1158,$M$6:$X$6)*$K1158*$L1158</f>
        <v/>
      </c>
      <c r="AE1158" s="19" t="n"/>
    </row>
    <row r="1159">
      <c r="A1159" s="9" t="n">
        <v>700669</v>
      </c>
      <c r="B1159" s="9" t="inlineStr">
        <is>
          <t>Gordon Graceffo</t>
        </is>
      </c>
      <c r="C1159" s="9" t="inlineStr">
        <is>
          <t>STL</t>
        </is>
      </c>
      <c r="D1159" s="9" t="n">
        <v>27</v>
      </c>
      <c r="E1159" s="17" t="inlineStr">
        <is>
          <t>R</t>
        </is>
      </c>
      <c r="F1159" s="17" t="n"/>
      <c r="G1159" s="9" t="n">
        <v>306</v>
      </c>
      <c r="H1159" s="9" t="n">
        <v>530</v>
      </c>
      <c r="I1159" s="9" t="inlineStr">
        <is>
          <t>Middle Relief</t>
        </is>
      </c>
      <c r="J1159" s="17" t="inlineStr">
        <is>
          <t>Opening Day</t>
        </is>
      </c>
      <c r="K1159" s="11">
        <f>IFERROR(INDEX(Roles!$B$17:$B$20,MATCH(J1159,Roles!$A$17:$A$20,0)),1)</f>
        <v/>
      </c>
      <c r="L1159" s="18" t="n">
        <v>1</v>
      </c>
      <c r="M1159" s="18" t="n"/>
      <c r="N1159" s="18" t="n"/>
      <c r="O1159" s="18" t="n"/>
      <c r="P1159" s="18" t="n"/>
      <c r="Q1159" s="18" t="n"/>
      <c r="R1159" s="18" t="n"/>
      <c r="S1159" s="18" t="n"/>
      <c r="T1159" s="18" t="n"/>
      <c r="U1159" s="18" t="n"/>
      <c r="V1159" s="18" t="n"/>
      <c r="W1159" s="18" t="n"/>
      <c r="X1159" s="18" t="n"/>
      <c r="Y1159" s="13">
        <f>SUMPRODUCT(M1159:X1159,$M$2:$X$2)*$K1159*$L1159</f>
        <v/>
      </c>
      <c r="Z1159" s="14">
        <f>SUM(M1159:X1159)</f>
        <v/>
      </c>
      <c r="AA1159" s="13">
        <f>SUMPRODUCT(M1159:X1159,$M$3:$X$3)*$K1159*$L1159</f>
        <v/>
      </c>
      <c r="AB1159" s="13">
        <f>SUMPRODUCT(M1159:X1159,$M$4:$X$4)*$K1159*$L1159</f>
        <v/>
      </c>
      <c r="AC1159" s="15">
        <f>SUMPRODUCT(M1159:X1159,$M$5:$X$5)*$K1159*$L1159</f>
        <v/>
      </c>
      <c r="AD1159" s="15">
        <f>SUMPRODUCT(M1159:X1159,$M$6:$X$6)*$K1159*$L1159</f>
        <v/>
      </c>
      <c r="AE1159" s="19" t="n"/>
    </row>
    <row r="1160">
      <c r="A1160" s="9" t="n">
        <v>571882</v>
      </c>
      <c r="B1160" s="9" t="inlineStr">
        <is>
          <t>Derek Law</t>
        </is>
      </c>
      <c r="C1160" s="9" t="inlineStr">
        <is>
          <t>ARI</t>
        </is>
      </c>
      <c r="D1160" s="9" t="n">
        <v>36</v>
      </c>
      <c r="E1160" s="17" t="inlineStr">
        <is>
          <t>R</t>
        </is>
      </c>
      <c r="F1160" s="17" t="n"/>
      <c r="G1160" s="9" t="n">
        <v>34</v>
      </c>
      <c r="H1160" s="9" t="n">
        <v>731</v>
      </c>
      <c r="I1160" s="9" t="inlineStr">
        <is>
          <t>Middle Relief</t>
        </is>
      </c>
      <c r="J1160" s="17" t="inlineStr">
        <is>
          <t>Opening Day</t>
        </is>
      </c>
      <c r="K1160" s="11">
        <f>IFERROR(INDEX(Roles!$B$17:$B$20,MATCH(J1160,Roles!$A$17:$A$20,0)),1)</f>
        <v/>
      </c>
      <c r="L1160" s="18" t="n">
        <v>1</v>
      </c>
      <c r="M1160" s="18" t="n"/>
      <c r="N1160" s="18" t="n"/>
      <c r="O1160" s="18" t="n"/>
      <c r="P1160" s="18" t="n"/>
      <c r="Q1160" s="18" t="n"/>
      <c r="R1160" s="18" t="n"/>
      <c r="S1160" s="18" t="n"/>
      <c r="T1160" s="18" t="n"/>
      <c r="U1160" s="18" t="n"/>
      <c r="V1160" s="18" t="n"/>
      <c r="W1160" s="18" t="n"/>
      <c r="X1160" s="18" t="n"/>
      <c r="Y1160" s="13">
        <f>SUMPRODUCT(M1160:X1160,$M$2:$X$2)*$K1160*$L1160</f>
        <v/>
      </c>
      <c r="Z1160" s="14">
        <f>SUM(M1160:X1160)</f>
        <v/>
      </c>
      <c r="AA1160" s="13">
        <f>SUMPRODUCT(M1160:X1160,$M$3:$X$3)*$K1160*$L1160</f>
        <v/>
      </c>
      <c r="AB1160" s="13">
        <f>SUMPRODUCT(M1160:X1160,$M$4:$X$4)*$K1160*$L1160</f>
        <v/>
      </c>
      <c r="AC1160" s="15">
        <f>SUMPRODUCT(M1160:X1160,$M$5:$X$5)*$K1160*$L1160</f>
        <v/>
      </c>
      <c r="AD1160" s="15">
        <f>SUMPRODUCT(M1160:X1160,$M$6:$X$6)*$K1160*$L1160</f>
        <v/>
      </c>
      <c r="AE1160" s="19" t="n"/>
    </row>
    <row r="1161">
      <c r="A1161" s="9" t="n">
        <v>683742</v>
      </c>
      <c r="B1161" s="9" t="inlineStr">
        <is>
          <t>Jose Franco</t>
        </is>
      </c>
      <c r="C1161" s="9" t="inlineStr">
        <is>
          <t>CIN</t>
        </is>
      </c>
      <c r="D1161" s="9" t="n">
        <v>26</v>
      </c>
      <c r="E1161" s="17" t="inlineStr">
        <is>
          <t>R</t>
        </is>
      </c>
      <c r="F1161" s="17" t="n"/>
      <c r="G1161" s="9" t="n">
        <v>93</v>
      </c>
      <c r="H1161" s="9" t="n">
        <v>93</v>
      </c>
      <c r="I1161" s="9" t="inlineStr">
        <is>
          <t>Bullpen Depth Arm</t>
        </is>
      </c>
      <c r="J1161" s="17" t="inlineStr">
        <is>
          <t>Opening Day</t>
        </is>
      </c>
      <c r="K1161" s="11">
        <f>IFERROR(INDEX(Roles!$B$17:$B$20,MATCH(J1161,Roles!$A$17:$A$20,0)),1)</f>
        <v/>
      </c>
      <c r="L1161" s="18" t="n">
        <v>1</v>
      </c>
      <c r="M1161" s="18" t="n"/>
      <c r="N1161" s="18" t="n"/>
      <c r="O1161" s="18" t="n"/>
      <c r="P1161" s="18" t="n"/>
      <c r="Q1161" s="18" t="n"/>
      <c r="R1161" s="18" t="n"/>
      <c r="S1161" s="18" t="n"/>
      <c r="T1161" s="18" t="n"/>
      <c r="U1161" s="18" t="n"/>
      <c r="V1161" s="18" t="n"/>
      <c r="W1161" s="18" t="n"/>
      <c r="X1161" s="18" t="n"/>
      <c r="Y1161" s="13">
        <f>SUMPRODUCT(M1161:X1161,$M$2:$X$2)*$K1161*$L1161</f>
        <v/>
      </c>
      <c r="Z1161" s="14">
        <f>SUM(M1161:X1161)</f>
        <v/>
      </c>
      <c r="AA1161" s="13">
        <f>SUMPRODUCT(M1161:X1161,$M$3:$X$3)*$K1161*$L1161</f>
        <v/>
      </c>
      <c r="AB1161" s="13">
        <f>SUMPRODUCT(M1161:X1161,$M$4:$X$4)*$K1161*$L1161</f>
        <v/>
      </c>
      <c r="AC1161" s="15">
        <f>SUMPRODUCT(M1161:X1161,$M$5:$X$5)*$K1161*$L1161</f>
        <v/>
      </c>
      <c r="AD1161" s="15">
        <f>SUMPRODUCT(M1161:X1161,$M$6:$X$6)*$K1161*$L1161</f>
        <v/>
      </c>
      <c r="AE1161" s="19" t="n"/>
    </row>
    <row r="1162">
      <c r="A1162" s="9" t="n">
        <v>680880</v>
      </c>
      <c r="B1162" s="9" t="inlineStr">
        <is>
          <t>Grant Holman</t>
        </is>
      </c>
      <c r="C1162" s="9" t="inlineStr">
        <is>
          <t>OAK</t>
        </is>
      </c>
      <c r="D1162" s="9" t="n">
        <v>27</v>
      </c>
      <c r="E1162" s="17" t="inlineStr">
        <is>
          <t>R</t>
        </is>
      </c>
      <c r="F1162" s="17" t="n"/>
      <c r="G1162" s="9" t="n">
        <v>7</v>
      </c>
      <c r="H1162" s="9" t="n">
        <v>183</v>
      </c>
      <c r="I1162" s="9" t="inlineStr">
        <is>
          <t>Bullpen Depth Arm</t>
        </is>
      </c>
      <c r="J1162" s="17" t="inlineStr">
        <is>
          <t>Opening Day</t>
        </is>
      </c>
      <c r="K1162" s="11">
        <f>IFERROR(INDEX(Roles!$B$17:$B$20,MATCH(J1162,Roles!$A$17:$A$20,0)),1)</f>
        <v/>
      </c>
      <c r="L1162" s="18" t="n">
        <v>1</v>
      </c>
      <c r="M1162" s="18" t="n"/>
      <c r="N1162" s="18" t="n"/>
      <c r="O1162" s="18" t="n"/>
      <c r="P1162" s="18" t="n"/>
      <c r="Q1162" s="18" t="n"/>
      <c r="R1162" s="18" t="n"/>
      <c r="S1162" s="18" t="n"/>
      <c r="T1162" s="18" t="n"/>
      <c r="U1162" s="18" t="n"/>
      <c r="V1162" s="18" t="n"/>
      <c r="W1162" s="18" t="n"/>
      <c r="X1162" s="18" t="n"/>
      <c r="Y1162" s="13">
        <f>SUMPRODUCT(M1162:X1162,$M$2:$X$2)*$K1162*$L1162</f>
        <v/>
      </c>
      <c r="Z1162" s="14">
        <f>SUM(M1162:X1162)</f>
        <v/>
      </c>
      <c r="AA1162" s="13">
        <f>SUMPRODUCT(M1162:X1162,$M$3:$X$3)*$K1162*$L1162</f>
        <v/>
      </c>
      <c r="AB1162" s="13">
        <f>SUMPRODUCT(M1162:X1162,$M$4:$X$4)*$K1162*$L1162</f>
        <v/>
      </c>
      <c r="AC1162" s="15">
        <f>SUMPRODUCT(M1162:X1162,$M$5:$X$5)*$K1162*$L1162</f>
        <v/>
      </c>
      <c r="AD1162" s="15">
        <f>SUMPRODUCT(M1162:X1162,$M$6:$X$6)*$K1162*$L1162</f>
        <v/>
      </c>
      <c r="AE1162" s="19" t="n"/>
    </row>
    <row r="1163">
      <c r="A1163" s="9" t="n">
        <v>641745</v>
      </c>
      <c r="B1163" s="9" t="inlineStr">
        <is>
          <t>Brad Keller</t>
        </is>
      </c>
      <c r="C1163" s="9" t="inlineStr">
        <is>
          <t>PHI</t>
        </is>
      </c>
      <c r="D1163" s="9" t="n">
        <v>31</v>
      </c>
      <c r="E1163" s="17" t="inlineStr">
        <is>
          <t>R</t>
        </is>
      </c>
      <c r="F1163" s="17" t="n"/>
      <c r="G1163" s="9" t="n">
        <v>135</v>
      </c>
      <c r="H1163" s="9" t="n">
        <v>1431</v>
      </c>
      <c r="I1163" s="9" t="inlineStr">
        <is>
          <t>Bullpen Depth Arm</t>
        </is>
      </c>
      <c r="J1163" s="17" t="inlineStr">
        <is>
          <t>Opening Day</t>
        </is>
      </c>
      <c r="K1163" s="11">
        <f>IFERROR(INDEX(Roles!$B$17:$B$20,MATCH(J1163,Roles!$A$17:$A$20,0)),1)</f>
        <v/>
      </c>
      <c r="L1163" s="18" t="n">
        <v>1</v>
      </c>
      <c r="M1163" s="18" t="n"/>
      <c r="N1163" s="18" t="n"/>
      <c r="O1163" s="18" t="n"/>
      <c r="P1163" s="18" t="n"/>
      <c r="Q1163" s="18" t="n"/>
      <c r="R1163" s="18" t="n"/>
      <c r="S1163" s="18" t="n"/>
      <c r="T1163" s="18" t="n"/>
      <c r="U1163" s="18" t="n"/>
      <c r="V1163" s="18" t="n"/>
      <c r="W1163" s="18" t="n"/>
      <c r="X1163" s="18" t="n"/>
      <c r="Y1163" s="13">
        <f>SUMPRODUCT(M1163:X1163,$M$2:$X$2)*$K1163*$L1163</f>
        <v/>
      </c>
      <c r="Z1163" s="14">
        <f>SUM(M1163:X1163)</f>
        <v/>
      </c>
      <c r="AA1163" s="13">
        <f>SUMPRODUCT(M1163:X1163,$M$3:$X$3)*$K1163*$L1163</f>
        <v/>
      </c>
      <c r="AB1163" s="13">
        <f>SUMPRODUCT(M1163:X1163,$M$4:$X$4)*$K1163*$L1163</f>
        <v/>
      </c>
      <c r="AC1163" s="15">
        <f>SUMPRODUCT(M1163:X1163,$M$5:$X$5)*$K1163*$L1163</f>
        <v/>
      </c>
      <c r="AD1163" s="15">
        <f>SUMPRODUCT(M1163:X1163,$M$6:$X$6)*$K1163*$L1163</f>
        <v/>
      </c>
      <c r="AE1163" s="19" t="n"/>
    </row>
    <row r="1164">
      <c r="A1164" s="9" t="n">
        <v>686730</v>
      </c>
      <c r="B1164" s="9" t="inlineStr">
        <is>
          <t>Carson Spiers</t>
        </is>
      </c>
      <c r="C1164" s="9" t="inlineStr">
        <is>
          <t>CIN</t>
        </is>
      </c>
      <c r="D1164" s="9" t="n">
        <v>29</v>
      </c>
      <c r="E1164" s="17" t="inlineStr">
        <is>
          <t>R</t>
        </is>
      </c>
      <c r="F1164" s="17" t="n"/>
      <c r="G1164" s="9" t="n">
        <v>60</v>
      </c>
      <c r="H1164" s="9" t="n">
        <v>534</v>
      </c>
      <c r="I1164" s="9" t="inlineStr">
        <is>
          <t>End-of-Rotation Starter (SP4-5)</t>
        </is>
      </c>
      <c r="J1164" s="17" t="inlineStr">
        <is>
          <t>Opening Day</t>
        </is>
      </c>
      <c r="K1164" s="11">
        <f>IFERROR(INDEX(Roles!$B$17:$B$20,MATCH(J1164,Roles!$A$17:$A$20,0)),1)</f>
        <v/>
      </c>
      <c r="L1164" s="18" t="n">
        <v>1</v>
      </c>
      <c r="M1164" s="18" t="n"/>
      <c r="N1164" s="18" t="n"/>
      <c r="O1164" s="18" t="n"/>
      <c r="P1164" s="18" t="n"/>
      <c r="Q1164" s="18" t="n"/>
      <c r="R1164" s="18" t="n"/>
      <c r="S1164" s="18" t="n"/>
      <c r="T1164" s="18" t="n"/>
      <c r="U1164" s="18" t="n"/>
      <c r="V1164" s="18" t="n"/>
      <c r="W1164" s="18" t="n"/>
      <c r="X1164" s="18" t="n"/>
      <c r="Y1164" s="13">
        <f>SUMPRODUCT(M1164:X1164,$M$2:$X$2)*$K1164*$L1164</f>
        <v/>
      </c>
      <c r="Z1164" s="14">
        <f>SUM(M1164:X1164)</f>
        <v/>
      </c>
      <c r="AA1164" s="13">
        <f>SUMPRODUCT(M1164:X1164,$M$3:$X$3)*$K1164*$L1164</f>
        <v/>
      </c>
      <c r="AB1164" s="13">
        <f>SUMPRODUCT(M1164:X1164,$M$4:$X$4)*$K1164*$L1164</f>
        <v/>
      </c>
      <c r="AC1164" s="15">
        <f>SUMPRODUCT(M1164:X1164,$M$5:$X$5)*$K1164*$L1164</f>
        <v/>
      </c>
      <c r="AD1164" s="15">
        <f>SUMPRODUCT(M1164:X1164,$M$6:$X$6)*$K1164*$L1164</f>
        <v/>
      </c>
      <c r="AE1164" s="19" t="n"/>
    </row>
    <row r="1165">
      <c r="A1165" s="9" t="n">
        <v>642133</v>
      </c>
      <c r="B1165" s="9" t="inlineStr">
        <is>
          <t>Rowdy Tellez</t>
        </is>
      </c>
      <c r="C1165" s="9" t="inlineStr"/>
      <c r="D1165" s="9" t="n">
        <v>32</v>
      </c>
      <c r="E1165" s="17" t="inlineStr">
        <is>
          <t>L</t>
        </is>
      </c>
      <c r="F1165" s="17" t="n"/>
      <c r="G1165" s="9" t="n">
        <v>11</v>
      </c>
      <c r="H1165" s="9" t="n">
        <v>30</v>
      </c>
      <c r="I1165" s="9" t="inlineStr">
        <is>
          <t>Depth (no MLB IP)</t>
        </is>
      </c>
      <c r="J1165" s="17" t="inlineStr">
        <is>
          <t>Opening Day</t>
        </is>
      </c>
      <c r="K1165" s="11">
        <f>IFERROR(INDEX(Roles!$B$17:$B$20,MATCH(J1165,Roles!$A$17:$A$20,0)),1)</f>
        <v/>
      </c>
      <c r="L1165" s="18" t="n">
        <v>1</v>
      </c>
      <c r="M1165" s="18" t="n"/>
      <c r="N1165" s="18" t="n"/>
      <c r="O1165" s="18" t="n"/>
      <c r="P1165" s="18" t="n"/>
      <c r="Q1165" s="18" t="n"/>
      <c r="R1165" s="18" t="n"/>
      <c r="S1165" s="18" t="n"/>
      <c r="T1165" s="18" t="n"/>
      <c r="U1165" s="18" t="n"/>
      <c r="V1165" s="18" t="n"/>
      <c r="W1165" s="18" t="n"/>
      <c r="X1165" s="18" t="n"/>
      <c r="Y1165" s="13">
        <f>SUMPRODUCT(M1165:X1165,$M$2:$X$2)*$K1165*$L1165</f>
        <v/>
      </c>
      <c r="Z1165" s="14">
        <f>SUM(M1165:X1165)</f>
        <v/>
      </c>
      <c r="AA1165" s="13">
        <f>SUMPRODUCT(M1165:X1165,$M$3:$X$3)*$K1165*$L1165</f>
        <v/>
      </c>
      <c r="AB1165" s="13">
        <f>SUMPRODUCT(M1165:X1165,$M$4:$X$4)*$K1165*$L1165</f>
        <v/>
      </c>
      <c r="AC1165" s="15">
        <f>SUMPRODUCT(M1165:X1165,$M$5:$X$5)*$K1165*$L1165</f>
        <v/>
      </c>
      <c r="AD1165" s="15">
        <f>SUMPRODUCT(M1165:X1165,$M$6:$X$6)*$K1165*$L1165</f>
        <v/>
      </c>
      <c r="AE1165" s="19" t="n"/>
    </row>
    <row r="1166">
      <c r="A1166" s="9" t="n">
        <v>670097</v>
      </c>
      <c r="B1166" s="9" t="inlineStr">
        <is>
          <t>Zack Short</t>
        </is>
      </c>
      <c r="C1166" s="9" t="inlineStr">
        <is>
          <t>DET</t>
        </is>
      </c>
      <c r="D1166" s="9" t="n">
        <v>32</v>
      </c>
      <c r="E1166" s="17" t="inlineStr">
        <is>
          <t>R</t>
        </is>
      </c>
      <c r="F1166" s="17" t="n"/>
      <c r="G1166" s="9" t="n">
        <v>3</v>
      </c>
      <c r="H1166" s="9" t="n">
        <v>35</v>
      </c>
      <c r="I1166" s="9" t="inlineStr">
        <is>
          <t>Depth (no MLB IP)</t>
        </is>
      </c>
      <c r="J1166" s="17" t="inlineStr">
        <is>
          <t>Opening Day</t>
        </is>
      </c>
      <c r="K1166" s="11">
        <f>IFERROR(INDEX(Roles!$B$17:$B$20,MATCH(J1166,Roles!$A$17:$A$20,0)),1)</f>
        <v/>
      </c>
      <c r="L1166" s="18" t="n">
        <v>1</v>
      </c>
      <c r="M1166" s="18" t="n"/>
      <c r="N1166" s="18" t="n"/>
      <c r="O1166" s="18" t="n"/>
      <c r="P1166" s="18" t="n"/>
      <c r="Q1166" s="18" t="n"/>
      <c r="R1166" s="18" t="n"/>
      <c r="S1166" s="18" t="n"/>
      <c r="T1166" s="18" t="n"/>
      <c r="U1166" s="18" t="n"/>
      <c r="V1166" s="18" t="n"/>
      <c r="W1166" s="18" t="n"/>
      <c r="X1166" s="18" t="n"/>
      <c r="Y1166" s="13">
        <f>SUMPRODUCT(M1166:X1166,$M$2:$X$2)*$K1166*$L1166</f>
        <v/>
      </c>
      <c r="Z1166" s="14">
        <f>SUM(M1166:X1166)</f>
        <v/>
      </c>
      <c r="AA1166" s="13">
        <f>SUMPRODUCT(M1166:X1166,$M$3:$X$3)*$K1166*$L1166</f>
        <v/>
      </c>
      <c r="AB1166" s="13">
        <f>SUMPRODUCT(M1166:X1166,$M$4:$X$4)*$K1166*$L1166</f>
        <v/>
      </c>
      <c r="AC1166" s="15">
        <f>SUMPRODUCT(M1166:X1166,$M$5:$X$5)*$K1166*$L1166</f>
        <v/>
      </c>
      <c r="AD1166" s="15">
        <f>SUMPRODUCT(M1166:X1166,$M$6:$X$6)*$K1166*$L1166</f>
        <v/>
      </c>
      <c r="AE1166" s="19" t="n"/>
    </row>
    <row r="1167">
      <c r="A1167" s="9" t="n">
        <v>592288</v>
      </c>
      <c r="B1167" s="9" t="inlineStr">
        <is>
          <t>Kent Emanuel</t>
        </is>
      </c>
      <c r="C1167" s="9" t="inlineStr">
        <is>
          <t>MIA</t>
        </is>
      </c>
      <c r="D1167" s="9" t="n">
        <v>35</v>
      </c>
      <c r="E1167" s="17" t="inlineStr">
        <is>
          <t>L</t>
        </is>
      </c>
      <c r="F1167" s="17" t="n"/>
      <c r="G1167" s="9" t="n">
        <v>23</v>
      </c>
      <c r="H1167" s="9" t="n">
        <v>105</v>
      </c>
      <c r="I1167" s="9" t="inlineStr">
        <is>
          <t>Depth (no MLB IP)</t>
        </is>
      </c>
      <c r="J1167" s="17" t="inlineStr">
        <is>
          <t>Opening Day</t>
        </is>
      </c>
      <c r="K1167" s="11">
        <f>IFERROR(INDEX(Roles!$B$17:$B$20,MATCH(J1167,Roles!$A$17:$A$20,0)),1)</f>
        <v/>
      </c>
      <c r="L1167" s="18" t="n">
        <v>1</v>
      </c>
      <c r="M1167" s="18" t="n"/>
      <c r="N1167" s="18" t="n"/>
      <c r="O1167" s="18" t="n"/>
      <c r="P1167" s="18" t="n"/>
      <c r="Q1167" s="18" t="n"/>
      <c r="R1167" s="18" t="n"/>
      <c r="S1167" s="18" t="n"/>
      <c r="T1167" s="18" t="n"/>
      <c r="U1167" s="18" t="n"/>
      <c r="V1167" s="18" t="n"/>
      <c r="W1167" s="18" t="n"/>
      <c r="X1167" s="18" t="n"/>
      <c r="Y1167" s="13">
        <f>SUMPRODUCT(M1167:X1167,$M$2:$X$2)*$K1167*$L1167</f>
        <v/>
      </c>
      <c r="Z1167" s="14">
        <f>SUM(M1167:X1167)</f>
        <v/>
      </c>
      <c r="AA1167" s="13">
        <f>SUMPRODUCT(M1167:X1167,$M$3:$X$3)*$K1167*$L1167</f>
        <v/>
      </c>
      <c r="AB1167" s="13">
        <f>SUMPRODUCT(M1167:X1167,$M$4:$X$4)*$K1167*$L1167</f>
        <v/>
      </c>
      <c r="AC1167" s="15">
        <f>SUMPRODUCT(M1167:X1167,$M$5:$X$5)*$K1167*$L1167</f>
        <v/>
      </c>
      <c r="AD1167" s="15">
        <f>SUMPRODUCT(M1167:X1167,$M$6:$X$6)*$K1167*$L1167</f>
        <v/>
      </c>
      <c r="AE1167" s="19" t="n"/>
    </row>
    <row r="1168">
      <c r="A1168" s="9" t="n">
        <v>593619</v>
      </c>
      <c r="B1168" s="9" t="inlineStr">
        <is>
          <t>Domingo Tapia</t>
        </is>
      </c>
      <c r="C1168" s="9" t="inlineStr">
        <is>
          <t>SD</t>
        </is>
      </c>
      <c r="D1168" s="9" t="n">
        <v>35</v>
      </c>
      <c r="E1168" s="17" t="inlineStr">
        <is>
          <t>R</t>
        </is>
      </c>
      <c r="F1168" s="17" t="n"/>
      <c r="G1168" s="9" t="n">
        <v>75</v>
      </c>
      <c r="H1168" s="9" t="n">
        <v>165</v>
      </c>
      <c r="I1168" s="9" t="inlineStr">
        <is>
          <t>Depth (no MLB IP)</t>
        </is>
      </c>
      <c r="J1168" s="17" t="inlineStr">
        <is>
          <t>Opening Day</t>
        </is>
      </c>
      <c r="K1168" s="11">
        <f>IFERROR(INDEX(Roles!$B$17:$B$20,MATCH(J1168,Roles!$A$17:$A$20,0)),1)</f>
        <v/>
      </c>
      <c r="L1168" s="18" t="n">
        <v>1</v>
      </c>
      <c r="M1168" s="18" t="n"/>
      <c r="N1168" s="18" t="n"/>
      <c r="O1168" s="18" t="n"/>
      <c r="P1168" s="18" t="n"/>
      <c r="Q1168" s="18" t="n"/>
      <c r="R1168" s="18" t="n"/>
      <c r="S1168" s="18" t="n"/>
      <c r="T1168" s="18" t="n"/>
      <c r="U1168" s="18" t="n"/>
      <c r="V1168" s="18" t="n"/>
      <c r="W1168" s="18" t="n"/>
      <c r="X1168" s="18" t="n"/>
      <c r="Y1168" s="13">
        <f>SUMPRODUCT(M1168:X1168,$M$2:$X$2)*$K1168*$L1168</f>
        <v/>
      </c>
      <c r="Z1168" s="14">
        <f>SUM(M1168:X1168)</f>
        <v/>
      </c>
      <c r="AA1168" s="13">
        <f>SUMPRODUCT(M1168:X1168,$M$3:$X$3)*$K1168*$L1168</f>
        <v/>
      </c>
      <c r="AB1168" s="13">
        <f>SUMPRODUCT(M1168:X1168,$M$4:$X$4)*$K1168*$L1168</f>
        <v/>
      </c>
      <c r="AC1168" s="15">
        <f>SUMPRODUCT(M1168:X1168,$M$5:$X$5)*$K1168*$L1168</f>
        <v/>
      </c>
      <c r="AD1168" s="15">
        <f>SUMPRODUCT(M1168:X1168,$M$6:$X$6)*$K1168*$L1168</f>
        <v/>
      </c>
      <c r="AE1168" s="19" t="n"/>
    </row>
    <row r="1169">
      <c r="A1169" s="9" t="n">
        <v>699911</v>
      </c>
      <c r="B1169" s="9" t="inlineStr">
        <is>
          <t>Dugan Darnell</t>
        </is>
      </c>
      <c r="C1169" s="9" t="inlineStr">
        <is>
          <t>COL</t>
        </is>
      </c>
      <c r="D1169" s="9" t="n">
        <v>30</v>
      </c>
      <c r="E1169" s="17" t="inlineStr">
        <is>
          <t>R</t>
        </is>
      </c>
      <c r="F1169" s="17" t="n"/>
      <c r="G1169" s="9" t="n">
        <v>48</v>
      </c>
      <c r="H1169" s="9" t="n">
        <v>48</v>
      </c>
      <c r="I1169" s="9" t="inlineStr">
        <is>
          <t>Bullpen Depth Arm</t>
        </is>
      </c>
      <c r="J1169" s="17" t="inlineStr">
        <is>
          <t>Opening Day</t>
        </is>
      </c>
      <c r="K1169" s="11">
        <f>IFERROR(INDEX(Roles!$B$17:$B$20,MATCH(J1169,Roles!$A$17:$A$20,0)),1)</f>
        <v/>
      </c>
      <c r="L1169" s="18" t="n">
        <v>1</v>
      </c>
      <c r="M1169" s="18" t="n"/>
      <c r="N1169" s="18" t="n"/>
      <c r="O1169" s="18" t="n"/>
      <c r="P1169" s="18" t="n"/>
      <c r="Q1169" s="18" t="n"/>
      <c r="R1169" s="18" t="n"/>
      <c r="S1169" s="18" t="n"/>
      <c r="T1169" s="18" t="n"/>
      <c r="U1169" s="18" t="n"/>
      <c r="V1169" s="18" t="n"/>
      <c r="W1169" s="18" t="n"/>
      <c r="X1169" s="18" t="n"/>
      <c r="Y1169" s="13">
        <f>SUMPRODUCT(M1169:X1169,$M$2:$X$2)*$K1169*$L1169</f>
        <v/>
      </c>
      <c r="Z1169" s="14">
        <f>SUM(M1169:X1169)</f>
        <v/>
      </c>
      <c r="AA1169" s="13">
        <f>SUMPRODUCT(M1169:X1169,$M$3:$X$3)*$K1169*$L1169</f>
        <v/>
      </c>
      <c r="AB1169" s="13">
        <f>SUMPRODUCT(M1169:X1169,$M$4:$X$4)*$K1169*$L1169</f>
        <v/>
      </c>
      <c r="AC1169" s="15">
        <f>SUMPRODUCT(M1169:X1169,$M$5:$X$5)*$K1169*$L1169</f>
        <v/>
      </c>
      <c r="AD1169" s="15">
        <f>SUMPRODUCT(M1169:X1169,$M$6:$X$6)*$K1169*$L1169</f>
        <v/>
      </c>
      <c r="AE1169" s="19" t="n"/>
    </row>
    <row r="1170">
      <c r="A1170" s="9" t="n">
        <v>650893</v>
      </c>
      <c r="B1170" s="9" t="inlineStr">
        <is>
          <t>Génesis Cabrera</t>
        </is>
      </c>
      <c r="C1170" s="9" t="inlineStr">
        <is>
          <t>MIN</t>
        </is>
      </c>
      <c r="D1170" s="9" t="n">
        <v>30</v>
      </c>
      <c r="E1170" s="17" t="inlineStr">
        <is>
          <t>L</t>
        </is>
      </c>
      <c r="F1170" s="17" t="n"/>
      <c r="G1170" s="9" t="n">
        <v>187</v>
      </c>
      <c r="H1170" s="9" t="n">
        <v>891</v>
      </c>
      <c r="I1170" s="9" t="inlineStr">
        <is>
          <t>Bullpen Depth Arm</t>
        </is>
      </c>
      <c r="J1170" s="17" t="inlineStr">
        <is>
          <t>Opening Day</t>
        </is>
      </c>
      <c r="K1170" s="11">
        <f>IFERROR(INDEX(Roles!$B$17:$B$20,MATCH(J1170,Roles!$A$17:$A$20,0)),1)</f>
        <v/>
      </c>
      <c r="L1170" s="18" t="n">
        <v>1</v>
      </c>
      <c r="M1170" s="18" t="n"/>
      <c r="N1170" s="18" t="n"/>
      <c r="O1170" s="18" t="n"/>
      <c r="P1170" s="18" t="n"/>
      <c r="Q1170" s="18" t="n"/>
      <c r="R1170" s="18" t="n"/>
      <c r="S1170" s="18" t="n"/>
      <c r="T1170" s="18" t="n"/>
      <c r="U1170" s="18" t="n"/>
      <c r="V1170" s="18" t="n"/>
      <c r="W1170" s="18" t="n"/>
      <c r="X1170" s="18" t="n"/>
      <c r="Y1170" s="13">
        <f>SUMPRODUCT(M1170:X1170,$M$2:$X$2)*$K1170*$L1170</f>
        <v/>
      </c>
      <c r="Z1170" s="14">
        <f>SUM(M1170:X1170)</f>
        <v/>
      </c>
      <c r="AA1170" s="13">
        <f>SUMPRODUCT(M1170:X1170,$M$3:$X$3)*$K1170*$L1170</f>
        <v/>
      </c>
      <c r="AB1170" s="13">
        <f>SUMPRODUCT(M1170:X1170,$M$4:$X$4)*$K1170*$L1170</f>
        <v/>
      </c>
      <c r="AC1170" s="15">
        <f>SUMPRODUCT(M1170:X1170,$M$5:$X$5)*$K1170*$L1170</f>
        <v/>
      </c>
      <c r="AD1170" s="15">
        <f>SUMPRODUCT(M1170:X1170,$M$6:$X$6)*$K1170*$L1170</f>
        <v/>
      </c>
      <c r="AE1170" s="19" t="n"/>
    </row>
    <row r="1171">
      <c r="A1171" s="9" t="n">
        <v>622569</v>
      </c>
      <c r="B1171" s="9" t="inlineStr">
        <is>
          <t>Pablo Reyes</t>
        </is>
      </c>
      <c r="C1171" s="9" t="inlineStr"/>
      <c r="D1171" s="9" t="n">
        <v>33</v>
      </c>
      <c r="E1171" s="17" t="inlineStr">
        <is>
          <t>R</t>
        </is>
      </c>
      <c r="F1171" s="17" t="n"/>
      <c r="G1171" s="9" t="n">
        <v>8</v>
      </c>
      <c r="H1171" s="9" t="n">
        <v>29</v>
      </c>
      <c r="I1171" s="9" t="inlineStr">
        <is>
          <t>Depth (no MLB IP)</t>
        </is>
      </c>
      <c r="J1171" s="17" t="inlineStr">
        <is>
          <t>Opening Day</t>
        </is>
      </c>
      <c r="K1171" s="11">
        <f>IFERROR(INDEX(Roles!$B$17:$B$20,MATCH(J1171,Roles!$A$17:$A$20,0)),1)</f>
        <v/>
      </c>
      <c r="L1171" s="18" t="n">
        <v>1</v>
      </c>
      <c r="M1171" s="18" t="n"/>
      <c r="N1171" s="18" t="n"/>
      <c r="O1171" s="18" t="n"/>
      <c r="P1171" s="18" t="n"/>
      <c r="Q1171" s="18" t="n"/>
      <c r="R1171" s="18" t="n"/>
      <c r="S1171" s="18" t="n"/>
      <c r="T1171" s="18" t="n"/>
      <c r="U1171" s="18" t="n"/>
      <c r="V1171" s="18" t="n"/>
      <c r="W1171" s="18" t="n"/>
      <c r="X1171" s="18" t="n"/>
      <c r="Y1171" s="13">
        <f>SUMPRODUCT(M1171:X1171,$M$2:$X$2)*$K1171*$L1171</f>
        <v/>
      </c>
      <c r="Z1171" s="14">
        <f>SUM(M1171:X1171)</f>
        <v/>
      </c>
      <c r="AA1171" s="13">
        <f>SUMPRODUCT(M1171:X1171,$M$3:$X$3)*$K1171*$L1171</f>
        <v/>
      </c>
      <c r="AB1171" s="13">
        <f>SUMPRODUCT(M1171:X1171,$M$4:$X$4)*$K1171*$L1171</f>
        <v/>
      </c>
      <c r="AC1171" s="15">
        <f>SUMPRODUCT(M1171:X1171,$M$5:$X$5)*$K1171*$L1171</f>
        <v/>
      </c>
      <c r="AD1171" s="15">
        <f>SUMPRODUCT(M1171:X1171,$M$6:$X$6)*$K1171*$L1171</f>
        <v/>
      </c>
      <c r="AE1171" s="19" t="n"/>
    </row>
    <row r="1172">
      <c r="A1172" s="9" t="n">
        <v>664702</v>
      </c>
      <c r="B1172" s="9" t="inlineStr">
        <is>
          <t>Myles Straw</t>
        </is>
      </c>
      <c r="C1172" s="9" t="inlineStr"/>
      <c r="D1172" s="9" t="n">
        <v>32</v>
      </c>
      <c r="E1172" s="17" t="inlineStr">
        <is>
          <t>R</t>
        </is>
      </c>
      <c r="F1172" s="17" t="n"/>
      <c r="G1172" s="9" t="n">
        <v>20</v>
      </c>
      <c r="H1172" s="9" t="n">
        <v>20</v>
      </c>
      <c r="I1172" s="9" t="inlineStr">
        <is>
          <t>Depth (no MLB IP)</t>
        </is>
      </c>
      <c r="J1172" s="17" t="inlineStr">
        <is>
          <t>Opening Day</t>
        </is>
      </c>
      <c r="K1172" s="11">
        <f>IFERROR(INDEX(Roles!$B$17:$B$20,MATCH(J1172,Roles!$A$17:$A$20,0)),1)</f>
        <v/>
      </c>
      <c r="L1172" s="18" t="n">
        <v>1</v>
      </c>
      <c r="M1172" s="18" t="n"/>
      <c r="N1172" s="18" t="n"/>
      <c r="O1172" s="18" t="n"/>
      <c r="P1172" s="18" t="n"/>
      <c r="Q1172" s="18" t="n"/>
      <c r="R1172" s="18" t="n"/>
      <c r="S1172" s="18" t="n"/>
      <c r="T1172" s="18" t="n"/>
      <c r="U1172" s="18" t="n"/>
      <c r="V1172" s="18" t="n"/>
      <c r="W1172" s="18" t="n"/>
      <c r="X1172" s="18" t="n"/>
      <c r="Y1172" s="13">
        <f>SUMPRODUCT(M1172:X1172,$M$2:$X$2)*$K1172*$L1172</f>
        <v/>
      </c>
      <c r="Z1172" s="14">
        <f>SUM(M1172:X1172)</f>
        <v/>
      </c>
      <c r="AA1172" s="13">
        <f>SUMPRODUCT(M1172:X1172,$M$3:$X$3)*$K1172*$L1172</f>
        <v/>
      </c>
      <c r="AB1172" s="13">
        <f>SUMPRODUCT(M1172:X1172,$M$4:$X$4)*$K1172*$L1172</f>
        <v/>
      </c>
      <c r="AC1172" s="15">
        <f>SUMPRODUCT(M1172:X1172,$M$5:$X$5)*$K1172*$L1172</f>
        <v/>
      </c>
      <c r="AD1172" s="15">
        <f>SUMPRODUCT(M1172:X1172,$M$6:$X$6)*$K1172*$L1172</f>
        <v/>
      </c>
      <c r="AE1172" s="19" t="n"/>
    </row>
    <row r="1173">
      <c r="A1173" s="9" t="n">
        <v>663897</v>
      </c>
      <c r="B1173" s="9" t="inlineStr">
        <is>
          <t>Luke Williams</t>
        </is>
      </c>
      <c r="C1173" s="9" t="inlineStr">
        <is>
          <t>ATL</t>
        </is>
      </c>
      <c r="D1173" s="9" t="n">
        <v>30</v>
      </c>
      <c r="E1173" s="17" t="inlineStr">
        <is>
          <t>R</t>
        </is>
      </c>
      <c r="F1173" s="17" t="n"/>
      <c r="G1173" s="9" t="n">
        <v>25</v>
      </c>
      <c r="H1173" s="9" t="n">
        <v>47</v>
      </c>
      <c r="I1173" s="9" t="inlineStr">
        <is>
          <t>Bullpen Depth Arm</t>
        </is>
      </c>
      <c r="J1173" s="17" t="inlineStr">
        <is>
          <t>Opening Day</t>
        </is>
      </c>
      <c r="K1173" s="11">
        <f>IFERROR(INDEX(Roles!$B$17:$B$20,MATCH(J1173,Roles!$A$17:$A$20,0)),1)</f>
        <v/>
      </c>
      <c r="L1173" s="18" t="n">
        <v>1</v>
      </c>
      <c r="M1173" s="18" t="n"/>
      <c r="N1173" s="18" t="n"/>
      <c r="O1173" s="18" t="n"/>
      <c r="P1173" s="18" t="n"/>
      <c r="Q1173" s="18" t="n"/>
      <c r="R1173" s="18" t="n"/>
      <c r="S1173" s="18" t="n"/>
      <c r="T1173" s="18" t="n"/>
      <c r="U1173" s="18" t="n"/>
      <c r="V1173" s="18" t="n"/>
      <c r="W1173" s="18" t="n"/>
      <c r="X1173" s="18" t="n"/>
      <c r="Y1173" s="13">
        <f>SUMPRODUCT(M1173:X1173,$M$2:$X$2)*$K1173*$L1173</f>
        <v/>
      </c>
      <c r="Z1173" s="14">
        <f>SUM(M1173:X1173)</f>
        <v/>
      </c>
      <c r="AA1173" s="13">
        <f>SUMPRODUCT(M1173:X1173,$M$3:$X$3)*$K1173*$L1173</f>
        <v/>
      </c>
      <c r="AB1173" s="13">
        <f>SUMPRODUCT(M1173:X1173,$M$4:$X$4)*$K1173*$L1173</f>
        <v/>
      </c>
      <c r="AC1173" s="15">
        <f>SUMPRODUCT(M1173:X1173,$M$5:$X$5)*$K1173*$L1173</f>
        <v/>
      </c>
      <c r="AD1173" s="15">
        <f>SUMPRODUCT(M1173:X1173,$M$6:$X$6)*$K1173*$L1173</f>
        <v/>
      </c>
      <c r="AE1173" s="19" t="n"/>
    </row>
    <row r="1174">
      <c r="A1174" s="9" t="n">
        <v>671131</v>
      </c>
      <c r="B1174" s="9" t="inlineStr">
        <is>
          <t>Jackson Rutledge</t>
        </is>
      </c>
      <c r="C1174" s="9" t="inlineStr">
        <is>
          <t>WSH</t>
        </is>
      </c>
      <c r="D1174" s="9" t="n">
        <v>28</v>
      </c>
      <c r="E1174" s="17" t="inlineStr">
        <is>
          <t>R</t>
        </is>
      </c>
      <c r="F1174" s="17" t="n"/>
      <c r="G1174" s="9" t="n">
        <v>12</v>
      </c>
      <c r="H1174" s="9" t="n">
        <v>464</v>
      </c>
      <c r="I1174" s="9" t="inlineStr">
        <is>
          <t>Bullpen Depth Arm</t>
        </is>
      </c>
      <c r="J1174" s="17" t="inlineStr">
        <is>
          <t>Opening Day</t>
        </is>
      </c>
      <c r="K1174" s="11">
        <f>IFERROR(INDEX(Roles!$B$17:$B$20,MATCH(J1174,Roles!$A$17:$A$20,0)),1)</f>
        <v/>
      </c>
      <c r="L1174" s="18" t="n">
        <v>1</v>
      </c>
      <c r="M1174" s="18" t="n"/>
      <c r="N1174" s="18" t="n"/>
      <c r="O1174" s="18" t="n"/>
      <c r="P1174" s="18" t="n"/>
      <c r="Q1174" s="18" t="n"/>
      <c r="R1174" s="18" t="n"/>
      <c r="S1174" s="18" t="n"/>
      <c r="T1174" s="18" t="n"/>
      <c r="U1174" s="18" t="n"/>
      <c r="V1174" s="18" t="n"/>
      <c r="W1174" s="18" t="n"/>
      <c r="X1174" s="18" t="n"/>
      <c r="Y1174" s="13">
        <f>SUMPRODUCT(M1174:X1174,$M$2:$X$2)*$K1174*$L1174</f>
        <v/>
      </c>
      <c r="Z1174" s="14">
        <f>SUM(M1174:X1174)</f>
        <v/>
      </c>
      <c r="AA1174" s="13">
        <f>SUMPRODUCT(M1174:X1174,$M$3:$X$3)*$K1174*$L1174</f>
        <v/>
      </c>
      <c r="AB1174" s="13">
        <f>SUMPRODUCT(M1174:X1174,$M$4:$X$4)*$K1174*$L1174</f>
        <v/>
      </c>
      <c r="AC1174" s="15">
        <f>SUMPRODUCT(M1174:X1174,$M$5:$X$5)*$K1174*$L1174</f>
        <v/>
      </c>
      <c r="AD1174" s="15">
        <f>SUMPRODUCT(M1174:X1174,$M$6:$X$6)*$K1174*$L1174</f>
        <v/>
      </c>
      <c r="AE1174" s="19" t="n"/>
    </row>
    <row r="1175">
      <c r="A1175" s="9" t="n">
        <v>593958</v>
      </c>
      <c r="B1175" s="9" t="inlineStr">
        <is>
          <t>Eduardo Rodriguez</t>
        </is>
      </c>
      <c r="C1175" s="9" t="inlineStr">
        <is>
          <t>ARI</t>
        </is>
      </c>
      <c r="D1175" s="9" t="n">
        <v>34</v>
      </c>
      <c r="E1175" s="17" t="inlineStr">
        <is>
          <t>L</t>
        </is>
      </c>
      <c r="F1175" s="17" t="n"/>
      <c r="G1175" s="9" t="n">
        <v>736</v>
      </c>
      <c r="H1175" s="9" t="n">
        <v>2666</v>
      </c>
      <c r="I1175" s="9" t="inlineStr">
        <is>
          <t>Mid-Rotation Starter (SP2-3)</t>
        </is>
      </c>
      <c r="J1175" s="17" t="inlineStr">
        <is>
          <t>Opening Day</t>
        </is>
      </c>
      <c r="K1175" s="11">
        <f>IFERROR(INDEX(Roles!$B$17:$B$20,MATCH(J1175,Roles!$A$17:$A$20,0)),1)</f>
        <v/>
      </c>
      <c r="L1175" s="18" t="n">
        <v>1</v>
      </c>
      <c r="M1175" s="18" t="n"/>
      <c r="N1175" s="18" t="n"/>
      <c r="O1175" s="18" t="n"/>
      <c r="P1175" s="18" t="n"/>
      <c r="Q1175" s="18" t="n"/>
      <c r="R1175" s="18" t="n"/>
      <c r="S1175" s="18" t="n"/>
      <c r="T1175" s="18" t="n"/>
      <c r="U1175" s="18" t="n"/>
      <c r="V1175" s="18" t="n"/>
      <c r="W1175" s="18" t="n"/>
      <c r="X1175" s="18" t="n"/>
      <c r="Y1175" s="13">
        <f>SUMPRODUCT(M1175:X1175,$M$2:$X$2)*$K1175*$L1175</f>
        <v/>
      </c>
      <c r="Z1175" s="14">
        <f>SUM(M1175:X1175)</f>
        <v/>
      </c>
      <c r="AA1175" s="13">
        <f>SUMPRODUCT(M1175:X1175,$M$3:$X$3)*$K1175*$L1175</f>
        <v/>
      </c>
      <c r="AB1175" s="13">
        <f>SUMPRODUCT(M1175:X1175,$M$4:$X$4)*$K1175*$L1175</f>
        <v/>
      </c>
      <c r="AC1175" s="15">
        <f>SUMPRODUCT(M1175:X1175,$M$5:$X$5)*$K1175*$L1175</f>
        <v/>
      </c>
      <c r="AD1175" s="15">
        <f>SUMPRODUCT(M1175:X1175,$M$6:$X$6)*$K1175*$L1175</f>
        <v/>
      </c>
      <c r="AE1175" s="19" t="n"/>
    </row>
    <row r="1176">
      <c r="A1176" s="9" t="n">
        <v>656657</v>
      </c>
      <c r="B1176" s="9" t="inlineStr">
        <is>
          <t>Zach Logue</t>
        </is>
      </c>
      <c r="C1176" s="9" t="inlineStr">
        <is>
          <t>DET</t>
        </is>
      </c>
      <c r="D1176" s="9" t="n">
        <v>31</v>
      </c>
      <c r="E1176" s="17" t="inlineStr">
        <is>
          <t>L</t>
        </is>
      </c>
      <c r="F1176" s="17" t="n"/>
      <c r="G1176" s="9" t="n">
        <v>12</v>
      </c>
      <c r="H1176" s="9" t="n">
        <v>318</v>
      </c>
      <c r="I1176" s="9" t="inlineStr">
        <is>
          <t>Depth (no MLB IP)</t>
        </is>
      </c>
      <c r="J1176" s="17" t="inlineStr">
        <is>
          <t>Opening Day</t>
        </is>
      </c>
      <c r="K1176" s="11">
        <f>IFERROR(INDEX(Roles!$B$17:$B$20,MATCH(J1176,Roles!$A$17:$A$20,0)),1)</f>
        <v/>
      </c>
      <c r="L1176" s="18" t="n">
        <v>1</v>
      </c>
      <c r="M1176" s="18" t="n"/>
      <c r="N1176" s="18" t="n"/>
      <c r="O1176" s="18" t="n"/>
      <c r="P1176" s="18" t="n"/>
      <c r="Q1176" s="18" t="n"/>
      <c r="R1176" s="18" t="n"/>
      <c r="S1176" s="18" t="n"/>
      <c r="T1176" s="18" t="n"/>
      <c r="U1176" s="18" t="n"/>
      <c r="V1176" s="18" t="n"/>
      <c r="W1176" s="18" t="n"/>
      <c r="X1176" s="18" t="n"/>
      <c r="Y1176" s="13">
        <f>SUMPRODUCT(M1176:X1176,$M$2:$X$2)*$K1176*$L1176</f>
        <v/>
      </c>
      <c r="Z1176" s="14">
        <f>SUM(M1176:X1176)</f>
        <v/>
      </c>
      <c r="AA1176" s="13">
        <f>SUMPRODUCT(M1176:X1176,$M$3:$X$3)*$K1176*$L1176</f>
        <v/>
      </c>
      <c r="AB1176" s="13">
        <f>SUMPRODUCT(M1176:X1176,$M$4:$X$4)*$K1176*$L1176</f>
        <v/>
      </c>
      <c r="AC1176" s="15">
        <f>SUMPRODUCT(M1176:X1176,$M$5:$X$5)*$K1176*$L1176</f>
        <v/>
      </c>
      <c r="AD1176" s="15">
        <f>SUMPRODUCT(M1176:X1176,$M$6:$X$6)*$K1176*$L1176</f>
        <v/>
      </c>
      <c r="AE1176" s="19" t="n"/>
    </row>
    <row r="1177">
      <c r="A1177" s="9" t="n">
        <v>670046</v>
      </c>
      <c r="B1177" s="9" t="inlineStr">
        <is>
          <t>Kenny Rosenberg</t>
        </is>
      </c>
      <c r="C1177" s="9" t="inlineStr">
        <is>
          <t>LAA</t>
        </is>
      </c>
      <c r="D1177" s="9" t="n">
        <v>31</v>
      </c>
      <c r="E1177" s="17" t="inlineStr">
        <is>
          <t>L</t>
        </is>
      </c>
      <c r="F1177" s="17" t="n"/>
      <c r="G1177" s="9" t="n">
        <v>104</v>
      </c>
      <c r="H1177" s="9" t="n">
        <v>297</v>
      </c>
      <c r="I1177" s="9" t="inlineStr">
        <is>
          <t>Depth (no MLB IP)</t>
        </is>
      </c>
      <c r="J1177" s="17" t="inlineStr">
        <is>
          <t>Opening Day</t>
        </is>
      </c>
      <c r="K1177" s="11">
        <f>IFERROR(INDEX(Roles!$B$17:$B$20,MATCH(J1177,Roles!$A$17:$A$20,0)),1)</f>
        <v/>
      </c>
      <c r="L1177" s="18" t="n">
        <v>1</v>
      </c>
      <c r="M1177" s="18" t="n"/>
      <c r="N1177" s="18" t="n"/>
      <c r="O1177" s="18" t="n"/>
      <c r="P1177" s="18" t="n"/>
      <c r="Q1177" s="18" t="n"/>
      <c r="R1177" s="18" t="n"/>
      <c r="S1177" s="18" t="n"/>
      <c r="T1177" s="18" t="n"/>
      <c r="U1177" s="18" t="n"/>
      <c r="V1177" s="18" t="n"/>
      <c r="W1177" s="18" t="n"/>
      <c r="X1177" s="18" t="n"/>
      <c r="Y1177" s="13">
        <f>SUMPRODUCT(M1177:X1177,$M$2:$X$2)*$K1177*$L1177</f>
        <v/>
      </c>
      <c r="Z1177" s="14">
        <f>SUM(M1177:X1177)</f>
        <v/>
      </c>
      <c r="AA1177" s="13">
        <f>SUMPRODUCT(M1177:X1177,$M$3:$X$3)*$K1177*$L1177</f>
        <v/>
      </c>
      <c r="AB1177" s="13">
        <f>SUMPRODUCT(M1177:X1177,$M$4:$X$4)*$K1177*$L1177</f>
        <v/>
      </c>
      <c r="AC1177" s="15">
        <f>SUMPRODUCT(M1177:X1177,$M$5:$X$5)*$K1177*$L1177</f>
        <v/>
      </c>
      <c r="AD1177" s="15">
        <f>SUMPRODUCT(M1177:X1177,$M$6:$X$6)*$K1177*$L1177</f>
        <v/>
      </c>
      <c r="AE1177" s="19" t="n"/>
    </row>
    <row r="1178">
      <c r="A1178" s="9" t="n">
        <v>448179</v>
      </c>
      <c r="B1178" s="9" t="inlineStr">
        <is>
          <t>Rich Hill</t>
        </is>
      </c>
      <c r="C1178" s="9" t="inlineStr">
        <is>
          <t>KC</t>
        </is>
      </c>
      <c r="D1178" s="9" t="n">
        <v>47</v>
      </c>
      <c r="E1178" s="17" t="inlineStr">
        <is>
          <t>L</t>
        </is>
      </c>
      <c r="F1178" s="17" t="n"/>
      <c r="G1178" s="9" t="n">
        <v>43</v>
      </c>
      <c r="H1178" s="9" t="n">
        <v>1244</v>
      </c>
      <c r="I1178" s="9" t="inlineStr">
        <is>
          <t>End-of-Rotation Starter (SP4-5)</t>
        </is>
      </c>
      <c r="J1178" s="17" t="inlineStr">
        <is>
          <t>Opening Day</t>
        </is>
      </c>
      <c r="K1178" s="11">
        <f>IFERROR(INDEX(Roles!$B$17:$B$20,MATCH(J1178,Roles!$A$17:$A$20,0)),1)</f>
        <v/>
      </c>
      <c r="L1178" s="18" t="n">
        <v>1</v>
      </c>
      <c r="M1178" s="18" t="n"/>
      <c r="N1178" s="18" t="n"/>
      <c r="O1178" s="18" t="n"/>
      <c r="P1178" s="18" t="n"/>
      <c r="Q1178" s="18" t="n"/>
      <c r="R1178" s="18" t="n"/>
      <c r="S1178" s="18" t="n"/>
      <c r="T1178" s="18" t="n"/>
      <c r="U1178" s="18" t="n"/>
      <c r="V1178" s="18" t="n"/>
      <c r="W1178" s="18" t="n"/>
      <c r="X1178" s="18" t="n"/>
      <c r="Y1178" s="13">
        <f>SUMPRODUCT(M1178:X1178,$M$2:$X$2)*$K1178*$L1178</f>
        <v/>
      </c>
      <c r="Z1178" s="14">
        <f>SUM(M1178:X1178)</f>
        <v/>
      </c>
      <c r="AA1178" s="13">
        <f>SUMPRODUCT(M1178:X1178,$M$3:$X$3)*$K1178*$L1178</f>
        <v/>
      </c>
      <c r="AB1178" s="13">
        <f>SUMPRODUCT(M1178:X1178,$M$4:$X$4)*$K1178*$L1178</f>
        <v/>
      </c>
      <c r="AC1178" s="15">
        <f>SUMPRODUCT(M1178:X1178,$M$5:$X$5)*$K1178*$L1178</f>
        <v/>
      </c>
      <c r="AD1178" s="15">
        <f>SUMPRODUCT(M1178:X1178,$M$6:$X$6)*$K1178*$L1178</f>
        <v/>
      </c>
      <c r="AE1178" s="19" t="n"/>
    </row>
    <row r="1179">
      <c r="A1179" s="9" t="n">
        <v>663531</v>
      </c>
      <c r="B1179" s="9" t="inlineStr">
        <is>
          <t>Logan Allen</t>
        </is>
      </c>
      <c r="C1179" s="9" t="inlineStr">
        <is>
          <t>ARI</t>
        </is>
      </c>
      <c r="D1179" s="9" t="n">
        <v>30</v>
      </c>
      <c r="E1179" s="17" t="inlineStr">
        <is>
          <t>L</t>
        </is>
      </c>
      <c r="F1179" s="17" t="n"/>
      <c r="G1179" s="9" t="n">
        <v>128</v>
      </c>
      <c r="H1179" s="9" t="n">
        <v>168</v>
      </c>
      <c r="I1179" s="9" t="inlineStr">
        <is>
          <t>Depth (no MLB IP)</t>
        </is>
      </c>
      <c r="J1179" s="17" t="inlineStr">
        <is>
          <t>Opening Day</t>
        </is>
      </c>
      <c r="K1179" s="11">
        <f>IFERROR(INDEX(Roles!$B$17:$B$20,MATCH(J1179,Roles!$A$17:$A$20,0)),1)</f>
        <v/>
      </c>
      <c r="L1179" s="18" t="n">
        <v>1</v>
      </c>
      <c r="M1179" s="18" t="n"/>
      <c r="N1179" s="18" t="n"/>
      <c r="O1179" s="18" t="n"/>
      <c r="P1179" s="18" t="n"/>
      <c r="Q1179" s="18" t="n"/>
      <c r="R1179" s="18" t="n"/>
      <c r="S1179" s="18" t="n"/>
      <c r="T1179" s="18" t="n"/>
      <c r="U1179" s="18" t="n"/>
      <c r="V1179" s="18" t="n"/>
      <c r="W1179" s="18" t="n"/>
      <c r="X1179" s="18" t="n"/>
      <c r="Y1179" s="13">
        <f>SUMPRODUCT(M1179:X1179,$M$2:$X$2)*$K1179*$L1179</f>
        <v/>
      </c>
      <c r="Z1179" s="14">
        <f>SUM(M1179:X1179)</f>
        <v/>
      </c>
      <c r="AA1179" s="13">
        <f>SUMPRODUCT(M1179:X1179,$M$3:$X$3)*$K1179*$L1179</f>
        <v/>
      </c>
      <c r="AB1179" s="13">
        <f>SUMPRODUCT(M1179:X1179,$M$4:$X$4)*$K1179*$L1179</f>
        <v/>
      </c>
      <c r="AC1179" s="15">
        <f>SUMPRODUCT(M1179:X1179,$M$5:$X$5)*$K1179*$L1179</f>
        <v/>
      </c>
      <c r="AD1179" s="15">
        <f>SUMPRODUCT(M1179:X1179,$M$6:$X$6)*$K1179*$L1179</f>
        <v/>
      </c>
      <c r="AE1179" s="19" t="n"/>
    </row>
    <row r="1180">
      <c r="A1180" s="9" t="n">
        <v>605335</v>
      </c>
      <c r="B1180" s="9" t="inlineStr">
        <is>
          <t>Brandon Leibrandt</t>
        </is>
      </c>
      <c r="C1180" s="9" t="inlineStr">
        <is>
          <t>CIN</t>
        </is>
      </c>
      <c r="D1180" s="9" t="n">
        <v>34</v>
      </c>
      <c r="E1180" s="17" t="inlineStr">
        <is>
          <t>L</t>
        </is>
      </c>
      <c r="F1180" s="17" t="n"/>
      <c r="G1180" s="9" t="n">
        <v>30</v>
      </c>
      <c r="H1180" s="9" t="n">
        <v>62</v>
      </c>
      <c r="I1180" s="9" t="inlineStr">
        <is>
          <t>End-of-Rotation Starter (SP4-5)</t>
        </is>
      </c>
      <c r="J1180" s="17" t="inlineStr">
        <is>
          <t>Opening Day</t>
        </is>
      </c>
      <c r="K1180" s="11">
        <f>IFERROR(INDEX(Roles!$B$17:$B$20,MATCH(J1180,Roles!$A$17:$A$20,0)),1)</f>
        <v/>
      </c>
      <c r="L1180" s="18" t="n">
        <v>1</v>
      </c>
      <c r="M1180" s="18" t="n"/>
      <c r="N1180" s="18" t="n"/>
      <c r="O1180" s="18" t="n"/>
      <c r="P1180" s="18" t="n"/>
      <c r="Q1180" s="18" t="n"/>
      <c r="R1180" s="18" t="n"/>
      <c r="S1180" s="18" t="n"/>
      <c r="T1180" s="18" t="n"/>
      <c r="U1180" s="18" t="n"/>
      <c r="V1180" s="18" t="n"/>
      <c r="W1180" s="18" t="n"/>
      <c r="X1180" s="18" t="n"/>
      <c r="Y1180" s="13">
        <f>SUMPRODUCT(M1180:X1180,$M$2:$X$2)*$K1180*$L1180</f>
        <v/>
      </c>
      <c r="Z1180" s="14">
        <f>SUM(M1180:X1180)</f>
        <v/>
      </c>
      <c r="AA1180" s="13">
        <f>SUMPRODUCT(M1180:X1180,$M$3:$X$3)*$K1180*$L1180</f>
        <v/>
      </c>
      <c r="AB1180" s="13">
        <f>SUMPRODUCT(M1180:X1180,$M$4:$X$4)*$K1180*$L1180</f>
        <v/>
      </c>
      <c r="AC1180" s="15">
        <f>SUMPRODUCT(M1180:X1180,$M$5:$X$5)*$K1180*$L1180</f>
        <v/>
      </c>
      <c r="AD1180" s="15">
        <f>SUMPRODUCT(M1180:X1180,$M$6:$X$6)*$K1180*$L1180</f>
        <v/>
      </c>
      <c r="AE1180" s="19" t="n"/>
    </row>
    <row r="1181">
      <c r="A1181" s="9" t="n">
        <v>680767</v>
      </c>
      <c r="B1181" s="9" t="inlineStr">
        <is>
          <t>Victor Vodnik</t>
        </is>
      </c>
      <c r="C1181" s="9" t="inlineStr">
        <is>
          <t>MIA</t>
        </is>
      </c>
      <c r="D1181" s="9" t="n">
        <v>27</v>
      </c>
      <c r="E1181" s="17" t="inlineStr">
        <is>
          <t>R</t>
        </is>
      </c>
      <c r="F1181" s="17" t="n"/>
      <c r="G1181" s="9" t="n">
        <v>247</v>
      </c>
      <c r="H1181" s="9" t="n">
        <v>826</v>
      </c>
      <c r="I1181" s="9" t="inlineStr">
        <is>
          <t>Bullpen Depth Arm</t>
        </is>
      </c>
      <c r="J1181" s="17" t="inlineStr">
        <is>
          <t>Opening Day</t>
        </is>
      </c>
      <c r="K1181" s="11">
        <f>IFERROR(INDEX(Roles!$B$17:$B$20,MATCH(J1181,Roles!$A$17:$A$20,0)),1)</f>
        <v/>
      </c>
      <c r="L1181" s="18" t="n">
        <v>1</v>
      </c>
      <c r="M1181" s="18" t="n"/>
      <c r="N1181" s="18" t="n"/>
      <c r="O1181" s="18" t="n"/>
      <c r="P1181" s="18" t="n"/>
      <c r="Q1181" s="18" t="n"/>
      <c r="R1181" s="18" t="n"/>
      <c r="S1181" s="18" t="n"/>
      <c r="T1181" s="18" t="n"/>
      <c r="U1181" s="18" t="n"/>
      <c r="V1181" s="18" t="n"/>
      <c r="W1181" s="18" t="n"/>
      <c r="X1181" s="18" t="n"/>
      <c r="Y1181" s="13">
        <f>SUMPRODUCT(M1181:X1181,$M$2:$X$2)*$K1181*$L1181</f>
        <v/>
      </c>
      <c r="Z1181" s="14">
        <f>SUM(M1181:X1181)</f>
        <v/>
      </c>
      <c r="AA1181" s="13">
        <f>SUMPRODUCT(M1181:X1181,$M$3:$X$3)*$K1181*$L1181</f>
        <v/>
      </c>
      <c r="AB1181" s="13">
        <f>SUMPRODUCT(M1181:X1181,$M$4:$X$4)*$K1181*$L1181</f>
        <v/>
      </c>
      <c r="AC1181" s="15">
        <f>SUMPRODUCT(M1181:X1181,$M$5:$X$5)*$K1181*$L1181</f>
        <v/>
      </c>
      <c r="AD1181" s="15">
        <f>SUMPRODUCT(M1181:X1181,$M$6:$X$6)*$K1181*$L1181</f>
        <v/>
      </c>
      <c r="AE1181" s="19" t="n"/>
    </row>
    <row r="1182">
      <c r="A1182" s="9" t="n">
        <v>672582</v>
      </c>
      <c r="B1182" s="9" t="inlineStr">
        <is>
          <t>Angel Zerpa</t>
        </is>
      </c>
      <c r="C1182" s="9" t="inlineStr">
        <is>
          <t>MIL</t>
        </is>
      </c>
      <c r="D1182" s="9" t="n">
        <v>27</v>
      </c>
      <c r="E1182" s="17" t="inlineStr">
        <is>
          <t>L</t>
        </is>
      </c>
      <c r="F1182" s="17" t="n"/>
      <c r="G1182" s="9" t="n">
        <v>55</v>
      </c>
      <c r="H1182" s="9" t="n">
        <v>795</v>
      </c>
      <c r="I1182" s="9" t="inlineStr">
        <is>
          <t>Bullpen Depth Arm</t>
        </is>
      </c>
      <c r="J1182" s="17" t="inlineStr">
        <is>
          <t>Opening Day</t>
        </is>
      </c>
      <c r="K1182" s="11">
        <f>IFERROR(INDEX(Roles!$B$17:$B$20,MATCH(J1182,Roles!$A$17:$A$20,0)),1)</f>
        <v/>
      </c>
      <c r="L1182" s="18" t="n">
        <v>1</v>
      </c>
      <c r="M1182" s="18" t="n"/>
      <c r="N1182" s="18" t="n"/>
      <c r="O1182" s="18" t="n"/>
      <c r="P1182" s="18" t="n"/>
      <c r="Q1182" s="18" t="n"/>
      <c r="R1182" s="18" t="n"/>
      <c r="S1182" s="18" t="n"/>
      <c r="T1182" s="18" t="n"/>
      <c r="U1182" s="18" t="n"/>
      <c r="V1182" s="18" t="n"/>
      <c r="W1182" s="18" t="n"/>
      <c r="X1182" s="18" t="n"/>
      <c r="Y1182" s="13">
        <f>SUMPRODUCT(M1182:X1182,$M$2:$X$2)*$K1182*$L1182</f>
        <v/>
      </c>
      <c r="Z1182" s="14">
        <f>SUM(M1182:X1182)</f>
        <v/>
      </c>
      <c r="AA1182" s="13">
        <f>SUMPRODUCT(M1182:X1182,$M$3:$X$3)*$K1182*$L1182</f>
        <v/>
      </c>
      <c r="AB1182" s="13">
        <f>SUMPRODUCT(M1182:X1182,$M$4:$X$4)*$K1182*$L1182</f>
        <v/>
      </c>
      <c r="AC1182" s="15">
        <f>SUMPRODUCT(M1182:X1182,$M$5:$X$5)*$K1182*$L1182</f>
        <v/>
      </c>
      <c r="AD1182" s="15">
        <f>SUMPRODUCT(M1182:X1182,$M$6:$X$6)*$K1182*$L1182</f>
        <v/>
      </c>
      <c r="AE1182" s="19" t="n"/>
    </row>
    <row r="1183">
      <c r="A1183" s="9" t="n">
        <v>519326</v>
      </c>
      <c r="B1183" s="9" t="inlineStr">
        <is>
          <t>Hunter Strickland</t>
        </is>
      </c>
      <c r="C1183" s="9" t="inlineStr">
        <is>
          <t>LAA</t>
        </is>
      </c>
      <c r="D1183" s="9" t="n">
        <v>38</v>
      </c>
      <c r="E1183" s="17" t="inlineStr">
        <is>
          <t>R</t>
        </is>
      </c>
      <c r="F1183" s="17" t="n"/>
      <c r="G1183" s="9" t="n">
        <v>91</v>
      </c>
      <c r="H1183" s="9" t="n">
        <v>669</v>
      </c>
      <c r="I1183" s="9" t="inlineStr">
        <is>
          <t>Bullpen Depth Arm</t>
        </is>
      </c>
      <c r="J1183" s="17" t="inlineStr">
        <is>
          <t>Opening Day</t>
        </is>
      </c>
      <c r="K1183" s="11">
        <f>IFERROR(INDEX(Roles!$B$17:$B$20,MATCH(J1183,Roles!$A$17:$A$20,0)),1)</f>
        <v/>
      </c>
      <c r="L1183" s="18" t="n">
        <v>1</v>
      </c>
      <c r="M1183" s="18" t="n"/>
      <c r="N1183" s="18" t="n"/>
      <c r="O1183" s="18" t="n"/>
      <c r="P1183" s="18" t="n"/>
      <c r="Q1183" s="18" t="n"/>
      <c r="R1183" s="18" t="n"/>
      <c r="S1183" s="18" t="n"/>
      <c r="T1183" s="18" t="n"/>
      <c r="U1183" s="18" t="n"/>
      <c r="V1183" s="18" t="n"/>
      <c r="W1183" s="18" t="n"/>
      <c r="X1183" s="18" t="n"/>
      <c r="Y1183" s="13">
        <f>SUMPRODUCT(M1183:X1183,$M$2:$X$2)*$K1183*$L1183</f>
        <v/>
      </c>
      <c r="Z1183" s="14">
        <f>SUM(M1183:X1183)</f>
        <v/>
      </c>
      <c r="AA1183" s="13">
        <f>SUMPRODUCT(M1183:X1183,$M$3:$X$3)*$K1183*$L1183</f>
        <v/>
      </c>
      <c r="AB1183" s="13">
        <f>SUMPRODUCT(M1183:X1183,$M$4:$X$4)*$K1183*$L1183</f>
        <v/>
      </c>
      <c r="AC1183" s="15">
        <f>SUMPRODUCT(M1183:X1183,$M$5:$X$5)*$K1183*$L1183</f>
        <v/>
      </c>
      <c r="AD1183" s="15">
        <f>SUMPRODUCT(M1183:X1183,$M$6:$X$6)*$K1183*$L1183</f>
        <v/>
      </c>
      <c r="AE1183" s="19" t="n"/>
    </row>
    <row r="1184">
      <c r="A1184" s="9" t="n">
        <v>669387</v>
      </c>
      <c r="B1184" s="9" t="inlineStr">
        <is>
          <t>Carmen Mlodzinski</t>
        </is>
      </c>
      <c r="C1184" s="9" t="inlineStr">
        <is>
          <t>PIT</t>
        </is>
      </c>
      <c r="D1184" s="9" t="n">
        <v>28</v>
      </c>
      <c r="E1184" s="17" t="inlineStr">
        <is>
          <t>R</t>
        </is>
      </c>
      <c r="F1184" s="17" t="n"/>
      <c r="G1184" s="9" t="n">
        <v>513</v>
      </c>
      <c r="H1184" s="9" t="n">
        <v>1293</v>
      </c>
      <c r="I1184" s="9" t="inlineStr">
        <is>
          <t>Bullpen Depth Arm</t>
        </is>
      </c>
      <c r="J1184" s="17" t="inlineStr">
        <is>
          <t>Opening Day</t>
        </is>
      </c>
      <c r="K1184" s="11">
        <f>IFERROR(INDEX(Roles!$B$17:$B$20,MATCH(J1184,Roles!$A$17:$A$20,0)),1)</f>
        <v/>
      </c>
      <c r="L1184" s="18" t="n">
        <v>1</v>
      </c>
      <c r="M1184" s="18" t="n"/>
      <c r="N1184" s="18" t="n"/>
      <c r="O1184" s="18" t="n"/>
      <c r="P1184" s="18" t="n"/>
      <c r="Q1184" s="18" t="n"/>
      <c r="R1184" s="18" t="n"/>
      <c r="S1184" s="18" t="n"/>
      <c r="T1184" s="18" t="n"/>
      <c r="U1184" s="18" t="n"/>
      <c r="V1184" s="18" t="n"/>
      <c r="W1184" s="18" t="n"/>
      <c r="X1184" s="18" t="n"/>
      <c r="Y1184" s="13">
        <f>SUMPRODUCT(M1184:X1184,$M$2:$X$2)*$K1184*$L1184</f>
        <v/>
      </c>
      <c r="Z1184" s="14">
        <f>SUM(M1184:X1184)</f>
        <v/>
      </c>
      <c r="AA1184" s="13">
        <f>SUMPRODUCT(M1184:X1184,$M$3:$X$3)*$K1184*$L1184</f>
        <v/>
      </c>
      <c r="AB1184" s="13">
        <f>SUMPRODUCT(M1184:X1184,$M$4:$X$4)*$K1184*$L1184</f>
        <v/>
      </c>
      <c r="AC1184" s="15">
        <f>SUMPRODUCT(M1184:X1184,$M$5:$X$5)*$K1184*$L1184</f>
        <v/>
      </c>
      <c r="AD1184" s="15">
        <f>SUMPRODUCT(M1184:X1184,$M$6:$X$6)*$K1184*$L1184</f>
        <v/>
      </c>
      <c r="AE1184" s="19" t="n"/>
    </row>
    <row r="1185">
      <c r="A1185" s="9" t="n">
        <v>804267</v>
      </c>
      <c r="B1185" s="9" t="inlineStr">
        <is>
          <t>Zac Thornton</t>
        </is>
      </c>
      <c r="C1185" s="9" t="inlineStr">
        <is>
          <t>NYM</t>
        </is>
      </c>
      <c r="D1185" s="9" t="n">
        <v>25</v>
      </c>
      <c r="E1185" s="17" t="inlineStr">
        <is>
          <t>L</t>
        </is>
      </c>
      <c r="F1185" s="17" t="n"/>
      <c r="G1185" s="9" t="n">
        <v>293</v>
      </c>
      <c r="H1185" s="9" t="n">
        <v>293</v>
      </c>
      <c r="I1185" s="9" t="inlineStr">
        <is>
          <t>Mid-Rotation Starter (SP2-3)</t>
        </is>
      </c>
      <c r="J1185" s="17" t="inlineStr">
        <is>
          <t>Opening Day</t>
        </is>
      </c>
      <c r="K1185" s="11">
        <f>IFERROR(INDEX(Roles!$B$17:$B$20,MATCH(J1185,Roles!$A$17:$A$20,0)),1)</f>
        <v/>
      </c>
      <c r="L1185" s="18" t="n">
        <v>1</v>
      </c>
      <c r="M1185" s="18" t="n"/>
      <c r="N1185" s="18" t="n"/>
      <c r="O1185" s="18" t="n"/>
      <c r="P1185" s="18" t="n"/>
      <c r="Q1185" s="18" t="n"/>
      <c r="R1185" s="18" t="n"/>
      <c r="S1185" s="18" t="n"/>
      <c r="T1185" s="18" t="n"/>
      <c r="U1185" s="18" t="n"/>
      <c r="V1185" s="18" t="n"/>
      <c r="W1185" s="18" t="n"/>
      <c r="X1185" s="18" t="n"/>
      <c r="Y1185" s="13">
        <f>SUMPRODUCT(M1185:X1185,$M$2:$X$2)*$K1185*$L1185</f>
        <v/>
      </c>
      <c r="Z1185" s="14">
        <f>SUM(M1185:X1185)</f>
        <v/>
      </c>
      <c r="AA1185" s="13">
        <f>SUMPRODUCT(M1185:X1185,$M$3:$X$3)*$K1185*$L1185</f>
        <v/>
      </c>
      <c r="AB1185" s="13">
        <f>SUMPRODUCT(M1185:X1185,$M$4:$X$4)*$K1185*$L1185</f>
        <v/>
      </c>
      <c r="AC1185" s="15">
        <f>SUMPRODUCT(M1185:X1185,$M$5:$X$5)*$K1185*$L1185</f>
        <v/>
      </c>
      <c r="AD1185" s="15">
        <f>SUMPRODUCT(M1185:X1185,$M$6:$X$6)*$K1185*$L1185</f>
        <v/>
      </c>
      <c r="AE1185" s="19" t="n"/>
    </row>
    <row r="1186">
      <c r="A1186" s="9" t="n">
        <v>678606</v>
      </c>
      <c r="B1186" s="9" t="inlineStr">
        <is>
          <t>José A. Ferrer</t>
        </is>
      </c>
      <c r="C1186" s="9" t="inlineStr">
        <is>
          <t>SEA</t>
        </is>
      </c>
      <c r="D1186" s="9" t="n">
        <v>27</v>
      </c>
      <c r="E1186" s="17" t="inlineStr">
        <is>
          <t>L</t>
        </is>
      </c>
      <c r="F1186" s="17" t="n"/>
      <c r="G1186" s="9" t="n">
        <v>272</v>
      </c>
      <c r="H1186" s="9" t="n">
        <v>867</v>
      </c>
      <c r="I1186" s="9" t="inlineStr">
        <is>
          <t>Bullpen Depth Arm</t>
        </is>
      </c>
      <c r="J1186" s="17" t="inlineStr">
        <is>
          <t>Opening Day</t>
        </is>
      </c>
      <c r="K1186" s="11">
        <f>IFERROR(INDEX(Roles!$B$17:$B$20,MATCH(J1186,Roles!$A$17:$A$20,0)),1)</f>
        <v/>
      </c>
      <c r="L1186" s="18" t="n">
        <v>1</v>
      </c>
      <c r="M1186" s="18" t="n"/>
      <c r="N1186" s="18" t="n"/>
      <c r="O1186" s="18" t="n"/>
      <c r="P1186" s="18" t="n"/>
      <c r="Q1186" s="18" t="n"/>
      <c r="R1186" s="18" t="n"/>
      <c r="S1186" s="18" t="n"/>
      <c r="T1186" s="18" t="n"/>
      <c r="U1186" s="18" t="n"/>
      <c r="V1186" s="18" t="n"/>
      <c r="W1186" s="18" t="n"/>
      <c r="X1186" s="18" t="n"/>
      <c r="Y1186" s="13">
        <f>SUMPRODUCT(M1186:X1186,$M$2:$X$2)*$K1186*$L1186</f>
        <v/>
      </c>
      <c r="Z1186" s="14">
        <f>SUM(M1186:X1186)</f>
        <v/>
      </c>
      <c r="AA1186" s="13">
        <f>SUMPRODUCT(M1186:X1186,$M$3:$X$3)*$K1186*$L1186</f>
        <v/>
      </c>
      <c r="AB1186" s="13">
        <f>SUMPRODUCT(M1186:X1186,$M$4:$X$4)*$K1186*$L1186</f>
        <v/>
      </c>
      <c r="AC1186" s="15">
        <f>SUMPRODUCT(M1186:X1186,$M$5:$X$5)*$K1186*$L1186</f>
        <v/>
      </c>
      <c r="AD1186" s="15">
        <f>SUMPRODUCT(M1186:X1186,$M$6:$X$6)*$K1186*$L1186</f>
        <v/>
      </c>
      <c r="AE1186" s="19" t="n"/>
    </row>
    <row r="1187">
      <c r="A1187" s="9" t="n">
        <v>829272</v>
      </c>
      <c r="B1187" s="9" t="inlineStr">
        <is>
          <t>Shinnosuke Ogasawara</t>
        </is>
      </c>
      <c r="C1187" s="9" t="inlineStr">
        <is>
          <t>WSH</t>
        </is>
      </c>
      <c r="D1187" s="9" t="n">
        <v>29</v>
      </c>
      <c r="E1187" s="17" t="inlineStr">
        <is>
          <t>L</t>
        </is>
      </c>
      <c r="F1187" s="17" t="n"/>
      <c r="G1187" s="9" t="n">
        <v>173</v>
      </c>
      <c r="H1187" s="9" t="n">
        <v>173</v>
      </c>
      <c r="I1187" s="9" t="inlineStr">
        <is>
          <t>Bullpen Depth Arm</t>
        </is>
      </c>
      <c r="J1187" s="17" t="inlineStr">
        <is>
          <t>Opening Day</t>
        </is>
      </c>
      <c r="K1187" s="11">
        <f>IFERROR(INDEX(Roles!$B$17:$B$20,MATCH(J1187,Roles!$A$17:$A$20,0)),1)</f>
        <v/>
      </c>
      <c r="L1187" s="18" t="n">
        <v>1</v>
      </c>
      <c r="M1187" s="18" t="n"/>
      <c r="N1187" s="18" t="n"/>
      <c r="O1187" s="18" t="n"/>
      <c r="P1187" s="18" t="n"/>
      <c r="Q1187" s="18" t="n"/>
      <c r="R1187" s="18" t="n"/>
      <c r="S1187" s="18" t="n"/>
      <c r="T1187" s="18" t="n"/>
      <c r="U1187" s="18" t="n"/>
      <c r="V1187" s="18" t="n"/>
      <c r="W1187" s="18" t="n"/>
      <c r="X1187" s="18" t="n"/>
      <c r="Y1187" s="13">
        <f>SUMPRODUCT(M1187:X1187,$M$2:$X$2)*$K1187*$L1187</f>
        <v/>
      </c>
      <c r="Z1187" s="14">
        <f>SUM(M1187:X1187)</f>
        <v/>
      </c>
      <c r="AA1187" s="13">
        <f>SUMPRODUCT(M1187:X1187,$M$3:$X$3)*$K1187*$L1187</f>
        <v/>
      </c>
      <c r="AB1187" s="13">
        <f>SUMPRODUCT(M1187:X1187,$M$4:$X$4)*$K1187*$L1187</f>
        <v/>
      </c>
      <c r="AC1187" s="15">
        <f>SUMPRODUCT(M1187:X1187,$M$5:$X$5)*$K1187*$L1187</f>
        <v/>
      </c>
      <c r="AD1187" s="15">
        <f>SUMPRODUCT(M1187:X1187,$M$6:$X$6)*$K1187*$L1187</f>
        <v/>
      </c>
      <c r="AE1187" s="19" t="n"/>
    </row>
    <row r="1188">
      <c r="A1188" s="9" t="n">
        <v>664141</v>
      </c>
      <c r="B1188" s="9" t="inlineStr">
        <is>
          <t>JT Brubaker</t>
        </is>
      </c>
      <c r="C1188" s="9" t="inlineStr">
        <is>
          <t>SF</t>
        </is>
      </c>
      <c r="D1188" s="9" t="n">
        <v>33</v>
      </c>
      <c r="E1188" s="17" t="inlineStr">
        <is>
          <t>R</t>
        </is>
      </c>
      <c r="F1188" s="17" t="n"/>
      <c r="G1188" s="9" t="n">
        <v>250</v>
      </c>
      <c r="H1188" s="9" t="n">
        <v>1013</v>
      </c>
      <c r="I1188" s="9" t="inlineStr">
        <is>
          <t>Bullpen Depth Arm</t>
        </is>
      </c>
      <c r="J1188" s="17" t="inlineStr">
        <is>
          <t>Opening Day</t>
        </is>
      </c>
      <c r="K1188" s="11">
        <f>IFERROR(INDEX(Roles!$B$17:$B$20,MATCH(J1188,Roles!$A$17:$A$20,0)),1)</f>
        <v/>
      </c>
      <c r="L1188" s="18" t="n">
        <v>1</v>
      </c>
      <c r="M1188" s="18" t="n"/>
      <c r="N1188" s="18" t="n"/>
      <c r="O1188" s="18" t="n"/>
      <c r="P1188" s="18" t="n"/>
      <c r="Q1188" s="18" t="n"/>
      <c r="R1188" s="18" t="n"/>
      <c r="S1188" s="18" t="n"/>
      <c r="T1188" s="18" t="n"/>
      <c r="U1188" s="18" t="n"/>
      <c r="V1188" s="18" t="n"/>
      <c r="W1188" s="18" t="n"/>
      <c r="X1188" s="18" t="n"/>
      <c r="Y1188" s="13">
        <f>SUMPRODUCT(M1188:X1188,$M$2:$X$2)*$K1188*$L1188</f>
        <v/>
      </c>
      <c r="Z1188" s="14">
        <f>SUM(M1188:X1188)</f>
        <v/>
      </c>
      <c r="AA1188" s="13">
        <f>SUMPRODUCT(M1188:X1188,$M$3:$X$3)*$K1188*$L1188</f>
        <v/>
      </c>
      <c r="AB1188" s="13">
        <f>SUMPRODUCT(M1188:X1188,$M$4:$X$4)*$K1188*$L1188</f>
        <v/>
      </c>
      <c r="AC1188" s="15">
        <f>SUMPRODUCT(M1188:X1188,$M$5:$X$5)*$K1188*$L1188</f>
        <v/>
      </c>
      <c r="AD1188" s="15">
        <f>SUMPRODUCT(M1188:X1188,$M$6:$X$6)*$K1188*$L1188</f>
        <v/>
      </c>
      <c r="AE1188" s="19" t="n"/>
    </row>
    <row r="1189">
      <c r="A1189" s="9" t="n">
        <v>502043</v>
      </c>
      <c r="B1189" s="9" t="inlineStr">
        <is>
          <t>Kyle Gibson</t>
        </is>
      </c>
      <c r="C1189" s="9" t="inlineStr">
        <is>
          <t>BAL</t>
        </is>
      </c>
      <c r="D1189" s="9" t="n">
        <v>39</v>
      </c>
      <c r="E1189" s="17" t="inlineStr">
        <is>
          <t>R</t>
        </is>
      </c>
      <c r="F1189" s="17" t="n"/>
      <c r="G1189" s="9" t="n">
        <v>73</v>
      </c>
      <c r="H1189" s="9" t="n">
        <v>2320</v>
      </c>
      <c r="I1189" s="9" t="inlineStr">
        <is>
          <t>Mid-Rotation Starter (SP2-3)</t>
        </is>
      </c>
      <c r="J1189" s="17" t="inlineStr">
        <is>
          <t>Opening Day</t>
        </is>
      </c>
      <c r="K1189" s="11">
        <f>IFERROR(INDEX(Roles!$B$17:$B$20,MATCH(J1189,Roles!$A$17:$A$20,0)),1)</f>
        <v/>
      </c>
      <c r="L1189" s="18" t="n">
        <v>1</v>
      </c>
      <c r="M1189" s="18" t="n"/>
      <c r="N1189" s="18" t="n"/>
      <c r="O1189" s="18" t="n"/>
      <c r="P1189" s="18" t="n"/>
      <c r="Q1189" s="18" t="n"/>
      <c r="R1189" s="18" t="n"/>
      <c r="S1189" s="18" t="n"/>
      <c r="T1189" s="18" t="n"/>
      <c r="U1189" s="18" t="n"/>
      <c r="V1189" s="18" t="n"/>
      <c r="W1189" s="18" t="n"/>
      <c r="X1189" s="18" t="n"/>
      <c r="Y1189" s="13">
        <f>SUMPRODUCT(M1189:X1189,$M$2:$X$2)*$K1189*$L1189</f>
        <v/>
      </c>
      <c r="Z1189" s="14">
        <f>SUM(M1189:X1189)</f>
        <v/>
      </c>
      <c r="AA1189" s="13">
        <f>SUMPRODUCT(M1189:X1189,$M$3:$X$3)*$K1189*$L1189</f>
        <v/>
      </c>
      <c r="AB1189" s="13">
        <f>SUMPRODUCT(M1189:X1189,$M$4:$X$4)*$K1189*$L1189</f>
        <v/>
      </c>
      <c r="AC1189" s="15">
        <f>SUMPRODUCT(M1189:X1189,$M$5:$X$5)*$K1189*$L1189</f>
        <v/>
      </c>
      <c r="AD1189" s="15">
        <f>SUMPRODUCT(M1189:X1189,$M$6:$X$6)*$K1189*$L1189</f>
        <v/>
      </c>
      <c r="AE1189" s="19" t="n"/>
    </row>
    <row r="1190">
      <c r="A1190" s="9" t="n">
        <v>695684</v>
      </c>
      <c r="B1190" s="9" t="inlineStr">
        <is>
          <t>Elmer Rodríguez</t>
        </is>
      </c>
      <c r="C1190" s="9" t="inlineStr">
        <is>
          <t>NYY</t>
        </is>
      </c>
      <c r="D1190" s="9" t="n">
        <v>23</v>
      </c>
      <c r="E1190" s="17" t="inlineStr">
        <is>
          <t>R</t>
        </is>
      </c>
      <c r="F1190" s="17" t="n"/>
      <c r="G1190" s="9" t="n">
        <v>125</v>
      </c>
      <c r="H1190" s="9" t="n">
        <v>125</v>
      </c>
      <c r="I1190" s="9" t="inlineStr">
        <is>
          <t>End-of-Rotation Starter (SP4-5)</t>
        </is>
      </c>
      <c r="J1190" s="17" t="inlineStr">
        <is>
          <t>Opening Day</t>
        </is>
      </c>
      <c r="K1190" s="11">
        <f>IFERROR(INDEX(Roles!$B$17:$B$20,MATCH(J1190,Roles!$A$17:$A$20,0)),1)</f>
        <v/>
      </c>
      <c r="L1190" s="18" t="n">
        <v>1</v>
      </c>
      <c r="M1190" s="18" t="n"/>
      <c r="N1190" s="18" t="n"/>
      <c r="O1190" s="18" t="n"/>
      <c r="P1190" s="18" t="n"/>
      <c r="Q1190" s="18" t="n"/>
      <c r="R1190" s="18" t="n"/>
      <c r="S1190" s="18" t="n"/>
      <c r="T1190" s="18" t="n"/>
      <c r="U1190" s="18" t="n"/>
      <c r="V1190" s="18" t="n"/>
      <c r="W1190" s="18" t="n"/>
      <c r="X1190" s="18" t="n"/>
      <c r="Y1190" s="13">
        <f>SUMPRODUCT(M1190:X1190,$M$2:$X$2)*$K1190*$L1190</f>
        <v/>
      </c>
      <c r="Z1190" s="14">
        <f>SUM(M1190:X1190)</f>
        <v/>
      </c>
      <c r="AA1190" s="13">
        <f>SUMPRODUCT(M1190:X1190,$M$3:$X$3)*$K1190*$L1190</f>
        <v/>
      </c>
      <c r="AB1190" s="13">
        <f>SUMPRODUCT(M1190:X1190,$M$4:$X$4)*$K1190*$L1190</f>
        <v/>
      </c>
      <c r="AC1190" s="15">
        <f>SUMPRODUCT(M1190:X1190,$M$5:$X$5)*$K1190*$L1190</f>
        <v/>
      </c>
      <c r="AD1190" s="15">
        <f>SUMPRODUCT(M1190:X1190,$M$6:$X$6)*$K1190*$L1190</f>
        <v/>
      </c>
      <c r="AE1190" s="19" t="n"/>
    </row>
    <row r="1191">
      <c r="A1191" s="9" t="n">
        <v>670766</v>
      </c>
      <c r="B1191" s="9" t="inlineStr">
        <is>
          <t>Darren McCaughan</t>
        </is>
      </c>
      <c r="C1191" s="9" t="inlineStr">
        <is>
          <t>MIA</t>
        </is>
      </c>
      <c r="D1191" s="9" t="n">
        <v>31</v>
      </c>
      <c r="E1191" s="17" t="inlineStr">
        <is>
          <t>R</t>
        </is>
      </c>
      <c r="F1191" s="17" t="n"/>
      <c r="G1191" s="9" t="n">
        <v>23</v>
      </c>
      <c r="H1191" s="9" t="n">
        <v>245</v>
      </c>
      <c r="I1191" s="9" t="inlineStr">
        <is>
          <t>Depth (no MLB IP)</t>
        </is>
      </c>
      <c r="J1191" s="17" t="inlineStr">
        <is>
          <t>Opening Day</t>
        </is>
      </c>
      <c r="K1191" s="11">
        <f>IFERROR(INDEX(Roles!$B$17:$B$20,MATCH(J1191,Roles!$A$17:$A$20,0)),1)</f>
        <v/>
      </c>
      <c r="L1191" s="18" t="n">
        <v>1</v>
      </c>
      <c r="M1191" s="18" t="n"/>
      <c r="N1191" s="18" t="n"/>
      <c r="O1191" s="18" t="n"/>
      <c r="P1191" s="18" t="n"/>
      <c r="Q1191" s="18" t="n"/>
      <c r="R1191" s="18" t="n"/>
      <c r="S1191" s="18" t="n"/>
      <c r="T1191" s="18" t="n"/>
      <c r="U1191" s="18" t="n"/>
      <c r="V1191" s="18" t="n"/>
      <c r="W1191" s="18" t="n"/>
      <c r="X1191" s="18" t="n"/>
      <c r="Y1191" s="13">
        <f>SUMPRODUCT(M1191:X1191,$M$2:$X$2)*$K1191*$L1191</f>
        <v/>
      </c>
      <c r="Z1191" s="14">
        <f>SUM(M1191:X1191)</f>
        <v/>
      </c>
      <c r="AA1191" s="13">
        <f>SUMPRODUCT(M1191:X1191,$M$3:$X$3)*$K1191*$L1191</f>
        <v/>
      </c>
      <c r="AB1191" s="13">
        <f>SUMPRODUCT(M1191:X1191,$M$4:$X$4)*$K1191*$L1191</f>
        <v/>
      </c>
      <c r="AC1191" s="15">
        <f>SUMPRODUCT(M1191:X1191,$M$5:$X$5)*$K1191*$L1191</f>
        <v/>
      </c>
      <c r="AD1191" s="15">
        <f>SUMPRODUCT(M1191:X1191,$M$6:$X$6)*$K1191*$L1191</f>
        <v/>
      </c>
      <c r="AE1191" s="19" t="n"/>
    </row>
    <row r="1192">
      <c r="A1192" s="9" t="n">
        <v>676969</v>
      </c>
      <c r="B1192" s="9" t="inlineStr">
        <is>
          <t>Brett de Geus</t>
        </is>
      </c>
      <c r="C1192" s="9" t="inlineStr">
        <is>
          <t>TOR</t>
        </is>
      </c>
      <c r="D1192" s="9" t="n">
        <v>29</v>
      </c>
      <c r="E1192" s="17" t="inlineStr">
        <is>
          <t>R</t>
        </is>
      </c>
      <c r="F1192" s="17" t="n"/>
      <c r="G1192" s="9" t="n">
        <v>10</v>
      </c>
      <c r="H1192" s="9" t="n">
        <v>62</v>
      </c>
      <c r="I1192" s="9" t="inlineStr">
        <is>
          <t>Depth (no MLB IP)</t>
        </is>
      </c>
      <c r="J1192" s="17" t="inlineStr">
        <is>
          <t>Opening Day</t>
        </is>
      </c>
      <c r="K1192" s="11">
        <f>IFERROR(INDEX(Roles!$B$17:$B$20,MATCH(J1192,Roles!$A$17:$A$20,0)),1)</f>
        <v/>
      </c>
      <c r="L1192" s="18" t="n">
        <v>1</v>
      </c>
      <c r="M1192" s="18" t="n"/>
      <c r="N1192" s="18" t="n"/>
      <c r="O1192" s="18" t="n"/>
      <c r="P1192" s="18" t="n"/>
      <c r="Q1192" s="18" t="n"/>
      <c r="R1192" s="18" t="n"/>
      <c r="S1192" s="18" t="n"/>
      <c r="T1192" s="18" t="n"/>
      <c r="U1192" s="18" t="n"/>
      <c r="V1192" s="18" t="n"/>
      <c r="W1192" s="18" t="n"/>
      <c r="X1192" s="18" t="n"/>
      <c r="Y1192" s="13">
        <f>SUMPRODUCT(M1192:X1192,$M$2:$X$2)*$K1192*$L1192</f>
        <v/>
      </c>
      <c r="Z1192" s="14">
        <f>SUM(M1192:X1192)</f>
        <v/>
      </c>
      <c r="AA1192" s="13">
        <f>SUMPRODUCT(M1192:X1192,$M$3:$X$3)*$K1192*$L1192</f>
        <v/>
      </c>
      <c r="AB1192" s="13">
        <f>SUMPRODUCT(M1192:X1192,$M$4:$X$4)*$K1192*$L1192</f>
        <v/>
      </c>
      <c r="AC1192" s="15">
        <f>SUMPRODUCT(M1192:X1192,$M$5:$X$5)*$K1192*$L1192</f>
        <v/>
      </c>
      <c r="AD1192" s="15">
        <f>SUMPRODUCT(M1192:X1192,$M$6:$X$6)*$K1192*$L1192</f>
        <v/>
      </c>
      <c r="AE1192" s="19" t="n"/>
    </row>
    <row r="1193">
      <c r="A1193" s="9" t="n">
        <v>810938</v>
      </c>
      <c r="B1193" s="9" t="inlineStr">
        <is>
          <t>Ben Williamson</t>
        </is>
      </c>
      <c r="C1193" s="9" t="inlineStr"/>
      <c r="D1193" s="9" t="n">
        <v>26</v>
      </c>
      <c r="E1193" s="17" t="inlineStr">
        <is>
          <t>R</t>
        </is>
      </c>
      <c r="F1193" s="17" t="n"/>
      <c r="G1193" s="9" t="n">
        <v>21</v>
      </c>
      <c r="H1193" s="9" t="n">
        <v>21</v>
      </c>
      <c r="I1193" s="9" t="inlineStr">
        <is>
          <t>Depth (no MLB IP)</t>
        </is>
      </c>
      <c r="J1193" s="17" t="inlineStr">
        <is>
          <t>Opening Day</t>
        </is>
      </c>
      <c r="K1193" s="11">
        <f>IFERROR(INDEX(Roles!$B$17:$B$20,MATCH(J1193,Roles!$A$17:$A$20,0)),1)</f>
        <v/>
      </c>
      <c r="L1193" s="18" t="n">
        <v>1</v>
      </c>
      <c r="M1193" s="18" t="n"/>
      <c r="N1193" s="18" t="n"/>
      <c r="O1193" s="18" t="n"/>
      <c r="P1193" s="18" t="n"/>
      <c r="Q1193" s="18" t="n"/>
      <c r="R1193" s="18" t="n"/>
      <c r="S1193" s="18" t="n"/>
      <c r="T1193" s="18" t="n"/>
      <c r="U1193" s="18" t="n"/>
      <c r="V1193" s="18" t="n"/>
      <c r="W1193" s="18" t="n"/>
      <c r="X1193" s="18" t="n"/>
      <c r="Y1193" s="13">
        <f>SUMPRODUCT(M1193:X1193,$M$2:$X$2)*$K1193*$L1193</f>
        <v/>
      </c>
      <c r="Z1193" s="14">
        <f>SUM(M1193:X1193)</f>
        <v/>
      </c>
      <c r="AA1193" s="13">
        <f>SUMPRODUCT(M1193:X1193,$M$3:$X$3)*$K1193*$L1193</f>
        <v/>
      </c>
      <c r="AB1193" s="13">
        <f>SUMPRODUCT(M1193:X1193,$M$4:$X$4)*$K1193*$L1193</f>
        <v/>
      </c>
      <c r="AC1193" s="15">
        <f>SUMPRODUCT(M1193:X1193,$M$5:$X$5)*$K1193*$L1193</f>
        <v/>
      </c>
      <c r="AD1193" s="15">
        <f>SUMPRODUCT(M1193:X1193,$M$6:$X$6)*$K1193*$L1193</f>
        <v/>
      </c>
      <c r="AE1193" s="19" t="n"/>
    </row>
    <row r="1194">
      <c r="A1194" s="9" t="n">
        <v>683734</v>
      </c>
      <c r="B1194" s="9" t="inlineStr">
        <is>
          <t>Andrew Vaughn</t>
        </is>
      </c>
      <c r="C1194" s="9" t="inlineStr">
        <is>
          <t>MIL</t>
        </is>
      </c>
      <c r="D1194" s="9" t="n">
        <v>29</v>
      </c>
      <c r="E1194" s="17" t="inlineStr">
        <is>
          <t>R</t>
        </is>
      </c>
      <c r="F1194" s="17" t="n"/>
      <c r="G1194" s="9" t="n">
        <v>26</v>
      </c>
      <c r="H1194" s="9" t="n">
        <v>26</v>
      </c>
      <c r="I1194" s="9" t="inlineStr">
        <is>
          <t>Bullpen Depth Arm</t>
        </is>
      </c>
      <c r="J1194" s="17" t="inlineStr">
        <is>
          <t>Opening Day</t>
        </is>
      </c>
      <c r="K1194" s="11">
        <f>IFERROR(INDEX(Roles!$B$17:$B$20,MATCH(J1194,Roles!$A$17:$A$20,0)),1)</f>
        <v/>
      </c>
      <c r="L1194" s="18" t="n">
        <v>1</v>
      </c>
      <c r="M1194" s="18" t="n"/>
      <c r="N1194" s="18" t="n"/>
      <c r="O1194" s="18" t="n"/>
      <c r="P1194" s="18" t="n"/>
      <c r="Q1194" s="18" t="n"/>
      <c r="R1194" s="18" t="n"/>
      <c r="S1194" s="18" t="n"/>
      <c r="T1194" s="18" t="n"/>
      <c r="U1194" s="18" t="n"/>
      <c r="V1194" s="18" t="n"/>
      <c r="W1194" s="18" t="n"/>
      <c r="X1194" s="18" t="n"/>
      <c r="Y1194" s="13">
        <f>SUMPRODUCT(M1194:X1194,$M$2:$X$2)*$K1194*$L1194</f>
        <v/>
      </c>
      <c r="Z1194" s="14">
        <f>SUM(M1194:X1194)</f>
        <v/>
      </c>
      <c r="AA1194" s="13">
        <f>SUMPRODUCT(M1194:X1194,$M$3:$X$3)*$K1194*$L1194</f>
        <v/>
      </c>
      <c r="AB1194" s="13">
        <f>SUMPRODUCT(M1194:X1194,$M$4:$X$4)*$K1194*$L1194</f>
        <v/>
      </c>
      <c r="AC1194" s="15">
        <f>SUMPRODUCT(M1194:X1194,$M$5:$X$5)*$K1194*$L1194</f>
        <v/>
      </c>
      <c r="AD1194" s="15">
        <f>SUMPRODUCT(M1194:X1194,$M$6:$X$6)*$K1194*$L1194</f>
        <v/>
      </c>
      <c r="AE1194" s="19" t="n"/>
    </row>
    <row r="1195">
      <c r="A1195" s="9" t="n">
        <v>663399</v>
      </c>
      <c r="B1195" s="9" t="inlineStr">
        <is>
          <t>Brandon Waddell</t>
        </is>
      </c>
      <c r="C1195" s="9" t="inlineStr">
        <is>
          <t>NYM</t>
        </is>
      </c>
      <c r="D1195" s="9" t="n">
        <v>33</v>
      </c>
      <c r="E1195" s="17" t="inlineStr">
        <is>
          <t>L</t>
        </is>
      </c>
      <c r="F1195" s="17" t="n"/>
      <c r="G1195" s="9" t="n">
        <v>134</v>
      </c>
      <c r="H1195" s="9" t="n">
        <v>134</v>
      </c>
      <c r="I1195" s="9" t="inlineStr">
        <is>
          <t>Bullpen Depth Arm</t>
        </is>
      </c>
      <c r="J1195" s="17" t="inlineStr">
        <is>
          <t>Opening Day</t>
        </is>
      </c>
      <c r="K1195" s="11">
        <f>IFERROR(INDEX(Roles!$B$17:$B$20,MATCH(J1195,Roles!$A$17:$A$20,0)),1)</f>
        <v/>
      </c>
      <c r="L1195" s="18" t="n">
        <v>1</v>
      </c>
      <c r="M1195" s="18" t="n"/>
      <c r="N1195" s="18" t="n"/>
      <c r="O1195" s="18" t="n"/>
      <c r="P1195" s="18" t="n"/>
      <c r="Q1195" s="18" t="n"/>
      <c r="R1195" s="18" t="n"/>
      <c r="S1195" s="18" t="n"/>
      <c r="T1195" s="18" t="n"/>
      <c r="U1195" s="18" t="n"/>
      <c r="V1195" s="18" t="n"/>
      <c r="W1195" s="18" t="n"/>
      <c r="X1195" s="18" t="n"/>
      <c r="Y1195" s="13">
        <f>SUMPRODUCT(M1195:X1195,$M$2:$X$2)*$K1195*$L1195</f>
        <v/>
      </c>
      <c r="Z1195" s="14">
        <f>SUM(M1195:X1195)</f>
        <v/>
      </c>
      <c r="AA1195" s="13">
        <f>SUMPRODUCT(M1195:X1195,$M$3:$X$3)*$K1195*$L1195</f>
        <v/>
      </c>
      <c r="AB1195" s="13">
        <f>SUMPRODUCT(M1195:X1195,$M$4:$X$4)*$K1195*$L1195</f>
        <v/>
      </c>
      <c r="AC1195" s="15">
        <f>SUMPRODUCT(M1195:X1195,$M$5:$X$5)*$K1195*$L1195</f>
        <v/>
      </c>
      <c r="AD1195" s="15">
        <f>SUMPRODUCT(M1195:X1195,$M$6:$X$6)*$K1195*$L1195</f>
        <v/>
      </c>
      <c r="AE1195" s="19" t="n"/>
    </row>
    <row r="1196">
      <c r="A1196" s="9" t="n">
        <v>594577</v>
      </c>
      <c r="B1196" s="9" t="inlineStr">
        <is>
          <t>Mike Mayers</t>
        </is>
      </c>
      <c r="C1196" s="9" t="inlineStr">
        <is>
          <t>KC</t>
        </is>
      </c>
      <c r="D1196" s="9" t="n">
        <v>35</v>
      </c>
      <c r="E1196" s="17" t="inlineStr">
        <is>
          <t>R</t>
        </is>
      </c>
      <c r="F1196" s="17" t="n"/>
      <c r="G1196" s="9" t="n">
        <v>119</v>
      </c>
      <c r="H1196" s="9" t="n">
        <v>342</v>
      </c>
      <c r="I1196" s="9" t="inlineStr">
        <is>
          <t>Depth (no MLB IP)</t>
        </is>
      </c>
      <c r="J1196" s="17" t="inlineStr">
        <is>
          <t>Opening Day</t>
        </is>
      </c>
      <c r="K1196" s="11">
        <f>IFERROR(INDEX(Roles!$B$17:$B$20,MATCH(J1196,Roles!$A$17:$A$20,0)),1)</f>
        <v/>
      </c>
      <c r="L1196" s="18" t="n">
        <v>1</v>
      </c>
      <c r="M1196" s="18" t="n"/>
      <c r="N1196" s="18" t="n"/>
      <c r="O1196" s="18" t="n"/>
      <c r="P1196" s="18" t="n"/>
      <c r="Q1196" s="18" t="n"/>
      <c r="R1196" s="18" t="n"/>
      <c r="S1196" s="18" t="n"/>
      <c r="T1196" s="18" t="n"/>
      <c r="U1196" s="18" t="n"/>
      <c r="V1196" s="18" t="n"/>
      <c r="W1196" s="18" t="n"/>
      <c r="X1196" s="18" t="n"/>
      <c r="Y1196" s="13">
        <f>SUMPRODUCT(M1196:X1196,$M$2:$X$2)*$K1196*$L1196</f>
        <v/>
      </c>
      <c r="Z1196" s="14">
        <f>SUM(M1196:X1196)</f>
        <v/>
      </c>
      <c r="AA1196" s="13">
        <f>SUMPRODUCT(M1196:X1196,$M$3:$X$3)*$K1196*$L1196</f>
        <v/>
      </c>
      <c r="AB1196" s="13">
        <f>SUMPRODUCT(M1196:X1196,$M$4:$X$4)*$K1196*$L1196</f>
        <v/>
      </c>
      <c r="AC1196" s="15">
        <f>SUMPRODUCT(M1196:X1196,$M$5:$X$5)*$K1196*$L1196</f>
        <v/>
      </c>
      <c r="AD1196" s="15">
        <f>SUMPRODUCT(M1196:X1196,$M$6:$X$6)*$K1196*$L1196</f>
        <v/>
      </c>
      <c r="AE1196" s="19" t="n"/>
    </row>
    <row r="1197">
      <c r="A1197" s="9" t="n">
        <v>680684</v>
      </c>
      <c r="B1197" s="9" t="inlineStr">
        <is>
          <t>Gunnar Hoglund</t>
        </is>
      </c>
      <c r="C1197" s="9" t="inlineStr">
        <is>
          <t>OAK</t>
        </is>
      </c>
      <c r="D1197" s="9" t="n">
        <v>27</v>
      </c>
      <c r="E1197" s="17" t="inlineStr">
        <is>
          <t>R</t>
        </is>
      </c>
      <c r="F1197" s="17" t="n"/>
      <c r="G1197" s="9" t="n">
        <v>139</v>
      </c>
      <c r="H1197" s="9" t="n">
        <v>139</v>
      </c>
      <c r="I1197" s="9" t="inlineStr">
        <is>
          <t>Mid-Rotation Starter (SP2-3)</t>
        </is>
      </c>
      <c r="J1197" s="17" t="inlineStr">
        <is>
          <t>Opening Day</t>
        </is>
      </c>
      <c r="K1197" s="11">
        <f>IFERROR(INDEX(Roles!$B$17:$B$20,MATCH(J1197,Roles!$A$17:$A$20,0)),1)</f>
        <v/>
      </c>
      <c r="L1197" s="18" t="n">
        <v>1</v>
      </c>
      <c r="M1197" s="18" t="n"/>
      <c r="N1197" s="18" t="n"/>
      <c r="O1197" s="18" t="n"/>
      <c r="P1197" s="18" t="n"/>
      <c r="Q1197" s="18" t="n"/>
      <c r="R1197" s="18" t="n"/>
      <c r="S1197" s="18" t="n"/>
      <c r="T1197" s="18" t="n"/>
      <c r="U1197" s="18" t="n"/>
      <c r="V1197" s="18" t="n"/>
      <c r="W1197" s="18" t="n"/>
      <c r="X1197" s="18" t="n"/>
      <c r="Y1197" s="13">
        <f>SUMPRODUCT(M1197:X1197,$M$2:$X$2)*$K1197*$L1197</f>
        <v/>
      </c>
      <c r="Z1197" s="14">
        <f>SUM(M1197:X1197)</f>
        <v/>
      </c>
      <c r="AA1197" s="13">
        <f>SUMPRODUCT(M1197:X1197,$M$3:$X$3)*$K1197*$L1197</f>
        <v/>
      </c>
      <c r="AB1197" s="13">
        <f>SUMPRODUCT(M1197:X1197,$M$4:$X$4)*$K1197*$L1197</f>
        <v/>
      </c>
      <c r="AC1197" s="15">
        <f>SUMPRODUCT(M1197:X1197,$M$5:$X$5)*$K1197*$L1197</f>
        <v/>
      </c>
      <c r="AD1197" s="15">
        <f>SUMPRODUCT(M1197:X1197,$M$6:$X$6)*$K1197*$L1197</f>
        <v/>
      </c>
      <c r="AE1197" s="19" t="n"/>
    </row>
    <row r="1198">
      <c r="A1198" s="9" t="n">
        <v>694753</v>
      </c>
      <c r="B1198" s="9" t="inlineStr">
        <is>
          <t>Khristian Curtis</t>
        </is>
      </c>
      <c r="C1198" s="9" t="inlineStr">
        <is>
          <t>PIT</t>
        </is>
      </c>
      <c r="D1198" s="9" t="n">
        <v>25</v>
      </c>
      <c r="E1198" s="17" t="inlineStr">
        <is>
          <t>R</t>
        </is>
      </c>
      <c r="F1198" s="17" t="n"/>
      <c r="G1198" s="9" t="n">
        <v>71</v>
      </c>
      <c r="H1198" s="9" t="n">
        <v>71</v>
      </c>
      <c r="I1198" s="9" t="inlineStr">
        <is>
          <t>Bullpen Depth Arm</t>
        </is>
      </c>
      <c r="J1198" s="17" t="inlineStr">
        <is>
          <t>Opening Day</t>
        </is>
      </c>
      <c r="K1198" s="11">
        <f>IFERROR(INDEX(Roles!$B$17:$B$20,MATCH(J1198,Roles!$A$17:$A$20,0)),1)</f>
        <v/>
      </c>
      <c r="L1198" s="18" t="n">
        <v>1</v>
      </c>
      <c r="M1198" s="18" t="n"/>
      <c r="N1198" s="18" t="n"/>
      <c r="O1198" s="18" t="n"/>
      <c r="P1198" s="18" t="n"/>
      <c r="Q1198" s="18" t="n"/>
      <c r="R1198" s="18" t="n"/>
      <c r="S1198" s="18" t="n"/>
      <c r="T1198" s="18" t="n"/>
      <c r="U1198" s="18" t="n"/>
      <c r="V1198" s="18" t="n"/>
      <c r="W1198" s="18" t="n"/>
      <c r="X1198" s="18" t="n"/>
      <c r="Y1198" s="13">
        <f>SUMPRODUCT(M1198:X1198,$M$2:$X$2)*$K1198*$L1198</f>
        <v/>
      </c>
      <c r="Z1198" s="14">
        <f>SUM(M1198:X1198)</f>
        <v/>
      </c>
      <c r="AA1198" s="13">
        <f>SUMPRODUCT(M1198:X1198,$M$3:$X$3)*$K1198*$L1198</f>
        <v/>
      </c>
      <c r="AB1198" s="13">
        <f>SUMPRODUCT(M1198:X1198,$M$4:$X$4)*$K1198*$L1198</f>
        <v/>
      </c>
      <c r="AC1198" s="15">
        <f>SUMPRODUCT(M1198:X1198,$M$5:$X$5)*$K1198*$L1198</f>
        <v/>
      </c>
      <c r="AD1198" s="15">
        <f>SUMPRODUCT(M1198:X1198,$M$6:$X$6)*$K1198*$L1198</f>
        <v/>
      </c>
      <c r="AE1198" s="19" t="n"/>
    </row>
    <row r="1199">
      <c r="A1199" s="9" t="n">
        <v>683363</v>
      </c>
      <c r="B1199" s="9" t="inlineStr">
        <is>
          <t>Matt Wilkinson</t>
        </is>
      </c>
      <c r="C1199" s="9" t="inlineStr">
        <is>
          <t>SF</t>
        </is>
      </c>
      <c r="D1199" s="9" t="n">
        <v>24</v>
      </c>
      <c r="E1199" s="17" t="inlineStr">
        <is>
          <t>L</t>
        </is>
      </c>
      <c r="F1199" s="17" t="n"/>
      <c r="G1199" s="9" t="n">
        <v>81</v>
      </c>
      <c r="H1199" s="9" t="n">
        <v>81</v>
      </c>
      <c r="I1199" s="9" t="inlineStr">
        <is>
          <t>Bullpen Depth Arm</t>
        </is>
      </c>
      <c r="J1199" s="17" t="inlineStr">
        <is>
          <t>Opening Day</t>
        </is>
      </c>
      <c r="K1199" s="11">
        <f>IFERROR(INDEX(Roles!$B$17:$B$20,MATCH(J1199,Roles!$A$17:$A$20,0)),1)</f>
        <v/>
      </c>
      <c r="L1199" s="18" t="n">
        <v>1</v>
      </c>
      <c r="M1199" s="18" t="n"/>
      <c r="N1199" s="18" t="n"/>
      <c r="O1199" s="18" t="n"/>
      <c r="P1199" s="18" t="n"/>
      <c r="Q1199" s="18" t="n"/>
      <c r="R1199" s="18" t="n"/>
      <c r="S1199" s="18" t="n"/>
      <c r="T1199" s="18" t="n"/>
      <c r="U1199" s="18" t="n"/>
      <c r="V1199" s="18" t="n"/>
      <c r="W1199" s="18" t="n"/>
      <c r="X1199" s="18" t="n"/>
      <c r="Y1199" s="13">
        <f>SUMPRODUCT(M1199:X1199,$M$2:$X$2)*$K1199*$L1199</f>
        <v/>
      </c>
      <c r="Z1199" s="14">
        <f>SUM(M1199:X1199)</f>
        <v/>
      </c>
      <c r="AA1199" s="13">
        <f>SUMPRODUCT(M1199:X1199,$M$3:$X$3)*$K1199*$L1199</f>
        <v/>
      </c>
      <c r="AB1199" s="13">
        <f>SUMPRODUCT(M1199:X1199,$M$4:$X$4)*$K1199*$L1199</f>
        <v/>
      </c>
      <c r="AC1199" s="15">
        <f>SUMPRODUCT(M1199:X1199,$M$5:$X$5)*$K1199*$L1199</f>
        <v/>
      </c>
      <c r="AD1199" s="15">
        <f>SUMPRODUCT(M1199:X1199,$M$6:$X$6)*$K1199*$L1199</f>
        <v/>
      </c>
      <c r="AE1199" s="19" t="n"/>
    </row>
    <row r="1200">
      <c r="A1200" s="9" t="n">
        <v>592791</v>
      </c>
      <c r="B1200" s="9" t="inlineStr">
        <is>
          <t>Jameson Taillon</t>
        </is>
      </c>
      <c r="C1200" s="9" t="inlineStr">
        <is>
          <t>TOR</t>
        </is>
      </c>
      <c r="D1200" s="9" t="n">
        <v>35</v>
      </c>
      <c r="E1200" s="17" t="inlineStr">
        <is>
          <t>R</t>
        </is>
      </c>
      <c r="F1200" s="17" t="n"/>
      <c r="G1200" s="9" t="n">
        <v>370</v>
      </c>
      <c r="H1200" s="9" t="n">
        <v>2947</v>
      </c>
      <c r="I1200" s="9" t="inlineStr">
        <is>
          <t>Mid-Rotation Starter (SP2-3)</t>
        </is>
      </c>
      <c r="J1200" s="17" t="inlineStr">
        <is>
          <t>Opening Day</t>
        </is>
      </c>
      <c r="K1200" s="11">
        <f>IFERROR(INDEX(Roles!$B$17:$B$20,MATCH(J1200,Roles!$A$17:$A$20,0)),1)</f>
        <v/>
      </c>
      <c r="L1200" s="18" t="n">
        <v>1</v>
      </c>
      <c r="M1200" s="18" t="n"/>
      <c r="N1200" s="18" t="n"/>
      <c r="O1200" s="18" t="n"/>
      <c r="P1200" s="18" t="n"/>
      <c r="Q1200" s="18" t="n"/>
      <c r="R1200" s="18" t="n"/>
      <c r="S1200" s="18" t="n"/>
      <c r="T1200" s="18" t="n"/>
      <c r="U1200" s="18" t="n"/>
      <c r="V1200" s="18" t="n"/>
      <c r="W1200" s="18" t="n"/>
      <c r="X1200" s="18" t="n"/>
      <c r="Y1200" s="13">
        <f>SUMPRODUCT(M1200:X1200,$M$2:$X$2)*$K1200*$L1200</f>
        <v/>
      </c>
      <c r="Z1200" s="14">
        <f>SUM(M1200:X1200)</f>
        <v/>
      </c>
      <c r="AA1200" s="13">
        <f>SUMPRODUCT(M1200:X1200,$M$3:$X$3)*$K1200*$L1200</f>
        <v/>
      </c>
      <c r="AB1200" s="13">
        <f>SUMPRODUCT(M1200:X1200,$M$4:$X$4)*$K1200*$L1200</f>
        <v/>
      </c>
      <c r="AC1200" s="15">
        <f>SUMPRODUCT(M1200:X1200,$M$5:$X$5)*$K1200*$L1200</f>
        <v/>
      </c>
      <c r="AD1200" s="15">
        <f>SUMPRODUCT(M1200:X1200,$M$6:$X$6)*$K1200*$L1200</f>
        <v/>
      </c>
      <c r="AE1200" s="19" t="n"/>
    </row>
    <row r="1201">
      <c r="A1201" s="9" t="n">
        <v>814490</v>
      </c>
      <c r="B1201" s="9" t="inlineStr">
        <is>
          <t>Ethan Pecko</t>
        </is>
      </c>
      <c r="C1201" s="9" t="inlineStr">
        <is>
          <t>HOU</t>
        </is>
      </c>
      <c r="D1201" s="9" t="n">
        <v>24</v>
      </c>
      <c r="E1201" s="17" t="inlineStr">
        <is>
          <t>R</t>
        </is>
      </c>
      <c r="F1201" s="17" t="n"/>
      <c r="G1201" s="9" t="n">
        <v>96</v>
      </c>
      <c r="H1201" s="9" t="n">
        <v>96</v>
      </c>
      <c r="I1201" s="9" t="inlineStr">
        <is>
          <t>End-of-Rotation Starter (SP4-5)</t>
        </is>
      </c>
      <c r="J1201" s="17" t="inlineStr">
        <is>
          <t>Opening Day</t>
        </is>
      </c>
      <c r="K1201" s="11">
        <f>IFERROR(INDEX(Roles!$B$17:$B$20,MATCH(J1201,Roles!$A$17:$A$20,0)),1)</f>
        <v/>
      </c>
      <c r="L1201" s="18" t="n">
        <v>1</v>
      </c>
      <c r="M1201" s="18" t="n"/>
      <c r="N1201" s="18" t="n"/>
      <c r="O1201" s="18" t="n"/>
      <c r="P1201" s="18" t="n"/>
      <c r="Q1201" s="18" t="n"/>
      <c r="R1201" s="18" t="n"/>
      <c r="S1201" s="18" t="n"/>
      <c r="T1201" s="18" t="n"/>
      <c r="U1201" s="18" t="n"/>
      <c r="V1201" s="18" t="n"/>
      <c r="W1201" s="18" t="n"/>
      <c r="X1201" s="18" t="n"/>
      <c r="Y1201" s="13">
        <f>SUMPRODUCT(M1201:X1201,$M$2:$X$2)*$K1201*$L1201</f>
        <v/>
      </c>
      <c r="Z1201" s="14">
        <f>SUM(M1201:X1201)</f>
        <v/>
      </c>
      <c r="AA1201" s="13">
        <f>SUMPRODUCT(M1201:X1201,$M$3:$X$3)*$K1201*$L1201</f>
        <v/>
      </c>
      <c r="AB1201" s="13">
        <f>SUMPRODUCT(M1201:X1201,$M$4:$X$4)*$K1201*$L1201</f>
        <v/>
      </c>
      <c r="AC1201" s="15">
        <f>SUMPRODUCT(M1201:X1201,$M$5:$X$5)*$K1201*$L1201</f>
        <v/>
      </c>
      <c r="AD1201" s="15">
        <f>SUMPRODUCT(M1201:X1201,$M$6:$X$6)*$K1201*$L1201</f>
        <v/>
      </c>
      <c r="AE1201" s="19" t="n"/>
    </row>
    <row r="1202">
      <c r="A1202" s="9" t="n">
        <v>621219</v>
      </c>
      <c r="B1202" s="9" t="inlineStr">
        <is>
          <t>Alec Mills</t>
        </is>
      </c>
      <c r="C1202" s="9" t="inlineStr">
        <is>
          <t>CHC</t>
        </is>
      </c>
      <c r="D1202" s="9" t="n">
        <v>35</v>
      </c>
      <c r="E1202" s="17" t="inlineStr">
        <is>
          <t>R</t>
        </is>
      </c>
      <c r="F1202" s="17" t="n"/>
      <c r="G1202" s="9" t="n">
        <v>10</v>
      </c>
      <c r="H1202" s="9" t="n">
        <v>94</v>
      </c>
      <c r="I1202" s="9" t="inlineStr">
        <is>
          <t>Depth (no MLB IP)</t>
        </is>
      </c>
      <c r="J1202" s="17" t="inlineStr">
        <is>
          <t>Opening Day</t>
        </is>
      </c>
      <c r="K1202" s="11">
        <f>IFERROR(INDEX(Roles!$B$17:$B$20,MATCH(J1202,Roles!$A$17:$A$20,0)),1)</f>
        <v/>
      </c>
      <c r="L1202" s="18" t="n">
        <v>1</v>
      </c>
      <c r="M1202" s="18" t="n"/>
      <c r="N1202" s="18" t="n"/>
      <c r="O1202" s="18" t="n"/>
      <c r="P1202" s="18" t="n"/>
      <c r="Q1202" s="18" t="n"/>
      <c r="R1202" s="18" t="n"/>
      <c r="S1202" s="18" t="n"/>
      <c r="T1202" s="18" t="n"/>
      <c r="U1202" s="18" t="n"/>
      <c r="V1202" s="18" t="n"/>
      <c r="W1202" s="18" t="n"/>
      <c r="X1202" s="18" t="n"/>
      <c r="Y1202" s="13">
        <f>SUMPRODUCT(M1202:X1202,$M$2:$X$2)*$K1202*$L1202</f>
        <v/>
      </c>
      <c r="Z1202" s="14">
        <f>SUM(M1202:X1202)</f>
        <v/>
      </c>
      <c r="AA1202" s="13">
        <f>SUMPRODUCT(M1202:X1202,$M$3:$X$3)*$K1202*$L1202</f>
        <v/>
      </c>
      <c r="AB1202" s="13">
        <f>SUMPRODUCT(M1202:X1202,$M$4:$X$4)*$K1202*$L1202</f>
        <v/>
      </c>
      <c r="AC1202" s="15">
        <f>SUMPRODUCT(M1202:X1202,$M$5:$X$5)*$K1202*$L1202</f>
        <v/>
      </c>
      <c r="AD1202" s="15">
        <f>SUMPRODUCT(M1202:X1202,$M$6:$X$6)*$K1202*$L1202</f>
        <v/>
      </c>
      <c r="AE1202" s="19" t="n"/>
    </row>
    <row r="1203">
      <c r="A1203" s="9" t="n">
        <v>681799</v>
      </c>
      <c r="B1203" s="9" t="inlineStr">
        <is>
          <t>Ethan Roberts</t>
        </is>
      </c>
      <c r="C1203" s="9" t="inlineStr">
        <is>
          <t>CHC</t>
        </is>
      </c>
      <c r="D1203" s="9" t="n">
        <v>29</v>
      </c>
      <c r="E1203" s="17" t="inlineStr">
        <is>
          <t>R</t>
        </is>
      </c>
      <c r="F1203" s="17" t="n"/>
      <c r="G1203" s="9" t="n">
        <v>110</v>
      </c>
      <c r="H1203" s="9" t="n">
        <v>305</v>
      </c>
      <c r="I1203" s="9" t="inlineStr">
        <is>
          <t>Bullpen Depth Arm</t>
        </is>
      </c>
      <c r="J1203" s="17" t="inlineStr">
        <is>
          <t>Opening Day</t>
        </is>
      </c>
      <c r="K1203" s="11">
        <f>IFERROR(INDEX(Roles!$B$17:$B$20,MATCH(J1203,Roles!$A$17:$A$20,0)),1)</f>
        <v/>
      </c>
      <c r="L1203" s="18" t="n">
        <v>1</v>
      </c>
      <c r="M1203" s="18" t="n"/>
      <c r="N1203" s="18" t="n"/>
      <c r="O1203" s="18" t="n"/>
      <c r="P1203" s="18" t="n"/>
      <c r="Q1203" s="18" t="n"/>
      <c r="R1203" s="18" t="n"/>
      <c r="S1203" s="18" t="n"/>
      <c r="T1203" s="18" t="n"/>
      <c r="U1203" s="18" t="n"/>
      <c r="V1203" s="18" t="n"/>
      <c r="W1203" s="18" t="n"/>
      <c r="X1203" s="18" t="n"/>
      <c r="Y1203" s="13">
        <f>SUMPRODUCT(M1203:X1203,$M$2:$X$2)*$K1203*$L1203</f>
        <v/>
      </c>
      <c r="Z1203" s="14">
        <f>SUM(M1203:X1203)</f>
        <v/>
      </c>
      <c r="AA1203" s="13">
        <f>SUMPRODUCT(M1203:X1203,$M$3:$X$3)*$K1203*$L1203</f>
        <v/>
      </c>
      <c r="AB1203" s="13">
        <f>SUMPRODUCT(M1203:X1203,$M$4:$X$4)*$K1203*$L1203</f>
        <v/>
      </c>
      <c r="AC1203" s="15">
        <f>SUMPRODUCT(M1203:X1203,$M$5:$X$5)*$K1203*$L1203</f>
        <v/>
      </c>
      <c r="AD1203" s="15">
        <f>SUMPRODUCT(M1203:X1203,$M$6:$X$6)*$K1203*$L1203</f>
        <v/>
      </c>
      <c r="AE1203" s="19" t="n"/>
    </row>
    <row r="1204">
      <c r="A1204" s="9" t="n">
        <v>607732</v>
      </c>
      <c r="B1204" s="9" t="inlineStr">
        <is>
          <t>Jacob Stallings</t>
        </is>
      </c>
      <c r="C1204" s="9" t="inlineStr">
        <is>
          <t>MIA</t>
        </is>
      </c>
      <c r="D1204" s="9" t="n">
        <v>37</v>
      </c>
      <c r="E1204" s="17" t="inlineStr">
        <is>
          <t>R</t>
        </is>
      </c>
      <c r="F1204" s="17" t="n"/>
      <c r="G1204" s="9" t="n">
        <v>8</v>
      </c>
      <c r="H1204" s="9" t="n">
        <v>44</v>
      </c>
      <c r="I1204" s="9" t="inlineStr">
        <is>
          <t>Depth (no MLB IP)</t>
        </is>
      </c>
      <c r="J1204" s="17" t="inlineStr">
        <is>
          <t>Opening Day</t>
        </is>
      </c>
      <c r="K1204" s="11">
        <f>IFERROR(INDEX(Roles!$B$17:$B$20,MATCH(J1204,Roles!$A$17:$A$20,0)),1)</f>
        <v/>
      </c>
      <c r="L1204" s="18" t="n">
        <v>1</v>
      </c>
      <c r="M1204" s="18" t="n"/>
      <c r="N1204" s="18" t="n"/>
      <c r="O1204" s="18" t="n"/>
      <c r="P1204" s="18" t="n"/>
      <c r="Q1204" s="18" t="n"/>
      <c r="R1204" s="18" t="n"/>
      <c r="S1204" s="18" t="n"/>
      <c r="T1204" s="18" t="n"/>
      <c r="U1204" s="18" t="n"/>
      <c r="V1204" s="18" t="n"/>
      <c r="W1204" s="18" t="n"/>
      <c r="X1204" s="18" t="n"/>
      <c r="Y1204" s="13">
        <f>SUMPRODUCT(M1204:X1204,$M$2:$X$2)*$K1204*$L1204</f>
        <v/>
      </c>
      <c r="Z1204" s="14">
        <f>SUM(M1204:X1204)</f>
        <v/>
      </c>
      <c r="AA1204" s="13">
        <f>SUMPRODUCT(M1204:X1204,$M$3:$X$3)*$K1204*$L1204</f>
        <v/>
      </c>
      <c r="AB1204" s="13">
        <f>SUMPRODUCT(M1204:X1204,$M$4:$X$4)*$K1204*$L1204</f>
        <v/>
      </c>
      <c r="AC1204" s="15">
        <f>SUMPRODUCT(M1204:X1204,$M$5:$X$5)*$K1204*$L1204</f>
        <v/>
      </c>
      <c r="AD1204" s="15">
        <f>SUMPRODUCT(M1204:X1204,$M$6:$X$6)*$K1204*$L1204</f>
        <v/>
      </c>
      <c r="AE1204" s="19" t="n"/>
    </row>
    <row r="1205">
      <c r="A1205" s="9" t="n">
        <v>686790</v>
      </c>
      <c r="B1205" s="9" t="inlineStr">
        <is>
          <t>Trevor McDonald</t>
        </is>
      </c>
      <c r="C1205" s="9" t="inlineStr">
        <is>
          <t>SF</t>
        </is>
      </c>
      <c r="D1205" s="9" t="n">
        <v>26</v>
      </c>
      <c r="E1205" s="17" t="inlineStr">
        <is>
          <t>R</t>
        </is>
      </c>
      <c r="F1205" s="17" t="n"/>
      <c r="G1205" s="9" t="n">
        <v>310</v>
      </c>
      <c r="H1205" s="9" t="n">
        <v>380</v>
      </c>
      <c r="I1205" s="9" t="inlineStr">
        <is>
          <t>End-of-Rotation Starter (SP4-5)</t>
        </is>
      </c>
      <c r="J1205" s="17" t="inlineStr">
        <is>
          <t>Opening Day</t>
        </is>
      </c>
      <c r="K1205" s="11">
        <f>IFERROR(INDEX(Roles!$B$17:$B$20,MATCH(J1205,Roles!$A$17:$A$20,0)),1)</f>
        <v/>
      </c>
      <c r="L1205" s="18" t="n">
        <v>1</v>
      </c>
      <c r="M1205" s="18" t="n"/>
      <c r="N1205" s="18" t="n"/>
      <c r="O1205" s="18" t="n"/>
      <c r="P1205" s="18" t="n"/>
      <c r="Q1205" s="18" t="n"/>
      <c r="R1205" s="18" t="n"/>
      <c r="S1205" s="18" t="n"/>
      <c r="T1205" s="18" t="n"/>
      <c r="U1205" s="18" t="n"/>
      <c r="V1205" s="18" t="n"/>
      <c r="W1205" s="18" t="n"/>
      <c r="X1205" s="18" t="n"/>
      <c r="Y1205" s="13">
        <f>SUMPRODUCT(M1205:X1205,$M$2:$X$2)*$K1205*$L1205</f>
        <v/>
      </c>
      <c r="Z1205" s="14">
        <f>SUM(M1205:X1205)</f>
        <v/>
      </c>
      <c r="AA1205" s="13">
        <f>SUMPRODUCT(M1205:X1205,$M$3:$X$3)*$K1205*$L1205</f>
        <v/>
      </c>
      <c r="AB1205" s="13">
        <f>SUMPRODUCT(M1205:X1205,$M$4:$X$4)*$K1205*$L1205</f>
        <v/>
      </c>
      <c r="AC1205" s="15">
        <f>SUMPRODUCT(M1205:X1205,$M$5:$X$5)*$K1205*$L1205</f>
        <v/>
      </c>
      <c r="AD1205" s="15">
        <f>SUMPRODUCT(M1205:X1205,$M$6:$X$6)*$K1205*$L1205</f>
        <v/>
      </c>
      <c r="AE1205" s="19" t="n"/>
    </row>
    <row r="1206">
      <c r="A1206" s="9" t="n">
        <v>624647</v>
      </c>
      <c r="B1206" s="9" t="inlineStr">
        <is>
          <t>Victor González</t>
        </is>
      </c>
      <c r="C1206" s="9" t="inlineStr">
        <is>
          <t>NYY</t>
        </is>
      </c>
      <c r="D1206" s="9" t="n">
        <v>31</v>
      </c>
      <c r="E1206" s="17" t="inlineStr">
        <is>
          <t>L</t>
        </is>
      </c>
      <c r="F1206" s="17" t="n"/>
      <c r="G1206" s="9" t="n">
        <v>97</v>
      </c>
      <c r="H1206" s="9" t="n">
        <v>232</v>
      </c>
      <c r="I1206" s="9" t="inlineStr">
        <is>
          <t>Depth (no MLB IP)</t>
        </is>
      </c>
      <c r="J1206" s="17" t="inlineStr">
        <is>
          <t>Opening Day</t>
        </is>
      </c>
      <c r="K1206" s="11">
        <f>IFERROR(INDEX(Roles!$B$17:$B$20,MATCH(J1206,Roles!$A$17:$A$20,0)),1)</f>
        <v/>
      </c>
      <c r="L1206" s="18" t="n">
        <v>1</v>
      </c>
      <c r="M1206" s="18" t="n"/>
      <c r="N1206" s="18" t="n"/>
      <c r="O1206" s="18" t="n"/>
      <c r="P1206" s="18" t="n"/>
      <c r="Q1206" s="18" t="n"/>
      <c r="R1206" s="18" t="n"/>
      <c r="S1206" s="18" t="n"/>
      <c r="T1206" s="18" t="n"/>
      <c r="U1206" s="18" t="n"/>
      <c r="V1206" s="18" t="n"/>
      <c r="W1206" s="18" t="n"/>
      <c r="X1206" s="18" t="n"/>
      <c r="Y1206" s="13">
        <f>SUMPRODUCT(M1206:X1206,$M$2:$X$2)*$K1206*$L1206</f>
        <v/>
      </c>
      <c r="Z1206" s="14">
        <f>SUM(M1206:X1206)</f>
        <v/>
      </c>
      <c r="AA1206" s="13">
        <f>SUMPRODUCT(M1206:X1206,$M$3:$X$3)*$K1206*$L1206</f>
        <v/>
      </c>
      <c r="AB1206" s="13">
        <f>SUMPRODUCT(M1206:X1206,$M$4:$X$4)*$K1206*$L1206</f>
        <v/>
      </c>
      <c r="AC1206" s="15">
        <f>SUMPRODUCT(M1206:X1206,$M$5:$X$5)*$K1206*$L1206</f>
        <v/>
      </c>
      <c r="AD1206" s="15">
        <f>SUMPRODUCT(M1206:X1206,$M$6:$X$6)*$K1206*$L1206</f>
        <v/>
      </c>
      <c r="AE1206" s="19" t="n"/>
    </row>
    <row r="1207">
      <c r="A1207" s="9" t="n">
        <v>675921</v>
      </c>
      <c r="B1207" s="9" t="inlineStr">
        <is>
          <t>Spencer Howard</t>
        </is>
      </c>
      <c r="C1207" s="9" t="inlineStr">
        <is>
          <t>CLE</t>
        </is>
      </c>
      <c r="D1207" s="9" t="n">
        <v>30</v>
      </c>
      <c r="E1207" s="17" t="inlineStr">
        <is>
          <t>R</t>
        </is>
      </c>
      <c r="F1207" s="17" t="n"/>
      <c r="G1207" s="9" t="n">
        <v>144</v>
      </c>
      <c r="H1207" s="9" t="n">
        <v>341</v>
      </c>
      <c r="I1207" s="9" t="inlineStr">
        <is>
          <t>Depth (no MLB IP)</t>
        </is>
      </c>
      <c r="J1207" s="17" t="inlineStr">
        <is>
          <t>Opening Day</t>
        </is>
      </c>
      <c r="K1207" s="11">
        <f>IFERROR(INDEX(Roles!$B$17:$B$20,MATCH(J1207,Roles!$A$17:$A$20,0)),1)</f>
        <v/>
      </c>
      <c r="L1207" s="18" t="n">
        <v>1</v>
      </c>
      <c r="M1207" s="18" t="n"/>
      <c r="N1207" s="18" t="n"/>
      <c r="O1207" s="18" t="n"/>
      <c r="P1207" s="18" t="n"/>
      <c r="Q1207" s="18" t="n"/>
      <c r="R1207" s="18" t="n"/>
      <c r="S1207" s="18" t="n"/>
      <c r="T1207" s="18" t="n"/>
      <c r="U1207" s="18" t="n"/>
      <c r="V1207" s="18" t="n"/>
      <c r="W1207" s="18" t="n"/>
      <c r="X1207" s="18" t="n"/>
      <c r="Y1207" s="13">
        <f>SUMPRODUCT(M1207:X1207,$M$2:$X$2)*$K1207*$L1207</f>
        <v/>
      </c>
      <c r="Z1207" s="14">
        <f>SUM(M1207:X1207)</f>
        <v/>
      </c>
      <c r="AA1207" s="13">
        <f>SUMPRODUCT(M1207:X1207,$M$3:$X$3)*$K1207*$L1207</f>
        <v/>
      </c>
      <c r="AB1207" s="13">
        <f>SUMPRODUCT(M1207:X1207,$M$4:$X$4)*$K1207*$L1207</f>
        <v/>
      </c>
      <c r="AC1207" s="15">
        <f>SUMPRODUCT(M1207:X1207,$M$5:$X$5)*$K1207*$L1207</f>
        <v/>
      </c>
      <c r="AD1207" s="15">
        <f>SUMPRODUCT(M1207:X1207,$M$6:$X$6)*$K1207*$L1207</f>
        <v/>
      </c>
      <c r="AE1207" s="19" t="n"/>
    </row>
    <row r="1208">
      <c r="A1208" s="9" t="n">
        <v>663362</v>
      </c>
      <c r="B1208" s="9" t="inlineStr">
        <is>
          <t>Matt Waldron</t>
        </is>
      </c>
      <c r="C1208" s="9" t="inlineStr">
        <is>
          <t>WSH</t>
        </is>
      </c>
      <c r="D1208" s="9" t="n">
        <v>30</v>
      </c>
      <c r="E1208" s="17" t="inlineStr">
        <is>
          <t>R</t>
        </is>
      </c>
      <c r="F1208" s="17" t="n"/>
      <c r="G1208" s="9" t="n">
        <v>194</v>
      </c>
      <c r="H1208" s="9" t="n">
        <v>1017</v>
      </c>
      <c r="I1208" s="9" t="inlineStr">
        <is>
          <t>End-of-Rotation Starter (SP4-5)</t>
        </is>
      </c>
      <c r="J1208" s="17" t="inlineStr">
        <is>
          <t>Opening Day</t>
        </is>
      </c>
      <c r="K1208" s="11">
        <f>IFERROR(INDEX(Roles!$B$17:$B$20,MATCH(J1208,Roles!$A$17:$A$20,0)),1)</f>
        <v/>
      </c>
      <c r="L1208" s="18" t="n">
        <v>1</v>
      </c>
      <c r="M1208" s="18" t="n"/>
      <c r="N1208" s="18" t="n"/>
      <c r="O1208" s="18" t="n"/>
      <c r="P1208" s="18" t="n"/>
      <c r="Q1208" s="18" t="n"/>
      <c r="R1208" s="18" t="n"/>
      <c r="S1208" s="18" t="n"/>
      <c r="T1208" s="18" t="n"/>
      <c r="U1208" s="18" t="n"/>
      <c r="V1208" s="18" t="n"/>
      <c r="W1208" s="18" t="n"/>
      <c r="X1208" s="18" t="n"/>
      <c r="Y1208" s="13">
        <f>SUMPRODUCT(M1208:X1208,$M$2:$X$2)*$K1208*$L1208</f>
        <v/>
      </c>
      <c r="Z1208" s="14">
        <f>SUM(M1208:X1208)</f>
        <v/>
      </c>
      <c r="AA1208" s="13">
        <f>SUMPRODUCT(M1208:X1208,$M$3:$X$3)*$K1208*$L1208</f>
        <v/>
      </c>
      <c r="AB1208" s="13">
        <f>SUMPRODUCT(M1208:X1208,$M$4:$X$4)*$K1208*$L1208</f>
        <v/>
      </c>
      <c r="AC1208" s="15">
        <f>SUMPRODUCT(M1208:X1208,$M$5:$X$5)*$K1208*$L1208</f>
        <v/>
      </c>
      <c r="AD1208" s="15">
        <f>SUMPRODUCT(M1208:X1208,$M$6:$X$6)*$K1208*$L1208</f>
        <v/>
      </c>
      <c r="AE1208" s="19" t="n"/>
    </row>
    <row r="1209">
      <c r="A1209" s="9" t="n">
        <v>608379</v>
      </c>
      <c r="B1209" s="9" t="inlineStr">
        <is>
          <t>Michael Wacha</t>
        </is>
      </c>
      <c r="C1209" s="9" t="inlineStr">
        <is>
          <t>KC</t>
        </is>
      </c>
      <c r="D1209" s="9" t="n">
        <v>35</v>
      </c>
      <c r="E1209" s="17" t="inlineStr">
        <is>
          <t>R</t>
        </is>
      </c>
      <c r="F1209" s="17" t="n"/>
      <c r="G1209" s="9" t="n">
        <v>760</v>
      </c>
      <c r="H1209" s="9" t="n">
        <v>3229</v>
      </c>
      <c r="I1209" s="9" t="inlineStr">
        <is>
          <t>Ace (SP1)</t>
        </is>
      </c>
      <c r="J1209" s="17" t="inlineStr">
        <is>
          <t>Opening Day</t>
        </is>
      </c>
      <c r="K1209" s="11">
        <f>IFERROR(INDEX(Roles!$B$17:$B$20,MATCH(J1209,Roles!$A$17:$A$20,0)),1)</f>
        <v/>
      </c>
      <c r="L1209" s="18" t="n">
        <v>1</v>
      </c>
      <c r="M1209" s="18" t="n"/>
      <c r="N1209" s="18" t="n"/>
      <c r="O1209" s="18" t="n"/>
      <c r="P1209" s="18" t="n"/>
      <c r="Q1209" s="18" t="n"/>
      <c r="R1209" s="18" t="n"/>
      <c r="S1209" s="18" t="n"/>
      <c r="T1209" s="18" t="n"/>
      <c r="U1209" s="18" t="n"/>
      <c r="V1209" s="18" t="n"/>
      <c r="W1209" s="18" t="n"/>
      <c r="X1209" s="18" t="n"/>
      <c r="Y1209" s="13">
        <f>SUMPRODUCT(M1209:X1209,$M$2:$X$2)*$K1209*$L1209</f>
        <v/>
      </c>
      <c r="Z1209" s="14">
        <f>SUM(M1209:X1209)</f>
        <v/>
      </c>
      <c r="AA1209" s="13">
        <f>SUMPRODUCT(M1209:X1209,$M$3:$X$3)*$K1209*$L1209</f>
        <v/>
      </c>
      <c r="AB1209" s="13">
        <f>SUMPRODUCT(M1209:X1209,$M$4:$X$4)*$K1209*$L1209</f>
        <v/>
      </c>
      <c r="AC1209" s="15">
        <f>SUMPRODUCT(M1209:X1209,$M$5:$X$5)*$K1209*$L1209</f>
        <v/>
      </c>
      <c r="AD1209" s="15">
        <f>SUMPRODUCT(M1209:X1209,$M$6:$X$6)*$K1209*$L1209</f>
        <v/>
      </c>
      <c r="AE1209" s="19" t="n"/>
    </row>
    <row r="1210">
      <c r="A1210" s="9" t="n">
        <v>669674</v>
      </c>
      <c r="B1210" s="9" t="inlineStr">
        <is>
          <t>Sam Long</t>
        </is>
      </c>
      <c r="C1210" s="9" t="inlineStr">
        <is>
          <t>KC</t>
        </is>
      </c>
      <c r="D1210" s="9" t="n">
        <v>31</v>
      </c>
      <c r="E1210" s="17" t="inlineStr">
        <is>
          <t>L</t>
        </is>
      </c>
      <c r="F1210" s="17" t="n"/>
      <c r="G1210" s="9" t="n">
        <v>189</v>
      </c>
      <c r="H1210" s="9" t="n">
        <v>745</v>
      </c>
      <c r="I1210" s="9" t="inlineStr">
        <is>
          <t>Bullpen Depth Arm</t>
        </is>
      </c>
      <c r="J1210" s="17" t="inlineStr">
        <is>
          <t>Opening Day</t>
        </is>
      </c>
      <c r="K1210" s="11">
        <f>IFERROR(INDEX(Roles!$B$17:$B$20,MATCH(J1210,Roles!$A$17:$A$20,0)),1)</f>
        <v/>
      </c>
      <c r="L1210" s="18" t="n">
        <v>1</v>
      </c>
      <c r="M1210" s="18" t="n"/>
      <c r="N1210" s="18" t="n"/>
      <c r="O1210" s="18" t="n"/>
      <c r="P1210" s="18" t="n"/>
      <c r="Q1210" s="18" t="n"/>
      <c r="R1210" s="18" t="n"/>
      <c r="S1210" s="18" t="n"/>
      <c r="T1210" s="18" t="n"/>
      <c r="U1210" s="18" t="n"/>
      <c r="V1210" s="18" t="n"/>
      <c r="W1210" s="18" t="n"/>
      <c r="X1210" s="18" t="n"/>
      <c r="Y1210" s="13">
        <f>SUMPRODUCT(M1210:X1210,$M$2:$X$2)*$K1210*$L1210</f>
        <v/>
      </c>
      <c r="Z1210" s="14">
        <f>SUM(M1210:X1210)</f>
        <v/>
      </c>
      <c r="AA1210" s="13">
        <f>SUMPRODUCT(M1210:X1210,$M$3:$X$3)*$K1210*$L1210</f>
        <v/>
      </c>
      <c r="AB1210" s="13">
        <f>SUMPRODUCT(M1210:X1210,$M$4:$X$4)*$K1210*$L1210</f>
        <v/>
      </c>
      <c r="AC1210" s="15">
        <f>SUMPRODUCT(M1210:X1210,$M$5:$X$5)*$K1210*$L1210</f>
        <v/>
      </c>
      <c r="AD1210" s="15">
        <f>SUMPRODUCT(M1210:X1210,$M$6:$X$6)*$K1210*$L1210</f>
        <v/>
      </c>
      <c r="AE1210" s="19" t="n"/>
    </row>
    <row r="1211">
      <c r="A1211" s="9" t="n">
        <v>656756</v>
      </c>
      <c r="B1211" s="9" t="inlineStr">
        <is>
          <t>Jordan Montgomery</t>
        </is>
      </c>
      <c r="C1211" s="9" t="inlineStr">
        <is>
          <t>TEX</t>
        </is>
      </c>
      <c r="D1211" s="9" t="n">
        <v>34</v>
      </c>
      <c r="E1211" s="17" t="inlineStr">
        <is>
          <t>L</t>
        </is>
      </c>
      <c r="F1211" s="17" t="n"/>
      <c r="G1211" s="9" t="n">
        <v>72</v>
      </c>
      <c r="H1211" s="9" t="n">
        <v>2105</v>
      </c>
      <c r="I1211" s="9" t="inlineStr">
        <is>
          <t>End-of-Rotation Starter (SP4-5)</t>
        </is>
      </c>
      <c r="J1211" s="17" t="inlineStr">
        <is>
          <t>Opening Day</t>
        </is>
      </c>
      <c r="K1211" s="11">
        <f>IFERROR(INDEX(Roles!$B$17:$B$20,MATCH(J1211,Roles!$A$17:$A$20,0)),1)</f>
        <v/>
      </c>
      <c r="L1211" s="18" t="n">
        <v>1</v>
      </c>
      <c r="M1211" s="18" t="n"/>
      <c r="N1211" s="18" t="n"/>
      <c r="O1211" s="18" t="n"/>
      <c r="P1211" s="18" t="n"/>
      <c r="Q1211" s="18" t="n"/>
      <c r="R1211" s="18" t="n"/>
      <c r="S1211" s="18" t="n"/>
      <c r="T1211" s="18" t="n"/>
      <c r="U1211" s="18" t="n"/>
      <c r="V1211" s="18" t="n"/>
      <c r="W1211" s="18" t="n"/>
      <c r="X1211" s="18" t="n"/>
      <c r="Y1211" s="13">
        <f>SUMPRODUCT(M1211:X1211,$M$2:$X$2)*$K1211*$L1211</f>
        <v/>
      </c>
      <c r="Z1211" s="14">
        <f>SUM(M1211:X1211)</f>
        <v/>
      </c>
      <c r="AA1211" s="13">
        <f>SUMPRODUCT(M1211:X1211,$M$3:$X$3)*$K1211*$L1211</f>
        <v/>
      </c>
      <c r="AB1211" s="13">
        <f>SUMPRODUCT(M1211:X1211,$M$4:$X$4)*$K1211*$L1211</f>
        <v/>
      </c>
      <c r="AC1211" s="15">
        <f>SUMPRODUCT(M1211:X1211,$M$5:$X$5)*$K1211*$L1211</f>
        <v/>
      </c>
      <c r="AD1211" s="15">
        <f>SUMPRODUCT(M1211:X1211,$M$6:$X$6)*$K1211*$L1211</f>
        <v/>
      </c>
      <c r="AE1211" s="19" t="n"/>
    </row>
    <row r="1212">
      <c r="A1212" s="9" t="n">
        <v>592866</v>
      </c>
      <c r="B1212" s="9" t="inlineStr">
        <is>
          <t>Trevor Williams</t>
        </is>
      </c>
      <c r="C1212" s="9" t="inlineStr">
        <is>
          <t>TEX</t>
        </is>
      </c>
      <c r="D1212" s="9" t="n">
        <v>35</v>
      </c>
      <c r="E1212" s="17" t="inlineStr">
        <is>
          <t>R</t>
        </is>
      </c>
      <c r="F1212" s="17" t="n"/>
      <c r="G1212" s="9" t="n">
        <v>96</v>
      </c>
      <c r="H1212" s="9" t="n">
        <v>1760</v>
      </c>
      <c r="I1212" s="9" t="inlineStr">
        <is>
          <t>End-of-Rotation Starter (SP4-5)</t>
        </is>
      </c>
      <c r="J1212" s="17" t="inlineStr">
        <is>
          <t>Opening Day</t>
        </is>
      </c>
      <c r="K1212" s="11">
        <f>IFERROR(INDEX(Roles!$B$17:$B$20,MATCH(J1212,Roles!$A$17:$A$20,0)),1)</f>
        <v/>
      </c>
      <c r="L1212" s="18" t="n">
        <v>1</v>
      </c>
      <c r="M1212" s="18" t="n"/>
      <c r="N1212" s="18" t="n"/>
      <c r="O1212" s="18" t="n"/>
      <c r="P1212" s="18" t="n"/>
      <c r="Q1212" s="18" t="n"/>
      <c r="R1212" s="18" t="n"/>
      <c r="S1212" s="18" t="n"/>
      <c r="T1212" s="18" t="n"/>
      <c r="U1212" s="18" t="n"/>
      <c r="V1212" s="18" t="n"/>
      <c r="W1212" s="18" t="n"/>
      <c r="X1212" s="18" t="n"/>
      <c r="Y1212" s="13">
        <f>SUMPRODUCT(M1212:X1212,$M$2:$X$2)*$K1212*$L1212</f>
        <v/>
      </c>
      <c r="Z1212" s="14">
        <f>SUM(M1212:X1212)</f>
        <v/>
      </c>
      <c r="AA1212" s="13">
        <f>SUMPRODUCT(M1212:X1212,$M$3:$X$3)*$K1212*$L1212</f>
        <v/>
      </c>
      <c r="AB1212" s="13">
        <f>SUMPRODUCT(M1212:X1212,$M$4:$X$4)*$K1212*$L1212</f>
        <v/>
      </c>
      <c r="AC1212" s="15">
        <f>SUMPRODUCT(M1212:X1212,$M$5:$X$5)*$K1212*$L1212</f>
        <v/>
      </c>
      <c r="AD1212" s="15">
        <f>SUMPRODUCT(M1212:X1212,$M$6:$X$6)*$K1212*$L1212</f>
        <v/>
      </c>
      <c r="AE1212" s="19" t="n"/>
    </row>
    <row r="1213">
      <c r="A1213" s="9" t="n">
        <v>571927</v>
      </c>
      <c r="B1213" s="9" t="inlineStr">
        <is>
          <t>Steven Matz</t>
        </is>
      </c>
      <c r="C1213" s="9" t="inlineStr">
        <is>
          <t>TB</t>
        </is>
      </c>
      <c r="D1213" s="9" t="n">
        <v>36</v>
      </c>
      <c r="E1213" s="17" t="inlineStr">
        <is>
          <t>L</t>
        </is>
      </c>
      <c r="F1213" s="17" t="n"/>
      <c r="G1213" s="9" t="n">
        <v>320</v>
      </c>
      <c r="H1213" s="9" t="n">
        <v>1475</v>
      </c>
      <c r="I1213" s="9" t="inlineStr">
        <is>
          <t>Bullpen Depth Arm</t>
        </is>
      </c>
      <c r="J1213" s="17" t="inlineStr">
        <is>
          <t>Opening Day</t>
        </is>
      </c>
      <c r="K1213" s="11">
        <f>IFERROR(INDEX(Roles!$B$17:$B$20,MATCH(J1213,Roles!$A$17:$A$20,0)),1)</f>
        <v/>
      </c>
      <c r="L1213" s="18" t="n">
        <v>1</v>
      </c>
      <c r="M1213" s="18" t="n"/>
      <c r="N1213" s="18" t="n"/>
      <c r="O1213" s="18" t="n"/>
      <c r="P1213" s="18" t="n"/>
      <c r="Q1213" s="18" t="n"/>
      <c r="R1213" s="18" t="n"/>
      <c r="S1213" s="18" t="n"/>
      <c r="T1213" s="18" t="n"/>
      <c r="U1213" s="18" t="n"/>
      <c r="V1213" s="18" t="n"/>
      <c r="W1213" s="18" t="n"/>
      <c r="X1213" s="18" t="n"/>
      <c r="Y1213" s="13">
        <f>SUMPRODUCT(M1213:X1213,$M$2:$X$2)*$K1213*$L1213</f>
        <v/>
      </c>
      <c r="Z1213" s="14">
        <f>SUM(M1213:X1213)</f>
        <v/>
      </c>
      <c r="AA1213" s="13">
        <f>SUMPRODUCT(M1213:X1213,$M$3:$X$3)*$K1213*$L1213</f>
        <v/>
      </c>
      <c r="AB1213" s="13">
        <f>SUMPRODUCT(M1213:X1213,$M$4:$X$4)*$K1213*$L1213</f>
        <v/>
      </c>
      <c r="AC1213" s="15">
        <f>SUMPRODUCT(M1213:X1213,$M$5:$X$5)*$K1213*$L1213</f>
        <v/>
      </c>
      <c r="AD1213" s="15">
        <f>SUMPRODUCT(M1213:X1213,$M$6:$X$6)*$K1213*$L1213</f>
        <v/>
      </c>
      <c r="AE1213" s="19" t="n"/>
    </row>
    <row r="1214">
      <c r="A1214" s="9" t="n">
        <v>686747</v>
      </c>
      <c r="B1214" s="9" t="inlineStr">
        <is>
          <t>Joe La Sorsa</t>
        </is>
      </c>
      <c r="C1214" s="9" t="inlineStr">
        <is>
          <t>CIN</t>
        </is>
      </c>
      <c r="D1214" s="9" t="n">
        <v>29</v>
      </c>
      <c r="E1214" s="17" t="inlineStr">
        <is>
          <t>L</t>
        </is>
      </c>
      <c r="F1214" s="17" t="n"/>
      <c r="G1214" s="9" t="n">
        <v>2</v>
      </c>
      <c r="H1214" s="9" t="n">
        <v>254</v>
      </c>
      <c r="I1214" s="9" t="inlineStr">
        <is>
          <t>Bullpen Depth Arm</t>
        </is>
      </c>
      <c r="J1214" s="17" t="inlineStr">
        <is>
          <t>Opening Day</t>
        </is>
      </c>
      <c r="K1214" s="11">
        <f>IFERROR(INDEX(Roles!$B$17:$B$20,MATCH(J1214,Roles!$A$17:$A$20,0)),1)</f>
        <v/>
      </c>
      <c r="L1214" s="18" t="n">
        <v>1</v>
      </c>
      <c r="M1214" s="18" t="n"/>
      <c r="N1214" s="18" t="n"/>
      <c r="O1214" s="18" t="n"/>
      <c r="P1214" s="18" t="n"/>
      <c r="Q1214" s="18" t="n"/>
      <c r="R1214" s="18" t="n"/>
      <c r="S1214" s="18" t="n"/>
      <c r="T1214" s="18" t="n"/>
      <c r="U1214" s="18" t="n"/>
      <c r="V1214" s="18" t="n"/>
      <c r="W1214" s="18" t="n"/>
      <c r="X1214" s="18" t="n"/>
      <c r="Y1214" s="13">
        <f>SUMPRODUCT(M1214:X1214,$M$2:$X$2)*$K1214*$L1214</f>
        <v/>
      </c>
      <c r="Z1214" s="14">
        <f>SUM(M1214:X1214)</f>
        <v/>
      </c>
      <c r="AA1214" s="13">
        <f>SUMPRODUCT(M1214:X1214,$M$3:$X$3)*$K1214*$L1214</f>
        <v/>
      </c>
      <c r="AB1214" s="13">
        <f>SUMPRODUCT(M1214:X1214,$M$4:$X$4)*$K1214*$L1214</f>
        <v/>
      </c>
      <c r="AC1214" s="15">
        <f>SUMPRODUCT(M1214:X1214,$M$5:$X$5)*$K1214*$L1214</f>
        <v/>
      </c>
      <c r="AD1214" s="15">
        <f>SUMPRODUCT(M1214:X1214,$M$6:$X$6)*$K1214*$L1214</f>
        <v/>
      </c>
      <c r="AE1214" s="19" t="n"/>
    </row>
    <row r="1215">
      <c r="A1215" s="9" t="n">
        <v>605446</v>
      </c>
      <c r="B1215" s="9" t="inlineStr">
        <is>
          <t>Dereck Rodríguez</t>
        </is>
      </c>
      <c r="C1215" s="9" t="inlineStr">
        <is>
          <t>ATL</t>
        </is>
      </c>
      <c r="D1215" s="9" t="n">
        <v>35</v>
      </c>
      <c r="E1215" s="17" t="inlineStr">
        <is>
          <t>R</t>
        </is>
      </c>
      <c r="F1215" s="17" t="n"/>
      <c r="G1215" s="9" t="n">
        <v>30</v>
      </c>
      <c r="H1215" s="9" t="n">
        <v>64</v>
      </c>
      <c r="I1215" s="9" t="inlineStr">
        <is>
          <t>Depth (no MLB IP)</t>
        </is>
      </c>
      <c r="J1215" s="17" t="inlineStr">
        <is>
          <t>Opening Day</t>
        </is>
      </c>
      <c r="K1215" s="11">
        <f>IFERROR(INDEX(Roles!$B$17:$B$20,MATCH(J1215,Roles!$A$17:$A$20,0)),1)</f>
        <v/>
      </c>
      <c r="L1215" s="18" t="n">
        <v>1</v>
      </c>
      <c r="M1215" s="18" t="n"/>
      <c r="N1215" s="18" t="n"/>
      <c r="O1215" s="18" t="n"/>
      <c r="P1215" s="18" t="n"/>
      <c r="Q1215" s="18" t="n"/>
      <c r="R1215" s="18" t="n"/>
      <c r="S1215" s="18" t="n"/>
      <c r="T1215" s="18" t="n"/>
      <c r="U1215" s="18" t="n"/>
      <c r="V1215" s="18" t="n"/>
      <c r="W1215" s="18" t="n"/>
      <c r="X1215" s="18" t="n"/>
      <c r="Y1215" s="13">
        <f>SUMPRODUCT(M1215:X1215,$M$2:$X$2)*$K1215*$L1215</f>
        <v/>
      </c>
      <c r="Z1215" s="14">
        <f>SUM(M1215:X1215)</f>
        <v/>
      </c>
      <c r="AA1215" s="13">
        <f>SUMPRODUCT(M1215:X1215,$M$3:$X$3)*$K1215*$L1215</f>
        <v/>
      </c>
      <c r="AB1215" s="13">
        <f>SUMPRODUCT(M1215:X1215,$M$4:$X$4)*$K1215*$L1215</f>
        <v/>
      </c>
      <c r="AC1215" s="15">
        <f>SUMPRODUCT(M1215:X1215,$M$5:$X$5)*$K1215*$L1215</f>
        <v/>
      </c>
      <c r="AD1215" s="15">
        <f>SUMPRODUCT(M1215:X1215,$M$6:$X$6)*$K1215*$L1215</f>
        <v/>
      </c>
      <c r="AE1215" s="19" t="n"/>
    </row>
    <row r="1216">
      <c r="A1216" s="9" t="n">
        <v>806188</v>
      </c>
      <c r="B1216" s="9" t="inlineStr">
        <is>
          <t>Cade Gibson</t>
        </is>
      </c>
      <c r="C1216" s="9" t="inlineStr">
        <is>
          <t>MIA</t>
        </is>
      </c>
      <c r="D1216" s="9" t="n">
        <v>29</v>
      </c>
      <c r="E1216" s="17" t="inlineStr">
        <is>
          <t>L</t>
        </is>
      </c>
      <c r="F1216" s="17" t="n"/>
      <c r="G1216" s="9" t="n">
        <v>210</v>
      </c>
      <c r="H1216" s="9" t="n">
        <v>440</v>
      </c>
      <c r="I1216" s="9" t="inlineStr">
        <is>
          <t>Bullpen Depth Arm</t>
        </is>
      </c>
      <c r="J1216" s="17" t="inlineStr">
        <is>
          <t>Opening Day</t>
        </is>
      </c>
      <c r="K1216" s="11">
        <f>IFERROR(INDEX(Roles!$B$17:$B$20,MATCH(J1216,Roles!$A$17:$A$20,0)),1)</f>
        <v/>
      </c>
      <c r="L1216" s="18" t="n">
        <v>1</v>
      </c>
      <c r="M1216" s="18" t="n"/>
      <c r="N1216" s="18" t="n"/>
      <c r="O1216" s="18" t="n"/>
      <c r="P1216" s="18" t="n"/>
      <c r="Q1216" s="18" t="n"/>
      <c r="R1216" s="18" t="n"/>
      <c r="S1216" s="18" t="n"/>
      <c r="T1216" s="18" t="n"/>
      <c r="U1216" s="18" t="n"/>
      <c r="V1216" s="18" t="n"/>
      <c r="W1216" s="18" t="n"/>
      <c r="X1216" s="18" t="n"/>
      <c r="Y1216" s="13">
        <f>SUMPRODUCT(M1216:X1216,$M$2:$X$2)*$K1216*$L1216</f>
        <v/>
      </c>
      <c r="Z1216" s="14">
        <f>SUM(M1216:X1216)</f>
        <v/>
      </c>
      <c r="AA1216" s="13">
        <f>SUMPRODUCT(M1216:X1216,$M$3:$X$3)*$K1216*$L1216</f>
        <v/>
      </c>
      <c r="AB1216" s="13">
        <f>SUMPRODUCT(M1216:X1216,$M$4:$X$4)*$K1216*$L1216</f>
        <v/>
      </c>
      <c r="AC1216" s="15">
        <f>SUMPRODUCT(M1216:X1216,$M$5:$X$5)*$K1216*$L1216</f>
        <v/>
      </c>
      <c r="AD1216" s="15">
        <f>SUMPRODUCT(M1216:X1216,$M$6:$X$6)*$K1216*$L1216</f>
        <v/>
      </c>
      <c r="AE1216" s="19" t="n"/>
    </row>
    <row r="1217">
      <c r="A1217" s="9" t="n">
        <v>680739</v>
      </c>
      <c r="B1217" s="9" t="inlineStr">
        <is>
          <t>Josh Winder</t>
        </is>
      </c>
      <c r="C1217" s="9" t="inlineStr">
        <is>
          <t>MIN</t>
        </is>
      </c>
      <c r="D1217" s="9" t="n">
        <v>30</v>
      </c>
      <c r="E1217" s="17" t="inlineStr">
        <is>
          <t>R</t>
        </is>
      </c>
      <c r="F1217" s="17" t="n"/>
      <c r="G1217" s="9" t="n">
        <v>38</v>
      </c>
      <c r="H1217" s="9" t="n">
        <v>472</v>
      </c>
      <c r="I1217" s="9" t="inlineStr">
        <is>
          <t>Depth (no MLB IP)</t>
        </is>
      </c>
      <c r="J1217" s="17" t="inlineStr">
        <is>
          <t>Opening Day</t>
        </is>
      </c>
      <c r="K1217" s="11">
        <f>IFERROR(INDEX(Roles!$B$17:$B$20,MATCH(J1217,Roles!$A$17:$A$20,0)),1)</f>
        <v/>
      </c>
      <c r="L1217" s="18" t="n">
        <v>1</v>
      </c>
      <c r="M1217" s="18" t="n"/>
      <c r="N1217" s="18" t="n"/>
      <c r="O1217" s="18" t="n"/>
      <c r="P1217" s="18" t="n"/>
      <c r="Q1217" s="18" t="n"/>
      <c r="R1217" s="18" t="n"/>
      <c r="S1217" s="18" t="n"/>
      <c r="T1217" s="18" t="n"/>
      <c r="U1217" s="18" t="n"/>
      <c r="V1217" s="18" t="n"/>
      <c r="W1217" s="18" t="n"/>
      <c r="X1217" s="18" t="n"/>
      <c r="Y1217" s="13">
        <f>SUMPRODUCT(M1217:X1217,$M$2:$X$2)*$K1217*$L1217</f>
        <v/>
      </c>
      <c r="Z1217" s="14">
        <f>SUM(M1217:X1217)</f>
        <v/>
      </c>
      <c r="AA1217" s="13">
        <f>SUMPRODUCT(M1217:X1217,$M$3:$X$3)*$K1217*$L1217</f>
        <v/>
      </c>
      <c r="AB1217" s="13">
        <f>SUMPRODUCT(M1217:X1217,$M$4:$X$4)*$K1217*$L1217</f>
        <v/>
      </c>
      <c r="AC1217" s="15">
        <f>SUMPRODUCT(M1217:X1217,$M$5:$X$5)*$K1217*$L1217</f>
        <v/>
      </c>
      <c r="AD1217" s="15">
        <f>SUMPRODUCT(M1217:X1217,$M$6:$X$6)*$K1217*$L1217</f>
        <v/>
      </c>
      <c r="AE1217" s="19" t="n"/>
    </row>
    <row r="1218">
      <c r="A1218" s="9" t="n">
        <v>656981</v>
      </c>
      <c r="B1218" s="9" t="inlineStr">
        <is>
          <t>Peter Solomon</t>
        </is>
      </c>
      <c r="C1218" s="9" t="inlineStr">
        <is>
          <t>ARI</t>
        </is>
      </c>
      <c r="D1218" s="9" t="n">
        <v>30</v>
      </c>
      <c r="E1218" s="17" t="inlineStr">
        <is>
          <t>R</t>
        </is>
      </c>
      <c r="F1218" s="17" t="n"/>
      <c r="G1218" s="9" t="n">
        <v>67</v>
      </c>
      <c r="H1218" s="9" t="n">
        <v>67</v>
      </c>
      <c r="I1218" s="9" t="inlineStr">
        <is>
          <t>Depth (no MLB IP)</t>
        </is>
      </c>
      <c r="J1218" s="17" t="inlineStr">
        <is>
          <t>Opening Day</t>
        </is>
      </c>
      <c r="K1218" s="11">
        <f>IFERROR(INDEX(Roles!$B$17:$B$20,MATCH(J1218,Roles!$A$17:$A$20,0)),1)</f>
        <v/>
      </c>
      <c r="L1218" s="18" t="n">
        <v>1</v>
      </c>
      <c r="M1218" s="18" t="n"/>
      <c r="N1218" s="18" t="n"/>
      <c r="O1218" s="18" t="n"/>
      <c r="P1218" s="18" t="n"/>
      <c r="Q1218" s="18" t="n"/>
      <c r="R1218" s="18" t="n"/>
      <c r="S1218" s="18" t="n"/>
      <c r="T1218" s="18" t="n"/>
      <c r="U1218" s="18" t="n"/>
      <c r="V1218" s="18" t="n"/>
      <c r="W1218" s="18" t="n"/>
      <c r="X1218" s="18" t="n"/>
      <c r="Y1218" s="13">
        <f>SUMPRODUCT(M1218:X1218,$M$2:$X$2)*$K1218*$L1218</f>
        <v/>
      </c>
      <c r="Z1218" s="14">
        <f>SUM(M1218:X1218)</f>
        <v/>
      </c>
      <c r="AA1218" s="13">
        <f>SUMPRODUCT(M1218:X1218,$M$3:$X$3)*$K1218*$L1218</f>
        <v/>
      </c>
      <c r="AB1218" s="13">
        <f>SUMPRODUCT(M1218:X1218,$M$4:$X$4)*$K1218*$L1218</f>
        <v/>
      </c>
      <c r="AC1218" s="15">
        <f>SUMPRODUCT(M1218:X1218,$M$5:$X$5)*$K1218*$L1218</f>
        <v/>
      </c>
      <c r="AD1218" s="15">
        <f>SUMPRODUCT(M1218:X1218,$M$6:$X$6)*$K1218*$L1218</f>
        <v/>
      </c>
      <c r="AE1218" s="19" t="n"/>
    </row>
    <row r="1219">
      <c r="A1219" s="9" t="n">
        <v>607644</v>
      </c>
      <c r="B1219" s="9" t="inlineStr">
        <is>
          <t>John Means</t>
        </is>
      </c>
      <c r="C1219" s="9" t="inlineStr">
        <is>
          <t>BAL</t>
        </is>
      </c>
      <c r="D1219" s="9" t="n">
        <v>34</v>
      </c>
      <c r="E1219" s="17" t="inlineStr">
        <is>
          <t>L</t>
        </is>
      </c>
      <c r="F1219" s="17" t="n"/>
      <c r="G1219" s="9" t="n">
        <v>80</v>
      </c>
      <c r="H1219" s="9" t="n">
        <v>202</v>
      </c>
      <c r="I1219" s="9" t="inlineStr">
        <is>
          <t>Depth (no MLB IP)</t>
        </is>
      </c>
      <c r="J1219" s="17" t="inlineStr">
        <is>
          <t>Opening Day</t>
        </is>
      </c>
      <c r="K1219" s="11">
        <f>IFERROR(INDEX(Roles!$B$17:$B$20,MATCH(J1219,Roles!$A$17:$A$20,0)),1)</f>
        <v/>
      </c>
      <c r="L1219" s="18" t="n">
        <v>1</v>
      </c>
      <c r="M1219" s="18" t="n"/>
      <c r="N1219" s="18" t="n"/>
      <c r="O1219" s="18" t="n"/>
      <c r="P1219" s="18" t="n"/>
      <c r="Q1219" s="18" t="n"/>
      <c r="R1219" s="18" t="n"/>
      <c r="S1219" s="18" t="n"/>
      <c r="T1219" s="18" t="n"/>
      <c r="U1219" s="18" t="n"/>
      <c r="V1219" s="18" t="n"/>
      <c r="W1219" s="18" t="n"/>
      <c r="X1219" s="18" t="n"/>
      <c r="Y1219" s="13">
        <f>SUMPRODUCT(M1219:X1219,$M$2:$X$2)*$K1219*$L1219</f>
        <v/>
      </c>
      <c r="Z1219" s="14">
        <f>SUM(M1219:X1219)</f>
        <v/>
      </c>
      <c r="AA1219" s="13">
        <f>SUMPRODUCT(M1219:X1219,$M$3:$X$3)*$K1219*$L1219</f>
        <v/>
      </c>
      <c r="AB1219" s="13">
        <f>SUMPRODUCT(M1219:X1219,$M$4:$X$4)*$K1219*$L1219</f>
        <v/>
      </c>
      <c r="AC1219" s="15">
        <f>SUMPRODUCT(M1219:X1219,$M$5:$X$5)*$K1219*$L1219</f>
        <v/>
      </c>
      <c r="AD1219" s="15">
        <f>SUMPRODUCT(M1219:X1219,$M$6:$X$6)*$K1219*$L1219</f>
        <v/>
      </c>
      <c r="AE1219" s="19" t="n"/>
    </row>
    <row r="1220">
      <c r="A1220" s="9" t="n">
        <v>571863</v>
      </c>
      <c r="B1220" s="9" t="inlineStr">
        <is>
          <t>Matt Koch</t>
        </is>
      </c>
      <c r="C1220" s="9" t="inlineStr">
        <is>
          <t>COL</t>
        </is>
      </c>
      <c r="D1220" s="9" t="n">
        <v>36</v>
      </c>
      <c r="E1220" s="17" t="inlineStr">
        <is>
          <t>R</t>
        </is>
      </c>
      <c r="F1220" s="17" t="n"/>
      <c r="G1220" s="9" t="n">
        <v>5</v>
      </c>
      <c r="H1220" s="9" t="n">
        <v>187</v>
      </c>
      <c r="I1220" s="9" t="inlineStr">
        <is>
          <t>Depth (no MLB IP)</t>
        </is>
      </c>
      <c r="J1220" s="17" t="inlineStr">
        <is>
          <t>Opening Day</t>
        </is>
      </c>
      <c r="K1220" s="11">
        <f>IFERROR(INDEX(Roles!$B$17:$B$20,MATCH(J1220,Roles!$A$17:$A$20,0)),1)</f>
        <v/>
      </c>
      <c r="L1220" s="18" t="n">
        <v>1</v>
      </c>
      <c r="M1220" s="18" t="n"/>
      <c r="N1220" s="18" t="n"/>
      <c r="O1220" s="18" t="n"/>
      <c r="P1220" s="18" t="n"/>
      <c r="Q1220" s="18" t="n"/>
      <c r="R1220" s="18" t="n"/>
      <c r="S1220" s="18" t="n"/>
      <c r="T1220" s="18" t="n"/>
      <c r="U1220" s="18" t="n"/>
      <c r="V1220" s="18" t="n"/>
      <c r="W1220" s="18" t="n"/>
      <c r="X1220" s="18" t="n"/>
      <c r="Y1220" s="13">
        <f>SUMPRODUCT(M1220:X1220,$M$2:$X$2)*$K1220*$L1220</f>
        <v/>
      </c>
      <c r="Z1220" s="14">
        <f>SUM(M1220:X1220)</f>
        <v/>
      </c>
      <c r="AA1220" s="13">
        <f>SUMPRODUCT(M1220:X1220,$M$3:$X$3)*$K1220*$L1220</f>
        <v/>
      </c>
      <c r="AB1220" s="13">
        <f>SUMPRODUCT(M1220:X1220,$M$4:$X$4)*$K1220*$L1220</f>
        <v/>
      </c>
      <c r="AC1220" s="15">
        <f>SUMPRODUCT(M1220:X1220,$M$5:$X$5)*$K1220*$L1220</f>
        <v/>
      </c>
      <c r="AD1220" s="15">
        <f>SUMPRODUCT(M1220:X1220,$M$6:$X$6)*$K1220*$L1220</f>
        <v/>
      </c>
      <c r="AE1220" s="19" t="n"/>
    </row>
    <row r="1221">
      <c r="A1221" s="9" t="n">
        <v>681146</v>
      </c>
      <c r="B1221" s="9" t="inlineStr">
        <is>
          <t>Jonah Bride</t>
        </is>
      </c>
      <c r="C1221" s="9" t="inlineStr">
        <is>
          <t>MIN</t>
        </is>
      </c>
      <c r="D1221" s="9" t="n">
        <v>31</v>
      </c>
      <c r="E1221" s="17" t="inlineStr">
        <is>
          <t>R</t>
        </is>
      </c>
      <c r="F1221" s="17" t="n"/>
      <c r="G1221" s="9" t="n">
        <v>37</v>
      </c>
      <c r="H1221" s="9" t="n">
        <v>37</v>
      </c>
      <c r="I1221" s="9" t="inlineStr">
        <is>
          <t>Bullpen Depth Arm</t>
        </is>
      </c>
      <c r="J1221" s="17" t="inlineStr">
        <is>
          <t>Opening Day</t>
        </is>
      </c>
      <c r="K1221" s="11">
        <f>IFERROR(INDEX(Roles!$B$17:$B$20,MATCH(J1221,Roles!$A$17:$A$20,0)),1)</f>
        <v/>
      </c>
      <c r="L1221" s="18" t="n">
        <v>1</v>
      </c>
      <c r="M1221" s="18" t="n"/>
      <c r="N1221" s="18" t="n"/>
      <c r="O1221" s="18" t="n"/>
      <c r="P1221" s="18" t="n"/>
      <c r="Q1221" s="18" t="n"/>
      <c r="R1221" s="18" t="n"/>
      <c r="S1221" s="18" t="n"/>
      <c r="T1221" s="18" t="n"/>
      <c r="U1221" s="18" t="n"/>
      <c r="V1221" s="18" t="n"/>
      <c r="W1221" s="18" t="n"/>
      <c r="X1221" s="18" t="n"/>
      <c r="Y1221" s="13">
        <f>SUMPRODUCT(M1221:X1221,$M$2:$X$2)*$K1221*$L1221</f>
        <v/>
      </c>
      <c r="Z1221" s="14">
        <f>SUM(M1221:X1221)</f>
        <v/>
      </c>
      <c r="AA1221" s="13">
        <f>SUMPRODUCT(M1221:X1221,$M$3:$X$3)*$K1221*$L1221</f>
        <v/>
      </c>
      <c r="AB1221" s="13">
        <f>SUMPRODUCT(M1221:X1221,$M$4:$X$4)*$K1221*$L1221</f>
        <v/>
      </c>
      <c r="AC1221" s="15">
        <f>SUMPRODUCT(M1221:X1221,$M$5:$X$5)*$K1221*$L1221</f>
        <v/>
      </c>
      <c r="AD1221" s="15">
        <f>SUMPRODUCT(M1221:X1221,$M$6:$X$6)*$K1221*$L1221</f>
        <v/>
      </c>
      <c r="AE1221" s="19" t="n"/>
    </row>
    <row r="1222">
      <c r="A1222" s="9" t="n">
        <v>674003</v>
      </c>
      <c r="B1222" s="9" t="inlineStr">
        <is>
          <t>Cody Bradford</t>
        </is>
      </c>
      <c r="C1222" s="9" t="inlineStr">
        <is>
          <t>TEX</t>
        </is>
      </c>
      <c r="D1222" s="9" t="n">
        <v>29</v>
      </c>
      <c r="E1222" s="17" t="inlineStr">
        <is>
          <t>L</t>
        </is>
      </c>
      <c r="F1222" s="17" t="n"/>
      <c r="G1222" s="9" t="n">
        <v>152</v>
      </c>
      <c r="H1222" s="9" t="n">
        <v>694</v>
      </c>
      <c r="I1222" s="9" t="inlineStr">
        <is>
          <t>Mid-Rotation Starter (SP2-3)</t>
        </is>
      </c>
      <c r="J1222" s="17" t="inlineStr">
        <is>
          <t>Opening Day</t>
        </is>
      </c>
      <c r="K1222" s="11">
        <f>IFERROR(INDEX(Roles!$B$17:$B$20,MATCH(J1222,Roles!$A$17:$A$20,0)),1)</f>
        <v/>
      </c>
      <c r="L1222" s="18" t="n">
        <v>1</v>
      </c>
      <c r="M1222" s="18" t="n"/>
      <c r="N1222" s="18" t="n"/>
      <c r="O1222" s="18" t="n"/>
      <c r="P1222" s="18" t="n"/>
      <c r="Q1222" s="18" t="n"/>
      <c r="R1222" s="18" t="n"/>
      <c r="S1222" s="18" t="n"/>
      <c r="T1222" s="18" t="n"/>
      <c r="U1222" s="18" t="n"/>
      <c r="V1222" s="18" t="n"/>
      <c r="W1222" s="18" t="n"/>
      <c r="X1222" s="18" t="n"/>
      <c r="Y1222" s="13">
        <f>SUMPRODUCT(M1222:X1222,$M$2:$X$2)*$K1222*$L1222</f>
        <v/>
      </c>
      <c r="Z1222" s="14">
        <f>SUM(M1222:X1222)</f>
        <v/>
      </c>
      <c r="AA1222" s="13">
        <f>SUMPRODUCT(M1222:X1222,$M$3:$X$3)*$K1222*$L1222</f>
        <v/>
      </c>
      <c r="AB1222" s="13">
        <f>SUMPRODUCT(M1222:X1222,$M$4:$X$4)*$K1222*$L1222</f>
        <v/>
      </c>
      <c r="AC1222" s="15">
        <f>SUMPRODUCT(M1222:X1222,$M$5:$X$5)*$K1222*$L1222</f>
        <v/>
      </c>
      <c r="AD1222" s="15">
        <f>SUMPRODUCT(M1222:X1222,$M$6:$X$6)*$K1222*$L1222</f>
        <v/>
      </c>
      <c r="AE1222" s="19" t="n"/>
    </row>
    <row r="1223">
      <c r="A1223" s="9" t="n">
        <v>681066</v>
      </c>
      <c r="B1223" s="9" t="inlineStr">
        <is>
          <t>Ky Bush</t>
        </is>
      </c>
      <c r="C1223" s="9" t="inlineStr">
        <is>
          <t>CWS</t>
        </is>
      </c>
      <c r="D1223" s="9" t="n">
        <v>27</v>
      </c>
      <c r="E1223" s="17" t="inlineStr">
        <is>
          <t>L</t>
        </is>
      </c>
      <c r="F1223" s="17" t="n"/>
      <c r="G1223" s="9" t="n">
        <v>87</v>
      </c>
      <c r="H1223" s="9" t="n">
        <v>87</v>
      </c>
      <c r="I1223" s="9" t="inlineStr">
        <is>
          <t>Depth (no MLB IP)</t>
        </is>
      </c>
      <c r="J1223" s="17" t="inlineStr">
        <is>
          <t>Opening Day</t>
        </is>
      </c>
      <c r="K1223" s="11">
        <f>IFERROR(INDEX(Roles!$B$17:$B$20,MATCH(J1223,Roles!$A$17:$A$20,0)),1)</f>
        <v/>
      </c>
      <c r="L1223" s="18" t="n">
        <v>1</v>
      </c>
      <c r="M1223" s="18" t="n"/>
      <c r="N1223" s="18" t="n"/>
      <c r="O1223" s="18" t="n"/>
      <c r="P1223" s="18" t="n"/>
      <c r="Q1223" s="18" t="n"/>
      <c r="R1223" s="18" t="n"/>
      <c r="S1223" s="18" t="n"/>
      <c r="T1223" s="18" t="n"/>
      <c r="U1223" s="18" t="n"/>
      <c r="V1223" s="18" t="n"/>
      <c r="W1223" s="18" t="n"/>
      <c r="X1223" s="18" t="n"/>
      <c r="Y1223" s="13">
        <f>SUMPRODUCT(M1223:X1223,$M$2:$X$2)*$K1223*$L1223</f>
        <v/>
      </c>
      <c r="Z1223" s="14">
        <f>SUM(M1223:X1223)</f>
        <v/>
      </c>
      <c r="AA1223" s="13">
        <f>SUMPRODUCT(M1223:X1223,$M$3:$X$3)*$K1223*$L1223</f>
        <v/>
      </c>
      <c r="AB1223" s="13">
        <f>SUMPRODUCT(M1223:X1223,$M$4:$X$4)*$K1223*$L1223</f>
        <v/>
      </c>
      <c r="AC1223" s="15">
        <f>SUMPRODUCT(M1223:X1223,$M$5:$X$5)*$K1223*$L1223</f>
        <v/>
      </c>
      <c r="AD1223" s="15">
        <f>SUMPRODUCT(M1223:X1223,$M$6:$X$6)*$K1223*$L1223</f>
        <v/>
      </c>
      <c r="AE1223" s="19" t="n"/>
    </row>
    <row r="1224">
      <c r="A1224" s="9" t="n">
        <v>595928</v>
      </c>
      <c r="B1224" s="9" t="inlineStr">
        <is>
          <t>John Curtiss</t>
        </is>
      </c>
      <c r="C1224" s="9" t="inlineStr">
        <is>
          <t>ARI</t>
        </is>
      </c>
      <c r="D1224" s="9" t="n">
        <v>34</v>
      </c>
      <c r="E1224" s="17" t="inlineStr">
        <is>
          <t>R</t>
        </is>
      </c>
      <c r="F1224" s="17" t="n"/>
      <c r="G1224" s="9" t="n">
        <v>141</v>
      </c>
      <c r="H1224" s="9" t="n">
        <v>234</v>
      </c>
      <c r="I1224" s="9" t="inlineStr">
        <is>
          <t>Bullpen Depth Arm</t>
        </is>
      </c>
      <c r="J1224" s="17" t="inlineStr">
        <is>
          <t>Opening Day</t>
        </is>
      </c>
      <c r="K1224" s="11">
        <f>IFERROR(INDEX(Roles!$B$17:$B$20,MATCH(J1224,Roles!$A$17:$A$20,0)),1)</f>
        <v/>
      </c>
      <c r="L1224" s="18" t="n">
        <v>1</v>
      </c>
      <c r="M1224" s="18" t="n"/>
      <c r="N1224" s="18" t="n"/>
      <c r="O1224" s="18" t="n"/>
      <c r="P1224" s="18" t="n"/>
      <c r="Q1224" s="18" t="n"/>
      <c r="R1224" s="18" t="n"/>
      <c r="S1224" s="18" t="n"/>
      <c r="T1224" s="18" t="n"/>
      <c r="U1224" s="18" t="n"/>
      <c r="V1224" s="18" t="n"/>
      <c r="W1224" s="18" t="n"/>
      <c r="X1224" s="18" t="n"/>
      <c r="Y1224" s="13">
        <f>SUMPRODUCT(M1224:X1224,$M$2:$X$2)*$K1224*$L1224</f>
        <v/>
      </c>
      <c r="Z1224" s="14">
        <f>SUM(M1224:X1224)</f>
        <v/>
      </c>
      <c r="AA1224" s="13">
        <f>SUMPRODUCT(M1224:X1224,$M$3:$X$3)*$K1224*$L1224</f>
        <v/>
      </c>
      <c r="AB1224" s="13">
        <f>SUMPRODUCT(M1224:X1224,$M$4:$X$4)*$K1224*$L1224</f>
        <v/>
      </c>
      <c r="AC1224" s="15">
        <f>SUMPRODUCT(M1224:X1224,$M$5:$X$5)*$K1224*$L1224</f>
        <v/>
      </c>
      <c r="AD1224" s="15">
        <f>SUMPRODUCT(M1224:X1224,$M$6:$X$6)*$K1224*$L1224</f>
        <v/>
      </c>
      <c r="AE1224" s="19" t="n"/>
    </row>
    <row r="1225">
      <c r="A1225" s="9" t="n">
        <v>664028</v>
      </c>
      <c r="B1225" s="9" t="inlineStr">
        <is>
          <t>Brett Kennedy</t>
        </is>
      </c>
      <c r="C1225" s="9" t="inlineStr">
        <is>
          <t>CIN</t>
        </is>
      </c>
      <c r="D1225" s="9" t="n">
        <v>32</v>
      </c>
      <c r="E1225" s="17" t="inlineStr">
        <is>
          <t>R</t>
        </is>
      </c>
      <c r="F1225" s="17" t="n"/>
      <c r="G1225" s="9" t="n">
        <v>83</v>
      </c>
      <c r="H1225" s="9" t="n">
        <v>83</v>
      </c>
      <c r="I1225" s="9" t="inlineStr">
        <is>
          <t>Depth (no MLB IP)</t>
        </is>
      </c>
      <c r="J1225" s="17" t="inlineStr">
        <is>
          <t>Opening Day</t>
        </is>
      </c>
      <c r="K1225" s="11">
        <f>IFERROR(INDEX(Roles!$B$17:$B$20,MATCH(J1225,Roles!$A$17:$A$20,0)),1)</f>
        <v/>
      </c>
      <c r="L1225" s="18" t="n">
        <v>1</v>
      </c>
      <c r="M1225" s="18" t="n"/>
      <c r="N1225" s="18" t="n"/>
      <c r="O1225" s="18" t="n"/>
      <c r="P1225" s="18" t="n"/>
      <c r="Q1225" s="18" t="n"/>
      <c r="R1225" s="18" t="n"/>
      <c r="S1225" s="18" t="n"/>
      <c r="T1225" s="18" t="n"/>
      <c r="U1225" s="18" t="n"/>
      <c r="V1225" s="18" t="n"/>
      <c r="W1225" s="18" t="n"/>
      <c r="X1225" s="18" t="n"/>
      <c r="Y1225" s="13">
        <f>SUMPRODUCT(M1225:X1225,$M$2:$X$2)*$K1225*$L1225</f>
        <v/>
      </c>
      <c r="Z1225" s="14">
        <f>SUM(M1225:X1225)</f>
        <v/>
      </c>
      <c r="AA1225" s="13">
        <f>SUMPRODUCT(M1225:X1225,$M$3:$X$3)*$K1225*$L1225</f>
        <v/>
      </c>
      <c r="AB1225" s="13">
        <f>SUMPRODUCT(M1225:X1225,$M$4:$X$4)*$K1225*$L1225</f>
        <v/>
      </c>
      <c r="AC1225" s="15">
        <f>SUMPRODUCT(M1225:X1225,$M$5:$X$5)*$K1225*$L1225</f>
        <v/>
      </c>
      <c r="AD1225" s="15">
        <f>SUMPRODUCT(M1225:X1225,$M$6:$X$6)*$K1225*$L1225</f>
        <v/>
      </c>
      <c r="AE1225" s="19" t="n"/>
    </row>
    <row r="1226">
      <c r="A1226" s="9" t="n">
        <v>527054</v>
      </c>
      <c r="B1226" s="9" t="inlineStr">
        <is>
          <t>Julio Teheran</t>
        </is>
      </c>
      <c r="C1226" s="9" t="inlineStr">
        <is>
          <t>MIL</t>
        </is>
      </c>
      <c r="D1226" s="9" t="n">
        <v>36</v>
      </c>
      <c r="E1226" s="17" t="inlineStr">
        <is>
          <t>R</t>
        </is>
      </c>
      <c r="F1226" s="17" t="n"/>
      <c r="G1226" s="9" t="n">
        <v>16</v>
      </c>
      <c r="H1226" s="9" t="n">
        <v>304</v>
      </c>
      <c r="I1226" s="9" t="inlineStr">
        <is>
          <t>Depth (no MLB IP)</t>
        </is>
      </c>
      <c r="J1226" s="17" t="inlineStr">
        <is>
          <t>Opening Day</t>
        </is>
      </c>
      <c r="K1226" s="11">
        <f>IFERROR(INDEX(Roles!$B$17:$B$20,MATCH(J1226,Roles!$A$17:$A$20,0)),1)</f>
        <v/>
      </c>
      <c r="L1226" s="18" t="n">
        <v>1</v>
      </c>
      <c r="M1226" s="18" t="n"/>
      <c r="N1226" s="18" t="n"/>
      <c r="O1226" s="18" t="n"/>
      <c r="P1226" s="18" t="n"/>
      <c r="Q1226" s="18" t="n"/>
      <c r="R1226" s="18" t="n"/>
      <c r="S1226" s="18" t="n"/>
      <c r="T1226" s="18" t="n"/>
      <c r="U1226" s="18" t="n"/>
      <c r="V1226" s="18" t="n"/>
      <c r="W1226" s="18" t="n"/>
      <c r="X1226" s="18" t="n"/>
      <c r="Y1226" s="13">
        <f>SUMPRODUCT(M1226:X1226,$M$2:$X$2)*$K1226*$L1226</f>
        <v/>
      </c>
      <c r="Z1226" s="14">
        <f>SUM(M1226:X1226)</f>
        <v/>
      </c>
      <c r="AA1226" s="13">
        <f>SUMPRODUCT(M1226:X1226,$M$3:$X$3)*$K1226*$L1226</f>
        <v/>
      </c>
      <c r="AB1226" s="13">
        <f>SUMPRODUCT(M1226:X1226,$M$4:$X$4)*$K1226*$L1226</f>
        <v/>
      </c>
      <c r="AC1226" s="15">
        <f>SUMPRODUCT(M1226:X1226,$M$5:$X$5)*$K1226*$L1226</f>
        <v/>
      </c>
      <c r="AD1226" s="15">
        <f>SUMPRODUCT(M1226:X1226,$M$6:$X$6)*$K1226*$L1226</f>
        <v/>
      </c>
      <c r="AE1226" s="19" t="n"/>
    </row>
    <row r="1227">
      <c r="A1227" s="9" t="n">
        <v>657248</v>
      </c>
      <c r="B1227" s="9" t="inlineStr">
        <is>
          <t>Glenn Otto Jr.</t>
        </is>
      </c>
      <c r="C1227" s="9" t="inlineStr">
        <is>
          <t>TEX</t>
        </is>
      </c>
      <c r="D1227" s="9" t="n">
        <v>31</v>
      </c>
      <c r="E1227" s="17" t="inlineStr">
        <is>
          <t>R</t>
        </is>
      </c>
      <c r="F1227" s="17" t="n"/>
      <c r="G1227" s="9" t="n">
        <v>51</v>
      </c>
      <c r="H1227" s="9" t="n">
        <v>638</v>
      </c>
      <c r="I1227" s="9" t="inlineStr">
        <is>
          <t>Depth (no MLB IP)</t>
        </is>
      </c>
      <c r="J1227" s="17" t="inlineStr">
        <is>
          <t>Opening Day</t>
        </is>
      </c>
      <c r="K1227" s="11">
        <f>IFERROR(INDEX(Roles!$B$17:$B$20,MATCH(J1227,Roles!$A$17:$A$20,0)),1)</f>
        <v/>
      </c>
      <c r="L1227" s="18" t="n">
        <v>1</v>
      </c>
      <c r="M1227" s="18" t="n"/>
      <c r="N1227" s="18" t="n"/>
      <c r="O1227" s="18" t="n"/>
      <c r="P1227" s="18" t="n"/>
      <c r="Q1227" s="18" t="n"/>
      <c r="R1227" s="18" t="n"/>
      <c r="S1227" s="18" t="n"/>
      <c r="T1227" s="18" t="n"/>
      <c r="U1227" s="18" t="n"/>
      <c r="V1227" s="18" t="n"/>
      <c r="W1227" s="18" t="n"/>
      <c r="X1227" s="18" t="n"/>
      <c r="Y1227" s="13">
        <f>SUMPRODUCT(M1227:X1227,$M$2:$X$2)*$K1227*$L1227</f>
        <v/>
      </c>
      <c r="Z1227" s="14">
        <f>SUM(M1227:X1227)</f>
        <v/>
      </c>
      <c r="AA1227" s="13">
        <f>SUMPRODUCT(M1227:X1227,$M$3:$X$3)*$K1227*$L1227</f>
        <v/>
      </c>
      <c r="AB1227" s="13">
        <f>SUMPRODUCT(M1227:X1227,$M$4:$X$4)*$K1227*$L1227</f>
        <v/>
      </c>
      <c r="AC1227" s="15">
        <f>SUMPRODUCT(M1227:X1227,$M$5:$X$5)*$K1227*$L1227</f>
        <v/>
      </c>
      <c r="AD1227" s="15">
        <f>SUMPRODUCT(M1227:X1227,$M$6:$X$6)*$K1227*$L1227</f>
        <v/>
      </c>
      <c r="AE1227" s="19" t="n"/>
    </row>
    <row r="1228">
      <c r="A1228" s="9" t="n">
        <v>666711</v>
      </c>
      <c r="B1228" s="9" t="inlineStr">
        <is>
          <t>Joel Peguero</t>
        </is>
      </c>
      <c r="C1228" s="9" t="inlineStr">
        <is>
          <t>SF</t>
        </is>
      </c>
      <c r="D1228" s="9" t="n">
        <v>30</v>
      </c>
      <c r="E1228" s="17" t="inlineStr">
        <is>
          <t>R</t>
        </is>
      </c>
      <c r="F1228" s="17" t="n"/>
      <c r="G1228" s="9" t="n">
        <v>48</v>
      </c>
      <c r="H1228" s="9" t="n">
        <v>134</v>
      </c>
      <c r="I1228" s="9" t="inlineStr">
        <is>
          <t>Bullpen Depth Arm</t>
        </is>
      </c>
      <c r="J1228" s="17" t="inlineStr">
        <is>
          <t>Opening Day</t>
        </is>
      </c>
      <c r="K1228" s="11">
        <f>IFERROR(INDEX(Roles!$B$17:$B$20,MATCH(J1228,Roles!$A$17:$A$20,0)),1)</f>
        <v/>
      </c>
      <c r="L1228" s="18" t="n">
        <v>1</v>
      </c>
      <c r="M1228" s="18" t="n"/>
      <c r="N1228" s="18" t="n"/>
      <c r="O1228" s="18" t="n"/>
      <c r="P1228" s="18" t="n"/>
      <c r="Q1228" s="18" t="n"/>
      <c r="R1228" s="18" t="n"/>
      <c r="S1228" s="18" t="n"/>
      <c r="T1228" s="18" t="n"/>
      <c r="U1228" s="18" t="n"/>
      <c r="V1228" s="18" t="n"/>
      <c r="W1228" s="18" t="n"/>
      <c r="X1228" s="18" t="n"/>
      <c r="Y1228" s="13">
        <f>SUMPRODUCT(M1228:X1228,$M$2:$X$2)*$K1228*$L1228</f>
        <v/>
      </c>
      <c r="Z1228" s="14">
        <f>SUM(M1228:X1228)</f>
        <v/>
      </c>
      <c r="AA1228" s="13">
        <f>SUMPRODUCT(M1228:X1228,$M$3:$X$3)*$K1228*$L1228</f>
        <v/>
      </c>
      <c r="AB1228" s="13">
        <f>SUMPRODUCT(M1228:X1228,$M$4:$X$4)*$K1228*$L1228</f>
        <v/>
      </c>
      <c r="AC1228" s="15">
        <f>SUMPRODUCT(M1228:X1228,$M$5:$X$5)*$K1228*$L1228</f>
        <v/>
      </c>
      <c r="AD1228" s="15">
        <f>SUMPRODUCT(M1228:X1228,$M$6:$X$6)*$K1228*$L1228</f>
        <v/>
      </c>
      <c r="AE1228" s="19" t="n"/>
    </row>
    <row r="1229">
      <c r="A1229" s="9" t="n">
        <v>670241</v>
      </c>
      <c r="B1229" s="9" t="inlineStr">
        <is>
          <t>Darius Vines</t>
        </is>
      </c>
      <c r="C1229" s="9" t="inlineStr">
        <is>
          <t>ATL</t>
        </is>
      </c>
      <c r="D1229" s="9" t="n">
        <v>29</v>
      </c>
      <c r="E1229" s="17" t="inlineStr">
        <is>
          <t>R</t>
        </is>
      </c>
      <c r="F1229" s="17" t="n"/>
      <c r="G1229" s="9" t="n">
        <v>66</v>
      </c>
      <c r="H1229" s="9" t="n">
        <v>150</v>
      </c>
      <c r="I1229" s="9" t="inlineStr">
        <is>
          <t>Depth (no MLB IP)</t>
        </is>
      </c>
      <c r="J1229" s="17" t="inlineStr">
        <is>
          <t>Opening Day</t>
        </is>
      </c>
      <c r="K1229" s="11">
        <f>IFERROR(INDEX(Roles!$B$17:$B$20,MATCH(J1229,Roles!$A$17:$A$20,0)),1)</f>
        <v/>
      </c>
      <c r="L1229" s="18" t="n">
        <v>1</v>
      </c>
      <c r="M1229" s="18" t="n"/>
      <c r="N1229" s="18" t="n"/>
      <c r="O1229" s="18" t="n"/>
      <c r="P1229" s="18" t="n"/>
      <c r="Q1229" s="18" t="n"/>
      <c r="R1229" s="18" t="n"/>
      <c r="S1229" s="18" t="n"/>
      <c r="T1229" s="18" t="n"/>
      <c r="U1229" s="18" t="n"/>
      <c r="V1229" s="18" t="n"/>
      <c r="W1229" s="18" t="n"/>
      <c r="X1229" s="18" t="n"/>
      <c r="Y1229" s="13">
        <f>SUMPRODUCT(M1229:X1229,$M$2:$X$2)*$K1229*$L1229</f>
        <v/>
      </c>
      <c r="Z1229" s="14">
        <f>SUM(M1229:X1229)</f>
        <v/>
      </c>
      <c r="AA1229" s="13">
        <f>SUMPRODUCT(M1229:X1229,$M$3:$X$3)*$K1229*$L1229</f>
        <v/>
      </c>
      <c r="AB1229" s="13">
        <f>SUMPRODUCT(M1229:X1229,$M$4:$X$4)*$K1229*$L1229</f>
        <v/>
      </c>
      <c r="AC1229" s="15">
        <f>SUMPRODUCT(M1229:X1229,$M$5:$X$5)*$K1229*$L1229</f>
        <v/>
      </c>
      <c r="AD1229" s="15">
        <f>SUMPRODUCT(M1229:X1229,$M$6:$X$6)*$K1229*$L1229</f>
        <v/>
      </c>
      <c r="AE1229" s="19" t="n"/>
    </row>
    <row r="1230">
      <c r="A1230" s="9" t="n">
        <v>446372</v>
      </c>
      <c r="B1230" s="9" t="inlineStr">
        <is>
          <t>Corey Kluber</t>
        </is>
      </c>
      <c r="C1230" s="9" t="inlineStr">
        <is>
          <t>BOS</t>
        </is>
      </c>
      <c r="D1230" s="9" t="n">
        <v>41</v>
      </c>
      <c r="E1230" s="17" t="inlineStr">
        <is>
          <t>R</t>
        </is>
      </c>
      <c r="F1230" s="17" t="n"/>
      <c r="G1230" s="9" t="n">
        <v>257</v>
      </c>
      <c r="H1230" s="9" t="n">
        <v>946</v>
      </c>
      <c r="I1230" s="9" t="inlineStr">
        <is>
          <t>Depth (no MLB IP)</t>
        </is>
      </c>
      <c r="J1230" s="17" t="inlineStr">
        <is>
          <t>Opening Day</t>
        </is>
      </c>
      <c r="K1230" s="11">
        <f>IFERROR(INDEX(Roles!$B$17:$B$20,MATCH(J1230,Roles!$A$17:$A$20,0)),1)</f>
        <v/>
      </c>
      <c r="L1230" s="18" t="n">
        <v>1</v>
      </c>
      <c r="M1230" s="18" t="n"/>
      <c r="N1230" s="18" t="n"/>
      <c r="O1230" s="18" t="n"/>
      <c r="P1230" s="18" t="n"/>
      <c r="Q1230" s="18" t="n"/>
      <c r="R1230" s="18" t="n"/>
      <c r="S1230" s="18" t="n"/>
      <c r="T1230" s="18" t="n"/>
      <c r="U1230" s="18" t="n"/>
      <c r="V1230" s="18" t="n"/>
      <c r="W1230" s="18" t="n"/>
      <c r="X1230" s="18" t="n"/>
      <c r="Y1230" s="13">
        <f>SUMPRODUCT(M1230:X1230,$M$2:$X$2)*$K1230*$L1230</f>
        <v/>
      </c>
      <c r="Z1230" s="14">
        <f>SUM(M1230:X1230)</f>
        <v/>
      </c>
      <c r="AA1230" s="13">
        <f>SUMPRODUCT(M1230:X1230,$M$3:$X$3)*$K1230*$L1230</f>
        <v/>
      </c>
      <c r="AB1230" s="13">
        <f>SUMPRODUCT(M1230:X1230,$M$4:$X$4)*$K1230*$L1230</f>
        <v/>
      </c>
      <c r="AC1230" s="15">
        <f>SUMPRODUCT(M1230:X1230,$M$5:$X$5)*$K1230*$L1230</f>
        <v/>
      </c>
      <c r="AD1230" s="15">
        <f>SUMPRODUCT(M1230:X1230,$M$6:$X$6)*$K1230*$L1230</f>
        <v/>
      </c>
      <c r="AE1230" s="19" t="n"/>
    </row>
    <row r="1231">
      <c r="A1231" s="9" t="n">
        <v>694813</v>
      </c>
      <c r="B1231" s="9" t="inlineStr">
        <is>
          <t>Gavin Stone</t>
        </is>
      </c>
      <c r="C1231" s="9" t="inlineStr">
        <is>
          <t>LAD</t>
        </is>
      </c>
      <c r="D1231" s="9" t="n">
        <v>28</v>
      </c>
      <c r="E1231" s="17" t="inlineStr">
        <is>
          <t>R</t>
        </is>
      </c>
      <c r="F1231" s="17" t="n"/>
      <c r="G1231" s="9" t="n">
        <v>580</v>
      </c>
      <c r="H1231" s="9" t="n">
        <v>732</v>
      </c>
      <c r="I1231" s="9" t="inlineStr">
        <is>
          <t>Depth (no MLB IP)</t>
        </is>
      </c>
      <c r="J1231" s="17" t="inlineStr">
        <is>
          <t>Opening Day</t>
        </is>
      </c>
      <c r="K1231" s="11">
        <f>IFERROR(INDEX(Roles!$B$17:$B$20,MATCH(J1231,Roles!$A$17:$A$20,0)),1)</f>
        <v/>
      </c>
      <c r="L1231" s="18" t="n">
        <v>1</v>
      </c>
      <c r="M1231" s="18" t="n"/>
      <c r="N1231" s="18" t="n"/>
      <c r="O1231" s="18" t="n"/>
      <c r="P1231" s="18" t="n"/>
      <c r="Q1231" s="18" t="n"/>
      <c r="R1231" s="18" t="n"/>
      <c r="S1231" s="18" t="n"/>
      <c r="T1231" s="18" t="n"/>
      <c r="U1231" s="18" t="n"/>
      <c r="V1231" s="18" t="n"/>
      <c r="W1231" s="18" t="n"/>
      <c r="X1231" s="18" t="n"/>
      <c r="Y1231" s="13">
        <f>SUMPRODUCT(M1231:X1231,$M$2:$X$2)*$K1231*$L1231</f>
        <v/>
      </c>
      <c r="Z1231" s="14">
        <f>SUM(M1231:X1231)</f>
        <v/>
      </c>
      <c r="AA1231" s="13">
        <f>SUMPRODUCT(M1231:X1231,$M$3:$X$3)*$K1231*$L1231</f>
        <v/>
      </c>
      <c r="AB1231" s="13">
        <f>SUMPRODUCT(M1231:X1231,$M$4:$X$4)*$K1231*$L1231</f>
        <v/>
      </c>
      <c r="AC1231" s="15">
        <f>SUMPRODUCT(M1231:X1231,$M$5:$X$5)*$K1231*$L1231</f>
        <v/>
      </c>
      <c r="AD1231" s="15">
        <f>SUMPRODUCT(M1231:X1231,$M$6:$X$6)*$K1231*$L1231</f>
        <v/>
      </c>
      <c r="AE1231" s="19" t="n"/>
    </row>
    <row r="1232">
      <c r="A1232" s="9" t="n">
        <v>691251</v>
      </c>
      <c r="B1232" s="9" t="inlineStr">
        <is>
          <t>Andry Lara</t>
        </is>
      </c>
      <c r="C1232" s="9" t="inlineStr">
        <is>
          <t>WSH</t>
        </is>
      </c>
      <c r="D1232" s="9" t="n">
        <v>24</v>
      </c>
      <c r="E1232" s="17" t="inlineStr">
        <is>
          <t>R</t>
        </is>
      </c>
      <c r="F1232" s="17" t="n"/>
      <c r="G1232" s="9" t="n">
        <v>78</v>
      </c>
      <c r="H1232" s="9" t="n">
        <v>78</v>
      </c>
      <c r="I1232" s="9" t="inlineStr">
        <is>
          <t>Bullpen Depth Arm</t>
        </is>
      </c>
      <c r="J1232" s="17" t="inlineStr">
        <is>
          <t>Opening Day</t>
        </is>
      </c>
      <c r="K1232" s="11">
        <f>IFERROR(INDEX(Roles!$B$17:$B$20,MATCH(J1232,Roles!$A$17:$A$20,0)),1)</f>
        <v/>
      </c>
      <c r="L1232" s="18" t="n">
        <v>1</v>
      </c>
      <c r="M1232" s="18" t="n"/>
      <c r="N1232" s="18" t="n"/>
      <c r="O1232" s="18" t="n"/>
      <c r="P1232" s="18" t="n"/>
      <c r="Q1232" s="18" t="n"/>
      <c r="R1232" s="18" t="n"/>
      <c r="S1232" s="18" t="n"/>
      <c r="T1232" s="18" t="n"/>
      <c r="U1232" s="18" t="n"/>
      <c r="V1232" s="18" t="n"/>
      <c r="W1232" s="18" t="n"/>
      <c r="X1232" s="18" t="n"/>
      <c r="Y1232" s="13">
        <f>SUMPRODUCT(M1232:X1232,$M$2:$X$2)*$K1232*$L1232</f>
        <v/>
      </c>
      <c r="Z1232" s="14">
        <f>SUM(M1232:X1232)</f>
        <v/>
      </c>
      <c r="AA1232" s="13">
        <f>SUMPRODUCT(M1232:X1232,$M$3:$X$3)*$K1232*$L1232</f>
        <v/>
      </c>
      <c r="AB1232" s="13">
        <f>SUMPRODUCT(M1232:X1232,$M$4:$X$4)*$K1232*$L1232</f>
        <v/>
      </c>
      <c r="AC1232" s="15">
        <f>SUMPRODUCT(M1232:X1232,$M$5:$X$5)*$K1232*$L1232</f>
        <v/>
      </c>
      <c r="AD1232" s="15">
        <f>SUMPRODUCT(M1232:X1232,$M$6:$X$6)*$K1232*$L1232</f>
        <v/>
      </c>
      <c r="AE1232" s="19" t="n"/>
    </row>
    <row r="1233">
      <c r="A1233" s="9" t="n">
        <v>683766</v>
      </c>
      <c r="B1233" s="9" t="inlineStr">
        <is>
          <t>Christian Koss</t>
        </is>
      </c>
      <c r="C1233" s="9" t="inlineStr"/>
      <c r="D1233" s="9" t="n">
        <v>29</v>
      </c>
      <c r="E1233" s="17" t="inlineStr">
        <is>
          <t>R</t>
        </is>
      </c>
      <c r="F1233" s="17" t="n"/>
      <c r="G1233" s="9" t="n">
        <v>10</v>
      </c>
      <c r="H1233" s="9" t="n">
        <v>26</v>
      </c>
      <c r="I1233" s="9" t="inlineStr">
        <is>
          <t>Depth (no MLB IP)</t>
        </is>
      </c>
      <c r="J1233" s="17" t="inlineStr">
        <is>
          <t>Opening Day</t>
        </is>
      </c>
      <c r="K1233" s="11">
        <f>IFERROR(INDEX(Roles!$B$17:$B$20,MATCH(J1233,Roles!$A$17:$A$20,0)),1)</f>
        <v/>
      </c>
      <c r="L1233" s="18" t="n">
        <v>1</v>
      </c>
      <c r="M1233" s="18" t="n"/>
      <c r="N1233" s="18" t="n"/>
      <c r="O1233" s="18" t="n"/>
      <c r="P1233" s="18" t="n"/>
      <c r="Q1233" s="18" t="n"/>
      <c r="R1233" s="18" t="n"/>
      <c r="S1233" s="18" t="n"/>
      <c r="T1233" s="18" t="n"/>
      <c r="U1233" s="18" t="n"/>
      <c r="V1233" s="18" t="n"/>
      <c r="W1233" s="18" t="n"/>
      <c r="X1233" s="18" t="n"/>
      <c r="Y1233" s="13">
        <f>SUMPRODUCT(M1233:X1233,$M$2:$X$2)*$K1233*$L1233</f>
        <v/>
      </c>
      <c r="Z1233" s="14">
        <f>SUM(M1233:X1233)</f>
        <v/>
      </c>
      <c r="AA1233" s="13">
        <f>SUMPRODUCT(M1233:X1233,$M$3:$X$3)*$K1233*$L1233</f>
        <v/>
      </c>
      <c r="AB1233" s="13">
        <f>SUMPRODUCT(M1233:X1233,$M$4:$X$4)*$K1233*$L1233</f>
        <v/>
      </c>
      <c r="AC1233" s="15">
        <f>SUMPRODUCT(M1233:X1233,$M$5:$X$5)*$K1233*$L1233</f>
        <v/>
      </c>
      <c r="AD1233" s="15">
        <f>SUMPRODUCT(M1233:X1233,$M$6:$X$6)*$K1233*$L1233</f>
        <v/>
      </c>
      <c r="AE1233" s="19" t="n"/>
    </row>
    <row r="1234">
      <c r="A1234" s="9" t="n">
        <v>660787</v>
      </c>
      <c r="B1234" s="9" t="inlineStr">
        <is>
          <t>Yerry De los Santos</t>
        </is>
      </c>
      <c r="C1234" s="9" t="inlineStr">
        <is>
          <t>NYY</t>
        </is>
      </c>
      <c r="D1234" s="9" t="n">
        <v>29</v>
      </c>
      <c r="E1234" s="17" t="inlineStr">
        <is>
          <t>R</t>
        </is>
      </c>
      <c r="F1234" s="17" t="n"/>
      <c r="G1234" s="9" t="n">
        <v>84</v>
      </c>
      <c r="H1234" s="9" t="n">
        <v>460</v>
      </c>
      <c r="I1234" s="9" t="inlineStr">
        <is>
          <t>Bullpen Depth Arm</t>
        </is>
      </c>
      <c r="J1234" s="17" t="inlineStr">
        <is>
          <t>Opening Day</t>
        </is>
      </c>
      <c r="K1234" s="11">
        <f>IFERROR(INDEX(Roles!$B$17:$B$20,MATCH(J1234,Roles!$A$17:$A$20,0)),1)</f>
        <v/>
      </c>
      <c r="L1234" s="18" t="n">
        <v>1</v>
      </c>
      <c r="M1234" s="18" t="n"/>
      <c r="N1234" s="18" t="n"/>
      <c r="O1234" s="18" t="n"/>
      <c r="P1234" s="18" t="n"/>
      <c r="Q1234" s="18" t="n"/>
      <c r="R1234" s="18" t="n"/>
      <c r="S1234" s="18" t="n"/>
      <c r="T1234" s="18" t="n"/>
      <c r="U1234" s="18" t="n"/>
      <c r="V1234" s="18" t="n"/>
      <c r="W1234" s="18" t="n"/>
      <c r="X1234" s="18" t="n"/>
      <c r="Y1234" s="13">
        <f>SUMPRODUCT(M1234:X1234,$M$2:$X$2)*$K1234*$L1234</f>
        <v/>
      </c>
      <c r="Z1234" s="14">
        <f>SUM(M1234:X1234)</f>
        <v/>
      </c>
      <c r="AA1234" s="13">
        <f>SUMPRODUCT(M1234:X1234,$M$3:$X$3)*$K1234*$L1234</f>
        <v/>
      </c>
      <c r="AB1234" s="13">
        <f>SUMPRODUCT(M1234:X1234,$M$4:$X$4)*$K1234*$L1234</f>
        <v/>
      </c>
      <c r="AC1234" s="15">
        <f>SUMPRODUCT(M1234:X1234,$M$5:$X$5)*$K1234*$L1234</f>
        <v/>
      </c>
      <c r="AD1234" s="15">
        <f>SUMPRODUCT(M1234:X1234,$M$6:$X$6)*$K1234*$L1234</f>
        <v/>
      </c>
      <c r="AE1234" s="19" t="n"/>
    </row>
    <row r="1235">
      <c r="A1235" s="9" t="n">
        <v>690916</v>
      </c>
      <c r="B1235" s="9" t="inlineStr">
        <is>
          <t>Richard Fitts</t>
        </is>
      </c>
      <c r="C1235" s="9" t="inlineStr">
        <is>
          <t>BOS</t>
        </is>
      </c>
      <c r="D1235" s="9" t="n">
        <v>27</v>
      </c>
      <c r="E1235" s="17" t="inlineStr">
        <is>
          <t>R</t>
        </is>
      </c>
      <c r="F1235" s="17" t="n"/>
      <c r="G1235" s="9" t="n">
        <v>195</v>
      </c>
      <c r="H1235" s="9" t="n">
        <v>280</v>
      </c>
      <c r="I1235" s="9" t="inlineStr">
        <is>
          <t>End-of-Rotation Starter (SP4-5)</t>
        </is>
      </c>
      <c r="J1235" s="17" t="inlineStr">
        <is>
          <t>Opening Day</t>
        </is>
      </c>
      <c r="K1235" s="11">
        <f>IFERROR(INDEX(Roles!$B$17:$B$20,MATCH(J1235,Roles!$A$17:$A$20,0)),1)</f>
        <v/>
      </c>
      <c r="L1235" s="18" t="n">
        <v>1</v>
      </c>
      <c r="M1235" s="18" t="n"/>
      <c r="N1235" s="18" t="n"/>
      <c r="O1235" s="18" t="n"/>
      <c r="P1235" s="18" t="n"/>
      <c r="Q1235" s="18" t="n"/>
      <c r="R1235" s="18" t="n"/>
      <c r="S1235" s="18" t="n"/>
      <c r="T1235" s="18" t="n"/>
      <c r="U1235" s="18" t="n"/>
      <c r="V1235" s="18" t="n"/>
      <c r="W1235" s="18" t="n"/>
      <c r="X1235" s="18" t="n"/>
      <c r="Y1235" s="13">
        <f>SUMPRODUCT(M1235:X1235,$M$2:$X$2)*$K1235*$L1235</f>
        <v/>
      </c>
      <c r="Z1235" s="14">
        <f>SUM(M1235:X1235)</f>
        <v/>
      </c>
      <c r="AA1235" s="13">
        <f>SUMPRODUCT(M1235:X1235,$M$3:$X$3)*$K1235*$L1235</f>
        <v/>
      </c>
      <c r="AB1235" s="13">
        <f>SUMPRODUCT(M1235:X1235,$M$4:$X$4)*$K1235*$L1235</f>
        <v/>
      </c>
      <c r="AC1235" s="15">
        <f>SUMPRODUCT(M1235:X1235,$M$5:$X$5)*$K1235*$L1235</f>
        <v/>
      </c>
      <c r="AD1235" s="15">
        <f>SUMPRODUCT(M1235:X1235,$M$6:$X$6)*$K1235*$L1235</f>
        <v/>
      </c>
      <c r="AE1235" s="19" t="n"/>
    </row>
    <row r="1236">
      <c r="A1236" s="9" t="n">
        <v>547184</v>
      </c>
      <c r="B1236" s="9" t="inlineStr">
        <is>
          <t>Michael Kelly</t>
        </is>
      </c>
      <c r="C1236" s="9" t="inlineStr">
        <is>
          <t>OAK</t>
        </is>
      </c>
      <c r="D1236" s="9" t="n">
        <v>34</v>
      </c>
      <c r="E1236" s="17" t="inlineStr">
        <is>
          <t>R</t>
        </is>
      </c>
      <c r="F1236" s="17" t="n"/>
      <c r="G1236" s="9" t="n">
        <v>32</v>
      </c>
      <c r="H1236" s="9" t="n">
        <v>413</v>
      </c>
      <c r="I1236" s="9" t="inlineStr">
        <is>
          <t>Bullpen Depth Arm</t>
        </is>
      </c>
      <c r="J1236" s="17" t="inlineStr">
        <is>
          <t>Opening Day</t>
        </is>
      </c>
      <c r="K1236" s="11">
        <f>IFERROR(INDEX(Roles!$B$17:$B$20,MATCH(J1236,Roles!$A$17:$A$20,0)),1)</f>
        <v/>
      </c>
      <c r="L1236" s="18" t="n">
        <v>1</v>
      </c>
      <c r="M1236" s="18" t="n"/>
      <c r="N1236" s="18" t="n"/>
      <c r="O1236" s="18" t="n"/>
      <c r="P1236" s="18" t="n"/>
      <c r="Q1236" s="18" t="n"/>
      <c r="R1236" s="18" t="n"/>
      <c r="S1236" s="18" t="n"/>
      <c r="T1236" s="18" t="n"/>
      <c r="U1236" s="18" t="n"/>
      <c r="V1236" s="18" t="n"/>
      <c r="W1236" s="18" t="n"/>
      <c r="X1236" s="18" t="n"/>
      <c r="Y1236" s="13">
        <f>SUMPRODUCT(M1236:X1236,$M$2:$X$2)*$K1236*$L1236</f>
        <v/>
      </c>
      <c r="Z1236" s="14">
        <f>SUM(M1236:X1236)</f>
        <v/>
      </c>
      <c r="AA1236" s="13">
        <f>SUMPRODUCT(M1236:X1236,$M$3:$X$3)*$K1236*$L1236</f>
        <v/>
      </c>
      <c r="AB1236" s="13">
        <f>SUMPRODUCT(M1236:X1236,$M$4:$X$4)*$K1236*$L1236</f>
        <v/>
      </c>
      <c r="AC1236" s="15">
        <f>SUMPRODUCT(M1236:X1236,$M$5:$X$5)*$K1236*$L1236</f>
        <v/>
      </c>
      <c r="AD1236" s="15">
        <f>SUMPRODUCT(M1236:X1236,$M$6:$X$6)*$K1236*$L1236</f>
        <v/>
      </c>
      <c r="AE1236" s="19" t="n"/>
    </row>
    <row r="1237">
      <c r="A1237" s="9" t="n">
        <v>620443</v>
      </c>
      <c r="B1237" s="9" t="inlineStr">
        <is>
          <t>Luis Torrens</t>
        </is>
      </c>
      <c r="C1237" s="9" t="inlineStr"/>
      <c r="D1237" s="9" t="n">
        <v>31</v>
      </c>
      <c r="E1237" s="17" t="inlineStr">
        <is>
          <t>R</t>
        </is>
      </c>
      <c r="F1237" s="17" t="n"/>
      <c r="G1237" s="9" t="n">
        <v>11</v>
      </c>
      <c r="H1237" s="9" t="n">
        <v>30</v>
      </c>
      <c r="I1237" s="9" t="inlineStr">
        <is>
          <t>Depth (no MLB IP)</t>
        </is>
      </c>
      <c r="J1237" s="17" t="inlineStr">
        <is>
          <t>Opening Day</t>
        </is>
      </c>
      <c r="K1237" s="11">
        <f>IFERROR(INDEX(Roles!$B$17:$B$20,MATCH(J1237,Roles!$A$17:$A$20,0)),1)</f>
        <v/>
      </c>
      <c r="L1237" s="18" t="n">
        <v>1</v>
      </c>
      <c r="M1237" s="18" t="n"/>
      <c r="N1237" s="18" t="n"/>
      <c r="O1237" s="18" t="n"/>
      <c r="P1237" s="18" t="n"/>
      <c r="Q1237" s="18" t="n"/>
      <c r="R1237" s="18" t="n"/>
      <c r="S1237" s="18" t="n"/>
      <c r="T1237" s="18" t="n"/>
      <c r="U1237" s="18" t="n"/>
      <c r="V1237" s="18" t="n"/>
      <c r="W1237" s="18" t="n"/>
      <c r="X1237" s="18" t="n"/>
      <c r="Y1237" s="13">
        <f>SUMPRODUCT(M1237:X1237,$M$2:$X$2)*$K1237*$L1237</f>
        <v/>
      </c>
      <c r="Z1237" s="14">
        <f>SUM(M1237:X1237)</f>
        <v/>
      </c>
      <c r="AA1237" s="13">
        <f>SUMPRODUCT(M1237:X1237,$M$3:$X$3)*$K1237*$L1237</f>
        <v/>
      </c>
      <c r="AB1237" s="13">
        <f>SUMPRODUCT(M1237:X1237,$M$4:$X$4)*$K1237*$L1237</f>
        <v/>
      </c>
      <c r="AC1237" s="15">
        <f>SUMPRODUCT(M1237:X1237,$M$5:$X$5)*$K1237*$L1237</f>
        <v/>
      </c>
      <c r="AD1237" s="15">
        <f>SUMPRODUCT(M1237:X1237,$M$6:$X$6)*$K1237*$L1237</f>
        <v/>
      </c>
      <c r="AE1237" s="19" t="n"/>
    </row>
    <row r="1238">
      <c r="A1238" s="9" t="n">
        <v>571539</v>
      </c>
      <c r="B1238" s="9" t="inlineStr">
        <is>
          <t>Matt Carasiti</t>
        </is>
      </c>
      <c r="C1238" s="9" t="inlineStr">
        <is>
          <t>COL</t>
        </is>
      </c>
      <c r="D1238" s="9" t="n">
        <v>35</v>
      </c>
      <c r="E1238" s="17" t="inlineStr">
        <is>
          <t>R</t>
        </is>
      </c>
      <c r="F1238" s="17" t="n"/>
      <c r="G1238" s="9" t="n">
        <v>43</v>
      </c>
      <c r="H1238" s="9" t="n">
        <v>153</v>
      </c>
      <c r="I1238" s="9" t="inlineStr">
        <is>
          <t>Depth (no MLB IP)</t>
        </is>
      </c>
      <c r="J1238" s="17" t="inlineStr">
        <is>
          <t>Opening Day</t>
        </is>
      </c>
      <c r="K1238" s="11">
        <f>IFERROR(INDEX(Roles!$B$17:$B$20,MATCH(J1238,Roles!$A$17:$A$20,0)),1)</f>
        <v/>
      </c>
      <c r="L1238" s="18" t="n">
        <v>1</v>
      </c>
      <c r="M1238" s="18" t="n"/>
      <c r="N1238" s="18" t="n"/>
      <c r="O1238" s="18" t="n"/>
      <c r="P1238" s="18" t="n"/>
      <c r="Q1238" s="18" t="n"/>
      <c r="R1238" s="18" t="n"/>
      <c r="S1238" s="18" t="n"/>
      <c r="T1238" s="18" t="n"/>
      <c r="U1238" s="18" t="n"/>
      <c r="V1238" s="18" t="n"/>
      <c r="W1238" s="18" t="n"/>
      <c r="X1238" s="18" t="n"/>
      <c r="Y1238" s="13">
        <f>SUMPRODUCT(M1238:X1238,$M$2:$X$2)*$K1238*$L1238</f>
        <v/>
      </c>
      <c r="Z1238" s="14">
        <f>SUM(M1238:X1238)</f>
        <v/>
      </c>
      <c r="AA1238" s="13">
        <f>SUMPRODUCT(M1238:X1238,$M$3:$X$3)*$K1238*$L1238</f>
        <v/>
      </c>
      <c r="AB1238" s="13">
        <f>SUMPRODUCT(M1238:X1238,$M$4:$X$4)*$K1238*$L1238</f>
        <v/>
      </c>
      <c r="AC1238" s="15">
        <f>SUMPRODUCT(M1238:X1238,$M$5:$X$5)*$K1238*$L1238</f>
        <v/>
      </c>
      <c r="AD1238" s="15">
        <f>SUMPRODUCT(M1238:X1238,$M$6:$X$6)*$K1238*$L1238</f>
        <v/>
      </c>
      <c r="AE1238" s="19" t="n"/>
    </row>
    <row r="1239">
      <c r="A1239" s="9" t="n">
        <v>665665</v>
      </c>
      <c r="B1239" s="9" t="inlineStr">
        <is>
          <t>Reiver Sanmartin</t>
        </is>
      </c>
      <c r="C1239" s="9" t="inlineStr">
        <is>
          <t>SF</t>
        </is>
      </c>
      <c r="D1239" s="9" t="n">
        <v>31</v>
      </c>
      <c r="E1239" s="17" t="inlineStr">
        <is>
          <t>L</t>
        </is>
      </c>
      <c r="F1239" s="17" t="n"/>
      <c r="G1239" s="9" t="n">
        <v>93</v>
      </c>
      <c r="H1239" s="9" t="n">
        <v>427</v>
      </c>
      <c r="I1239" s="9" t="inlineStr">
        <is>
          <t>Bullpen Depth Arm</t>
        </is>
      </c>
      <c r="J1239" s="17" t="inlineStr">
        <is>
          <t>Opening Day</t>
        </is>
      </c>
      <c r="K1239" s="11">
        <f>IFERROR(INDEX(Roles!$B$17:$B$20,MATCH(J1239,Roles!$A$17:$A$20,0)),1)</f>
        <v/>
      </c>
      <c r="L1239" s="18" t="n">
        <v>1</v>
      </c>
      <c r="M1239" s="18" t="n"/>
      <c r="N1239" s="18" t="n"/>
      <c r="O1239" s="18" t="n"/>
      <c r="P1239" s="18" t="n"/>
      <c r="Q1239" s="18" t="n"/>
      <c r="R1239" s="18" t="n"/>
      <c r="S1239" s="18" t="n"/>
      <c r="T1239" s="18" t="n"/>
      <c r="U1239" s="18" t="n"/>
      <c r="V1239" s="18" t="n"/>
      <c r="W1239" s="18" t="n"/>
      <c r="X1239" s="18" t="n"/>
      <c r="Y1239" s="13">
        <f>SUMPRODUCT(M1239:X1239,$M$2:$X$2)*$K1239*$L1239</f>
        <v/>
      </c>
      <c r="Z1239" s="14">
        <f>SUM(M1239:X1239)</f>
        <v/>
      </c>
      <c r="AA1239" s="13">
        <f>SUMPRODUCT(M1239:X1239,$M$3:$X$3)*$K1239*$L1239</f>
        <v/>
      </c>
      <c r="AB1239" s="13">
        <f>SUMPRODUCT(M1239:X1239,$M$4:$X$4)*$K1239*$L1239</f>
        <v/>
      </c>
      <c r="AC1239" s="15">
        <f>SUMPRODUCT(M1239:X1239,$M$5:$X$5)*$K1239*$L1239</f>
        <v/>
      </c>
      <c r="AD1239" s="15">
        <f>SUMPRODUCT(M1239:X1239,$M$6:$X$6)*$K1239*$L1239</f>
        <v/>
      </c>
      <c r="AE1239" s="19" t="n"/>
    </row>
    <row r="1240">
      <c r="A1240" s="9" t="n">
        <v>699151</v>
      </c>
      <c r="B1240" s="9" t="inlineStr">
        <is>
          <t>Jedixson Paez</t>
        </is>
      </c>
      <c r="C1240" s="9" t="inlineStr">
        <is>
          <t>BOS</t>
        </is>
      </c>
      <c r="D1240" s="9" t="n">
        <v>23</v>
      </c>
      <c r="E1240" s="17" t="inlineStr">
        <is>
          <t>R</t>
        </is>
      </c>
      <c r="F1240" s="17" t="n"/>
      <c r="G1240" s="9" t="n">
        <v>39</v>
      </c>
      <c r="H1240" s="9" t="n">
        <v>39</v>
      </c>
      <c r="I1240" s="9" t="inlineStr">
        <is>
          <t>Bullpen Depth Arm</t>
        </is>
      </c>
      <c r="J1240" s="17" t="inlineStr">
        <is>
          <t>Opening Day</t>
        </is>
      </c>
      <c r="K1240" s="11">
        <f>IFERROR(INDEX(Roles!$B$17:$B$20,MATCH(J1240,Roles!$A$17:$A$20,0)),1)</f>
        <v/>
      </c>
      <c r="L1240" s="18" t="n">
        <v>1</v>
      </c>
      <c r="M1240" s="18" t="n"/>
      <c r="N1240" s="18" t="n"/>
      <c r="O1240" s="18" t="n"/>
      <c r="P1240" s="18" t="n"/>
      <c r="Q1240" s="18" t="n"/>
      <c r="R1240" s="18" t="n"/>
      <c r="S1240" s="18" t="n"/>
      <c r="T1240" s="18" t="n"/>
      <c r="U1240" s="18" t="n"/>
      <c r="V1240" s="18" t="n"/>
      <c r="W1240" s="18" t="n"/>
      <c r="X1240" s="18" t="n"/>
      <c r="Y1240" s="13">
        <f>SUMPRODUCT(M1240:X1240,$M$2:$X$2)*$K1240*$L1240</f>
        <v/>
      </c>
      <c r="Z1240" s="14">
        <f>SUM(M1240:X1240)</f>
        <v/>
      </c>
      <c r="AA1240" s="13">
        <f>SUMPRODUCT(M1240:X1240,$M$3:$X$3)*$K1240*$L1240</f>
        <v/>
      </c>
      <c r="AB1240" s="13">
        <f>SUMPRODUCT(M1240:X1240,$M$4:$X$4)*$K1240*$L1240</f>
        <v/>
      </c>
      <c r="AC1240" s="15">
        <f>SUMPRODUCT(M1240:X1240,$M$5:$X$5)*$K1240*$L1240</f>
        <v/>
      </c>
      <c r="AD1240" s="15">
        <f>SUMPRODUCT(M1240:X1240,$M$6:$X$6)*$K1240*$L1240</f>
        <v/>
      </c>
      <c r="AE1240" s="19" t="n"/>
    </row>
    <row r="1241">
      <c r="A1241" s="9" t="n">
        <v>671162</v>
      </c>
      <c r="B1241" s="9" t="inlineStr">
        <is>
          <t>Connor Thomas</t>
        </is>
      </c>
      <c r="C1241" s="9" t="inlineStr">
        <is>
          <t>KC</t>
        </is>
      </c>
      <c r="D1241" s="9" t="n">
        <v>29</v>
      </c>
      <c r="E1241" s="17" t="inlineStr">
        <is>
          <t>L</t>
        </is>
      </c>
      <c r="F1241" s="17" t="n"/>
      <c r="G1241" s="9" t="n">
        <v>85</v>
      </c>
      <c r="H1241" s="9" t="n">
        <v>116</v>
      </c>
      <c r="I1241" s="9" t="inlineStr">
        <is>
          <t>Bullpen Depth Arm</t>
        </is>
      </c>
      <c r="J1241" s="17" t="inlineStr">
        <is>
          <t>Opening Day</t>
        </is>
      </c>
      <c r="K1241" s="11">
        <f>IFERROR(INDEX(Roles!$B$17:$B$20,MATCH(J1241,Roles!$A$17:$A$20,0)),1)</f>
        <v/>
      </c>
      <c r="L1241" s="18" t="n">
        <v>1</v>
      </c>
      <c r="M1241" s="18" t="n"/>
      <c r="N1241" s="18" t="n"/>
      <c r="O1241" s="18" t="n"/>
      <c r="P1241" s="18" t="n"/>
      <c r="Q1241" s="18" t="n"/>
      <c r="R1241" s="18" t="n"/>
      <c r="S1241" s="18" t="n"/>
      <c r="T1241" s="18" t="n"/>
      <c r="U1241" s="18" t="n"/>
      <c r="V1241" s="18" t="n"/>
      <c r="W1241" s="18" t="n"/>
      <c r="X1241" s="18" t="n"/>
      <c r="Y1241" s="13">
        <f>SUMPRODUCT(M1241:X1241,$M$2:$X$2)*$K1241*$L1241</f>
        <v/>
      </c>
      <c r="Z1241" s="14">
        <f>SUM(M1241:X1241)</f>
        <v/>
      </c>
      <c r="AA1241" s="13">
        <f>SUMPRODUCT(M1241:X1241,$M$3:$X$3)*$K1241*$L1241</f>
        <v/>
      </c>
      <c r="AB1241" s="13">
        <f>SUMPRODUCT(M1241:X1241,$M$4:$X$4)*$K1241*$L1241</f>
        <v/>
      </c>
      <c r="AC1241" s="15">
        <f>SUMPRODUCT(M1241:X1241,$M$5:$X$5)*$K1241*$L1241</f>
        <v/>
      </c>
      <c r="AD1241" s="15">
        <f>SUMPRODUCT(M1241:X1241,$M$6:$X$6)*$K1241*$L1241</f>
        <v/>
      </c>
      <c r="AE1241" s="19" t="n"/>
    </row>
    <row r="1242">
      <c r="A1242" s="9" t="n">
        <v>592229</v>
      </c>
      <c r="B1242" s="9" t="inlineStr">
        <is>
          <t>Dylan Covey</t>
        </is>
      </c>
      <c r="C1242" s="9" t="inlineStr">
        <is>
          <t>PHI</t>
        </is>
      </c>
      <c r="D1242" s="9" t="n">
        <v>35</v>
      </c>
      <c r="E1242" s="17" t="inlineStr">
        <is>
          <t>R</t>
        </is>
      </c>
      <c r="F1242" s="17" t="n"/>
      <c r="G1242" s="9" t="n">
        <v>191</v>
      </c>
      <c r="H1242" s="9" t="n">
        <v>191</v>
      </c>
      <c r="I1242" s="9" t="inlineStr">
        <is>
          <t>Depth (no MLB IP)</t>
        </is>
      </c>
      <c r="J1242" s="17" t="inlineStr">
        <is>
          <t>Opening Day</t>
        </is>
      </c>
      <c r="K1242" s="11">
        <f>IFERROR(INDEX(Roles!$B$17:$B$20,MATCH(J1242,Roles!$A$17:$A$20,0)),1)</f>
        <v/>
      </c>
      <c r="L1242" s="18" t="n">
        <v>1</v>
      </c>
      <c r="M1242" s="18" t="n"/>
      <c r="N1242" s="18" t="n"/>
      <c r="O1242" s="18" t="n"/>
      <c r="P1242" s="18" t="n"/>
      <c r="Q1242" s="18" t="n"/>
      <c r="R1242" s="18" t="n"/>
      <c r="S1242" s="18" t="n"/>
      <c r="T1242" s="18" t="n"/>
      <c r="U1242" s="18" t="n"/>
      <c r="V1242" s="18" t="n"/>
      <c r="W1242" s="18" t="n"/>
      <c r="X1242" s="18" t="n"/>
      <c r="Y1242" s="13">
        <f>SUMPRODUCT(M1242:X1242,$M$2:$X$2)*$K1242*$L1242</f>
        <v/>
      </c>
      <c r="Z1242" s="14">
        <f>SUM(M1242:X1242)</f>
        <v/>
      </c>
      <c r="AA1242" s="13">
        <f>SUMPRODUCT(M1242:X1242,$M$3:$X$3)*$K1242*$L1242</f>
        <v/>
      </c>
      <c r="AB1242" s="13">
        <f>SUMPRODUCT(M1242:X1242,$M$4:$X$4)*$K1242*$L1242</f>
        <v/>
      </c>
      <c r="AC1242" s="15">
        <f>SUMPRODUCT(M1242:X1242,$M$5:$X$5)*$K1242*$L1242</f>
        <v/>
      </c>
      <c r="AD1242" s="15">
        <f>SUMPRODUCT(M1242:X1242,$M$6:$X$6)*$K1242*$L1242</f>
        <v/>
      </c>
      <c r="AE1242" s="19" t="n"/>
    </row>
    <row r="1243">
      <c r="A1243" s="9" t="n">
        <v>621097</v>
      </c>
      <c r="B1243" s="9" t="inlineStr">
        <is>
          <t>Jacob Waguespack</t>
        </is>
      </c>
      <c r="C1243" s="9" t="inlineStr">
        <is>
          <t>DET</t>
        </is>
      </c>
      <c r="D1243" s="9" t="n">
        <v>33</v>
      </c>
      <c r="E1243" s="17" t="inlineStr">
        <is>
          <t>R</t>
        </is>
      </c>
      <c r="F1243" s="17" t="n"/>
      <c r="G1243" s="9" t="n">
        <v>159</v>
      </c>
      <c r="H1243" s="9" t="n">
        <v>210</v>
      </c>
      <c r="I1243" s="9" t="inlineStr">
        <is>
          <t>Bullpen Depth Arm</t>
        </is>
      </c>
      <c r="J1243" s="17" t="inlineStr">
        <is>
          <t>Opening Day</t>
        </is>
      </c>
      <c r="K1243" s="11">
        <f>IFERROR(INDEX(Roles!$B$17:$B$20,MATCH(J1243,Roles!$A$17:$A$20,0)),1)</f>
        <v/>
      </c>
      <c r="L1243" s="18" t="n">
        <v>1</v>
      </c>
      <c r="M1243" s="18" t="n"/>
      <c r="N1243" s="18" t="n"/>
      <c r="O1243" s="18" t="n"/>
      <c r="P1243" s="18" t="n"/>
      <c r="Q1243" s="18" t="n"/>
      <c r="R1243" s="18" t="n"/>
      <c r="S1243" s="18" t="n"/>
      <c r="T1243" s="18" t="n"/>
      <c r="U1243" s="18" t="n"/>
      <c r="V1243" s="18" t="n"/>
      <c r="W1243" s="18" t="n"/>
      <c r="X1243" s="18" t="n"/>
      <c r="Y1243" s="13">
        <f>SUMPRODUCT(M1243:X1243,$M$2:$X$2)*$K1243*$L1243</f>
        <v/>
      </c>
      <c r="Z1243" s="14">
        <f>SUM(M1243:X1243)</f>
        <v/>
      </c>
      <c r="AA1243" s="13">
        <f>SUMPRODUCT(M1243:X1243,$M$3:$X$3)*$K1243*$L1243</f>
        <v/>
      </c>
      <c r="AB1243" s="13">
        <f>SUMPRODUCT(M1243:X1243,$M$4:$X$4)*$K1243*$L1243</f>
        <v/>
      </c>
      <c r="AC1243" s="15">
        <f>SUMPRODUCT(M1243:X1243,$M$5:$X$5)*$K1243*$L1243</f>
        <v/>
      </c>
      <c r="AD1243" s="15">
        <f>SUMPRODUCT(M1243:X1243,$M$6:$X$6)*$K1243*$L1243</f>
        <v/>
      </c>
      <c r="AE1243" s="19" t="n"/>
    </row>
    <row r="1244">
      <c r="A1244" s="9" t="n">
        <v>547001</v>
      </c>
      <c r="B1244" s="9" t="inlineStr">
        <is>
          <t>Cody Poteet</t>
        </is>
      </c>
      <c r="C1244" s="9" t="inlineStr">
        <is>
          <t>NYY</t>
        </is>
      </c>
      <c r="D1244" s="9" t="n">
        <v>32</v>
      </c>
      <c r="E1244" s="17" t="inlineStr">
        <is>
          <t>R</t>
        </is>
      </c>
      <c r="F1244" s="17" t="n"/>
      <c r="G1244" s="9" t="n">
        <v>16</v>
      </c>
      <c r="H1244" s="9" t="n">
        <v>226</v>
      </c>
      <c r="I1244" s="9" t="inlineStr">
        <is>
          <t>Depth (no MLB IP)</t>
        </is>
      </c>
      <c r="J1244" s="17" t="inlineStr">
        <is>
          <t>Opening Day</t>
        </is>
      </c>
      <c r="K1244" s="11">
        <f>IFERROR(INDEX(Roles!$B$17:$B$20,MATCH(J1244,Roles!$A$17:$A$20,0)),1)</f>
        <v/>
      </c>
      <c r="L1244" s="18" t="n">
        <v>1</v>
      </c>
      <c r="M1244" s="18" t="n"/>
      <c r="N1244" s="18" t="n"/>
      <c r="O1244" s="18" t="n"/>
      <c r="P1244" s="18" t="n"/>
      <c r="Q1244" s="18" t="n"/>
      <c r="R1244" s="18" t="n"/>
      <c r="S1244" s="18" t="n"/>
      <c r="T1244" s="18" t="n"/>
      <c r="U1244" s="18" t="n"/>
      <c r="V1244" s="18" t="n"/>
      <c r="W1244" s="18" t="n"/>
      <c r="X1244" s="18" t="n"/>
      <c r="Y1244" s="13">
        <f>SUMPRODUCT(M1244:X1244,$M$2:$X$2)*$K1244*$L1244</f>
        <v/>
      </c>
      <c r="Z1244" s="14">
        <f>SUM(M1244:X1244)</f>
        <v/>
      </c>
      <c r="AA1244" s="13">
        <f>SUMPRODUCT(M1244:X1244,$M$3:$X$3)*$K1244*$L1244</f>
        <v/>
      </c>
      <c r="AB1244" s="13">
        <f>SUMPRODUCT(M1244:X1244,$M$4:$X$4)*$K1244*$L1244</f>
        <v/>
      </c>
      <c r="AC1244" s="15">
        <f>SUMPRODUCT(M1244:X1244,$M$5:$X$5)*$K1244*$L1244</f>
        <v/>
      </c>
      <c r="AD1244" s="15">
        <f>SUMPRODUCT(M1244:X1244,$M$6:$X$6)*$K1244*$L1244</f>
        <v/>
      </c>
      <c r="AE1244" s="19" t="n"/>
    </row>
    <row r="1245">
      <c r="A1245" s="9" t="n">
        <v>666619</v>
      </c>
      <c r="B1245" s="9" t="inlineStr">
        <is>
          <t>Gregory Santos</t>
        </is>
      </c>
      <c r="C1245" s="9" t="inlineStr">
        <is>
          <t>SEA</t>
        </is>
      </c>
      <c r="D1245" s="9" t="n">
        <v>27</v>
      </c>
      <c r="E1245" s="17" t="inlineStr">
        <is>
          <t>R</t>
        </is>
      </c>
      <c r="F1245" s="17" t="n"/>
      <c r="G1245" s="9" t="n">
        <v>22</v>
      </c>
      <c r="H1245" s="9" t="n">
        <v>395</v>
      </c>
      <c r="I1245" s="9" t="inlineStr">
        <is>
          <t>Bullpen Depth Arm</t>
        </is>
      </c>
      <c r="J1245" s="17" t="inlineStr">
        <is>
          <t>Opening Day</t>
        </is>
      </c>
      <c r="K1245" s="11">
        <f>IFERROR(INDEX(Roles!$B$17:$B$20,MATCH(J1245,Roles!$A$17:$A$20,0)),1)</f>
        <v/>
      </c>
      <c r="L1245" s="18" t="n">
        <v>1</v>
      </c>
      <c r="M1245" s="18" t="n"/>
      <c r="N1245" s="18" t="n"/>
      <c r="O1245" s="18" t="n"/>
      <c r="P1245" s="18" t="n"/>
      <c r="Q1245" s="18" t="n"/>
      <c r="R1245" s="18" t="n"/>
      <c r="S1245" s="18" t="n"/>
      <c r="T1245" s="18" t="n"/>
      <c r="U1245" s="18" t="n"/>
      <c r="V1245" s="18" t="n"/>
      <c r="W1245" s="18" t="n"/>
      <c r="X1245" s="18" t="n"/>
      <c r="Y1245" s="13">
        <f>SUMPRODUCT(M1245:X1245,$M$2:$X$2)*$K1245*$L1245</f>
        <v/>
      </c>
      <c r="Z1245" s="14">
        <f>SUM(M1245:X1245)</f>
        <v/>
      </c>
      <c r="AA1245" s="13">
        <f>SUMPRODUCT(M1245:X1245,$M$3:$X$3)*$K1245*$L1245</f>
        <v/>
      </c>
      <c r="AB1245" s="13">
        <f>SUMPRODUCT(M1245:X1245,$M$4:$X$4)*$K1245*$L1245</f>
        <v/>
      </c>
      <c r="AC1245" s="15">
        <f>SUMPRODUCT(M1245:X1245,$M$5:$X$5)*$K1245*$L1245</f>
        <v/>
      </c>
      <c r="AD1245" s="15">
        <f>SUMPRODUCT(M1245:X1245,$M$6:$X$6)*$K1245*$L1245</f>
        <v/>
      </c>
      <c r="AE1245" s="19" t="n"/>
    </row>
    <row r="1246">
      <c r="A1246" s="9" t="n">
        <v>646242</v>
      </c>
      <c r="B1246" s="9" t="inlineStr">
        <is>
          <t>Jhonathan Díaz</t>
        </is>
      </c>
      <c r="C1246" s="9" t="inlineStr">
        <is>
          <t>SEA</t>
        </is>
      </c>
      <c r="D1246" s="9" t="n">
        <v>30</v>
      </c>
      <c r="E1246" s="17" t="inlineStr">
        <is>
          <t>L</t>
        </is>
      </c>
      <c r="F1246" s="17" t="n"/>
      <c r="G1246" s="9" t="n">
        <v>6</v>
      </c>
      <c r="H1246" s="9" t="n">
        <v>166</v>
      </c>
      <c r="I1246" s="9" t="inlineStr">
        <is>
          <t>Depth (no MLB IP)</t>
        </is>
      </c>
      <c r="J1246" s="17" t="inlineStr">
        <is>
          <t>Opening Day</t>
        </is>
      </c>
      <c r="K1246" s="11">
        <f>IFERROR(INDEX(Roles!$B$17:$B$20,MATCH(J1246,Roles!$A$17:$A$20,0)),1)</f>
        <v/>
      </c>
      <c r="L1246" s="18" t="n">
        <v>1</v>
      </c>
      <c r="M1246" s="18" t="n"/>
      <c r="N1246" s="18" t="n"/>
      <c r="O1246" s="18" t="n"/>
      <c r="P1246" s="18" t="n"/>
      <c r="Q1246" s="18" t="n"/>
      <c r="R1246" s="18" t="n"/>
      <c r="S1246" s="18" t="n"/>
      <c r="T1246" s="18" t="n"/>
      <c r="U1246" s="18" t="n"/>
      <c r="V1246" s="18" t="n"/>
      <c r="W1246" s="18" t="n"/>
      <c r="X1246" s="18" t="n"/>
      <c r="Y1246" s="13">
        <f>SUMPRODUCT(M1246:X1246,$M$2:$X$2)*$K1246*$L1246</f>
        <v/>
      </c>
      <c r="Z1246" s="14">
        <f>SUM(M1246:X1246)</f>
        <v/>
      </c>
      <c r="AA1246" s="13">
        <f>SUMPRODUCT(M1246:X1246,$M$3:$X$3)*$K1246*$L1246</f>
        <v/>
      </c>
      <c r="AB1246" s="13">
        <f>SUMPRODUCT(M1246:X1246,$M$4:$X$4)*$K1246*$L1246</f>
        <v/>
      </c>
      <c r="AC1246" s="15">
        <f>SUMPRODUCT(M1246:X1246,$M$5:$X$5)*$K1246*$L1246</f>
        <v/>
      </c>
      <c r="AD1246" s="15">
        <f>SUMPRODUCT(M1246:X1246,$M$6:$X$6)*$K1246*$L1246</f>
        <v/>
      </c>
      <c r="AE1246" s="19" t="n"/>
    </row>
    <row r="1247">
      <c r="A1247" s="9" t="n">
        <v>605182</v>
      </c>
      <c r="B1247" s="9" t="inlineStr">
        <is>
          <t>Mike Clevinger</t>
        </is>
      </c>
      <c r="C1247" s="9" t="inlineStr">
        <is>
          <t>CWS</t>
        </is>
      </c>
      <c r="D1247" s="9" t="n">
        <v>36</v>
      </c>
      <c r="E1247" s="17" t="inlineStr">
        <is>
          <t>R</t>
        </is>
      </c>
      <c r="F1247" s="17" t="n"/>
      <c r="G1247" s="9" t="n">
        <v>31</v>
      </c>
      <c r="H1247" s="9" t="n">
        <v>1143</v>
      </c>
      <c r="I1247" s="9" t="inlineStr">
        <is>
          <t>Bullpen Depth Arm</t>
        </is>
      </c>
      <c r="J1247" s="17" t="inlineStr">
        <is>
          <t>Opening Day</t>
        </is>
      </c>
      <c r="K1247" s="11">
        <f>IFERROR(INDEX(Roles!$B$17:$B$20,MATCH(J1247,Roles!$A$17:$A$20,0)),1)</f>
        <v/>
      </c>
      <c r="L1247" s="18" t="n">
        <v>1</v>
      </c>
      <c r="M1247" s="18" t="n"/>
      <c r="N1247" s="18" t="n"/>
      <c r="O1247" s="18" t="n"/>
      <c r="P1247" s="18" t="n"/>
      <c r="Q1247" s="18" t="n"/>
      <c r="R1247" s="18" t="n"/>
      <c r="S1247" s="18" t="n"/>
      <c r="T1247" s="18" t="n"/>
      <c r="U1247" s="18" t="n"/>
      <c r="V1247" s="18" t="n"/>
      <c r="W1247" s="18" t="n"/>
      <c r="X1247" s="18" t="n"/>
      <c r="Y1247" s="13">
        <f>SUMPRODUCT(M1247:X1247,$M$2:$X$2)*$K1247*$L1247</f>
        <v/>
      </c>
      <c r="Z1247" s="14">
        <f>SUM(M1247:X1247)</f>
        <v/>
      </c>
      <c r="AA1247" s="13">
        <f>SUMPRODUCT(M1247:X1247,$M$3:$X$3)*$K1247*$L1247</f>
        <v/>
      </c>
      <c r="AB1247" s="13">
        <f>SUMPRODUCT(M1247:X1247,$M$4:$X$4)*$K1247*$L1247</f>
        <v/>
      </c>
      <c r="AC1247" s="15">
        <f>SUMPRODUCT(M1247:X1247,$M$5:$X$5)*$K1247*$L1247</f>
        <v/>
      </c>
      <c r="AD1247" s="15">
        <f>SUMPRODUCT(M1247:X1247,$M$6:$X$6)*$K1247*$L1247</f>
        <v/>
      </c>
      <c r="AE1247" s="19" t="n"/>
    </row>
    <row r="1248">
      <c r="A1248" s="9" t="n">
        <v>660844</v>
      </c>
      <c r="B1248" s="9" t="inlineStr">
        <is>
          <t>Leo Rivas</t>
        </is>
      </c>
      <c r="C1248" s="9" t="inlineStr"/>
      <c r="D1248" s="9" t="n">
        <v>29</v>
      </c>
      <c r="E1248" s="17" t="inlineStr">
        <is>
          <t>R</t>
        </is>
      </c>
      <c r="F1248" s="17" t="n"/>
      <c r="G1248" s="9" t="n">
        <v>13</v>
      </c>
      <c r="H1248" s="9" t="n">
        <v>28</v>
      </c>
      <c r="I1248" s="9" t="inlineStr">
        <is>
          <t>Depth (no MLB IP)</t>
        </is>
      </c>
      <c r="J1248" s="17" t="inlineStr">
        <is>
          <t>Opening Day</t>
        </is>
      </c>
      <c r="K1248" s="11">
        <f>IFERROR(INDEX(Roles!$B$17:$B$20,MATCH(J1248,Roles!$A$17:$A$20,0)),1)</f>
        <v/>
      </c>
      <c r="L1248" s="18" t="n">
        <v>1</v>
      </c>
      <c r="M1248" s="18" t="n"/>
      <c r="N1248" s="18" t="n"/>
      <c r="O1248" s="18" t="n"/>
      <c r="P1248" s="18" t="n"/>
      <c r="Q1248" s="18" t="n"/>
      <c r="R1248" s="18" t="n"/>
      <c r="S1248" s="18" t="n"/>
      <c r="T1248" s="18" t="n"/>
      <c r="U1248" s="18" t="n"/>
      <c r="V1248" s="18" t="n"/>
      <c r="W1248" s="18" t="n"/>
      <c r="X1248" s="18" t="n"/>
      <c r="Y1248" s="13">
        <f>SUMPRODUCT(M1248:X1248,$M$2:$X$2)*$K1248*$L1248</f>
        <v/>
      </c>
      <c r="Z1248" s="14">
        <f>SUM(M1248:X1248)</f>
        <v/>
      </c>
      <c r="AA1248" s="13">
        <f>SUMPRODUCT(M1248:X1248,$M$3:$X$3)*$K1248*$L1248</f>
        <v/>
      </c>
      <c r="AB1248" s="13">
        <f>SUMPRODUCT(M1248:X1248,$M$4:$X$4)*$K1248*$L1248</f>
        <v/>
      </c>
      <c r="AC1248" s="15">
        <f>SUMPRODUCT(M1248:X1248,$M$5:$X$5)*$K1248*$L1248</f>
        <v/>
      </c>
      <c r="AD1248" s="15">
        <f>SUMPRODUCT(M1248:X1248,$M$6:$X$6)*$K1248*$L1248</f>
        <v/>
      </c>
      <c r="AE1248" s="19" t="n"/>
    </row>
    <row r="1249">
      <c r="A1249" s="9" t="n">
        <v>686294</v>
      </c>
      <c r="B1249" s="9" t="inlineStr">
        <is>
          <t>Amos Willingham</t>
        </is>
      </c>
      <c r="C1249" s="9" t="inlineStr">
        <is>
          <t>WSH</t>
        </is>
      </c>
      <c r="D1249" s="9" t="n">
        <v>28</v>
      </c>
      <c r="E1249" s="17" t="inlineStr">
        <is>
          <t>R</t>
        </is>
      </c>
      <c r="F1249" s="17" t="n"/>
      <c r="G1249" s="9" t="n">
        <v>5</v>
      </c>
      <c r="H1249" s="9" t="n">
        <v>121</v>
      </c>
      <c r="I1249" s="9" t="inlineStr">
        <is>
          <t>Depth (no MLB IP)</t>
        </is>
      </c>
      <c r="J1249" s="17" t="inlineStr">
        <is>
          <t>Opening Day</t>
        </is>
      </c>
      <c r="K1249" s="11">
        <f>IFERROR(INDEX(Roles!$B$17:$B$20,MATCH(J1249,Roles!$A$17:$A$20,0)),1)</f>
        <v/>
      </c>
      <c r="L1249" s="18" t="n">
        <v>1</v>
      </c>
      <c r="M1249" s="18" t="n"/>
      <c r="N1249" s="18" t="n"/>
      <c r="O1249" s="18" t="n"/>
      <c r="P1249" s="18" t="n"/>
      <c r="Q1249" s="18" t="n"/>
      <c r="R1249" s="18" t="n"/>
      <c r="S1249" s="18" t="n"/>
      <c r="T1249" s="18" t="n"/>
      <c r="U1249" s="18" t="n"/>
      <c r="V1249" s="18" t="n"/>
      <c r="W1249" s="18" t="n"/>
      <c r="X1249" s="18" t="n"/>
      <c r="Y1249" s="13">
        <f>SUMPRODUCT(M1249:X1249,$M$2:$X$2)*$K1249*$L1249</f>
        <v/>
      </c>
      <c r="Z1249" s="14">
        <f>SUM(M1249:X1249)</f>
        <v/>
      </c>
      <c r="AA1249" s="13">
        <f>SUMPRODUCT(M1249:X1249,$M$3:$X$3)*$K1249*$L1249</f>
        <v/>
      </c>
      <c r="AB1249" s="13">
        <f>SUMPRODUCT(M1249:X1249,$M$4:$X$4)*$K1249*$L1249</f>
        <v/>
      </c>
      <c r="AC1249" s="15">
        <f>SUMPRODUCT(M1249:X1249,$M$5:$X$5)*$K1249*$L1249</f>
        <v/>
      </c>
      <c r="AD1249" s="15">
        <f>SUMPRODUCT(M1249:X1249,$M$6:$X$6)*$K1249*$L1249</f>
        <v/>
      </c>
      <c r="AE1249" s="19" t="n"/>
    </row>
    <row r="1250">
      <c r="A1250" s="9" t="n">
        <v>676664</v>
      </c>
      <c r="B1250" s="9" t="inlineStr">
        <is>
          <t>JP Sears</t>
        </is>
      </c>
      <c r="C1250" s="9" t="inlineStr">
        <is>
          <t>SD</t>
        </is>
      </c>
      <c r="D1250" s="9" t="n">
        <v>31</v>
      </c>
      <c r="E1250" s="17" t="inlineStr">
        <is>
          <t>L</t>
        </is>
      </c>
      <c r="F1250" s="17" t="n"/>
      <c r="G1250" s="9" t="n">
        <v>143</v>
      </c>
      <c r="H1250" s="9" t="n">
        <v>2507</v>
      </c>
      <c r="I1250" s="9" t="inlineStr">
        <is>
          <t>Mid-Rotation Starter (SP2-3)</t>
        </is>
      </c>
      <c r="J1250" s="17" t="inlineStr">
        <is>
          <t>Opening Day</t>
        </is>
      </c>
      <c r="K1250" s="11">
        <f>IFERROR(INDEX(Roles!$B$17:$B$20,MATCH(J1250,Roles!$A$17:$A$20,0)),1)</f>
        <v/>
      </c>
      <c r="L1250" s="18" t="n">
        <v>1</v>
      </c>
      <c r="M1250" s="18" t="n"/>
      <c r="N1250" s="18" t="n"/>
      <c r="O1250" s="18" t="n"/>
      <c r="P1250" s="18" t="n"/>
      <c r="Q1250" s="18" t="n"/>
      <c r="R1250" s="18" t="n"/>
      <c r="S1250" s="18" t="n"/>
      <c r="T1250" s="18" t="n"/>
      <c r="U1250" s="18" t="n"/>
      <c r="V1250" s="18" t="n"/>
      <c r="W1250" s="18" t="n"/>
      <c r="X1250" s="18" t="n"/>
      <c r="Y1250" s="13">
        <f>SUMPRODUCT(M1250:X1250,$M$2:$X$2)*$K1250*$L1250</f>
        <v/>
      </c>
      <c r="Z1250" s="14">
        <f>SUM(M1250:X1250)</f>
        <v/>
      </c>
      <c r="AA1250" s="13">
        <f>SUMPRODUCT(M1250:X1250,$M$3:$X$3)*$K1250*$L1250</f>
        <v/>
      </c>
      <c r="AB1250" s="13">
        <f>SUMPRODUCT(M1250:X1250,$M$4:$X$4)*$K1250*$L1250</f>
        <v/>
      </c>
      <c r="AC1250" s="15">
        <f>SUMPRODUCT(M1250:X1250,$M$5:$X$5)*$K1250*$L1250</f>
        <v/>
      </c>
      <c r="AD1250" s="15">
        <f>SUMPRODUCT(M1250:X1250,$M$6:$X$6)*$K1250*$L1250</f>
        <v/>
      </c>
      <c r="AE1250" s="19" t="n"/>
    </row>
    <row r="1251">
      <c r="A1251" s="9" t="n">
        <v>641726</v>
      </c>
      <c r="B1251" s="9" t="inlineStr">
        <is>
          <t>Daulton Jefferies</t>
        </is>
      </c>
      <c r="C1251" s="9" t="inlineStr">
        <is>
          <t>PIT</t>
        </is>
      </c>
      <c r="D1251" s="9" t="n">
        <v>31</v>
      </c>
      <c r="E1251" s="17" t="inlineStr">
        <is>
          <t>R</t>
        </is>
      </c>
      <c r="F1251" s="17" t="n"/>
      <c r="G1251" s="9" t="n">
        <v>73</v>
      </c>
      <c r="H1251" s="9" t="n">
        <v>245</v>
      </c>
      <c r="I1251" s="9" t="inlineStr">
        <is>
          <t>Depth (no MLB IP)</t>
        </is>
      </c>
      <c r="J1251" s="17" t="inlineStr">
        <is>
          <t>Opening Day</t>
        </is>
      </c>
      <c r="K1251" s="11">
        <f>IFERROR(INDEX(Roles!$B$17:$B$20,MATCH(J1251,Roles!$A$17:$A$20,0)),1)</f>
        <v/>
      </c>
      <c r="L1251" s="18" t="n">
        <v>1</v>
      </c>
      <c r="M1251" s="18" t="n"/>
      <c r="N1251" s="18" t="n"/>
      <c r="O1251" s="18" t="n"/>
      <c r="P1251" s="18" t="n"/>
      <c r="Q1251" s="18" t="n"/>
      <c r="R1251" s="18" t="n"/>
      <c r="S1251" s="18" t="n"/>
      <c r="T1251" s="18" t="n"/>
      <c r="U1251" s="18" t="n"/>
      <c r="V1251" s="18" t="n"/>
      <c r="W1251" s="18" t="n"/>
      <c r="X1251" s="18" t="n"/>
      <c r="Y1251" s="13">
        <f>SUMPRODUCT(M1251:X1251,$M$2:$X$2)*$K1251*$L1251</f>
        <v/>
      </c>
      <c r="Z1251" s="14">
        <f>SUM(M1251:X1251)</f>
        <v/>
      </c>
      <c r="AA1251" s="13">
        <f>SUMPRODUCT(M1251:X1251,$M$3:$X$3)*$K1251*$L1251</f>
        <v/>
      </c>
      <c r="AB1251" s="13">
        <f>SUMPRODUCT(M1251:X1251,$M$4:$X$4)*$K1251*$L1251</f>
        <v/>
      </c>
      <c r="AC1251" s="15">
        <f>SUMPRODUCT(M1251:X1251,$M$5:$X$5)*$K1251*$L1251</f>
        <v/>
      </c>
      <c r="AD1251" s="15">
        <f>SUMPRODUCT(M1251:X1251,$M$6:$X$6)*$K1251*$L1251</f>
        <v/>
      </c>
      <c r="AE1251" s="19" t="n"/>
    </row>
    <row r="1252">
      <c r="A1252" s="9" t="n">
        <v>694795</v>
      </c>
      <c r="B1252" s="9" t="inlineStr">
        <is>
          <t>Josh Ekness</t>
        </is>
      </c>
      <c r="C1252" s="9" t="inlineStr">
        <is>
          <t>MIA</t>
        </is>
      </c>
      <c r="D1252" s="9" t="n">
        <v>25</v>
      </c>
      <c r="E1252" s="17" t="inlineStr">
        <is>
          <t>R</t>
        </is>
      </c>
      <c r="F1252" s="17" t="n"/>
      <c r="G1252" s="9" t="n">
        <v>116</v>
      </c>
      <c r="H1252" s="9" t="n">
        <v>116</v>
      </c>
      <c r="I1252" s="9" t="inlineStr">
        <is>
          <t>Bullpen Depth Arm</t>
        </is>
      </c>
      <c r="J1252" s="17" t="inlineStr">
        <is>
          <t>Opening Day</t>
        </is>
      </c>
      <c r="K1252" s="11">
        <f>IFERROR(INDEX(Roles!$B$17:$B$20,MATCH(J1252,Roles!$A$17:$A$20,0)),1)</f>
        <v/>
      </c>
      <c r="L1252" s="18" t="n">
        <v>1</v>
      </c>
      <c r="M1252" s="18" t="n"/>
      <c r="N1252" s="18" t="n"/>
      <c r="O1252" s="18" t="n"/>
      <c r="P1252" s="18" t="n"/>
      <c r="Q1252" s="18" t="n"/>
      <c r="R1252" s="18" t="n"/>
      <c r="S1252" s="18" t="n"/>
      <c r="T1252" s="18" t="n"/>
      <c r="U1252" s="18" t="n"/>
      <c r="V1252" s="18" t="n"/>
      <c r="W1252" s="18" t="n"/>
      <c r="X1252" s="18" t="n"/>
      <c r="Y1252" s="13">
        <f>SUMPRODUCT(M1252:X1252,$M$2:$X$2)*$K1252*$L1252</f>
        <v/>
      </c>
      <c r="Z1252" s="14">
        <f>SUM(M1252:X1252)</f>
        <v/>
      </c>
      <c r="AA1252" s="13">
        <f>SUMPRODUCT(M1252:X1252,$M$3:$X$3)*$K1252*$L1252</f>
        <v/>
      </c>
      <c r="AB1252" s="13">
        <f>SUMPRODUCT(M1252:X1252,$M$4:$X$4)*$K1252*$L1252</f>
        <v/>
      </c>
      <c r="AC1252" s="15">
        <f>SUMPRODUCT(M1252:X1252,$M$5:$X$5)*$K1252*$L1252</f>
        <v/>
      </c>
      <c r="AD1252" s="15">
        <f>SUMPRODUCT(M1252:X1252,$M$6:$X$6)*$K1252*$L1252</f>
        <v/>
      </c>
      <c r="AE1252" s="19" t="n"/>
    </row>
    <row r="1253">
      <c r="A1253" s="9" t="n">
        <v>680573</v>
      </c>
      <c r="B1253" s="9" t="inlineStr">
        <is>
          <t>Simeon Woods Richardson</t>
        </is>
      </c>
      <c r="C1253" s="9" t="inlineStr">
        <is>
          <t>TOR</t>
        </is>
      </c>
      <c r="D1253" s="9" t="n">
        <v>26</v>
      </c>
      <c r="E1253" s="17" t="inlineStr">
        <is>
          <t>R</t>
        </is>
      </c>
      <c r="F1253" s="17" t="n"/>
      <c r="G1253" s="9" t="n">
        <v>303</v>
      </c>
      <c r="H1253" s="9" t="n">
        <v>1387</v>
      </c>
      <c r="I1253" s="9" t="inlineStr">
        <is>
          <t>End-of-Rotation Starter (SP4-5)</t>
        </is>
      </c>
      <c r="J1253" s="17" t="inlineStr">
        <is>
          <t>Opening Day</t>
        </is>
      </c>
      <c r="K1253" s="11">
        <f>IFERROR(INDEX(Roles!$B$17:$B$20,MATCH(J1253,Roles!$A$17:$A$20,0)),1)</f>
        <v/>
      </c>
      <c r="L1253" s="18" t="n">
        <v>1</v>
      </c>
      <c r="M1253" s="18" t="n"/>
      <c r="N1253" s="18" t="n"/>
      <c r="O1253" s="18" t="n"/>
      <c r="P1253" s="18" t="n"/>
      <c r="Q1253" s="18" t="n"/>
      <c r="R1253" s="18" t="n"/>
      <c r="S1253" s="18" t="n"/>
      <c r="T1253" s="18" t="n"/>
      <c r="U1253" s="18" t="n"/>
      <c r="V1253" s="18" t="n"/>
      <c r="W1253" s="18" t="n"/>
      <c r="X1253" s="18" t="n"/>
      <c r="Y1253" s="13">
        <f>SUMPRODUCT(M1253:X1253,$M$2:$X$2)*$K1253*$L1253</f>
        <v/>
      </c>
      <c r="Z1253" s="14">
        <f>SUM(M1253:X1253)</f>
        <v/>
      </c>
      <c r="AA1253" s="13">
        <f>SUMPRODUCT(M1253:X1253,$M$3:$X$3)*$K1253*$L1253</f>
        <v/>
      </c>
      <c r="AB1253" s="13">
        <f>SUMPRODUCT(M1253:X1253,$M$4:$X$4)*$K1253*$L1253</f>
        <v/>
      </c>
      <c r="AC1253" s="15">
        <f>SUMPRODUCT(M1253:X1253,$M$5:$X$5)*$K1253*$L1253</f>
        <v/>
      </c>
      <c r="AD1253" s="15">
        <f>SUMPRODUCT(M1253:X1253,$M$6:$X$6)*$K1253*$L1253</f>
        <v/>
      </c>
      <c r="AE1253" s="19" t="n"/>
    </row>
    <row r="1254">
      <c r="A1254" s="9" t="n">
        <v>680689</v>
      </c>
      <c r="B1254" s="9" t="inlineStr">
        <is>
          <t>Lyon Richardson</t>
        </is>
      </c>
      <c r="C1254" s="9" t="inlineStr">
        <is>
          <t>CIN</t>
        </is>
      </c>
      <c r="D1254" s="9" t="n">
        <v>27</v>
      </c>
      <c r="E1254" s="17" t="inlineStr">
        <is>
          <t>R</t>
        </is>
      </c>
      <c r="F1254" s="17" t="n"/>
      <c r="G1254" s="9" t="n">
        <v>16</v>
      </c>
      <c r="H1254" s="9" t="n">
        <v>274</v>
      </c>
      <c r="I1254" s="9" t="inlineStr">
        <is>
          <t>Bullpen Depth Arm</t>
        </is>
      </c>
      <c r="J1254" s="17" t="inlineStr">
        <is>
          <t>Opening Day</t>
        </is>
      </c>
      <c r="K1254" s="11">
        <f>IFERROR(INDEX(Roles!$B$17:$B$20,MATCH(J1254,Roles!$A$17:$A$20,0)),1)</f>
        <v/>
      </c>
      <c r="L1254" s="18" t="n">
        <v>1</v>
      </c>
      <c r="M1254" s="18" t="n"/>
      <c r="N1254" s="18" t="n"/>
      <c r="O1254" s="18" t="n"/>
      <c r="P1254" s="18" t="n"/>
      <c r="Q1254" s="18" t="n"/>
      <c r="R1254" s="18" t="n"/>
      <c r="S1254" s="18" t="n"/>
      <c r="T1254" s="18" t="n"/>
      <c r="U1254" s="18" t="n"/>
      <c r="V1254" s="18" t="n"/>
      <c r="W1254" s="18" t="n"/>
      <c r="X1254" s="18" t="n"/>
      <c r="Y1254" s="13">
        <f>SUMPRODUCT(M1254:X1254,$M$2:$X$2)*$K1254*$L1254</f>
        <v/>
      </c>
      <c r="Z1254" s="14">
        <f>SUM(M1254:X1254)</f>
        <v/>
      </c>
      <c r="AA1254" s="13">
        <f>SUMPRODUCT(M1254:X1254,$M$3:$X$3)*$K1254*$L1254</f>
        <v/>
      </c>
      <c r="AB1254" s="13">
        <f>SUMPRODUCT(M1254:X1254,$M$4:$X$4)*$K1254*$L1254</f>
        <v/>
      </c>
      <c r="AC1254" s="15">
        <f>SUMPRODUCT(M1254:X1254,$M$5:$X$5)*$K1254*$L1254</f>
        <v/>
      </c>
      <c r="AD1254" s="15">
        <f>SUMPRODUCT(M1254:X1254,$M$6:$X$6)*$K1254*$L1254</f>
        <v/>
      </c>
      <c r="AE1254" s="19" t="n"/>
    </row>
    <row r="1255">
      <c r="A1255" s="9" t="n">
        <v>641771</v>
      </c>
      <c r="B1255" s="9" t="inlineStr">
        <is>
          <t>Chad Kuhl</t>
        </is>
      </c>
      <c r="C1255" s="9" t="inlineStr">
        <is>
          <t>CWS</t>
        </is>
      </c>
      <c r="D1255" s="9" t="n">
        <v>34</v>
      </c>
      <c r="E1255" s="17" t="inlineStr">
        <is>
          <t>R</t>
        </is>
      </c>
      <c r="F1255" s="17" t="n"/>
      <c r="G1255" s="9" t="n">
        <v>240</v>
      </c>
      <c r="H1255" s="9" t="n">
        <v>1044</v>
      </c>
      <c r="I1255" s="9" t="inlineStr">
        <is>
          <t>Depth (no MLB IP)</t>
        </is>
      </c>
      <c r="J1255" s="17" t="inlineStr">
        <is>
          <t>Opening Day</t>
        </is>
      </c>
      <c r="K1255" s="11">
        <f>IFERROR(INDEX(Roles!$B$17:$B$20,MATCH(J1255,Roles!$A$17:$A$20,0)),1)</f>
        <v/>
      </c>
      <c r="L1255" s="18" t="n">
        <v>1</v>
      </c>
      <c r="M1255" s="18" t="n"/>
      <c r="N1255" s="18" t="n"/>
      <c r="O1255" s="18" t="n"/>
      <c r="P1255" s="18" t="n"/>
      <c r="Q1255" s="18" t="n"/>
      <c r="R1255" s="18" t="n"/>
      <c r="S1255" s="18" t="n"/>
      <c r="T1255" s="18" t="n"/>
      <c r="U1255" s="18" t="n"/>
      <c r="V1255" s="18" t="n"/>
      <c r="W1255" s="18" t="n"/>
      <c r="X1255" s="18" t="n"/>
      <c r="Y1255" s="13">
        <f>SUMPRODUCT(M1255:X1255,$M$2:$X$2)*$K1255*$L1255</f>
        <v/>
      </c>
      <c r="Z1255" s="14">
        <f>SUM(M1255:X1255)</f>
        <v/>
      </c>
      <c r="AA1255" s="13">
        <f>SUMPRODUCT(M1255:X1255,$M$3:$X$3)*$K1255*$L1255</f>
        <v/>
      </c>
      <c r="AB1255" s="13">
        <f>SUMPRODUCT(M1255:X1255,$M$4:$X$4)*$K1255*$L1255</f>
        <v/>
      </c>
      <c r="AC1255" s="15">
        <f>SUMPRODUCT(M1255:X1255,$M$5:$X$5)*$K1255*$L1255</f>
        <v/>
      </c>
      <c r="AD1255" s="15">
        <f>SUMPRODUCT(M1255:X1255,$M$6:$X$6)*$K1255*$L1255</f>
        <v/>
      </c>
      <c r="AE1255" s="19" t="n"/>
    </row>
    <row r="1256">
      <c r="A1256" s="9" t="n">
        <v>656716</v>
      </c>
      <c r="B1256" s="9" t="inlineStr">
        <is>
          <t>Zach McKinstry</t>
        </is>
      </c>
      <c r="C1256" s="9" t="inlineStr"/>
      <c r="D1256" s="9" t="n">
        <v>32</v>
      </c>
      <c r="E1256" s="17" t="inlineStr">
        <is>
          <t>R</t>
        </is>
      </c>
      <c r="F1256" s="17" t="n"/>
      <c r="G1256" s="9" t="n">
        <v>15</v>
      </c>
      <c r="H1256" s="9" t="n">
        <v>30</v>
      </c>
      <c r="I1256" s="9" t="inlineStr">
        <is>
          <t>Depth (no MLB IP)</t>
        </is>
      </c>
      <c r="J1256" s="17" t="inlineStr">
        <is>
          <t>Opening Day</t>
        </is>
      </c>
      <c r="K1256" s="11">
        <f>IFERROR(INDEX(Roles!$B$17:$B$20,MATCH(J1256,Roles!$A$17:$A$20,0)),1)</f>
        <v/>
      </c>
      <c r="L1256" s="18" t="n">
        <v>1</v>
      </c>
      <c r="M1256" s="18" t="n"/>
      <c r="N1256" s="18" t="n"/>
      <c r="O1256" s="18" t="n"/>
      <c r="P1256" s="18" t="n"/>
      <c r="Q1256" s="18" t="n"/>
      <c r="R1256" s="18" t="n"/>
      <c r="S1256" s="18" t="n"/>
      <c r="T1256" s="18" t="n"/>
      <c r="U1256" s="18" t="n"/>
      <c r="V1256" s="18" t="n"/>
      <c r="W1256" s="18" t="n"/>
      <c r="X1256" s="18" t="n"/>
      <c r="Y1256" s="13">
        <f>SUMPRODUCT(M1256:X1256,$M$2:$X$2)*$K1256*$L1256</f>
        <v/>
      </c>
      <c r="Z1256" s="14">
        <f>SUM(M1256:X1256)</f>
        <v/>
      </c>
      <c r="AA1256" s="13">
        <f>SUMPRODUCT(M1256:X1256,$M$3:$X$3)*$K1256*$L1256</f>
        <v/>
      </c>
      <c r="AB1256" s="13">
        <f>SUMPRODUCT(M1256:X1256,$M$4:$X$4)*$K1256*$L1256</f>
        <v/>
      </c>
      <c r="AC1256" s="15">
        <f>SUMPRODUCT(M1256:X1256,$M$5:$X$5)*$K1256*$L1256</f>
        <v/>
      </c>
      <c r="AD1256" s="15">
        <f>SUMPRODUCT(M1256:X1256,$M$6:$X$6)*$K1256*$L1256</f>
        <v/>
      </c>
      <c r="AE1256" s="19" t="n"/>
    </row>
    <row r="1257">
      <c r="A1257" s="9" t="n">
        <v>696136</v>
      </c>
      <c r="B1257" s="9" t="inlineStr">
        <is>
          <t>Jordan Wicks</t>
        </is>
      </c>
      <c r="C1257" s="9" t="inlineStr">
        <is>
          <t>CHC</t>
        </is>
      </c>
      <c r="D1257" s="9" t="n">
        <v>27</v>
      </c>
      <c r="E1257" s="17" t="inlineStr">
        <is>
          <t>L</t>
        </is>
      </c>
      <c r="F1257" s="17" t="n"/>
      <c r="G1257" s="9" t="n">
        <v>50</v>
      </c>
      <c r="H1257" s="9" t="n">
        <v>476</v>
      </c>
      <c r="I1257" s="9" t="inlineStr">
        <is>
          <t>Bullpen Depth Arm</t>
        </is>
      </c>
      <c r="J1257" s="17" t="inlineStr">
        <is>
          <t>Opening Day</t>
        </is>
      </c>
      <c r="K1257" s="11">
        <f>IFERROR(INDEX(Roles!$B$17:$B$20,MATCH(J1257,Roles!$A$17:$A$20,0)),1)</f>
        <v/>
      </c>
      <c r="L1257" s="18" t="n">
        <v>1</v>
      </c>
      <c r="M1257" s="18" t="n"/>
      <c r="N1257" s="18" t="n"/>
      <c r="O1257" s="18" t="n"/>
      <c r="P1257" s="18" t="n"/>
      <c r="Q1257" s="18" t="n"/>
      <c r="R1257" s="18" t="n"/>
      <c r="S1257" s="18" t="n"/>
      <c r="T1257" s="18" t="n"/>
      <c r="U1257" s="18" t="n"/>
      <c r="V1257" s="18" t="n"/>
      <c r="W1257" s="18" t="n"/>
      <c r="X1257" s="18" t="n"/>
      <c r="Y1257" s="13">
        <f>SUMPRODUCT(M1257:X1257,$M$2:$X$2)*$K1257*$L1257</f>
        <v/>
      </c>
      <c r="Z1257" s="14">
        <f>SUM(M1257:X1257)</f>
        <v/>
      </c>
      <c r="AA1257" s="13">
        <f>SUMPRODUCT(M1257:X1257,$M$3:$X$3)*$K1257*$L1257</f>
        <v/>
      </c>
      <c r="AB1257" s="13">
        <f>SUMPRODUCT(M1257:X1257,$M$4:$X$4)*$K1257*$L1257</f>
        <v/>
      </c>
      <c r="AC1257" s="15">
        <f>SUMPRODUCT(M1257:X1257,$M$5:$X$5)*$K1257*$L1257</f>
        <v/>
      </c>
      <c r="AD1257" s="15">
        <f>SUMPRODUCT(M1257:X1257,$M$6:$X$6)*$K1257*$L1257</f>
        <v/>
      </c>
      <c r="AE1257" s="19" t="n"/>
    </row>
    <row r="1258">
      <c r="A1258" s="9" t="n">
        <v>696270</v>
      </c>
      <c r="B1258" s="9" t="inlineStr">
        <is>
          <t>Ryan Johnson</t>
        </is>
      </c>
      <c r="C1258" s="9" t="inlineStr">
        <is>
          <t>LAA</t>
        </is>
      </c>
      <c r="D1258" s="9" t="n">
        <v>24</v>
      </c>
      <c r="E1258" s="17" t="inlineStr">
        <is>
          <t>R</t>
        </is>
      </c>
      <c r="F1258" s="17" t="n"/>
      <c r="G1258" s="9" t="n">
        <v>388</v>
      </c>
      <c r="H1258" s="9" t="n">
        <v>460</v>
      </c>
      <c r="I1258" s="9" t="inlineStr">
        <is>
          <t>End-of-Rotation Starter (SP4-5)</t>
        </is>
      </c>
      <c r="J1258" s="17" t="inlineStr">
        <is>
          <t>Opening Day</t>
        </is>
      </c>
      <c r="K1258" s="11">
        <f>IFERROR(INDEX(Roles!$B$17:$B$20,MATCH(J1258,Roles!$A$17:$A$20,0)),1)</f>
        <v/>
      </c>
      <c r="L1258" s="18" t="n">
        <v>1</v>
      </c>
      <c r="M1258" s="18" t="n"/>
      <c r="N1258" s="18" t="n"/>
      <c r="O1258" s="18" t="n"/>
      <c r="P1258" s="18" t="n"/>
      <c r="Q1258" s="18" t="n"/>
      <c r="R1258" s="18" t="n"/>
      <c r="S1258" s="18" t="n"/>
      <c r="T1258" s="18" t="n"/>
      <c r="U1258" s="18" t="n"/>
      <c r="V1258" s="18" t="n"/>
      <c r="W1258" s="18" t="n"/>
      <c r="X1258" s="18" t="n"/>
      <c r="Y1258" s="13">
        <f>SUMPRODUCT(M1258:X1258,$M$2:$X$2)*$K1258*$L1258</f>
        <v/>
      </c>
      <c r="Z1258" s="14">
        <f>SUM(M1258:X1258)</f>
        <v/>
      </c>
      <c r="AA1258" s="13">
        <f>SUMPRODUCT(M1258:X1258,$M$3:$X$3)*$K1258*$L1258</f>
        <v/>
      </c>
      <c r="AB1258" s="13">
        <f>SUMPRODUCT(M1258:X1258,$M$4:$X$4)*$K1258*$L1258</f>
        <v/>
      </c>
      <c r="AC1258" s="15">
        <f>SUMPRODUCT(M1258:X1258,$M$5:$X$5)*$K1258*$L1258</f>
        <v/>
      </c>
      <c r="AD1258" s="15">
        <f>SUMPRODUCT(M1258:X1258,$M$6:$X$6)*$K1258*$L1258</f>
        <v/>
      </c>
      <c r="AE1258" s="19" t="n"/>
    </row>
    <row r="1259">
      <c r="A1259" s="9" t="n">
        <v>694680</v>
      </c>
      <c r="B1259" s="9" t="inlineStr">
        <is>
          <t>Trevor Martin</t>
        </is>
      </c>
      <c r="C1259" s="9" t="inlineStr">
        <is>
          <t>LAA</t>
        </is>
      </c>
      <c r="D1259" s="9" t="n">
        <v>26</v>
      </c>
      <c r="E1259" s="17" t="inlineStr">
        <is>
          <t>R</t>
        </is>
      </c>
      <c r="F1259" s="17" t="n"/>
      <c r="G1259" s="9" t="n">
        <v>66</v>
      </c>
      <c r="H1259" s="9" t="n">
        <v>66</v>
      </c>
      <c r="I1259" s="9" t="inlineStr">
        <is>
          <t>Bullpen Depth Arm</t>
        </is>
      </c>
      <c r="J1259" s="17" t="inlineStr">
        <is>
          <t>Opening Day</t>
        </is>
      </c>
      <c r="K1259" s="11">
        <f>IFERROR(INDEX(Roles!$B$17:$B$20,MATCH(J1259,Roles!$A$17:$A$20,0)),1)</f>
        <v/>
      </c>
      <c r="L1259" s="18" t="n">
        <v>1</v>
      </c>
      <c r="M1259" s="18" t="n"/>
      <c r="N1259" s="18" t="n"/>
      <c r="O1259" s="18" t="n"/>
      <c r="P1259" s="18" t="n"/>
      <c r="Q1259" s="18" t="n"/>
      <c r="R1259" s="18" t="n"/>
      <c r="S1259" s="18" t="n"/>
      <c r="T1259" s="18" t="n"/>
      <c r="U1259" s="18" t="n"/>
      <c r="V1259" s="18" t="n"/>
      <c r="W1259" s="18" t="n"/>
      <c r="X1259" s="18" t="n"/>
      <c r="Y1259" s="13">
        <f>SUMPRODUCT(M1259:X1259,$M$2:$X$2)*$K1259*$L1259</f>
        <v/>
      </c>
      <c r="Z1259" s="14">
        <f>SUM(M1259:X1259)</f>
        <v/>
      </c>
      <c r="AA1259" s="13">
        <f>SUMPRODUCT(M1259:X1259,$M$3:$X$3)*$K1259*$L1259</f>
        <v/>
      </c>
      <c r="AB1259" s="13">
        <f>SUMPRODUCT(M1259:X1259,$M$4:$X$4)*$K1259*$L1259</f>
        <v/>
      </c>
      <c r="AC1259" s="15">
        <f>SUMPRODUCT(M1259:X1259,$M$5:$X$5)*$K1259*$L1259</f>
        <v/>
      </c>
      <c r="AD1259" s="15">
        <f>SUMPRODUCT(M1259:X1259,$M$6:$X$6)*$K1259*$L1259</f>
        <v/>
      </c>
      <c r="AE1259" s="19" t="n"/>
    </row>
    <row r="1260">
      <c r="A1260" s="9" t="n">
        <v>656896</v>
      </c>
      <c r="B1260" s="9" t="inlineStr">
        <is>
          <t>Emmanuel Rivera</t>
        </is>
      </c>
      <c r="C1260" s="9" t="inlineStr"/>
      <c r="D1260" s="9" t="n">
        <v>31</v>
      </c>
      <c r="E1260" s="17" t="inlineStr">
        <is>
          <t>R</t>
        </is>
      </c>
      <c r="F1260" s="17" t="n"/>
      <c r="G1260" s="9" t="n">
        <v>13</v>
      </c>
      <c r="H1260" s="9" t="n">
        <v>33</v>
      </c>
      <c r="I1260" s="9" t="inlineStr">
        <is>
          <t>Depth (no MLB IP)</t>
        </is>
      </c>
      <c r="J1260" s="17" t="inlineStr">
        <is>
          <t>Opening Day</t>
        </is>
      </c>
      <c r="K1260" s="11">
        <f>IFERROR(INDEX(Roles!$B$17:$B$20,MATCH(J1260,Roles!$A$17:$A$20,0)),1)</f>
        <v/>
      </c>
      <c r="L1260" s="18" t="n">
        <v>1</v>
      </c>
      <c r="M1260" s="18" t="n"/>
      <c r="N1260" s="18" t="n"/>
      <c r="O1260" s="18" t="n"/>
      <c r="P1260" s="18" t="n"/>
      <c r="Q1260" s="18" t="n"/>
      <c r="R1260" s="18" t="n"/>
      <c r="S1260" s="18" t="n"/>
      <c r="T1260" s="18" t="n"/>
      <c r="U1260" s="18" t="n"/>
      <c r="V1260" s="18" t="n"/>
      <c r="W1260" s="18" t="n"/>
      <c r="X1260" s="18" t="n"/>
      <c r="Y1260" s="13">
        <f>SUMPRODUCT(M1260:X1260,$M$2:$X$2)*$K1260*$L1260</f>
        <v/>
      </c>
      <c r="Z1260" s="14">
        <f>SUM(M1260:X1260)</f>
        <v/>
      </c>
      <c r="AA1260" s="13">
        <f>SUMPRODUCT(M1260:X1260,$M$3:$X$3)*$K1260*$L1260</f>
        <v/>
      </c>
      <c r="AB1260" s="13">
        <f>SUMPRODUCT(M1260:X1260,$M$4:$X$4)*$K1260*$L1260</f>
        <v/>
      </c>
      <c r="AC1260" s="15">
        <f>SUMPRODUCT(M1260:X1260,$M$5:$X$5)*$K1260*$L1260</f>
        <v/>
      </c>
      <c r="AD1260" s="15">
        <f>SUMPRODUCT(M1260:X1260,$M$6:$X$6)*$K1260*$L1260</f>
        <v/>
      </c>
      <c r="AE1260" s="19" t="n"/>
    </row>
    <row r="1261">
      <c r="A1261" s="9" t="n">
        <v>528748</v>
      </c>
      <c r="B1261" s="9" t="inlineStr">
        <is>
          <t>Humberto Castellanos</t>
        </is>
      </c>
      <c r="C1261" s="9" t="inlineStr">
        <is>
          <t>ARI</t>
        </is>
      </c>
      <c r="D1261" s="9" t="n">
        <v>29</v>
      </c>
      <c r="E1261" s="17" t="inlineStr">
        <is>
          <t>R</t>
        </is>
      </c>
      <c r="F1261" s="17" t="n"/>
      <c r="G1261" s="9" t="n">
        <v>48</v>
      </c>
      <c r="H1261" s="9" t="n">
        <v>242</v>
      </c>
      <c r="I1261" s="9" t="inlineStr">
        <is>
          <t>Depth (no MLB IP)</t>
        </is>
      </c>
      <c r="J1261" s="17" t="inlineStr">
        <is>
          <t>Opening Day</t>
        </is>
      </c>
      <c r="K1261" s="11">
        <f>IFERROR(INDEX(Roles!$B$17:$B$20,MATCH(J1261,Roles!$A$17:$A$20,0)),1)</f>
        <v/>
      </c>
      <c r="L1261" s="18" t="n">
        <v>1</v>
      </c>
      <c r="M1261" s="18" t="n"/>
      <c r="N1261" s="18" t="n"/>
      <c r="O1261" s="18" t="n"/>
      <c r="P1261" s="18" t="n"/>
      <c r="Q1261" s="18" t="n"/>
      <c r="R1261" s="18" t="n"/>
      <c r="S1261" s="18" t="n"/>
      <c r="T1261" s="18" t="n"/>
      <c r="U1261" s="18" t="n"/>
      <c r="V1261" s="18" t="n"/>
      <c r="W1261" s="18" t="n"/>
      <c r="X1261" s="18" t="n"/>
      <c r="Y1261" s="13">
        <f>SUMPRODUCT(M1261:X1261,$M$2:$X$2)*$K1261*$L1261</f>
        <v/>
      </c>
      <c r="Z1261" s="14">
        <f>SUM(M1261:X1261)</f>
        <v/>
      </c>
      <c r="AA1261" s="13">
        <f>SUMPRODUCT(M1261:X1261,$M$3:$X$3)*$K1261*$L1261</f>
        <v/>
      </c>
      <c r="AB1261" s="13">
        <f>SUMPRODUCT(M1261:X1261,$M$4:$X$4)*$K1261*$L1261</f>
        <v/>
      </c>
      <c r="AC1261" s="15">
        <f>SUMPRODUCT(M1261:X1261,$M$5:$X$5)*$K1261*$L1261</f>
        <v/>
      </c>
      <c r="AD1261" s="15">
        <f>SUMPRODUCT(M1261:X1261,$M$6:$X$6)*$K1261*$L1261</f>
        <v/>
      </c>
      <c r="AE1261" s="19" t="n"/>
    </row>
    <row r="1262">
      <c r="A1262" s="9" t="n">
        <v>672710</v>
      </c>
      <c r="B1262" s="9" t="inlineStr">
        <is>
          <t>Roansy Contreras</t>
        </is>
      </c>
      <c r="C1262" s="9" t="inlineStr">
        <is>
          <t>COL</t>
        </is>
      </c>
      <c r="D1262" s="9" t="n">
        <v>27</v>
      </c>
      <c r="E1262" s="17" t="inlineStr">
        <is>
          <t>R</t>
        </is>
      </c>
      <c r="F1262" s="17" t="n"/>
      <c r="G1262" s="9" t="n">
        <v>51</v>
      </c>
      <c r="H1262" s="9" t="n">
        <v>1059</v>
      </c>
      <c r="I1262" s="9" t="inlineStr">
        <is>
          <t>Bullpen Depth Arm</t>
        </is>
      </c>
      <c r="J1262" s="17" t="inlineStr">
        <is>
          <t>Opening Day</t>
        </is>
      </c>
      <c r="K1262" s="11">
        <f>IFERROR(INDEX(Roles!$B$17:$B$20,MATCH(J1262,Roles!$A$17:$A$20,0)),1)</f>
        <v/>
      </c>
      <c r="L1262" s="18" t="n">
        <v>1</v>
      </c>
      <c r="M1262" s="18" t="n"/>
      <c r="N1262" s="18" t="n"/>
      <c r="O1262" s="18" t="n"/>
      <c r="P1262" s="18" t="n"/>
      <c r="Q1262" s="18" t="n"/>
      <c r="R1262" s="18" t="n"/>
      <c r="S1262" s="18" t="n"/>
      <c r="T1262" s="18" t="n"/>
      <c r="U1262" s="18" t="n"/>
      <c r="V1262" s="18" t="n"/>
      <c r="W1262" s="18" t="n"/>
      <c r="X1262" s="18" t="n"/>
      <c r="Y1262" s="13">
        <f>SUMPRODUCT(M1262:X1262,$M$2:$X$2)*$K1262*$L1262</f>
        <v/>
      </c>
      <c r="Z1262" s="14">
        <f>SUM(M1262:X1262)</f>
        <v/>
      </c>
      <c r="AA1262" s="13">
        <f>SUMPRODUCT(M1262:X1262,$M$3:$X$3)*$K1262*$L1262</f>
        <v/>
      </c>
      <c r="AB1262" s="13">
        <f>SUMPRODUCT(M1262:X1262,$M$4:$X$4)*$K1262*$L1262</f>
        <v/>
      </c>
      <c r="AC1262" s="15">
        <f>SUMPRODUCT(M1262:X1262,$M$5:$X$5)*$K1262*$L1262</f>
        <v/>
      </c>
      <c r="AD1262" s="15">
        <f>SUMPRODUCT(M1262:X1262,$M$6:$X$6)*$K1262*$L1262</f>
        <v/>
      </c>
      <c r="AE1262" s="19" t="n"/>
    </row>
    <row r="1263">
      <c r="A1263" s="9" t="n">
        <v>608718</v>
      </c>
      <c r="B1263" s="9" t="inlineStr">
        <is>
          <t>Brent Suter</t>
        </is>
      </c>
      <c r="C1263" s="9" t="inlineStr">
        <is>
          <t>ATL</t>
        </is>
      </c>
      <c r="D1263" s="9" t="n">
        <v>37</v>
      </c>
      <c r="E1263" s="17" t="inlineStr">
        <is>
          <t>L</t>
        </is>
      </c>
      <c r="F1263" s="17" t="n"/>
      <c r="G1263" s="9" t="n">
        <v>363</v>
      </c>
      <c r="H1263" s="9" t="n">
        <v>1488</v>
      </c>
      <c r="I1263" s="9" t="inlineStr">
        <is>
          <t>Bullpen Depth Arm</t>
        </is>
      </c>
      <c r="J1263" s="17" t="inlineStr">
        <is>
          <t>Opening Day</t>
        </is>
      </c>
      <c r="K1263" s="11">
        <f>IFERROR(INDEX(Roles!$B$17:$B$20,MATCH(J1263,Roles!$A$17:$A$20,0)),1)</f>
        <v/>
      </c>
      <c r="L1263" s="18" t="n">
        <v>1</v>
      </c>
      <c r="M1263" s="18" t="n"/>
      <c r="N1263" s="18" t="n"/>
      <c r="O1263" s="18" t="n"/>
      <c r="P1263" s="18" t="n"/>
      <c r="Q1263" s="18" t="n"/>
      <c r="R1263" s="18" t="n"/>
      <c r="S1263" s="18" t="n"/>
      <c r="T1263" s="18" t="n"/>
      <c r="U1263" s="18" t="n"/>
      <c r="V1263" s="18" t="n"/>
      <c r="W1263" s="18" t="n"/>
      <c r="X1263" s="18" t="n"/>
      <c r="Y1263" s="13">
        <f>SUMPRODUCT(M1263:X1263,$M$2:$X$2)*$K1263*$L1263</f>
        <v/>
      </c>
      <c r="Z1263" s="14">
        <f>SUM(M1263:X1263)</f>
        <v/>
      </c>
      <c r="AA1263" s="13">
        <f>SUMPRODUCT(M1263:X1263,$M$3:$X$3)*$K1263*$L1263</f>
        <v/>
      </c>
      <c r="AB1263" s="13">
        <f>SUMPRODUCT(M1263:X1263,$M$4:$X$4)*$K1263*$L1263</f>
        <v/>
      </c>
      <c r="AC1263" s="15">
        <f>SUMPRODUCT(M1263:X1263,$M$5:$X$5)*$K1263*$L1263</f>
        <v/>
      </c>
      <c r="AD1263" s="15">
        <f>SUMPRODUCT(M1263:X1263,$M$6:$X$6)*$K1263*$L1263</f>
        <v/>
      </c>
      <c r="AE1263" s="19" t="n"/>
    </row>
    <row r="1264">
      <c r="A1264" s="9" t="n">
        <v>672851</v>
      </c>
      <c r="B1264" s="9" t="inlineStr">
        <is>
          <t>Joan Adon</t>
        </is>
      </c>
      <c r="C1264" s="9" t="inlineStr">
        <is>
          <t>WSH</t>
        </is>
      </c>
      <c r="D1264" s="9" t="n">
        <v>28</v>
      </c>
      <c r="E1264" s="17" t="inlineStr">
        <is>
          <t>R</t>
        </is>
      </c>
      <c r="F1264" s="17" t="n"/>
      <c r="G1264" s="9" t="n">
        <v>48</v>
      </c>
      <c r="H1264" s="9" t="n">
        <v>598</v>
      </c>
      <c r="I1264" s="9" t="inlineStr">
        <is>
          <t>Depth (no MLB IP)</t>
        </is>
      </c>
      <c r="J1264" s="17" t="inlineStr">
        <is>
          <t>Opening Day</t>
        </is>
      </c>
      <c r="K1264" s="11">
        <f>IFERROR(INDEX(Roles!$B$17:$B$20,MATCH(J1264,Roles!$A$17:$A$20,0)),1)</f>
        <v/>
      </c>
      <c r="L1264" s="18" t="n">
        <v>1</v>
      </c>
      <c r="M1264" s="18" t="n"/>
      <c r="N1264" s="18" t="n"/>
      <c r="O1264" s="18" t="n"/>
      <c r="P1264" s="18" t="n"/>
      <c r="Q1264" s="18" t="n"/>
      <c r="R1264" s="18" t="n"/>
      <c r="S1264" s="18" t="n"/>
      <c r="T1264" s="18" t="n"/>
      <c r="U1264" s="18" t="n"/>
      <c r="V1264" s="18" t="n"/>
      <c r="W1264" s="18" t="n"/>
      <c r="X1264" s="18" t="n"/>
      <c r="Y1264" s="13">
        <f>SUMPRODUCT(M1264:X1264,$M$2:$X$2)*$K1264*$L1264</f>
        <v/>
      </c>
      <c r="Z1264" s="14">
        <f>SUM(M1264:X1264)</f>
        <v/>
      </c>
      <c r="AA1264" s="13">
        <f>SUMPRODUCT(M1264:X1264,$M$3:$X$3)*$K1264*$L1264</f>
        <v/>
      </c>
      <c r="AB1264" s="13">
        <f>SUMPRODUCT(M1264:X1264,$M$4:$X$4)*$K1264*$L1264</f>
        <v/>
      </c>
      <c r="AC1264" s="15">
        <f>SUMPRODUCT(M1264:X1264,$M$5:$X$5)*$K1264*$L1264</f>
        <v/>
      </c>
      <c r="AD1264" s="15">
        <f>SUMPRODUCT(M1264:X1264,$M$6:$X$6)*$K1264*$L1264</f>
        <v/>
      </c>
      <c r="AE1264" s="19" t="n"/>
    </row>
    <row r="1265">
      <c r="A1265" s="9" t="n">
        <v>664129</v>
      </c>
      <c r="B1265" s="9" t="inlineStr">
        <is>
          <t>Geoff Hartlieb</t>
        </is>
      </c>
      <c r="C1265" s="9" t="inlineStr">
        <is>
          <t>OAK</t>
        </is>
      </c>
      <c r="D1265" s="9" t="n">
        <v>33</v>
      </c>
      <c r="E1265" s="17" t="inlineStr">
        <is>
          <t>R</t>
        </is>
      </c>
      <c r="F1265" s="17" t="n"/>
      <c r="G1265" s="9" t="n">
        <v>97</v>
      </c>
      <c r="H1265" s="9" t="n">
        <v>181</v>
      </c>
      <c r="I1265" s="9" t="inlineStr">
        <is>
          <t>Bullpen Depth Arm</t>
        </is>
      </c>
      <c r="J1265" s="17" t="inlineStr">
        <is>
          <t>Opening Day</t>
        </is>
      </c>
      <c r="K1265" s="11">
        <f>IFERROR(INDEX(Roles!$B$17:$B$20,MATCH(J1265,Roles!$A$17:$A$20,0)),1)</f>
        <v/>
      </c>
      <c r="L1265" s="18" t="n">
        <v>1</v>
      </c>
      <c r="M1265" s="18" t="n"/>
      <c r="N1265" s="18" t="n"/>
      <c r="O1265" s="18" t="n"/>
      <c r="P1265" s="18" t="n"/>
      <c r="Q1265" s="18" t="n"/>
      <c r="R1265" s="18" t="n"/>
      <c r="S1265" s="18" t="n"/>
      <c r="T1265" s="18" t="n"/>
      <c r="U1265" s="18" t="n"/>
      <c r="V1265" s="18" t="n"/>
      <c r="W1265" s="18" t="n"/>
      <c r="X1265" s="18" t="n"/>
      <c r="Y1265" s="13">
        <f>SUMPRODUCT(M1265:X1265,$M$2:$X$2)*$K1265*$L1265</f>
        <v/>
      </c>
      <c r="Z1265" s="14">
        <f>SUM(M1265:X1265)</f>
        <v/>
      </c>
      <c r="AA1265" s="13">
        <f>SUMPRODUCT(M1265:X1265,$M$3:$X$3)*$K1265*$L1265</f>
        <v/>
      </c>
      <c r="AB1265" s="13">
        <f>SUMPRODUCT(M1265:X1265,$M$4:$X$4)*$K1265*$L1265</f>
        <v/>
      </c>
      <c r="AC1265" s="15">
        <f>SUMPRODUCT(M1265:X1265,$M$5:$X$5)*$K1265*$L1265</f>
        <v/>
      </c>
      <c r="AD1265" s="15">
        <f>SUMPRODUCT(M1265:X1265,$M$6:$X$6)*$K1265*$L1265</f>
        <v/>
      </c>
      <c r="AE1265" s="19" t="n"/>
    </row>
    <row r="1266">
      <c r="A1266" s="9" t="n">
        <v>685314</v>
      </c>
      <c r="B1266" s="9" t="inlineStr">
        <is>
          <t>Andrew Saalfrank</t>
        </is>
      </c>
      <c r="C1266" s="9" t="inlineStr">
        <is>
          <t>ARI</t>
        </is>
      </c>
      <c r="D1266" s="9" t="n">
        <v>29</v>
      </c>
      <c r="E1266" s="17" t="inlineStr">
        <is>
          <t>L</t>
        </is>
      </c>
      <c r="F1266" s="17" t="n"/>
      <c r="G1266" s="9" t="n">
        <v>113</v>
      </c>
      <c r="H1266" s="9" t="n">
        <v>162</v>
      </c>
      <c r="I1266" s="9" t="inlineStr">
        <is>
          <t>Bullpen Depth Arm</t>
        </is>
      </c>
      <c r="J1266" s="17" t="inlineStr">
        <is>
          <t>Opening Day</t>
        </is>
      </c>
      <c r="K1266" s="11">
        <f>IFERROR(INDEX(Roles!$B$17:$B$20,MATCH(J1266,Roles!$A$17:$A$20,0)),1)</f>
        <v/>
      </c>
      <c r="L1266" s="18" t="n">
        <v>1</v>
      </c>
      <c r="M1266" s="18" t="n"/>
      <c r="N1266" s="18" t="n"/>
      <c r="O1266" s="18" t="n"/>
      <c r="P1266" s="18" t="n"/>
      <c r="Q1266" s="18" t="n"/>
      <c r="R1266" s="18" t="n"/>
      <c r="S1266" s="18" t="n"/>
      <c r="T1266" s="18" t="n"/>
      <c r="U1266" s="18" t="n"/>
      <c r="V1266" s="18" t="n"/>
      <c r="W1266" s="18" t="n"/>
      <c r="X1266" s="18" t="n"/>
      <c r="Y1266" s="13">
        <f>SUMPRODUCT(M1266:X1266,$M$2:$X$2)*$K1266*$L1266</f>
        <v/>
      </c>
      <c r="Z1266" s="14">
        <f>SUM(M1266:X1266)</f>
        <v/>
      </c>
      <c r="AA1266" s="13">
        <f>SUMPRODUCT(M1266:X1266,$M$3:$X$3)*$K1266*$L1266</f>
        <v/>
      </c>
      <c r="AB1266" s="13">
        <f>SUMPRODUCT(M1266:X1266,$M$4:$X$4)*$K1266*$L1266</f>
        <v/>
      </c>
      <c r="AC1266" s="15">
        <f>SUMPRODUCT(M1266:X1266,$M$5:$X$5)*$K1266*$L1266</f>
        <v/>
      </c>
      <c r="AD1266" s="15">
        <f>SUMPRODUCT(M1266:X1266,$M$6:$X$6)*$K1266*$L1266</f>
        <v/>
      </c>
      <c r="AE1266" s="19" t="n"/>
    </row>
    <row r="1267">
      <c r="A1267" s="9" t="n">
        <v>593643</v>
      </c>
      <c r="B1267" s="9" t="inlineStr">
        <is>
          <t>Hanser Alberto</t>
        </is>
      </c>
      <c r="C1267" s="9" t="inlineStr">
        <is>
          <t>LAD</t>
        </is>
      </c>
      <c r="D1267" s="9" t="n">
        <v>34</v>
      </c>
      <c r="E1267" s="17" t="inlineStr">
        <is>
          <t>R</t>
        </is>
      </c>
      <c r="F1267" s="17" t="n"/>
      <c r="G1267" s="9" t="n">
        <v>12</v>
      </c>
      <c r="H1267" s="9" t="n">
        <v>59</v>
      </c>
      <c r="I1267" s="9" t="inlineStr">
        <is>
          <t>Depth (no MLB IP)</t>
        </is>
      </c>
      <c r="J1267" s="17" t="inlineStr">
        <is>
          <t>Opening Day</t>
        </is>
      </c>
      <c r="K1267" s="11">
        <f>IFERROR(INDEX(Roles!$B$17:$B$20,MATCH(J1267,Roles!$A$17:$A$20,0)),1)</f>
        <v/>
      </c>
      <c r="L1267" s="18" t="n">
        <v>1</v>
      </c>
      <c r="M1267" s="18" t="n"/>
      <c r="N1267" s="18" t="n"/>
      <c r="O1267" s="18" t="n"/>
      <c r="P1267" s="18" t="n"/>
      <c r="Q1267" s="18" t="n"/>
      <c r="R1267" s="18" t="n"/>
      <c r="S1267" s="18" t="n"/>
      <c r="T1267" s="18" t="n"/>
      <c r="U1267" s="18" t="n"/>
      <c r="V1267" s="18" t="n"/>
      <c r="W1267" s="18" t="n"/>
      <c r="X1267" s="18" t="n"/>
      <c r="Y1267" s="13">
        <f>SUMPRODUCT(M1267:X1267,$M$2:$X$2)*$K1267*$L1267</f>
        <v/>
      </c>
      <c r="Z1267" s="14">
        <f>SUM(M1267:X1267)</f>
        <v/>
      </c>
      <c r="AA1267" s="13">
        <f>SUMPRODUCT(M1267:X1267,$M$3:$X$3)*$K1267*$L1267</f>
        <v/>
      </c>
      <c r="AB1267" s="13">
        <f>SUMPRODUCT(M1267:X1267,$M$4:$X$4)*$K1267*$L1267</f>
        <v/>
      </c>
      <c r="AC1267" s="15">
        <f>SUMPRODUCT(M1267:X1267,$M$5:$X$5)*$K1267*$L1267</f>
        <v/>
      </c>
      <c r="AD1267" s="15">
        <f>SUMPRODUCT(M1267:X1267,$M$6:$X$6)*$K1267*$L1267</f>
        <v/>
      </c>
      <c r="AE1267" s="19" t="n"/>
    </row>
    <row r="1268">
      <c r="A1268" s="9" t="n">
        <v>671106</v>
      </c>
      <c r="B1268" s="9" t="inlineStr">
        <is>
          <t>Logan Allen</t>
        </is>
      </c>
      <c r="C1268" s="9" t="inlineStr">
        <is>
          <t>CLE</t>
        </is>
      </c>
      <c r="D1268" s="9" t="n">
        <v>28</v>
      </c>
      <c r="E1268" s="17" t="inlineStr">
        <is>
          <t>L</t>
        </is>
      </c>
      <c r="F1268" s="17" t="n"/>
      <c r="G1268" s="9" t="n">
        <v>81</v>
      </c>
      <c r="H1268" s="9" t="n">
        <v>1726</v>
      </c>
      <c r="I1268" s="9" t="inlineStr">
        <is>
          <t>End-of-Rotation Starter (SP4-5)</t>
        </is>
      </c>
      <c r="J1268" s="17" t="inlineStr">
        <is>
          <t>Opening Day</t>
        </is>
      </c>
      <c r="K1268" s="11">
        <f>IFERROR(INDEX(Roles!$B$17:$B$20,MATCH(J1268,Roles!$A$17:$A$20,0)),1)</f>
        <v/>
      </c>
      <c r="L1268" s="18" t="n">
        <v>1</v>
      </c>
      <c r="M1268" s="18" t="n"/>
      <c r="N1268" s="18" t="n"/>
      <c r="O1268" s="18" t="n"/>
      <c r="P1268" s="18" t="n"/>
      <c r="Q1268" s="18" t="n"/>
      <c r="R1268" s="18" t="n"/>
      <c r="S1268" s="18" t="n"/>
      <c r="T1268" s="18" t="n"/>
      <c r="U1268" s="18" t="n"/>
      <c r="V1268" s="18" t="n"/>
      <c r="W1268" s="18" t="n"/>
      <c r="X1268" s="18" t="n"/>
      <c r="Y1268" s="13">
        <f>SUMPRODUCT(M1268:X1268,$M$2:$X$2)*$K1268*$L1268</f>
        <v/>
      </c>
      <c r="Z1268" s="14">
        <f>SUM(M1268:X1268)</f>
        <v/>
      </c>
      <c r="AA1268" s="13">
        <f>SUMPRODUCT(M1268:X1268,$M$3:$X$3)*$K1268*$L1268</f>
        <v/>
      </c>
      <c r="AB1268" s="13">
        <f>SUMPRODUCT(M1268:X1268,$M$4:$X$4)*$K1268*$L1268</f>
        <v/>
      </c>
      <c r="AC1268" s="15">
        <f>SUMPRODUCT(M1268:X1268,$M$5:$X$5)*$K1268*$L1268</f>
        <v/>
      </c>
      <c r="AD1268" s="15">
        <f>SUMPRODUCT(M1268:X1268,$M$6:$X$6)*$K1268*$L1268</f>
        <v/>
      </c>
      <c r="AE1268" s="19" t="n"/>
    </row>
    <row r="1269">
      <c r="A1269" s="9" t="n">
        <v>666168</v>
      </c>
      <c r="B1269" s="9" t="inlineStr">
        <is>
          <t>Mason Thompson</t>
        </is>
      </c>
      <c r="C1269" s="9" t="inlineStr">
        <is>
          <t>WSH</t>
        </is>
      </c>
      <c r="D1269" s="9" t="n">
        <v>29</v>
      </c>
      <c r="E1269" s="17" t="inlineStr">
        <is>
          <t>R</t>
        </is>
      </c>
      <c r="F1269" s="17" t="n"/>
      <c r="G1269" s="9" t="n">
        <v>60</v>
      </c>
      <c r="H1269" s="9" t="n">
        <v>401</v>
      </c>
      <c r="I1269" s="9" t="inlineStr">
        <is>
          <t>Bullpen Depth Arm</t>
        </is>
      </c>
      <c r="J1269" s="17" t="inlineStr">
        <is>
          <t>Opening Day</t>
        </is>
      </c>
      <c r="K1269" s="11">
        <f>IFERROR(INDEX(Roles!$B$17:$B$20,MATCH(J1269,Roles!$A$17:$A$20,0)),1)</f>
        <v/>
      </c>
      <c r="L1269" s="18" t="n">
        <v>1</v>
      </c>
      <c r="M1269" s="18" t="n"/>
      <c r="N1269" s="18" t="n"/>
      <c r="O1269" s="18" t="n"/>
      <c r="P1269" s="18" t="n"/>
      <c r="Q1269" s="18" t="n"/>
      <c r="R1269" s="18" t="n"/>
      <c r="S1269" s="18" t="n"/>
      <c r="T1269" s="18" t="n"/>
      <c r="U1269" s="18" t="n"/>
      <c r="V1269" s="18" t="n"/>
      <c r="W1269" s="18" t="n"/>
      <c r="X1269" s="18" t="n"/>
      <c r="Y1269" s="13">
        <f>SUMPRODUCT(M1269:X1269,$M$2:$X$2)*$K1269*$L1269</f>
        <v/>
      </c>
      <c r="Z1269" s="14">
        <f>SUM(M1269:X1269)</f>
        <v/>
      </c>
      <c r="AA1269" s="13">
        <f>SUMPRODUCT(M1269:X1269,$M$3:$X$3)*$K1269*$L1269</f>
        <v/>
      </c>
      <c r="AB1269" s="13">
        <f>SUMPRODUCT(M1269:X1269,$M$4:$X$4)*$K1269*$L1269</f>
        <v/>
      </c>
      <c r="AC1269" s="15">
        <f>SUMPRODUCT(M1269:X1269,$M$5:$X$5)*$K1269*$L1269</f>
        <v/>
      </c>
      <c r="AD1269" s="15">
        <f>SUMPRODUCT(M1269:X1269,$M$6:$X$6)*$K1269*$L1269</f>
        <v/>
      </c>
      <c r="AE1269" s="19" t="n"/>
    </row>
    <row r="1270">
      <c r="A1270" s="9" t="n">
        <v>543901</v>
      </c>
      <c r="B1270" s="9" t="inlineStr">
        <is>
          <t>Ryan Weber</t>
        </is>
      </c>
      <c r="C1270" s="9" t="inlineStr">
        <is>
          <t>NYY</t>
        </is>
      </c>
      <c r="D1270" s="9" t="n">
        <v>36</v>
      </c>
      <c r="E1270" s="17" t="inlineStr">
        <is>
          <t>R</t>
        </is>
      </c>
      <c r="F1270" s="17" t="n"/>
      <c r="G1270" s="9" t="n">
        <v>60</v>
      </c>
      <c r="H1270" s="9" t="n">
        <v>97</v>
      </c>
      <c r="I1270" s="9" t="inlineStr">
        <is>
          <t>Depth (no MLB IP)</t>
        </is>
      </c>
      <c r="J1270" s="17" t="inlineStr">
        <is>
          <t>Opening Day</t>
        </is>
      </c>
      <c r="K1270" s="11">
        <f>IFERROR(INDEX(Roles!$B$17:$B$20,MATCH(J1270,Roles!$A$17:$A$20,0)),1)</f>
        <v/>
      </c>
      <c r="L1270" s="18" t="n">
        <v>1</v>
      </c>
      <c r="M1270" s="18" t="n"/>
      <c r="N1270" s="18" t="n"/>
      <c r="O1270" s="18" t="n"/>
      <c r="P1270" s="18" t="n"/>
      <c r="Q1270" s="18" t="n"/>
      <c r="R1270" s="18" t="n"/>
      <c r="S1270" s="18" t="n"/>
      <c r="T1270" s="18" t="n"/>
      <c r="U1270" s="18" t="n"/>
      <c r="V1270" s="18" t="n"/>
      <c r="W1270" s="18" t="n"/>
      <c r="X1270" s="18" t="n"/>
      <c r="Y1270" s="13">
        <f>SUMPRODUCT(M1270:X1270,$M$2:$X$2)*$K1270*$L1270</f>
        <v/>
      </c>
      <c r="Z1270" s="14">
        <f>SUM(M1270:X1270)</f>
        <v/>
      </c>
      <c r="AA1270" s="13">
        <f>SUMPRODUCT(M1270:X1270,$M$3:$X$3)*$K1270*$L1270</f>
        <v/>
      </c>
      <c r="AB1270" s="13">
        <f>SUMPRODUCT(M1270:X1270,$M$4:$X$4)*$K1270*$L1270</f>
        <v/>
      </c>
      <c r="AC1270" s="15">
        <f>SUMPRODUCT(M1270:X1270,$M$5:$X$5)*$K1270*$L1270</f>
        <v/>
      </c>
      <c r="AD1270" s="15">
        <f>SUMPRODUCT(M1270:X1270,$M$6:$X$6)*$K1270*$L1270</f>
        <v/>
      </c>
      <c r="AE1270" s="19" t="n"/>
    </row>
    <row r="1271">
      <c r="A1271" s="9" t="n">
        <v>672715</v>
      </c>
      <c r="B1271" s="9" t="inlineStr">
        <is>
          <t>Luis Patiño</t>
        </is>
      </c>
      <c r="C1271" s="9" t="inlineStr">
        <is>
          <t>CWS</t>
        </is>
      </c>
      <c r="D1271" s="9" t="n">
        <v>27</v>
      </c>
      <c r="E1271" s="17" t="inlineStr">
        <is>
          <t>R</t>
        </is>
      </c>
      <c r="F1271" s="17" t="n"/>
      <c r="G1271" s="9" t="n">
        <v>99</v>
      </c>
      <c r="H1271" s="9" t="n">
        <v>197</v>
      </c>
      <c r="I1271" s="9" t="inlineStr">
        <is>
          <t>Depth (no MLB IP)</t>
        </is>
      </c>
      <c r="J1271" s="17" t="inlineStr">
        <is>
          <t>Opening Day</t>
        </is>
      </c>
      <c r="K1271" s="11">
        <f>IFERROR(INDEX(Roles!$B$17:$B$20,MATCH(J1271,Roles!$A$17:$A$20,0)),1)</f>
        <v/>
      </c>
      <c r="L1271" s="18" t="n">
        <v>1</v>
      </c>
      <c r="M1271" s="18" t="n"/>
      <c r="N1271" s="18" t="n"/>
      <c r="O1271" s="18" t="n"/>
      <c r="P1271" s="18" t="n"/>
      <c r="Q1271" s="18" t="n"/>
      <c r="R1271" s="18" t="n"/>
      <c r="S1271" s="18" t="n"/>
      <c r="T1271" s="18" t="n"/>
      <c r="U1271" s="18" t="n"/>
      <c r="V1271" s="18" t="n"/>
      <c r="W1271" s="18" t="n"/>
      <c r="X1271" s="18" t="n"/>
      <c r="Y1271" s="13">
        <f>SUMPRODUCT(M1271:X1271,$M$2:$X$2)*$K1271*$L1271</f>
        <v/>
      </c>
      <c r="Z1271" s="14">
        <f>SUM(M1271:X1271)</f>
        <v/>
      </c>
      <c r="AA1271" s="13">
        <f>SUMPRODUCT(M1271:X1271,$M$3:$X$3)*$K1271*$L1271</f>
        <v/>
      </c>
      <c r="AB1271" s="13">
        <f>SUMPRODUCT(M1271:X1271,$M$4:$X$4)*$K1271*$L1271</f>
        <v/>
      </c>
      <c r="AC1271" s="15">
        <f>SUMPRODUCT(M1271:X1271,$M$5:$X$5)*$K1271*$L1271</f>
        <v/>
      </c>
      <c r="AD1271" s="15">
        <f>SUMPRODUCT(M1271:X1271,$M$6:$X$6)*$K1271*$L1271</f>
        <v/>
      </c>
      <c r="AE1271" s="19" t="n"/>
    </row>
    <row r="1272">
      <c r="A1272" s="9" t="n">
        <v>702352</v>
      </c>
      <c r="B1272" s="9" t="inlineStr">
        <is>
          <t>Spencer Bivens</t>
        </is>
      </c>
      <c r="C1272" s="9" t="inlineStr">
        <is>
          <t>SF</t>
        </is>
      </c>
      <c r="D1272" s="9" t="n">
        <v>33</v>
      </c>
      <c r="E1272" s="17" t="inlineStr">
        <is>
          <t>R</t>
        </is>
      </c>
      <c r="F1272" s="17" t="n"/>
      <c r="G1272" s="9" t="n">
        <v>30</v>
      </c>
      <c r="H1272" s="9" t="n">
        <v>575</v>
      </c>
      <c r="I1272" s="9" t="inlineStr">
        <is>
          <t>Bullpen Depth Arm</t>
        </is>
      </c>
      <c r="J1272" s="17" t="inlineStr">
        <is>
          <t>Opening Day</t>
        </is>
      </c>
      <c r="K1272" s="11">
        <f>IFERROR(INDEX(Roles!$B$17:$B$20,MATCH(J1272,Roles!$A$17:$A$20,0)),1)</f>
        <v/>
      </c>
      <c r="L1272" s="18" t="n">
        <v>1</v>
      </c>
      <c r="M1272" s="18" t="n"/>
      <c r="N1272" s="18" t="n"/>
      <c r="O1272" s="18" t="n"/>
      <c r="P1272" s="18" t="n"/>
      <c r="Q1272" s="18" t="n"/>
      <c r="R1272" s="18" t="n"/>
      <c r="S1272" s="18" t="n"/>
      <c r="T1272" s="18" t="n"/>
      <c r="U1272" s="18" t="n"/>
      <c r="V1272" s="18" t="n"/>
      <c r="W1272" s="18" t="n"/>
      <c r="X1272" s="18" t="n"/>
      <c r="Y1272" s="13">
        <f>SUMPRODUCT(M1272:X1272,$M$2:$X$2)*$K1272*$L1272</f>
        <v/>
      </c>
      <c r="Z1272" s="14">
        <f>SUM(M1272:X1272)</f>
        <v/>
      </c>
      <c r="AA1272" s="13">
        <f>SUMPRODUCT(M1272:X1272,$M$3:$X$3)*$K1272*$L1272</f>
        <v/>
      </c>
      <c r="AB1272" s="13">
        <f>SUMPRODUCT(M1272:X1272,$M$4:$X$4)*$K1272*$L1272</f>
        <v/>
      </c>
      <c r="AC1272" s="15">
        <f>SUMPRODUCT(M1272:X1272,$M$5:$X$5)*$K1272*$L1272</f>
        <v/>
      </c>
      <c r="AD1272" s="15">
        <f>SUMPRODUCT(M1272:X1272,$M$6:$X$6)*$K1272*$L1272</f>
        <v/>
      </c>
      <c r="AE1272" s="19" t="n"/>
    </row>
    <row r="1273">
      <c r="A1273" s="9" t="n">
        <v>645261</v>
      </c>
      <c r="B1273" s="9" t="inlineStr">
        <is>
          <t>Sandy Alcantara</t>
        </is>
      </c>
      <c r="C1273" s="9" t="inlineStr">
        <is>
          <t>MIA</t>
        </is>
      </c>
      <c r="D1273" s="9" t="n">
        <v>31</v>
      </c>
      <c r="E1273" s="17" t="inlineStr">
        <is>
          <t>R</t>
        </is>
      </c>
      <c r="F1273" s="17" t="n"/>
      <c r="G1273" s="9" t="n">
        <v>861</v>
      </c>
      <c r="H1273" s="9" t="n">
        <v>3254</v>
      </c>
      <c r="I1273" s="9" t="inlineStr">
        <is>
          <t>Ace (SP1)</t>
        </is>
      </c>
      <c r="J1273" s="17" t="inlineStr">
        <is>
          <t>Opening Day</t>
        </is>
      </c>
      <c r="K1273" s="11">
        <f>IFERROR(INDEX(Roles!$B$17:$B$20,MATCH(J1273,Roles!$A$17:$A$20,0)),1)</f>
        <v/>
      </c>
      <c r="L1273" s="18" t="n">
        <v>1</v>
      </c>
      <c r="M1273" s="18" t="n"/>
      <c r="N1273" s="18" t="n"/>
      <c r="O1273" s="18" t="n"/>
      <c r="P1273" s="18" t="n"/>
      <c r="Q1273" s="18" t="n"/>
      <c r="R1273" s="18" t="n"/>
      <c r="S1273" s="18" t="n"/>
      <c r="T1273" s="18" t="n"/>
      <c r="U1273" s="18" t="n"/>
      <c r="V1273" s="18" t="n"/>
      <c r="W1273" s="18" t="n"/>
      <c r="X1273" s="18" t="n"/>
      <c r="Y1273" s="13">
        <f>SUMPRODUCT(M1273:X1273,$M$2:$X$2)*$K1273*$L1273</f>
        <v/>
      </c>
      <c r="Z1273" s="14">
        <f>SUM(M1273:X1273)</f>
        <v/>
      </c>
      <c r="AA1273" s="13">
        <f>SUMPRODUCT(M1273:X1273,$M$3:$X$3)*$K1273*$L1273</f>
        <v/>
      </c>
      <c r="AB1273" s="13">
        <f>SUMPRODUCT(M1273:X1273,$M$4:$X$4)*$K1273*$L1273</f>
        <v/>
      </c>
      <c r="AC1273" s="15">
        <f>SUMPRODUCT(M1273:X1273,$M$5:$X$5)*$K1273*$L1273</f>
        <v/>
      </c>
      <c r="AD1273" s="15">
        <f>SUMPRODUCT(M1273:X1273,$M$6:$X$6)*$K1273*$L1273</f>
        <v/>
      </c>
      <c r="AE1273" s="19" t="n"/>
    </row>
    <row r="1274">
      <c r="A1274" s="9" t="n">
        <v>672841</v>
      </c>
      <c r="B1274" s="9" t="inlineStr">
        <is>
          <t>Carlos Vargas</t>
        </is>
      </c>
      <c r="C1274" s="9" t="inlineStr">
        <is>
          <t>SEA</t>
        </is>
      </c>
      <c r="D1274" s="9" t="n">
        <v>27</v>
      </c>
      <c r="E1274" s="17" t="inlineStr">
        <is>
          <t>R</t>
        </is>
      </c>
      <c r="F1274" s="17" t="n"/>
      <c r="G1274" s="9" t="n">
        <v>59</v>
      </c>
      <c r="H1274" s="9" t="n">
        <v>412</v>
      </c>
      <c r="I1274" s="9" t="inlineStr">
        <is>
          <t>Bullpen Depth Arm</t>
        </is>
      </c>
      <c r="J1274" s="17" t="inlineStr">
        <is>
          <t>Opening Day</t>
        </is>
      </c>
      <c r="K1274" s="11">
        <f>IFERROR(INDEX(Roles!$B$17:$B$20,MATCH(J1274,Roles!$A$17:$A$20,0)),1)</f>
        <v/>
      </c>
      <c r="L1274" s="18" t="n">
        <v>1</v>
      </c>
      <c r="M1274" s="18" t="n"/>
      <c r="N1274" s="18" t="n"/>
      <c r="O1274" s="18" t="n"/>
      <c r="P1274" s="18" t="n"/>
      <c r="Q1274" s="18" t="n"/>
      <c r="R1274" s="18" t="n"/>
      <c r="S1274" s="18" t="n"/>
      <c r="T1274" s="18" t="n"/>
      <c r="U1274" s="18" t="n"/>
      <c r="V1274" s="18" t="n"/>
      <c r="W1274" s="18" t="n"/>
      <c r="X1274" s="18" t="n"/>
      <c r="Y1274" s="13">
        <f>SUMPRODUCT(M1274:X1274,$M$2:$X$2)*$K1274*$L1274</f>
        <v/>
      </c>
      <c r="Z1274" s="14">
        <f>SUM(M1274:X1274)</f>
        <v/>
      </c>
      <c r="AA1274" s="13">
        <f>SUMPRODUCT(M1274:X1274,$M$3:$X$3)*$K1274*$L1274</f>
        <v/>
      </c>
      <c r="AB1274" s="13">
        <f>SUMPRODUCT(M1274:X1274,$M$4:$X$4)*$K1274*$L1274</f>
        <v/>
      </c>
      <c r="AC1274" s="15">
        <f>SUMPRODUCT(M1274:X1274,$M$5:$X$5)*$K1274*$L1274</f>
        <v/>
      </c>
      <c r="AD1274" s="15">
        <f>SUMPRODUCT(M1274:X1274,$M$6:$X$6)*$K1274*$L1274</f>
        <v/>
      </c>
      <c r="AE1274" s="19" t="n"/>
    </row>
    <row r="1275">
      <c r="A1275" s="9" t="n">
        <v>605498</v>
      </c>
      <c r="B1275" s="9" t="inlineStr">
        <is>
          <t>Andrew Suárez</t>
        </is>
      </c>
      <c r="C1275" s="9" t="inlineStr">
        <is>
          <t>STL</t>
        </is>
      </c>
      <c r="D1275" s="9" t="n">
        <v>34</v>
      </c>
      <c r="E1275" s="17" t="inlineStr">
        <is>
          <t>L</t>
        </is>
      </c>
      <c r="F1275" s="17" t="n"/>
      <c r="G1275" s="9" t="n">
        <v>130</v>
      </c>
      <c r="H1275" s="9" t="n">
        <v>130</v>
      </c>
      <c r="I1275" s="9" t="inlineStr">
        <is>
          <t>Depth (no MLB IP)</t>
        </is>
      </c>
      <c r="J1275" s="17" t="inlineStr">
        <is>
          <t>Opening Day</t>
        </is>
      </c>
      <c r="K1275" s="11">
        <f>IFERROR(INDEX(Roles!$B$17:$B$20,MATCH(J1275,Roles!$A$17:$A$20,0)),1)</f>
        <v/>
      </c>
      <c r="L1275" s="18" t="n">
        <v>1</v>
      </c>
      <c r="M1275" s="18" t="n"/>
      <c r="N1275" s="18" t="n"/>
      <c r="O1275" s="18" t="n"/>
      <c r="P1275" s="18" t="n"/>
      <c r="Q1275" s="18" t="n"/>
      <c r="R1275" s="18" t="n"/>
      <c r="S1275" s="18" t="n"/>
      <c r="T1275" s="18" t="n"/>
      <c r="U1275" s="18" t="n"/>
      <c r="V1275" s="18" t="n"/>
      <c r="W1275" s="18" t="n"/>
      <c r="X1275" s="18" t="n"/>
      <c r="Y1275" s="13">
        <f>SUMPRODUCT(M1275:X1275,$M$2:$X$2)*$K1275*$L1275</f>
        <v/>
      </c>
      <c r="Z1275" s="14">
        <f>SUM(M1275:X1275)</f>
        <v/>
      </c>
      <c r="AA1275" s="13">
        <f>SUMPRODUCT(M1275:X1275,$M$3:$X$3)*$K1275*$L1275</f>
        <v/>
      </c>
      <c r="AB1275" s="13">
        <f>SUMPRODUCT(M1275:X1275,$M$4:$X$4)*$K1275*$L1275</f>
        <v/>
      </c>
      <c r="AC1275" s="15">
        <f>SUMPRODUCT(M1275:X1275,$M$5:$X$5)*$K1275*$L1275</f>
        <v/>
      </c>
      <c r="AD1275" s="15">
        <f>SUMPRODUCT(M1275:X1275,$M$6:$X$6)*$K1275*$L1275</f>
        <v/>
      </c>
      <c r="AE1275" s="19" t="n"/>
    </row>
    <row r="1276">
      <c r="A1276" s="9" t="n">
        <v>643256</v>
      </c>
      <c r="B1276" s="9" t="inlineStr">
        <is>
          <t>Adam Cimber</t>
        </is>
      </c>
      <c r="C1276" s="9" t="inlineStr">
        <is>
          <t>LAA</t>
        </is>
      </c>
      <c r="D1276" s="9" t="n">
        <v>36</v>
      </c>
      <c r="E1276" s="17" t="inlineStr">
        <is>
          <t>R</t>
        </is>
      </c>
      <c r="F1276" s="17" t="n"/>
      <c r="G1276" s="9" t="n">
        <v>107</v>
      </c>
      <c r="H1276" s="9" t="n">
        <v>495</v>
      </c>
      <c r="I1276" s="9" t="inlineStr">
        <is>
          <t>Depth (no MLB IP)</t>
        </is>
      </c>
      <c r="J1276" s="17" t="inlineStr">
        <is>
          <t>Opening Day</t>
        </is>
      </c>
      <c r="K1276" s="11">
        <f>IFERROR(INDEX(Roles!$B$17:$B$20,MATCH(J1276,Roles!$A$17:$A$20,0)),1)</f>
        <v/>
      </c>
      <c r="L1276" s="18" t="n">
        <v>1</v>
      </c>
      <c r="M1276" s="18" t="n"/>
      <c r="N1276" s="18" t="n"/>
      <c r="O1276" s="18" t="n"/>
      <c r="P1276" s="18" t="n"/>
      <c r="Q1276" s="18" t="n"/>
      <c r="R1276" s="18" t="n"/>
      <c r="S1276" s="18" t="n"/>
      <c r="T1276" s="18" t="n"/>
      <c r="U1276" s="18" t="n"/>
      <c r="V1276" s="18" t="n"/>
      <c r="W1276" s="18" t="n"/>
      <c r="X1276" s="18" t="n"/>
      <c r="Y1276" s="13">
        <f>SUMPRODUCT(M1276:X1276,$M$2:$X$2)*$K1276*$L1276</f>
        <v/>
      </c>
      <c r="Z1276" s="14">
        <f>SUM(M1276:X1276)</f>
        <v/>
      </c>
      <c r="AA1276" s="13">
        <f>SUMPRODUCT(M1276:X1276,$M$3:$X$3)*$K1276*$L1276</f>
        <v/>
      </c>
      <c r="AB1276" s="13">
        <f>SUMPRODUCT(M1276:X1276,$M$4:$X$4)*$K1276*$L1276</f>
        <v/>
      </c>
      <c r="AC1276" s="15">
        <f>SUMPRODUCT(M1276:X1276,$M$5:$X$5)*$K1276*$L1276</f>
        <v/>
      </c>
      <c r="AD1276" s="15">
        <f>SUMPRODUCT(M1276:X1276,$M$6:$X$6)*$K1276*$L1276</f>
        <v/>
      </c>
      <c r="AE1276" s="19" t="n"/>
    </row>
    <row r="1277">
      <c r="A1277" s="9" t="n">
        <v>676568</v>
      </c>
      <c r="B1277" s="9" t="inlineStr">
        <is>
          <t>Ricky Vanasco</t>
        </is>
      </c>
      <c r="C1277" s="9" t="inlineStr">
        <is>
          <t>DET</t>
        </is>
      </c>
      <c r="D1277" s="9" t="n">
        <v>28</v>
      </c>
      <c r="E1277" s="17" t="inlineStr">
        <is>
          <t>R</t>
        </is>
      </c>
      <c r="F1277" s="17" t="n"/>
      <c r="G1277" s="9" t="n">
        <v>40</v>
      </c>
      <c r="H1277" s="9" t="n">
        <v>55</v>
      </c>
      <c r="I1277" s="9" t="inlineStr">
        <is>
          <t>Bullpen Depth Arm</t>
        </is>
      </c>
      <c r="J1277" s="17" t="inlineStr">
        <is>
          <t>Opening Day</t>
        </is>
      </c>
      <c r="K1277" s="11">
        <f>IFERROR(INDEX(Roles!$B$17:$B$20,MATCH(J1277,Roles!$A$17:$A$20,0)),1)</f>
        <v/>
      </c>
      <c r="L1277" s="18" t="n">
        <v>1</v>
      </c>
      <c r="M1277" s="18" t="n"/>
      <c r="N1277" s="18" t="n"/>
      <c r="O1277" s="18" t="n"/>
      <c r="P1277" s="18" t="n"/>
      <c r="Q1277" s="18" t="n"/>
      <c r="R1277" s="18" t="n"/>
      <c r="S1277" s="18" t="n"/>
      <c r="T1277" s="18" t="n"/>
      <c r="U1277" s="18" t="n"/>
      <c r="V1277" s="18" t="n"/>
      <c r="W1277" s="18" t="n"/>
      <c r="X1277" s="18" t="n"/>
      <c r="Y1277" s="13">
        <f>SUMPRODUCT(M1277:X1277,$M$2:$X$2)*$K1277*$L1277</f>
        <v/>
      </c>
      <c r="Z1277" s="14">
        <f>SUM(M1277:X1277)</f>
        <v/>
      </c>
      <c r="AA1277" s="13">
        <f>SUMPRODUCT(M1277:X1277,$M$3:$X$3)*$K1277*$L1277</f>
        <v/>
      </c>
      <c r="AB1277" s="13">
        <f>SUMPRODUCT(M1277:X1277,$M$4:$X$4)*$K1277*$L1277</f>
        <v/>
      </c>
      <c r="AC1277" s="15">
        <f>SUMPRODUCT(M1277:X1277,$M$5:$X$5)*$K1277*$L1277</f>
        <v/>
      </c>
      <c r="AD1277" s="15">
        <f>SUMPRODUCT(M1277:X1277,$M$6:$X$6)*$K1277*$L1277</f>
        <v/>
      </c>
      <c r="AE1277" s="19" t="n"/>
    </row>
    <row r="1278">
      <c r="A1278" s="9" t="n">
        <v>641302</v>
      </c>
      <c r="B1278" s="9" t="inlineStr">
        <is>
          <t>Tyler Alexander</t>
        </is>
      </c>
      <c r="C1278" s="9" t="inlineStr">
        <is>
          <t>TEX</t>
        </is>
      </c>
      <c r="D1278" s="9" t="n">
        <v>32</v>
      </c>
      <c r="E1278" s="17" t="inlineStr">
        <is>
          <t>L</t>
        </is>
      </c>
      <c r="F1278" s="17" t="n"/>
      <c r="G1278" s="9" t="n">
        <v>284</v>
      </c>
      <c r="H1278" s="9" t="n">
        <v>1770</v>
      </c>
      <c r="I1278" s="9" t="inlineStr">
        <is>
          <t>Bullpen Depth Arm</t>
        </is>
      </c>
      <c r="J1278" s="17" t="inlineStr">
        <is>
          <t>Opening Day</t>
        </is>
      </c>
      <c r="K1278" s="11">
        <f>IFERROR(INDEX(Roles!$B$17:$B$20,MATCH(J1278,Roles!$A$17:$A$20,0)),1)</f>
        <v/>
      </c>
      <c r="L1278" s="18" t="n">
        <v>1</v>
      </c>
      <c r="M1278" s="18" t="n"/>
      <c r="N1278" s="18" t="n"/>
      <c r="O1278" s="18" t="n"/>
      <c r="P1278" s="18" t="n"/>
      <c r="Q1278" s="18" t="n"/>
      <c r="R1278" s="18" t="n"/>
      <c r="S1278" s="18" t="n"/>
      <c r="T1278" s="18" t="n"/>
      <c r="U1278" s="18" t="n"/>
      <c r="V1278" s="18" t="n"/>
      <c r="W1278" s="18" t="n"/>
      <c r="X1278" s="18" t="n"/>
      <c r="Y1278" s="13">
        <f>SUMPRODUCT(M1278:X1278,$M$2:$X$2)*$K1278*$L1278</f>
        <v/>
      </c>
      <c r="Z1278" s="14">
        <f>SUM(M1278:X1278)</f>
        <v/>
      </c>
      <c r="AA1278" s="13">
        <f>SUMPRODUCT(M1278:X1278,$M$3:$X$3)*$K1278*$L1278</f>
        <v/>
      </c>
      <c r="AB1278" s="13">
        <f>SUMPRODUCT(M1278:X1278,$M$4:$X$4)*$K1278*$L1278</f>
        <v/>
      </c>
      <c r="AC1278" s="15">
        <f>SUMPRODUCT(M1278:X1278,$M$5:$X$5)*$K1278*$L1278</f>
        <v/>
      </c>
      <c r="AD1278" s="15">
        <f>SUMPRODUCT(M1278:X1278,$M$6:$X$6)*$K1278*$L1278</f>
        <v/>
      </c>
      <c r="AE1278" s="19" t="n"/>
    </row>
    <row r="1279">
      <c r="A1279" s="9" t="n">
        <v>677944</v>
      </c>
      <c r="B1279" s="9" t="inlineStr">
        <is>
          <t>Slade Cecconi</t>
        </is>
      </c>
      <c r="C1279" s="9" t="inlineStr">
        <is>
          <t>CLE</t>
        </is>
      </c>
      <c r="D1279" s="9" t="n">
        <v>28</v>
      </c>
      <c r="E1279" s="17" t="inlineStr">
        <is>
          <t>R</t>
        </is>
      </c>
      <c r="F1279" s="17" t="n"/>
      <c r="G1279" s="9" t="n">
        <v>519</v>
      </c>
      <c r="H1279" s="9" t="n">
        <v>1513</v>
      </c>
      <c r="I1279" s="9" t="inlineStr">
        <is>
          <t>End-of-Rotation Starter (SP4-5)</t>
        </is>
      </c>
      <c r="J1279" s="17" t="inlineStr">
        <is>
          <t>Opening Day</t>
        </is>
      </c>
      <c r="K1279" s="11">
        <f>IFERROR(INDEX(Roles!$B$17:$B$20,MATCH(J1279,Roles!$A$17:$A$20,0)),1)</f>
        <v/>
      </c>
      <c r="L1279" s="18" t="n">
        <v>1</v>
      </c>
      <c r="M1279" s="18" t="n"/>
      <c r="N1279" s="18" t="n"/>
      <c r="O1279" s="18" t="n"/>
      <c r="P1279" s="18" t="n"/>
      <c r="Q1279" s="18" t="n"/>
      <c r="R1279" s="18" t="n"/>
      <c r="S1279" s="18" t="n"/>
      <c r="T1279" s="18" t="n"/>
      <c r="U1279" s="18" t="n"/>
      <c r="V1279" s="18" t="n"/>
      <c r="W1279" s="18" t="n"/>
      <c r="X1279" s="18" t="n"/>
      <c r="Y1279" s="13">
        <f>SUMPRODUCT(M1279:X1279,$M$2:$X$2)*$K1279*$L1279</f>
        <v/>
      </c>
      <c r="Z1279" s="14">
        <f>SUM(M1279:X1279)</f>
        <v/>
      </c>
      <c r="AA1279" s="13">
        <f>SUMPRODUCT(M1279:X1279,$M$3:$X$3)*$K1279*$L1279</f>
        <v/>
      </c>
      <c r="AB1279" s="13">
        <f>SUMPRODUCT(M1279:X1279,$M$4:$X$4)*$K1279*$L1279</f>
        <v/>
      </c>
      <c r="AC1279" s="15">
        <f>SUMPRODUCT(M1279:X1279,$M$5:$X$5)*$K1279*$L1279</f>
        <v/>
      </c>
      <c r="AD1279" s="15">
        <f>SUMPRODUCT(M1279:X1279,$M$6:$X$6)*$K1279*$L1279</f>
        <v/>
      </c>
      <c r="AE1279" s="19" t="n"/>
    </row>
    <row r="1280">
      <c r="A1280" s="9" t="n">
        <v>678391</v>
      </c>
      <c r="B1280" s="9" t="inlineStr">
        <is>
          <t>Jorbit Vivas</t>
        </is>
      </c>
      <c r="C1280" s="9" t="inlineStr">
        <is>
          <t>WSH</t>
        </is>
      </c>
      <c r="D1280" s="9" t="n">
        <v>26</v>
      </c>
      <c r="E1280" s="17" t="inlineStr">
        <is>
          <t>R</t>
        </is>
      </c>
      <c r="F1280" s="17" t="n"/>
      <c r="G1280" s="9" t="n">
        <v>27</v>
      </c>
      <c r="H1280" s="9" t="n">
        <v>27</v>
      </c>
      <c r="I1280" s="9" t="inlineStr">
        <is>
          <t>Bullpen Depth Arm</t>
        </is>
      </c>
      <c r="J1280" s="17" t="inlineStr">
        <is>
          <t>Opening Day</t>
        </is>
      </c>
      <c r="K1280" s="11">
        <f>IFERROR(INDEX(Roles!$B$17:$B$20,MATCH(J1280,Roles!$A$17:$A$20,0)),1)</f>
        <v/>
      </c>
      <c r="L1280" s="18" t="n">
        <v>1</v>
      </c>
      <c r="M1280" s="18" t="n"/>
      <c r="N1280" s="18" t="n"/>
      <c r="O1280" s="18" t="n"/>
      <c r="P1280" s="18" t="n"/>
      <c r="Q1280" s="18" t="n"/>
      <c r="R1280" s="18" t="n"/>
      <c r="S1280" s="18" t="n"/>
      <c r="T1280" s="18" t="n"/>
      <c r="U1280" s="18" t="n"/>
      <c r="V1280" s="18" t="n"/>
      <c r="W1280" s="18" t="n"/>
      <c r="X1280" s="18" t="n"/>
      <c r="Y1280" s="13">
        <f>SUMPRODUCT(M1280:X1280,$M$2:$X$2)*$K1280*$L1280</f>
        <v/>
      </c>
      <c r="Z1280" s="14">
        <f>SUM(M1280:X1280)</f>
        <v/>
      </c>
      <c r="AA1280" s="13">
        <f>SUMPRODUCT(M1280:X1280,$M$3:$X$3)*$K1280*$L1280</f>
        <v/>
      </c>
      <c r="AB1280" s="13">
        <f>SUMPRODUCT(M1280:X1280,$M$4:$X$4)*$K1280*$L1280</f>
        <v/>
      </c>
      <c r="AC1280" s="15">
        <f>SUMPRODUCT(M1280:X1280,$M$5:$X$5)*$K1280*$L1280</f>
        <v/>
      </c>
      <c r="AD1280" s="15">
        <f>SUMPRODUCT(M1280:X1280,$M$6:$X$6)*$K1280*$L1280</f>
        <v/>
      </c>
      <c r="AE1280" s="19" t="n"/>
    </row>
    <row r="1281">
      <c r="A1281" s="9" t="n">
        <v>703615</v>
      </c>
      <c r="B1281" s="9" t="inlineStr">
        <is>
          <t>Jose Cabrera</t>
        </is>
      </c>
      <c r="C1281" s="9" t="inlineStr">
        <is>
          <t>ARI</t>
        </is>
      </c>
      <c r="D1281" s="9" t="n">
        <v>25</v>
      </c>
      <c r="E1281" s="17" t="inlineStr">
        <is>
          <t>R</t>
        </is>
      </c>
      <c r="F1281" s="17" t="n"/>
      <c r="G1281" s="9" t="n">
        <v>119</v>
      </c>
      <c r="H1281" s="9" t="n">
        <v>119</v>
      </c>
      <c r="I1281" s="9" t="inlineStr">
        <is>
          <t>End-of-Rotation Starter (SP4-5)</t>
        </is>
      </c>
      <c r="J1281" s="17" t="inlineStr">
        <is>
          <t>Opening Day</t>
        </is>
      </c>
      <c r="K1281" s="11">
        <f>IFERROR(INDEX(Roles!$B$17:$B$20,MATCH(J1281,Roles!$A$17:$A$20,0)),1)</f>
        <v/>
      </c>
      <c r="L1281" s="18" t="n">
        <v>1</v>
      </c>
      <c r="M1281" s="18" t="n"/>
      <c r="N1281" s="18" t="n"/>
      <c r="O1281" s="18" t="n"/>
      <c r="P1281" s="18" t="n"/>
      <c r="Q1281" s="18" t="n"/>
      <c r="R1281" s="18" t="n"/>
      <c r="S1281" s="18" t="n"/>
      <c r="T1281" s="18" t="n"/>
      <c r="U1281" s="18" t="n"/>
      <c r="V1281" s="18" t="n"/>
      <c r="W1281" s="18" t="n"/>
      <c r="X1281" s="18" t="n"/>
      <c r="Y1281" s="13">
        <f>SUMPRODUCT(M1281:X1281,$M$2:$X$2)*$K1281*$L1281</f>
        <v/>
      </c>
      <c r="Z1281" s="14">
        <f>SUM(M1281:X1281)</f>
        <v/>
      </c>
      <c r="AA1281" s="13">
        <f>SUMPRODUCT(M1281:X1281,$M$3:$X$3)*$K1281*$L1281</f>
        <v/>
      </c>
      <c r="AB1281" s="13">
        <f>SUMPRODUCT(M1281:X1281,$M$4:$X$4)*$K1281*$L1281</f>
        <v/>
      </c>
      <c r="AC1281" s="15">
        <f>SUMPRODUCT(M1281:X1281,$M$5:$X$5)*$K1281*$L1281</f>
        <v/>
      </c>
      <c r="AD1281" s="15">
        <f>SUMPRODUCT(M1281:X1281,$M$6:$X$6)*$K1281*$L1281</f>
        <v/>
      </c>
      <c r="AE1281" s="19" t="n"/>
    </row>
    <row r="1282">
      <c r="A1282" s="9" t="n">
        <v>682227</v>
      </c>
      <c r="B1282" s="9" t="inlineStr">
        <is>
          <t>Brandon Williamson</t>
        </is>
      </c>
      <c r="C1282" s="9" t="inlineStr">
        <is>
          <t>CIN</t>
        </is>
      </c>
      <c r="D1282" s="9" t="n">
        <v>29</v>
      </c>
      <c r="E1282" s="17" t="inlineStr">
        <is>
          <t>L</t>
        </is>
      </c>
      <c r="F1282" s="17" t="n"/>
      <c r="G1282" s="9" t="n">
        <v>188</v>
      </c>
      <c r="H1282" s="9" t="n">
        <v>738</v>
      </c>
      <c r="I1282" s="9" t="inlineStr">
        <is>
          <t>End-of-Rotation Starter (SP4-5)</t>
        </is>
      </c>
      <c r="J1282" s="17" t="inlineStr">
        <is>
          <t>Opening Day</t>
        </is>
      </c>
      <c r="K1282" s="11">
        <f>IFERROR(INDEX(Roles!$B$17:$B$20,MATCH(J1282,Roles!$A$17:$A$20,0)),1)</f>
        <v/>
      </c>
      <c r="L1282" s="18" t="n">
        <v>1</v>
      </c>
      <c r="M1282" s="18" t="n"/>
      <c r="N1282" s="18" t="n"/>
      <c r="O1282" s="18" t="n"/>
      <c r="P1282" s="18" t="n"/>
      <c r="Q1282" s="18" t="n"/>
      <c r="R1282" s="18" t="n"/>
      <c r="S1282" s="18" t="n"/>
      <c r="T1282" s="18" t="n"/>
      <c r="U1282" s="18" t="n"/>
      <c r="V1282" s="18" t="n"/>
      <c r="W1282" s="18" t="n"/>
      <c r="X1282" s="18" t="n"/>
      <c r="Y1282" s="13">
        <f>SUMPRODUCT(M1282:X1282,$M$2:$X$2)*$K1282*$L1282</f>
        <v/>
      </c>
      <c r="Z1282" s="14">
        <f>SUM(M1282:X1282)</f>
        <v/>
      </c>
      <c r="AA1282" s="13">
        <f>SUMPRODUCT(M1282:X1282,$M$3:$X$3)*$K1282*$L1282</f>
        <v/>
      </c>
      <c r="AB1282" s="13">
        <f>SUMPRODUCT(M1282:X1282,$M$4:$X$4)*$K1282*$L1282</f>
        <v/>
      </c>
      <c r="AC1282" s="15">
        <f>SUMPRODUCT(M1282:X1282,$M$5:$X$5)*$K1282*$L1282</f>
        <v/>
      </c>
      <c r="AD1282" s="15">
        <f>SUMPRODUCT(M1282:X1282,$M$6:$X$6)*$K1282*$L1282</f>
        <v/>
      </c>
      <c r="AE1282" s="19" t="n"/>
    </row>
    <row r="1283">
      <c r="A1283" s="9" t="n">
        <v>595881</v>
      </c>
      <c r="B1283" s="9" t="inlineStr">
        <is>
          <t>Tyler Beede</t>
        </is>
      </c>
      <c r="C1283" s="9" t="inlineStr">
        <is>
          <t>CLE</t>
        </is>
      </c>
      <c r="D1283" s="9" t="n">
        <v>34</v>
      </c>
      <c r="E1283" s="17" t="inlineStr">
        <is>
          <t>R</t>
        </is>
      </c>
      <c r="F1283" s="17" t="n"/>
      <c r="G1283" s="9" t="n">
        <v>68</v>
      </c>
      <c r="H1283" s="9" t="n">
        <v>353</v>
      </c>
      <c r="I1283" s="9" t="inlineStr">
        <is>
          <t>Depth (no MLB IP)</t>
        </is>
      </c>
      <c r="J1283" s="17" t="inlineStr">
        <is>
          <t>Opening Day</t>
        </is>
      </c>
      <c r="K1283" s="11">
        <f>IFERROR(INDEX(Roles!$B$17:$B$20,MATCH(J1283,Roles!$A$17:$A$20,0)),1)</f>
        <v/>
      </c>
      <c r="L1283" s="18" t="n">
        <v>1</v>
      </c>
      <c r="M1283" s="18" t="n"/>
      <c r="N1283" s="18" t="n"/>
      <c r="O1283" s="18" t="n"/>
      <c r="P1283" s="18" t="n"/>
      <c r="Q1283" s="18" t="n"/>
      <c r="R1283" s="18" t="n"/>
      <c r="S1283" s="18" t="n"/>
      <c r="T1283" s="18" t="n"/>
      <c r="U1283" s="18" t="n"/>
      <c r="V1283" s="18" t="n"/>
      <c r="W1283" s="18" t="n"/>
      <c r="X1283" s="18" t="n"/>
      <c r="Y1283" s="13">
        <f>SUMPRODUCT(M1283:X1283,$M$2:$X$2)*$K1283*$L1283</f>
        <v/>
      </c>
      <c r="Z1283" s="14">
        <f>SUM(M1283:X1283)</f>
        <v/>
      </c>
      <c r="AA1283" s="13">
        <f>SUMPRODUCT(M1283:X1283,$M$3:$X$3)*$K1283*$L1283</f>
        <v/>
      </c>
      <c r="AB1283" s="13">
        <f>SUMPRODUCT(M1283:X1283,$M$4:$X$4)*$K1283*$L1283</f>
        <v/>
      </c>
      <c r="AC1283" s="15">
        <f>SUMPRODUCT(M1283:X1283,$M$5:$X$5)*$K1283*$L1283</f>
        <v/>
      </c>
      <c r="AD1283" s="15">
        <f>SUMPRODUCT(M1283:X1283,$M$6:$X$6)*$K1283*$L1283</f>
        <v/>
      </c>
      <c r="AE1283" s="19" t="n"/>
    </row>
    <row r="1284">
      <c r="A1284" s="9" t="n">
        <v>700270</v>
      </c>
      <c r="B1284" s="9" t="inlineStr">
        <is>
          <t>Yilber Díaz</t>
        </is>
      </c>
      <c r="C1284" s="9" t="inlineStr">
        <is>
          <t>DET</t>
        </is>
      </c>
      <c r="D1284" s="9" t="n">
        <v>26</v>
      </c>
      <c r="E1284" s="17" t="inlineStr">
        <is>
          <t>R</t>
        </is>
      </c>
      <c r="F1284" s="17" t="n"/>
      <c r="G1284" s="9" t="n">
        <v>34</v>
      </c>
      <c r="H1284" s="9" t="n">
        <v>168</v>
      </c>
      <c r="I1284" s="9" t="inlineStr">
        <is>
          <t>Bullpen Depth Arm</t>
        </is>
      </c>
      <c r="J1284" s="17" t="inlineStr">
        <is>
          <t>Opening Day</t>
        </is>
      </c>
      <c r="K1284" s="11">
        <f>IFERROR(INDEX(Roles!$B$17:$B$20,MATCH(J1284,Roles!$A$17:$A$20,0)),1)</f>
        <v/>
      </c>
      <c r="L1284" s="18" t="n">
        <v>1</v>
      </c>
      <c r="M1284" s="18" t="n"/>
      <c r="N1284" s="18" t="n"/>
      <c r="O1284" s="18" t="n"/>
      <c r="P1284" s="18" t="n"/>
      <c r="Q1284" s="18" t="n"/>
      <c r="R1284" s="18" t="n"/>
      <c r="S1284" s="18" t="n"/>
      <c r="T1284" s="18" t="n"/>
      <c r="U1284" s="18" t="n"/>
      <c r="V1284" s="18" t="n"/>
      <c r="W1284" s="18" t="n"/>
      <c r="X1284" s="18" t="n"/>
      <c r="Y1284" s="13">
        <f>SUMPRODUCT(M1284:X1284,$M$2:$X$2)*$K1284*$L1284</f>
        <v/>
      </c>
      <c r="Z1284" s="14">
        <f>SUM(M1284:X1284)</f>
        <v/>
      </c>
      <c r="AA1284" s="13">
        <f>SUMPRODUCT(M1284:X1284,$M$3:$X$3)*$K1284*$L1284</f>
        <v/>
      </c>
      <c r="AB1284" s="13">
        <f>SUMPRODUCT(M1284:X1284,$M$4:$X$4)*$K1284*$L1284</f>
        <v/>
      </c>
      <c r="AC1284" s="15">
        <f>SUMPRODUCT(M1284:X1284,$M$5:$X$5)*$K1284*$L1284</f>
        <v/>
      </c>
      <c r="AD1284" s="15">
        <f>SUMPRODUCT(M1284:X1284,$M$6:$X$6)*$K1284*$L1284</f>
        <v/>
      </c>
      <c r="AE1284" s="19" t="n"/>
    </row>
    <row r="1285">
      <c r="A1285" s="9" t="n">
        <v>691769</v>
      </c>
      <c r="B1285" s="9" t="inlineStr">
        <is>
          <t>Philip Abner</t>
        </is>
      </c>
      <c r="C1285" s="9" t="inlineStr">
        <is>
          <t>SF</t>
        </is>
      </c>
      <c r="D1285" s="9" t="n">
        <v>25</v>
      </c>
      <c r="E1285" s="17" t="inlineStr">
        <is>
          <t>L</t>
        </is>
      </c>
      <c r="F1285" s="17" t="n"/>
      <c r="G1285" s="9" t="n">
        <v>75</v>
      </c>
      <c r="H1285" s="9" t="n">
        <v>93</v>
      </c>
      <c r="I1285" s="9" t="inlineStr">
        <is>
          <t>Bullpen Depth Arm</t>
        </is>
      </c>
      <c r="J1285" s="17" t="inlineStr">
        <is>
          <t>Opening Day</t>
        </is>
      </c>
      <c r="K1285" s="11">
        <f>IFERROR(INDEX(Roles!$B$17:$B$20,MATCH(J1285,Roles!$A$17:$A$20,0)),1)</f>
        <v/>
      </c>
      <c r="L1285" s="18" t="n">
        <v>1</v>
      </c>
      <c r="M1285" s="18" t="n"/>
      <c r="N1285" s="18" t="n"/>
      <c r="O1285" s="18" t="n"/>
      <c r="P1285" s="18" t="n"/>
      <c r="Q1285" s="18" t="n"/>
      <c r="R1285" s="18" t="n"/>
      <c r="S1285" s="18" t="n"/>
      <c r="T1285" s="18" t="n"/>
      <c r="U1285" s="18" t="n"/>
      <c r="V1285" s="18" t="n"/>
      <c r="W1285" s="18" t="n"/>
      <c r="X1285" s="18" t="n"/>
      <c r="Y1285" s="13">
        <f>SUMPRODUCT(M1285:X1285,$M$2:$X$2)*$K1285*$L1285</f>
        <v/>
      </c>
      <c r="Z1285" s="14">
        <f>SUM(M1285:X1285)</f>
        <v/>
      </c>
      <c r="AA1285" s="13">
        <f>SUMPRODUCT(M1285:X1285,$M$3:$X$3)*$K1285*$L1285</f>
        <v/>
      </c>
      <c r="AB1285" s="13">
        <f>SUMPRODUCT(M1285:X1285,$M$4:$X$4)*$K1285*$L1285</f>
        <v/>
      </c>
      <c r="AC1285" s="15">
        <f>SUMPRODUCT(M1285:X1285,$M$5:$X$5)*$K1285*$L1285</f>
        <v/>
      </c>
      <c r="AD1285" s="15">
        <f>SUMPRODUCT(M1285:X1285,$M$6:$X$6)*$K1285*$L1285</f>
        <v/>
      </c>
      <c r="AE1285" s="19" t="n"/>
    </row>
    <row r="1286">
      <c r="A1286" s="9" t="n">
        <v>665048</v>
      </c>
      <c r="B1286" s="9" t="inlineStr">
        <is>
          <t>Hobie Harris</t>
        </is>
      </c>
      <c r="C1286" s="9" t="inlineStr">
        <is>
          <t>WSH</t>
        </is>
      </c>
      <c r="D1286" s="9" t="n">
        <v>34</v>
      </c>
      <c r="E1286" s="17" t="inlineStr">
        <is>
          <t>R</t>
        </is>
      </c>
      <c r="F1286" s="17" t="n"/>
      <c r="G1286" s="9" t="n">
        <v>91</v>
      </c>
      <c r="H1286" s="9" t="n">
        <v>91</v>
      </c>
      <c r="I1286" s="9" t="inlineStr">
        <is>
          <t>Depth (no MLB IP)</t>
        </is>
      </c>
      <c r="J1286" s="17" t="inlineStr">
        <is>
          <t>Opening Day</t>
        </is>
      </c>
      <c r="K1286" s="11">
        <f>IFERROR(INDEX(Roles!$B$17:$B$20,MATCH(J1286,Roles!$A$17:$A$20,0)),1)</f>
        <v/>
      </c>
      <c r="L1286" s="18" t="n">
        <v>1</v>
      </c>
      <c r="M1286" s="18" t="n"/>
      <c r="N1286" s="18" t="n"/>
      <c r="O1286" s="18" t="n"/>
      <c r="P1286" s="18" t="n"/>
      <c r="Q1286" s="18" t="n"/>
      <c r="R1286" s="18" t="n"/>
      <c r="S1286" s="18" t="n"/>
      <c r="T1286" s="18" t="n"/>
      <c r="U1286" s="18" t="n"/>
      <c r="V1286" s="18" t="n"/>
      <c r="W1286" s="18" t="n"/>
      <c r="X1286" s="18" t="n"/>
      <c r="Y1286" s="13">
        <f>SUMPRODUCT(M1286:X1286,$M$2:$X$2)*$K1286*$L1286</f>
        <v/>
      </c>
      <c r="Z1286" s="14">
        <f>SUM(M1286:X1286)</f>
        <v/>
      </c>
      <c r="AA1286" s="13">
        <f>SUMPRODUCT(M1286:X1286,$M$3:$X$3)*$K1286*$L1286</f>
        <v/>
      </c>
      <c r="AB1286" s="13">
        <f>SUMPRODUCT(M1286:X1286,$M$4:$X$4)*$K1286*$L1286</f>
        <v/>
      </c>
      <c r="AC1286" s="15">
        <f>SUMPRODUCT(M1286:X1286,$M$5:$X$5)*$K1286*$L1286</f>
        <v/>
      </c>
      <c r="AD1286" s="15">
        <f>SUMPRODUCT(M1286:X1286,$M$6:$X$6)*$K1286*$L1286</f>
        <v/>
      </c>
      <c r="AE1286" s="19" t="n"/>
    </row>
    <row r="1287">
      <c r="A1287" s="9" t="n">
        <v>676106</v>
      </c>
      <c r="B1287" s="9" t="inlineStr">
        <is>
          <t>Emerson Hancock</t>
        </is>
      </c>
      <c r="C1287" s="9" t="inlineStr">
        <is>
          <t>SEA</t>
        </is>
      </c>
      <c r="D1287" s="9" t="n">
        <v>28</v>
      </c>
      <c r="E1287" s="17" t="inlineStr">
        <is>
          <t>R</t>
        </is>
      </c>
      <c r="F1287" s="17" t="n"/>
      <c r="G1287" s="9" t="n">
        <v>566</v>
      </c>
      <c r="H1287" s="9" t="n">
        <v>1266</v>
      </c>
      <c r="I1287" s="9" t="inlineStr">
        <is>
          <t>Mid-Rotation Starter (SP2-3)</t>
        </is>
      </c>
      <c r="J1287" s="17" t="inlineStr">
        <is>
          <t>Opening Day</t>
        </is>
      </c>
      <c r="K1287" s="11">
        <f>IFERROR(INDEX(Roles!$B$17:$B$20,MATCH(J1287,Roles!$A$17:$A$20,0)),1)</f>
        <v/>
      </c>
      <c r="L1287" s="18" t="n">
        <v>1</v>
      </c>
      <c r="M1287" s="18" t="n"/>
      <c r="N1287" s="18" t="n"/>
      <c r="O1287" s="18" t="n"/>
      <c r="P1287" s="18" t="n"/>
      <c r="Q1287" s="18" t="n"/>
      <c r="R1287" s="18" t="n"/>
      <c r="S1287" s="18" t="n"/>
      <c r="T1287" s="18" t="n"/>
      <c r="U1287" s="18" t="n"/>
      <c r="V1287" s="18" t="n"/>
      <c r="W1287" s="18" t="n"/>
      <c r="X1287" s="18" t="n"/>
      <c r="Y1287" s="13">
        <f>SUMPRODUCT(M1287:X1287,$M$2:$X$2)*$K1287*$L1287</f>
        <v/>
      </c>
      <c r="Z1287" s="14">
        <f>SUM(M1287:X1287)</f>
        <v/>
      </c>
      <c r="AA1287" s="13">
        <f>SUMPRODUCT(M1287:X1287,$M$3:$X$3)*$K1287*$L1287</f>
        <v/>
      </c>
      <c r="AB1287" s="13">
        <f>SUMPRODUCT(M1287:X1287,$M$4:$X$4)*$K1287*$L1287</f>
        <v/>
      </c>
      <c r="AC1287" s="15">
        <f>SUMPRODUCT(M1287:X1287,$M$5:$X$5)*$K1287*$L1287</f>
        <v/>
      </c>
      <c r="AD1287" s="15">
        <f>SUMPRODUCT(M1287:X1287,$M$6:$X$6)*$K1287*$L1287</f>
        <v/>
      </c>
      <c r="AE1287" s="19" t="n"/>
    </row>
    <row r="1288">
      <c r="A1288" s="9" t="n">
        <v>641447</v>
      </c>
      <c r="B1288" s="9" t="inlineStr">
        <is>
          <t>Daniel Castano</t>
        </is>
      </c>
      <c r="C1288" s="9" t="inlineStr">
        <is>
          <t>MIA</t>
        </is>
      </c>
      <c r="D1288" s="9" t="n">
        <v>32</v>
      </c>
      <c r="E1288" s="17" t="inlineStr">
        <is>
          <t>L</t>
        </is>
      </c>
      <c r="F1288" s="17" t="n"/>
      <c r="G1288" s="9" t="n">
        <v>20</v>
      </c>
      <c r="H1288" s="9" t="n">
        <v>176</v>
      </c>
      <c r="I1288" s="9" t="inlineStr">
        <is>
          <t>Depth (no MLB IP)</t>
        </is>
      </c>
      <c r="J1288" s="17" t="inlineStr">
        <is>
          <t>Opening Day</t>
        </is>
      </c>
      <c r="K1288" s="11">
        <f>IFERROR(INDEX(Roles!$B$17:$B$20,MATCH(J1288,Roles!$A$17:$A$20,0)),1)</f>
        <v/>
      </c>
      <c r="L1288" s="18" t="n">
        <v>1</v>
      </c>
      <c r="M1288" s="18" t="n"/>
      <c r="N1288" s="18" t="n"/>
      <c r="O1288" s="18" t="n"/>
      <c r="P1288" s="18" t="n"/>
      <c r="Q1288" s="18" t="n"/>
      <c r="R1288" s="18" t="n"/>
      <c r="S1288" s="18" t="n"/>
      <c r="T1288" s="18" t="n"/>
      <c r="U1288" s="18" t="n"/>
      <c r="V1288" s="18" t="n"/>
      <c r="W1288" s="18" t="n"/>
      <c r="X1288" s="18" t="n"/>
      <c r="Y1288" s="13">
        <f>SUMPRODUCT(M1288:X1288,$M$2:$X$2)*$K1288*$L1288</f>
        <v/>
      </c>
      <c r="Z1288" s="14">
        <f>SUM(M1288:X1288)</f>
        <v/>
      </c>
      <c r="AA1288" s="13">
        <f>SUMPRODUCT(M1288:X1288,$M$3:$X$3)*$K1288*$L1288</f>
        <v/>
      </c>
      <c r="AB1288" s="13">
        <f>SUMPRODUCT(M1288:X1288,$M$4:$X$4)*$K1288*$L1288</f>
        <v/>
      </c>
      <c r="AC1288" s="15">
        <f>SUMPRODUCT(M1288:X1288,$M$5:$X$5)*$K1288*$L1288</f>
        <v/>
      </c>
      <c r="AD1288" s="15">
        <f>SUMPRODUCT(M1288:X1288,$M$6:$X$6)*$K1288*$L1288</f>
        <v/>
      </c>
      <c r="AE1288" s="19" t="n"/>
    </row>
    <row r="1289">
      <c r="A1289" s="9" t="n">
        <v>621199</v>
      </c>
      <c r="B1289" s="9" t="inlineStr">
        <is>
          <t>Matt Bowman</t>
        </is>
      </c>
      <c r="C1289" s="9" t="inlineStr">
        <is>
          <t>BAL</t>
        </is>
      </c>
      <c r="D1289" s="9" t="n">
        <v>36</v>
      </c>
      <c r="E1289" s="17" t="inlineStr">
        <is>
          <t>R</t>
        </is>
      </c>
      <c r="F1289" s="17" t="n"/>
      <c r="G1289" s="9" t="n">
        <v>114</v>
      </c>
      <c r="H1289" s="9" t="n">
        <v>266</v>
      </c>
      <c r="I1289" s="9" t="inlineStr">
        <is>
          <t>Bullpen Depth Arm</t>
        </is>
      </c>
      <c r="J1289" s="17" t="inlineStr">
        <is>
          <t>Opening Day</t>
        </is>
      </c>
      <c r="K1289" s="11">
        <f>IFERROR(INDEX(Roles!$B$17:$B$20,MATCH(J1289,Roles!$A$17:$A$20,0)),1)</f>
        <v/>
      </c>
      <c r="L1289" s="18" t="n">
        <v>1</v>
      </c>
      <c r="M1289" s="18" t="n"/>
      <c r="N1289" s="18" t="n"/>
      <c r="O1289" s="18" t="n"/>
      <c r="P1289" s="18" t="n"/>
      <c r="Q1289" s="18" t="n"/>
      <c r="R1289" s="18" t="n"/>
      <c r="S1289" s="18" t="n"/>
      <c r="T1289" s="18" t="n"/>
      <c r="U1289" s="18" t="n"/>
      <c r="V1289" s="18" t="n"/>
      <c r="W1289" s="18" t="n"/>
      <c r="X1289" s="18" t="n"/>
      <c r="Y1289" s="13">
        <f>SUMPRODUCT(M1289:X1289,$M$2:$X$2)*$K1289*$L1289</f>
        <v/>
      </c>
      <c r="Z1289" s="14">
        <f>SUM(M1289:X1289)</f>
        <v/>
      </c>
      <c r="AA1289" s="13">
        <f>SUMPRODUCT(M1289:X1289,$M$3:$X$3)*$K1289*$L1289</f>
        <v/>
      </c>
      <c r="AB1289" s="13">
        <f>SUMPRODUCT(M1289:X1289,$M$4:$X$4)*$K1289*$L1289</f>
        <v/>
      </c>
      <c r="AC1289" s="15">
        <f>SUMPRODUCT(M1289:X1289,$M$5:$X$5)*$K1289*$L1289</f>
        <v/>
      </c>
      <c r="AD1289" s="15">
        <f>SUMPRODUCT(M1289:X1289,$M$6:$X$6)*$K1289*$L1289</f>
        <v/>
      </c>
      <c r="AE1289" s="19" t="n"/>
    </row>
    <row r="1290">
      <c r="A1290" s="9" t="n">
        <v>605200</v>
      </c>
      <c r="B1290" s="9" t="inlineStr">
        <is>
          <t>Zach Davies</t>
        </is>
      </c>
      <c r="C1290" s="9" t="inlineStr">
        <is>
          <t>ARI</t>
        </is>
      </c>
      <c r="D1290" s="9" t="n">
        <v>34</v>
      </c>
      <c r="E1290" s="17" t="inlineStr">
        <is>
          <t>R</t>
        </is>
      </c>
      <c r="F1290" s="17" t="n"/>
      <c r="G1290" s="9" t="n">
        <v>377</v>
      </c>
      <c r="H1290" s="9" t="n">
        <v>947</v>
      </c>
      <c r="I1290" s="9" t="inlineStr">
        <is>
          <t>Depth (no MLB IP)</t>
        </is>
      </c>
      <c r="J1290" s="17" t="inlineStr">
        <is>
          <t>Opening Day</t>
        </is>
      </c>
      <c r="K1290" s="11">
        <f>IFERROR(INDEX(Roles!$B$17:$B$20,MATCH(J1290,Roles!$A$17:$A$20,0)),1)</f>
        <v/>
      </c>
      <c r="L1290" s="18" t="n">
        <v>1</v>
      </c>
      <c r="M1290" s="18" t="n"/>
      <c r="N1290" s="18" t="n"/>
      <c r="O1290" s="18" t="n"/>
      <c r="P1290" s="18" t="n"/>
      <c r="Q1290" s="18" t="n"/>
      <c r="R1290" s="18" t="n"/>
      <c r="S1290" s="18" t="n"/>
      <c r="T1290" s="18" t="n"/>
      <c r="U1290" s="18" t="n"/>
      <c r="V1290" s="18" t="n"/>
      <c r="W1290" s="18" t="n"/>
      <c r="X1290" s="18" t="n"/>
      <c r="Y1290" s="13">
        <f>SUMPRODUCT(M1290:X1290,$M$2:$X$2)*$K1290*$L1290</f>
        <v/>
      </c>
      <c r="Z1290" s="14">
        <f>SUM(M1290:X1290)</f>
        <v/>
      </c>
      <c r="AA1290" s="13">
        <f>SUMPRODUCT(M1290:X1290,$M$3:$X$3)*$K1290*$L1290</f>
        <v/>
      </c>
      <c r="AB1290" s="13">
        <f>SUMPRODUCT(M1290:X1290,$M$4:$X$4)*$K1290*$L1290</f>
        <v/>
      </c>
      <c r="AC1290" s="15">
        <f>SUMPRODUCT(M1290:X1290,$M$5:$X$5)*$K1290*$L1290</f>
        <v/>
      </c>
      <c r="AD1290" s="15">
        <f>SUMPRODUCT(M1290:X1290,$M$6:$X$6)*$K1290*$L1290</f>
        <v/>
      </c>
      <c r="AE1290" s="19" t="n"/>
    </row>
    <row r="1291">
      <c r="A1291" s="9" t="n">
        <v>663465</v>
      </c>
      <c r="B1291" s="9" t="inlineStr">
        <is>
          <t>Kolby Allard</t>
        </is>
      </c>
      <c r="C1291" s="9" t="inlineStr">
        <is>
          <t>CLE</t>
        </is>
      </c>
      <c r="D1291" s="9" t="n">
        <v>29</v>
      </c>
      <c r="E1291" s="17" t="inlineStr">
        <is>
          <t>L</t>
        </is>
      </c>
      <c r="F1291" s="17" t="n"/>
      <c r="G1291" s="9" t="n">
        <v>45</v>
      </c>
      <c r="H1291" s="9" t="n">
        <v>571</v>
      </c>
      <c r="I1291" s="9" t="inlineStr">
        <is>
          <t>Bullpen Depth Arm</t>
        </is>
      </c>
      <c r="J1291" s="17" t="inlineStr">
        <is>
          <t>Opening Day</t>
        </is>
      </c>
      <c r="K1291" s="11">
        <f>IFERROR(INDEX(Roles!$B$17:$B$20,MATCH(J1291,Roles!$A$17:$A$20,0)),1)</f>
        <v/>
      </c>
      <c r="L1291" s="18" t="n">
        <v>1</v>
      </c>
      <c r="M1291" s="18" t="n"/>
      <c r="N1291" s="18" t="n"/>
      <c r="O1291" s="18" t="n"/>
      <c r="P1291" s="18" t="n"/>
      <c r="Q1291" s="18" t="n"/>
      <c r="R1291" s="18" t="n"/>
      <c r="S1291" s="18" t="n"/>
      <c r="T1291" s="18" t="n"/>
      <c r="U1291" s="18" t="n"/>
      <c r="V1291" s="18" t="n"/>
      <c r="W1291" s="18" t="n"/>
      <c r="X1291" s="18" t="n"/>
      <c r="Y1291" s="13">
        <f>SUMPRODUCT(M1291:X1291,$M$2:$X$2)*$K1291*$L1291</f>
        <v/>
      </c>
      <c r="Z1291" s="14">
        <f>SUM(M1291:X1291)</f>
        <v/>
      </c>
      <c r="AA1291" s="13">
        <f>SUMPRODUCT(M1291:X1291,$M$3:$X$3)*$K1291*$L1291</f>
        <v/>
      </c>
      <c r="AB1291" s="13">
        <f>SUMPRODUCT(M1291:X1291,$M$4:$X$4)*$K1291*$L1291</f>
        <v/>
      </c>
      <c r="AC1291" s="15">
        <f>SUMPRODUCT(M1291:X1291,$M$5:$X$5)*$K1291*$L1291</f>
        <v/>
      </c>
      <c r="AD1291" s="15">
        <f>SUMPRODUCT(M1291:X1291,$M$6:$X$6)*$K1291*$L1291</f>
        <v/>
      </c>
      <c r="AE1291" s="19" t="n"/>
    </row>
    <row r="1292">
      <c r="A1292" s="9" t="n">
        <v>594902</v>
      </c>
      <c r="B1292" s="9" t="inlineStr">
        <is>
          <t>Ben Lively</t>
        </is>
      </c>
      <c r="C1292" s="9" t="inlineStr">
        <is>
          <t>CLE</t>
        </is>
      </c>
      <c r="D1292" s="9" t="n">
        <v>35</v>
      </c>
      <c r="E1292" s="17" t="inlineStr">
        <is>
          <t>R</t>
        </is>
      </c>
      <c r="F1292" s="17" t="n"/>
      <c r="G1292" s="9" t="n">
        <v>178</v>
      </c>
      <c r="H1292" s="9" t="n">
        <v>1193</v>
      </c>
      <c r="I1292" s="9" t="inlineStr">
        <is>
          <t>Mid-Rotation Starter (SP2-3)</t>
        </is>
      </c>
      <c r="J1292" s="17" t="inlineStr">
        <is>
          <t>Opening Day</t>
        </is>
      </c>
      <c r="K1292" s="11">
        <f>IFERROR(INDEX(Roles!$B$17:$B$20,MATCH(J1292,Roles!$A$17:$A$20,0)),1)</f>
        <v/>
      </c>
      <c r="L1292" s="18" t="n">
        <v>1</v>
      </c>
      <c r="M1292" s="18" t="n"/>
      <c r="N1292" s="18" t="n"/>
      <c r="O1292" s="18" t="n"/>
      <c r="P1292" s="18" t="n"/>
      <c r="Q1292" s="18" t="n"/>
      <c r="R1292" s="18" t="n"/>
      <c r="S1292" s="18" t="n"/>
      <c r="T1292" s="18" t="n"/>
      <c r="U1292" s="18" t="n"/>
      <c r="V1292" s="18" t="n"/>
      <c r="W1292" s="18" t="n"/>
      <c r="X1292" s="18" t="n"/>
      <c r="Y1292" s="13">
        <f>SUMPRODUCT(M1292:X1292,$M$2:$X$2)*$K1292*$L1292</f>
        <v/>
      </c>
      <c r="Z1292" s="14">
        <f>SUM(M1292:X1292)</f>
        <v/>
      </c>
      <c r="AA1292" s="13">
        <f>SUMPRODUCT(M1292:X1292,$M$3:$X$3)*$K1292*$L1292</f>
        <v/>
      </c>
      <c r="AB1292" s="13">
        <f>SUMPRODUCT(M1292:X1292,$M$4:$X$4)*$K1292*$L1292</f>
        <v/>
      </c>
      <c r="AC1292" s="15">
        <f>SUMPRODUCT(M1292:X1292,$M$5:$X$5)*$K1292*$L1292</f>
        <v/>
      </c>
      <c r="AD1292" s="15">
        <f>SUMPRODUCT(M1292:X1292,$M$6:$X$6)*$K1292*$L1292</f>
        <v/>
      </c>
      <c r="AE1292" s="19" t="n"/>
    </row>
    <row r="1293">
      <c r="A1293" s="9" t="n">
        <v>683409</v>
      </c>
      <c r="B1293" s="9" t="inlineStr">
        <is>
          <t>Angel Chivilli</t>
        </is>
      </c>
      <c r="C1293" s="9" t="inlineStr">
        <is>
          <t>NYY</t>
        </is>
      </c>
      <c r="D1293" s="9" t="n">
        <v>24</v>
      </c>
      <c r="E1293" s="17" t="inlineStr">
        <is>
          <t>R</t>
        </is>
      </c>
      <c r="F1293" s="17" t="n"/>
      <c r="G1293" s="9" t="n">
        <v>73</v>
      </c>
      <c r="H1293" s="9" t="n">
        <v>481</v>
      </c>
      <c r="I1293" s="9" t="inlineStr">
        <is>
          <t>Bullpen Depth Arm</t>
        </is>
      </c>
      <c r="J1293" s="17" t="inlineStr">
        <is>
          <t>Opening Day</t>
        </is>
      </c>
      <c r="K1293" s="11">
        <f>IFERROR(INDEX(Roles!$B$17:$B$20,MATCH(J1293,Roles!$A$17:$A$20,0)),1)</f>
        <v/>
      </c>
      <c r="L1293" s="18" t="n">
        <v>1</v>
      </c>
      <c r="M1293" s="18" t="n"/>
      <c r="N1293" s="18" t="n"/>
      <c r="O1293" s="18" t="n"/>
      <c r="P1293" s="18" t="n"/>
      <c r="Q1293" s="18" t="n"/>
      <c r="R1293" s="18" t="n"/>
      <c r="S1293" s="18" t="n"/>
      <c r="T1293" s="18" t="n"/>
      <c r="U1293" s="18" t="n"/>
      <c r="V1293" s="18" t="n"/>
      <c r="W1293" s="18" t="n"/>
      <c r="X1293" s="18" t="n"/>
      <c r="Y1293" s="13">
        <f>SUMPRODUCT(M1293:X1293,$M$2:$X$2)*$K1293*$L1293</f>
        <v/>
      </c>
      <c r="Z1293" s="14">
        <f>SUM(M1293:X1293)</f>
        <v/>
      </c>
      <c r="AA1293" s="13">
        <f>SUMPRODUCT(M1293:X1293,$M$3:$X$3)*$K1293*$L1293</f>
        <v/>
      </c>
      <c r="AB1293" s="13">
        <f>SUMPRODUCT(M1293:X1293,$M$4:$X$4)*$K1293*$L1293</f>
        <v/>
      </c>
      <c r="AC1293" s="15">
        <f>SUMPRODUCT(M1293:X1293,$M$5:$X$5)*$K1293*$L1293</f>
        <v/>
      </c>
      <c r="AD1293" s="15">
        <f>SUMPRODUCT(M1293:X1293,$M$6:$X$6)*$K1293*$L1293</f>
        <v/>
      </c>
      <c r="AE1293" s="19" t="n"/>
    </row>
    <row r="1294">
      <c r="A1294" s="9" t="n">
        <v>694918</v>
      </c>
      <c r="B1294" s="9" t="inlineStr">
        <is>
          <t>Blade Tidwell</t>
        </is>
      </c>
      <c r="C1294" s="9" t="inlineStr">
        <is>
          <t>SF</t>
        </is>
      </c>
      <c r="D1294" s="9" t="n">
        <v>26</v>
      </c>
      <c r="E1294" s="17" t="inlineStr">
        <is>
          <t>R</t>
        </is>
      </c>
      <c r="F1294" s="17" t="n"/>
      <c r="G1294" s="9" t="n">
        <v>222</v>
      </c>
      <c r="H1294" s="9" t="n">
        <v>300</v>
      </c>
      <c r="I1294" s="9" t="inlineStr">
        <is>
          <t>Bullpen Depth Arm</t>
        </is>
      </c>
      <c r="J1294" s="17" t="inlineStr">
        <is>
          <t>Opening Day</t>
        </is>
      </c>
      <c r="K1294" s="11">
        <f>IFERROR(INDEX(Roles!$B$17:$B$20,MATCH(J1294,Roles!$A$17:$A$20,0)),1)</f>
        <v/>
      </c>
      <c r="L1294" s="18" t="n">
        <v>1</v>
      </c>
      <c r="M1294" s="18" t="n"/>
      <c r="N1294" s="18" t="n"/>
      <c r="O1294" s="18" t="n"/>
      <c r="P1294" s="18" t="n"/>
      <c r="Q1294" s="18" t="n"/>
      <c r="R1294" s="18" t="n"/>
      <c r="S1294" s="18" t="n"/>
      <c r="T1294" s="18" t="n"/>
      <c r="U1294" s="18" t="n"/>
      <c r="V1294" s="18" t="n"/>
      <c r="W1294" s="18" t="n"/>
      <c r="X1294" s="18" t="n"/>
      <c r="Y1294" s="13">
        <f>SUMPRODUCT(M1294:X1294,$M$2:$X$2)*$K1294*$L1294</f>
        <v/>
      </c>
      <c r="Z1294" s="14">
        <f>SUM(M1294:X1294)</f>
        <v/>
      </c>
      <c r="AA1294" s="13">
        <f>SUMPRODUCT(M1294:X1294,$M$3:$X$3)*$K1294*$L1294</f>
        <v/>
      </c>
      <c r="AB1294" s="13">
        <f>SUMPRODUCT(M1294:X1294,$M$4:$X$4)*$K1294*$L1294</f>
        <v/>
      </c>
      <c r="AC1294" s="15">
        <f>SUMPRODUCT(M1294:X1294,$M$5:$X$5)*$K1294*$L1294</f>
        <v/>
      </c>
      <c r="AD1294" s="15">
        <f>SUMPRODUCT(M1294:X1294,$M$6:$X$6)*$K1294*$L1294</f>
        <v/>
      </c>
      <c r="AE1294" s="19" t="n"/>
    </row>
    <row r="1295">
      <c r="A1295" s="9" t="n">
        <v>678394</v>
      </c>
      <c r="B1295" s="9" t="inlineStr">
        <is>
          <t>Brayan Bello</t>
        </is>
      </c>
      <c r="C1295" s="9" t="inlineStr">
        <is>
          <t>BOS</t>
        </is>
      </c>
      <c r="D1295" s="9" t="n">
        <v>28</v>
      </c>
      <c r="E1295" s="17" t="inlineStr">
        <is>
          <t>R</t>
        </is>
      </c>
      <c r="F1295" s="17" t="n"/>
      <c r="G1295" s="9" t="n">
        <v>459</v>
      </c>
      <c r="H1295" s="9" t="n">
        <v>2797</v>
      </c>
      <c r="I1295" s="9" t="inlineStr">
        <is>
          <t>Mid-Rotation Starter (SP2-3)</t>
        </is>
      </c>
      <c r="J1295" s="17" t="inlineStr">
        <is>
          <t>Opening Day</t>
        </is>
      </c>
      <c r="K1295" s="11">
        <f>IFERROR(INDEX(Roles!$B$17:$B$20,MATCH(J1295,Roles!$A$17:$A$20,0)),1)</f>
        <v/>
      </c>
      <c r="L1295" s="18" t="n">
        <v>1</v>
      </c>
      <c r="M1295" s="18" t="n"/>
      <c r="N1295" s="18" t="n"/>
      <c r="O1295" s="18" t="n"/>
      <c r="P1295" s="18" t="n"/>
      <c r="Q1295" s="18" t="n"/>
      <c r="R1295" s="18" t="n"/>
      <c r="S1295" s="18" t="n"/>
      <c r="T1295" s="18" t="n"/>
      <c r="U1295" s="18" t="n"/>
      <c r="V1295" s="18" t="n"/>
      <c r="W1295" s="18" t="n"/>
      <c r="X1295" s="18" t="n"/>
      <c r="Y1295" s="13">
        <f>SUMPRODUCT(M1295:X1295,$M$2:$X$2)*$K1295*$L1295</f>
        <v/>
      </c>
      <c r="Z1295" s="14">
        <f>SUM(M1295:X1295)</f>
        <v/>
      </c>
      <c r="AA1295" s="13">
        <f>SUMPRODUCT(M1295:X1295,$M$3:$X$3)*$K1295*$L1295</f>
        <v/>
      </c>
      <c r="AB1295" s="13">
        <f>SUMPRODUCT(M1295:X1295,$M$4:$X$4)*$K1295*$L1295</f>
        <v/>
      </c>
      <c r="AC1295" s="15">
        <f>SUMPRODUCT(M1295:X1295,$M$5:$X$5)*$K1295*$L1295</f>
        <v/>
      </c>
      <c r="AD1295" s="15">
        <f>SUMPRODUCT(M1295:X1295,$M$6:$X$6)*$K1295*$L1295</f>
        <v/>
      </c>
      <c r="AE1295" s="19" t="n"/>
    </row>
    <row r="1296">
      <c r="A1296" s="9" t="n">
        <v>623437</v>
      </c>
      <c r="B1296" s="9" t="inlineStr">
        <is>
          <t>Justin Topa</t>
        </is>
      </c>
      <c r="C1296" s="9" t="inlineStr">
        <is>
          <t>NYY</t>
        </is>
      </c>
      <c r="D1296" s="9" t="n">
        <v>36</v>
      </c>
      <c r="E1296" s="17" t="inlineStr">
        <is>
          <t>R</t>
        </is>
      </c>
      <c r="F1296" s="17" t="n"/>
      <c r="G1296" s="9" t="n">
        <v>108</v>
      </c>
      <c r="H1296" s="9" t="n">
        <v>698</v>
      </c>
      <c r="I1296" s="9" t="inlineStr">
        <is>
          <t>Bullpen Depth Arm</t>
        </is>
      </c>
      <c r="J1296" s="17" t="inlineStr">
        <is>
          <t>Opening Day</t>
        </is>
      </c>
      <c r="K1296" s="11">
        <f>IFERROR(INDEX(Roles!$B$17:$B$20,MATCH(J1296,Roles!$A$17:$A$20,0)),1)</f>
        <v/>
      </c>
      <c r="L1296" s="18" t="n">
        <v>1</v>
      </c>
      <c r="M1296" s="18" t="n"/>
      <c r="N1296" s="18" t="n"/>
      <c r="O1296" s="18" t="n"/>
      <c r="P1296" s="18" t="n"/>
      <c r="Q1296" s="18" t="n"/>
      <c r="R1296" s="18" t="n"/>
      <c r="S1296" s="18" t="n"/>
      <c r="T1296" s="18" t="n"/>
      <c r="U1296" s="18" t="n"/>
      <c r="V1296" s="18" t="n"/>
      <c r="W1296" s="18" t="n"/>
      <c r="X1296" s="18" t="n"/>
      <c r="Y1296" s="13">
        <f>SUMPRODUCT(M1296:X1296,$M$2:$X$2)*$K1296*$L1296</f>
        <v/>
      </c>
      <c r="Z1296" s="14">
        <f>SUM(M1296:X1296)</f>
        <v/>
      </c>
      <c r="AA1296" s="13">
        <f>SUMPRODUCT(M1296:X1296,$M$3:$X$3)*$K1296*$L1296</f>
        <v/>
      </c>
      <c r="AB1296" s="13">
        <f>SUMPRODUCT(M1296:X1296,$M$4:$X$4)*$K1296*$L1296</f>
        <v/>
      </c>
      <c r="AC1296" s="15">
        <f>SUMPRODUCT(M1296:X1296,$M$5:$X$5)*$K1296*$L1296</f>
        <v/>
      </c>
      <c r="AD1296" s="15">
        <f>SUMPRODUCT(M1296:X1296,$M$6:$X$6)*$K1296*$L1296</f>
        <v/>
      </c>
      <c r="AE1296" s="19" t="n"/>
    </row>
    <row r="1297">
      <c r="A1297" s="9" t="n">
        <v>657044</v>
      </c>
      <c r="B1297" s="9" t="inlineStr">
        <is>
          <t>Ryan Thompson</t>
        </is>
      </c>
      <c r="C1297" s="9" t="inlineStr">
        <is>
          <t>ARI</t>
        </is>
      </c>
      <c r="D1297" s="9" t="n">
        <v>35</v>
      </c>
      <c r="E1297" s="17" t="inlineStr">
        <is>
          <t>R</t>
        </is>
      </c>
      <c r="F1297" s="17" t="n"/>
      <c r="G1297" s="9" t="n">
        <v>186</v>
      </c>
      <c r="H1297" s="9" t="n">
        <v>935</v>
      </c>
      <c r="I1297" s="9" t="inlineStr">
        <is>
          <t>Bullpen Depth Arm</t>
        </is>
      </c>
      <c r="J1297" s="17" t="inlineStr">
        <is>
          <t>Opening Day</t>
        </is>
      </c>
      <c r="K1297" s="11">
        <f>IFERROR(INDEX(Roles!$B$17:$B$20,MATCH(J1297,Roles!$A$17:$A$20,0)),1)</f>
        <v/>
      </c>
      <c r="L1297" s="18" t="n">
        <v>1</v>
      </c>
      <c r="M1297" s="18" t="n"/>
      <c r="N1297" s="18" t="n"/>
      <c r="O1297" s="18" t="n"/>
      <c r="P1297" s="18" t="n"/>
      <c r="Q1297" s="18" t="n"/>
      <c r="R1297" s="18" t="n"/>
      <c r="S1297" s="18" t="n"/>
      <c r="T1297" s="18" t="n"/>
      <c r="U1297" s="18" t="n"/>
      <c r="V1297" s="18" t="n"/>
      <c r="W1297" s="18" t="n"/>
      <c r="X1297" s="18" t="n"/>
      <c r="Y1297" s="13">
        <f>SUMPRODUCT(M1297:X1297,$M$2:$X$2)*$K1297*$L1297</f>
        <v/>
      </c>
      <c r="Z1297" s="14">
        <f>SUM(M1297:X1297)</f>
        <v/>
      </c>
      <c r="AA1297" s="13">
        <f>SUMPRODUCT(M1297:X1297,$M$3:$X$3)*$K1297*$L1297</f>
        <v/>
      </c>
      <c r="AB1297" s="13">
        <f>SUMPRODUCT(M1297:X1297,$M$4:$X$4)*$K1297*$L1297</f>
        <v/>
      </c>
      <c r="AC1297" s="15">
        <f>SUMPRODUCT(M1297:X1297,$M$5:$X$5)*$K1297*$L1297</f>
        <v/>
      </c>
      <c r="AD1297" s="15">
        <f>SUMPRODUCT(M1297:X1297,$M$6:$X$6)*$K1297*$L1297</f>
        <v/>
      </c>
      <c r="AE1297" s="19" t="n"/>
    </row>
    <row r="1298">
      <c r="A1298" s="9" t="n">
        <v>571466</v>
      </c>
      <c r="B1298" s="9" t="inlineStr">
        <is>
          <t>Tucker Barnhart</t>
        </is>
      </c>
      <c r="C1298" s="9" t="inlineStr"/>
      <c r="D1298" s="9" t="n">
        <v>36</v>
      </c>
      <c r="E1298" s="17" t="inlineStr">
        <is>
          <t>R</t>
        </is>
      </c>
      <c r="F1298" s="17" t="n"/>
      <c r="G1298" s="9" t="n">
        <v>11</v>
      </c>
      <c r="H1298" s="9" t="n">
        <v>42</v>
      </c>
      <c r="I1298" s="9" t="inlineStr">
        <is>
          <t>Depth (no MLB IP)</t>
        </is>
      </c>
      <c r="J1298" s="17" t="inlineStr">
        <is>
          <t>Opening Day</t>
        </is>
      </c>
      <c r="K1298" s="11">
        <f>IFERROR(INDEX(Roles!$B$17:$B$20,MATCH(J1298,Roles!$A$17:$A$20,0)),1)</f>
        <v/>
      </c>
      <c r="L1298" s="18" t="n">
        <v>1</v>
      </c>
      <c r="M1298" s="18" t="n"/>
      <c r="N1298" s="18" t="n"/>
      <c r="O1298" s="18" t="n"/>
      <c r="P1298" s="18" t="n"/>
      <c r="Q1298" s="18" t="n"/>
      <c r="R1298" s="18" t="n"/>
      <c r="S1298" s="18" t="n"/>
      <c r="T1298" s="18" t="n"/>
      <c r="U1298" s="18" t="n"/>
      <c r="V1298" s="18" t="n"/>
      <c r="W1298" s="18" t="n"/>
      <c r="X1298" s="18" t="n"/>
      <c r="Y1298" s="13">
        <f>SUMPRODUCT(M1298:X1298,$M$2:$X$2)*$K1298*$L1298</f>
        <v/>
      </c>
      <c r="Z1298" s="14">
        <f>SUM(M1298:X1298)</f>
        <v/>
      </c>
      <c r="AA1298" s="13">
        <f>SUMPRODUCT(M1298:X1298,$M$3:$X$3)*$K1298*$L1298</f>
        <v/>
      </c>
      <c r="AB1298" s="13">
        <f>SUMPRODUCT(M1298:X1298,$M$4:$X$4)*$K1298*$L1298</f>
        <v/>
      </c>
      <c r="AC1298" s="15">
        <f>SUMPRODUCT(M1298:X1298,$M$5:$X$5)*$K1298*$L1298</f>
        <v/>
      </c>
      <c r="AD1298" s="15">
        <f>SUMPRODUCT(M1298:X1298,$M$6:$X$6)*$K1298*$L1298</f>
        <v/>
      </c>
      <c r="AE1298" s="19" t="n"/>
    </row>
    <row r="1299">
      <c r="A1299" s="9" t="n">
        <v>668933</v>
      </c>
      <c r="B1299" s="9" t="inlineStr">
        <is>
          <t>Graham Ashcraft</t>
        </is>
      </c>
      <c r="C1299" s="9" t="inlineStr">
        <is>
          <t>CIN</t>
        </is>
      </c>
      <c r="D1299" s="9" t="n">
        <v>29</v>
      </c>
      <c r="E1299" s="17" t="inlineStr">
        <is>
          <t>R</t>
        </is>
      </c>
      <c r="F1299" s="17" t="n"/>
      <c r="G1299" s="9" t="n">
        <v>135</v>
      </c>
      <c r="H1299" s="9" t="n">
        <v>1857</v>
      </c>
      <c r="I1299" s="9" t="inlineStr">
        <is>
          <t>Bullpen Depth Arm</t>
        </is>
      </c>
      <c r="J1299" s="17" t="inlineStr">
        <is>
          <t>Opening Day</t>
        </is>
      </c>
      <c r="K1299" s="11">
        <f>IFERROR(INDEX(Roles!$B$17:$B$20,MATCH(J1299,Roles!$A$17:$A$20,0)),1)</f>
        <v/>
      </c>
      <c r="L1299" s="18" t="n">
        <v>1</v>
      </c>
      <c r="M1299" s="18" t="n"/>
      <c r="N1299" s="18" t="n"/>
      <c r="O1299" s="18" t="n"/>
      <c r="P1299" s="18" t="n"/>
      <c r="Q1299" s="18" t="n"/>
      <c r="R1299" s="18" t="n"/>
      <c r="S1299" s="18" t="n"/>
      <c r="T1299" s="18" t="n"/>
      <c r="U1299" s="18" t="n"/>
      <c r="V1299" s="18" t="n"/>
      <c r="W1299" s="18" t="n"/>
      <c r="X1299" s="18" t="n"/>
      <c r="Y1299" s="13">
        <f>SUMPRODUCT(M1299:X1299,$M$2:$X$2)*$K1299*$L1299</f>
        <v/>
      </c>
      <c r="Z1299" s="14">
        <f>SUM(M1299:X1299)</f>
        <v/>
      </c>
      <c r="AA1299" s="13">
        <f>SUMPRODUCT(M1299:X1299,$M$3:$X$3)*$K1299*$L1299</f>
        <v/>
      </c>
      <c r="AB1299" s="13">
        <f>SUMPRODUCT(M1299:X1299,$M$4:$X$4)*$K1299*$L1299</f>
        <v/>
      </c>
      <c r="AC1299" s="15">
        <f>SUMPRODUCT(M1299:X1299,$M$5:$X$5)*$K1299*$L1299</f>
        <v/>
      </c>
      <c r="AD1299" s="15">
        <f>SUMPRODUCT(M1299:X1299,$M$6:$X$6)*$K1299*$L1299</f>
        <v/>
      </c>
      <c r="AE1299" s="19" t="n"/>
    </row>
    <row r="1300">
      <c r="A1300" s="9" t="n">
        <v>664954</v>
      </c>
      <c r="B1300" s="9" t="inlineStr">
        <is>
          <t>Brett Sullivan</t>
        </is>
      </c>
      <c r="C1300" s="9" t="inlineStr">
        <is>
          <t>COL</t>
        </is>
      </c>
      <c r="D1300" s="9" t="n">
        <v>33</v>
      </c>
      <c r="E1300" s="17" t="inlineStr">
        <is>
          <t>R</t>
        </is>
      </c>
      <c r="F1300" s="17" t="n"/>
      <c r="G1300" s="9" t="n">
        <v>34</v>
      </c>
      <c r="H1300" s="9" t="n">
        <v>34</v>
      </c>
      <c r="I1300" s="9" t="inlineStr">
        <is>
          <t>Bullpen Depth Arm</t>
        </is>
      </c>
      <c r="J1300" s="17" t="inlineStr">
        <is>
          <t>Opening Day</t>
        </is>
      </c>
      <c r="K1300" s="11">
        <f>IFERROR(INDEX(Roles!$B$17:$B$20,MATCH(J1300,Roles!$A$17:$A$20,0)),1)</f>
        <v/>
      </c>
      <c r="L1300" s="18" t="n">
        <v>1</v>
      </c>
      <c r="M1300" s="18" t="n"/>
      <c r="N1300" s="18" t="n"/>
      <c r="O1300" s="18" t="n"/>
      <c r="P1300" s="18" t="n"/>
      <c r="Q1300" s="18" t="n"/>
      <c r="R1300" s="18" t="n"/>
      <c r="S1300" s="18" t="n"/>
      <c r="T1300" s="18" t="n"/>
      <c r="U1300" s="18" t="n"/>
      <c r="V1300" s="18" t="n"/>
      <c r="W1300" s="18" t="n"/>
      <c r="X1300" s="18" t="n"/>
      <c r="Y1300" s="13">
        <f>SUMPRODUCT(M1300:X1300,$M$2:$X$2)*$K1300*$L1300</f>
        <v/>
      </c>
      <c r="Z1300" s="14">
        <f>SUM(M1300:X1300)</f>
        <v/>
      </c>
      <c r="AA1300" s="13">
        <f>SUMPRODUCT(M1300:X1300,$M$3:$X$3)*$K1300*$L1300</f>
        <v/>
      </c>
      <c r="AB1300" s="13">
        <f>SUMPRODUCT(M1300:X1300,$M$4:$X$4)*$K1300*$L1300</f>
        <v/>
      </c>
      <c r="AC1300" s="15">
        <f>SUMPRODUCT(M1300:X1300,$M$5:$X$5)*$K1300*$L1300</f>
        <v/>
      </c>
      <c r="AD1300" s="15">
        <f>SUMPRODUCT(M1300:X1300,$M$6:$X$6)*$K1300*$L1300</f>
        <v/>
      </c>
      <c r="AE1300" s="19" t="n"/>
    </row>
    <row r="1301">
      <c r="A1301" s="9" t="n">
        <v>680897</v>
      </c>
      <c r="B1301" s="9" t="inlineStr">
        <is>
          <t>Nick Nastrini</t>
        </is>
      </c>
      <c r="C1301" s="9" t="inlineStr">
        <is>
          <t>CWS</t>
        </is>
      </c>
      <c r="D1301" s="9" t="n">
        <v>27</v>
      </c>
      <c r="E1301" s="17" t="inlineStr">
        <is>
          <t>R</t>
        </is>
      </c>
      <c r="F1301" s="17" t="n"/>
      <c r="G1301" s="9" t="n">
        <v>174</v>
      </c>
      <c r="H1301" s="9" t="n">
        <v>174</v>
      </c>
      <c r="I1301" s="9" t="inlineStr">
        <is>
          <t>Depth (no MLB IP)</t>
        </is>
      </c>
      <c r="J1301" s="17" t="inlineStr">
        <is>
          <t>Opening Day</t>
        </is>
      </c>
      <c r="K1301" s="11">
        <f>IFERROR(INDEX(Roles!$B$17:$B$20,MATCH(J1301,Roles!$A$17:$A$20,0)),1)</f>
        <v/>
      </c>
      <c r="L1301" s="18" t="n">
        <v>1</v>
      </c>
      <c r="M1301" s="18" t="n"/>
      <c r="N1301" s="18" t="n"/>
      <c r="O1301" s="18" t="n"/>
      <c r="P1301" s="18" t="n"/>
      <c r="Q1301" s="18" t="n"/>
      <c r="R1301" s="18" t="n"/>
      <c r="S1301" s="18" t="n"/>
      <c r="T1301" s="18" t="n"/>
      <c r="U1301" s="18" t="n"/>
      <c r="V1301" s="18" t="n"/>
      <c r="W1301" s="18" t="n"/>
      <c r="X1301" s="18" t="n"/>
      <c r="Y1301" s="13">
        <f>SUMPRODUCT(M1301:X1301,$M$2:$X$2)*$K1301*$L1301</f>
        <v/>
      </c>
      <c r="Z1301" s="14">
        <f>SUM(M1301:X1301)</f>
        <v/>
      </c>
      <c r="AA1301" s="13">
        <f>SUMPRODUCT(M1301:X1301,$M$3:$X$3)*$K1301*$L1301</f>
        <v/>
      </c>
      <c r="AB1301" s="13">
        <f>SUMPRODUCT(M1301:X1301,$M$4:$X$4)*$K1301*$L1301</f>
        <v/>
      </c>
      <c r="AC1301" s="15">
        <f>SUMPRODUCT(M1301:X1301,$M$5:$X$5)*$K1301*$L1301</f>
        <v/>
      </c>
      <c r="AD1301" s="15">
        <f>SUMPRODUCT(M1301:X1301,$M$6:$X$6)*$K1301*$L1301</f>
        <v/>
      </c>
      <c r="AE1301" s="19" t="n"/>
    </row>
    <row r="1302">
      <c r="A1302" s="9" t="n">
        <v>621076</v>
      </c>
      <c r="B1302" s="9" t="inlineStr">
        <is>
          <t>James Kaprielian</t>
        </is>
      </c>
      <c r="C1302" s="9" t="inlineStr">
        <is>
          <t>OAK</t>
        </is>
      </c>
      <c r="D1302" s="9" t="n">
        <v>33</v>
      </c>
      <c r="E1302" s="17" t="inlineStr">
        <is>
          <t>R</t>
        </is>
      </c>
      <c r="F1302" s="17" t="n"/>
      <c r="G1302" s="9" t="n">
        <v>280</v>
      </c>
      <c r="H1302" s="9" t="n">
        <v>857</v>
      </c>
      <c r="I1302" s="9" t="inlineStr">
        <is>
          <t>Depth (no MLB IP)</t>
        </is>
      </c>
      <c r="J1302" s="17" t="inlineStr">
        <is>
          <t>Opening Day</t>
        </is>
      </c>
      <c r="K1302" s="11">
        <f>IFERROR(INDEX(Roles!$B$17:$B$20,MATCH(J1302,Roles!$A$17:$A$20,0)),1)</f>
        <v/>
      </c>
      <c r="L1302" s="18" t="n">
        <v>1</v>
      </c>
      <c r="M1302" s="18" t="n"/>
      <c r="N1302" s="18" t="n"/>
      <c r="O1302" s="18" t="n"/>
      <c r="P1302" s="18" t="n"/>
      <c r="Q1302" s="18" t="n"/>
      <c r="R1302" s="18" t="n"/>
      <c r="S1302" s="18" t="n"/>
      <c r="T1302" s="18" t="n"/>
      <c r="U1302" s="18" t="n"/>
      <c r="V1302" s="18" t="n"/>
      <c r="W1302" s="18" t="n"/>
      <c r="X1302" s="18" t="n"/>
      <c r="Y1302" s="13">
        <f>SUMPRODUCT(M1302:X1302,$M$2:$X$2)*$K1302*$L1302</f>
        <v/>
      </c>
      <c r="Z1302" s="14">
        <f>SUM(M1302:X1302)</f>
        <v/>
      </c>
      <c r="AA1302" s="13">
        <f>SUMPRODUCT(M1302:X1302,$M$3:$X$3)*$K1302*$L1302</f>
        <v/>
      </c>
      <c r="AB1302" s="13">
        <f>SUMPRODUCT(M1302:X1302,$M$4:$X$4)*$K1302*$L1302</f>
        <v/>
      </c>
      <c r="AC1302" s="15">
        <f>SUMPRODUCT(M1302:X1302,$M$5:$X$5)*$K1302*$L1302</f>
        <v/>
      </c>
      <c r="AD1302" s="15">
        <f>SUMPRODUCT(M1302:X1302,$M$6:$X$6)*$K1302*$L1302</f>
        <v/>
      </c>
      <c r="AE1302" s="19" t="n"/>
    </row>
    <row r="1303">
      <c r="A1303" s="9" t="n">
        <v>517008</v>
      </c>
      <c r="B1303" s="9" t="inlineStr">
        <is>
          <t>Alex Colomé</t>
        </is>
      </c>
      <c r="C1303" s="9" t="inlineStr">
        <is>
          <t>COL</t>
        </is>
      </c>
      <c r="D1303" s="9" t="n">
        <v>38</v>
      </c>
      <c r="E1303" s="17" t="inlineStr">
        <is>
          <t>R</t>
        </is>
      </c>
      <c r="F1303" s="17" t="n"/>
      <c r="G1303" s="9" t="n">
        <v>15</v>
      </c>
      <c r="H1303" s="9" t="n">
        <v>230</v>
      </c>
      <c r="I1303" s="9" t="inlineStr">
        <is>
          <t>Depth (no MLB IP)</t>
        </is>
      </c>
      <c r="J1303" s="17" t="inlineStr">
        <is>
          <t>Opening Day</t>
        </is>
      </c>
      <c r="K1303" s="11">
        <f>IFERROR(INDEX(Roles!$B$17:$B$20,MATCH(J1303,Roles!$A$17:$A$20,0)),1)</f>
        <v/>
      </c>
      <c r="L1303" s="18" t="n">
        <v>1</v>
      </c>
      <c r="M1303" s="18" t="n"/>
      <c r="N1303" s="18" t="n"/>
      <c r="O1303" s="18" t="n"/>
      <c r="P1303" s="18" t="n"/>
      <c r="Q1303" s="18" t="n"/>
      <c r="R1303" s="18" t="n"/>
      <c r="S1303" s="18" t="n"/>
      <c r="T1303" s="18" t="n"/>
      <c r="U1303" s="18" t="n"/>
      <c r="V1303" s="18" t="n"/>
      <c r="W1303" s="18" t="n"/>
      <c r="X1303" s="18" t="n"/>
      <c r="Y1303" s="13">
        <f>SUMPRODUCT(M1303:X1303,$M$2:$X$2)*$K1303*$L1303</f>
        <v/>
      </c>
      <c r="Z1303" s="14">
        <f>SUM(M1303:X1303)</f>
        <v/>
      </c>
      <c r="AA1303" s="13">
        <f>SUMPRODUCT(M1303:X1303,$M$3:$X$3)*$K1303*$L1303</f>
        <v/>
      </c>
      <c r="AB1303" s="13">
        <f>SUMPRODUCT(M1303:X1303,$M$4:$X$4)*$K1303*$L1303</f>
        <v/>
      </c>
      <c r="AC1303" s="15">
        <f>SUMPRODUCT(M1303:X1303,$M$5:$X$5)*$K1303*$L1303</f>
        <v/>
      </c>
      <c r="AD1303" s="15">
        <f>SUMPRODUCT(M1303:X1303,$M$6:$X$6)*$K1303*$L1303</f>
        <v/>
      </c>
      <c r="AE1303" s="19" t="n"/>
    </row>
    <row r="1304">
      <c r="A1304" s="9" t="n">
        <v>605452</v>
      </c>
      <c r="B1304" s="9" t="inlineStr">
        <is>
          <t>Joe Ross</t>
        </is>
      </c>
      <c r="C1304" s="9" t="inlineStr">
        <is>
          <t>TEX</t>
        </is>
      </c>
      <c r="D1304" s="9" t="n">
        <v>34</v>
      </c>
      <c r="E1304" s="17" t="inlineStr">
        <is>
          <t>R</t>
        </is>
      </c>
      <c r="F1304" s="17" t="n"/>
      <c r="G1304" s="9" t="n">
        <v>57</v>
      </c>
      <c r="H1304" s="9" t="n">
        <v>606</v>
      </c>
      <c r="I1304" s="9" t="inlineStr">
        <is>
          <t>Bullpen Depth Arm</t>
        </is>
      </c>
      <c r="J1304" s="17" t="inlineStr">
        <is>
          <t>Opening Day</t>
        </is>
      </c>
      <c r="K1304" s="11">
        <f>IFERROR(INDEX(Roles!$B$17:$B$20,MATCH(J1304,Roles!$A$17:$A$20,0)),1)</f>
        <v/>
      </c>
      <c r="L1304" s="18" t="n">
        <v>1</v>
      </c>
      <c r="M1304" s="18" t="n"/>
      <c r="N1304" s="18" t="n"/>
      <c r="O1304" s="18" t="n"/>
      <c r="P1304" s="18" t="n"/>
      <c r="Q1304" s="18" t="n"/>
      <c r="R1304" s="18" t="n"/>
      <c r="S1304" s="18" t="n"/>
      <c r="T1304" s="18" t="n"/>
      <c r="U1304" s="18" t="n"/>
      <c r="V1304" s="18" t="n"/>
      <c r="W1304" s="18" t="n"/>
      <c r="X1304" s="18" t="n"/>
      <c r="Y1304" s="13">
        <f>SUMPRODUCT(M1304:X1304,$M$2:$X$2)*$K1304*$L1304</f>
        <v/>
      </c>
      <c r="Z1304" s="14">
        <f>SUM(M1304:X1304)</f>
        <v/>
      </c>
      <c r="AA1304" s="13">
        <f>SUMPRODUCT(M1304:X1304,$M$3:$X$3)*$K1304*$L1304</f>
        <v/>
      </c>
      <c r="AB1304" s="13">
        <f>SUMPRODUCT(M1304:X1304,$M$4:$X$4)*$K1304*$L1304</f>
        <v/>
      </c>
      <c r="AC1304" s="15">
        <f>SUMPRODUCT(M1304:X1304,$M$5:$X$5)*$K1304*$L1304</f>
        <v/>
      </c>
      <c r="AD1304" s="15">
        <f>SUMPRODUCT(M1304:X1304,$M$6:$X$6)*$K1304*$L1304</f>
        <v/>
      </c>
      <c r="AE1304" s="19" t="n"/>
    </row>
    <row r="1305">
      <c r="A1305" s="9" t="n">
        <v>666745</v>
      </c>
      <c r="B1305" s="9" t="inlineStr">
        <is>
          <t>Jhony Brito</t>
        </is>
      </c>
      <c r="C1305" s="9" t="inlineStr">
        <is>
          <t>SD</t>
        </is>
      </c>
      <c r="D1305" s="9" t="n">
        <v>29</v>
      </c>
      <c r="E1305" s="17" t="inlineStr">
        <is>
          <t>R</t>
        </is>
      </c>
      <c r="F1305" s="17" t="n"/>
      <c r="G1305" s="9" t="n">
        <v>35</v>
      </c>
      <c r="H1305" s="9" t="n">
        <v>592</v>
      </c>
      <c r="I1305" s="9" t="inlineStr">
        <is>
          <t>Bullpen Depth Arm</t>
        </is>
      </c>
      <c r="J1305" s="17" t="inlineStr">
        <is>
          <t>Opening Day</t>
        </is>
      </c>
      <c r="K1305" s="11">
        <f>IFERROR(INDEX(Roles!$B$17:$B$20,MATCH(J1305,Roles!$A$17:$A$20,0)),1)</f>
        <v/>
      </c>
      <c r="L1305" s="18" t="n">
        <v>1</v>
      </c>
      <c r="M1305" s="18" t="n"/>
      <c r="N1305" s="18" t="n"/>
      <c r="O1305" s="18" t="n"/>
      <c r="P1305" s="18" t="n"/>
      <c r="Q1305" s="18" t="n"/>
      <c r="R1305" s="18" t="n"/>
      <c r="S1305" s="18" t="n"/>
      <c r="T1305" s="18" t="n"/>
      <c r="U1305" s="18" t="n"/>
      <c r="V1305" s="18" t="n"/>
      <c r="W1305" s="18" t="n"/>
      <c r="X1305" s="18" t="n"/>
      <c r="Y1305" s="13">
        <f>SUMPRODUCT(M1305:X1305,$M$2:$X$2)*$K1305*$L1305</f>
        <v/>
      </c>
      <c r="Z1305" s="14">
        <f>SUM(M1305:X1305)</f>
        <v/>
      </c>
      <c r="AA1305" s="13">
        <f>SUMPRODUCT(M1305:X1305,$M$3:$X$3)*$K1305*$L1305</f>
        <v/>
      </c>
      <c r="AB1305" s="13">
        <f>SUMPRODUCT(M1305:X1305,$M$4:$X$4)*$K1305*$L1305</f>
        <v/>
      </c>
      <c r="AC1305" s="15">
        <f>SUMPRODUCT(M1305:X1305,$M$5:$X$5)*$K1305*$L1305</f>
        <v/>
      </c>
      <c r="AD1305" s="15">
        <f>SUMPRODUCT(M1305:X1305,$M$6:$X$6)*$K1305*$L1305</f>
        <v/>
      </c>
      <c r="AE1305" s="19" t="n"/>
    </row>
    <row r="1306">
      <c r="A1306" s="9" t="n">
        <v>669912</v>
      </c>
      <c r="B1306" s="9" t="inlineStr">
        <is>
          <t>Kirby Snead</t>
        </is>
      </c>
      <c r="C1306" s="9" t="inlineStr">
        <is>
          <t>SEA</t>
        </is>
      </c>
      <c r="D1306" s="9" t="n">
        <v>32</v>
      </c>
      <c r="E1306" s="17" t="inlineStr">
        <is>
          <t>L</t>
        </is>
      </c>
      <c r="F1306" s="17" t="n"/>
      <c r="G1306" s="9" t="n">
        <v>48</v>
      </c>
      <c r="H1306" s="9" t="n">
        <v>314</v>
      </c>
      <c r="I1306" s="9" t="inlineStr">
        <is>
          <t>Depth (no MLB IP)</t>
        </is>
      </c>
      <c r="J1306" s="17" t="inlineStr">
        <is>
          <t>Opening Day</t>
        </is>
      </c>
      <c r="K1306" s="11">
        <f>IFERROR(INDEX(Roles!$B$17:$B$20,MATCH(J1306,Roles!$A$17:$A$20,0)),1)</f>
        <v/>
      </c>
      <c r="L1306" s="18" t="n">
        <v>1</v>
      </c>
      <c r="M1306" s="18" t="n"/>
      <c r="N1306" s="18" t="n"/>
      <c r="O1306" s="18" t="n"/>
      <c r="P1306" s="18" t="n"/>
      <c r="Q1306" s="18" t="n"/>
      <c r="R1306" s="18" t="n"/>
      <c r="S1306" s="18" t="n"/>
      <c r="T1306" s="18" t="n"/>
      <c r="U1306" s="18" t="n"/>
      <c r="V1306" s="18" t="n"/>
      <c r="W1306" s="18" t="n"/>
      <c r="X1306" s="18" t="n"/>
      <c r="Y1306" s="13">
        <f>SUMPRODUCT(M1306:X1306,$M$2:$X$2)*$K1306*$L1306</f>
        <v/>
      </c>
      <c r="Z1306" s="14">
        <f>SUM(M1306:X1306)</f>
        <v/>
      </c>
      <c r="AA1306" s="13">
        <f>SUMPRODUCT(M1306:X1306,$M$3:$X$3)*$K1306*$L1306</f>
        <v/>
      </c>
      <c r="AB1306" s="13">
        <f>SUMPRODUCT(M1306:X1306,$M$4:$X$4)*$K1306*$L1306</f>
        <v/>
      </c>
      <c r="AC1306" s="15">
        <f>SUMPRODUCT(M1306:X1306,$M$5:$X$5)*$K1306*$L1306</f>
        <v/>
      </c>
      <c r="AD1306" s="15">
        <f>SUMPRODUCT(M1306:X1306,$M$6:$X$6)*$K1306*$L1306</f>
        <v/>
      </c>
      <c r="AE1306" s="19" t="n"/>
    </row>
    <row r="1307">
      <c r="A1307" s="9" t="n">
        <v>687064</v>
      </c>
      <c r="B1307" s="9" t="inlineStr">
        <is>
          <t>Brandon Young</t>
        </is>
      </c>
      <c r="C1307" s="9" t="inlineStr">
        <is>
          <t>BAL</t>
        </is>
      </c>
      <c r="D1307" s="9" t="n">
        <v>28</v>
      </c>
      <c r="E1307" s="17" t="inlineStr">
        <is>
          <t>R</t>
        </is>
      </c>
      <c r="F1307" s="17" t="n"/>
      <c r="G1307" s="9" t="n">
        <v>629</v>
      </c>
      <c r="H1307" s="9" t="n">
        <v>885</v>
      </c>
      <c r="I1307" s="9" t="inlineStr">
        <is>
          <t>Mid-Rotation Starter (SP2-3)</t>
        </is>
      </c>
      <c r="J1307" s="17" t="inlineStr">
        <is>
          <t>Opening Day</t>
        </is>
      </c>
      <c r="K1307" s="11">
        <f>IFERROR(INDEX(Roles!$B$17:$B$20,MATCH(J1307,Roles!$A$17:$A$20,0)),1)</f>
        <v/>
      </c>
      <c r="L1307" s="18" t="n">
        <v>1</v>
      </c>
      <c r="M1307" s="18" t="n"/>
      <c r="N1307" s="18" t="n"/>
      <c r="O1307" s="18" t="n"/>
      <c r="P1307" s="18" t="n"/>
      <c r="Q1307" s="18" t="n"/>
      <c r="R1307" s="18" t="n"/>
      <c r="S1307" s="18" t="n"/>
      <c r="T1307" s="18" t="n"/>
      <c r="U1307" s="18" t="n"/>
      <c r="V1307" s="18" t="n"/>
      <c r="W1307" s="18" t="n"/>
      <c r="X1307" s="18" t="n"/>
      <c r="Y1307" s="13">
        <f>SUMPRODUCT(M1307:X1307,$M$2:$X$2)*$K1307*$L1307</f>
        <v/>
      </c>
      <c r="Z1307" s="14">
        <f>SUM(M1307:X1307)</f>
        <v/>
      </c>
      <c r="AA1307" s="13">
        <f>SUMPRODUCT(M1307:X1307,$M$3:$X$3)*$K1307*$L1307</f>
        <v/>
      </c>
      <c r="AB1307" s="13">
        <f>SUMPRODUCT(M1307:X1307,$M$4:$X$4)*$K1307*$L1307</f>
        <v/>
      </c>
      <c r="AC1307" s="15">
        <f>SUMPRODUCT(M1307:X1307,$M$5:$X$5)*$K1307*$L1307</f>
        <v/>
      </c>
      <c r="AD1307" s="15">
        <f>SUMPRODUCT(M1307:X1307,$M$6:$X$6)*$K1307*$L1307</f>
        <v/>
      </c>
      <c r="AE1307" s="19" t="n"/>
    </row>
    <row r="1308">
      <c r="A1308" s="9" t="n">
        <v>471911</v>
      </c>
      <c r="B1308" s="9" t="inlineStr">
        <is>
          <t>Carlos Carrasco</t>
        </is>
      </c>
      <c r="C1308" s="9" t="inlineStr">
        <is>
          <t>ATL</t>
        </is>
      </c>
      <c r="D1308" s="9" t="n">
        <v>40</v>
      </c>
      <c r="E1308" s="17" t="inlineStr">
        <is>
          <t>R</t>
        </is>
      </c>
      <c r="F1308" s="17" t="n"/>
      <c r="G1308" s="9" t="n">
        <v>73</v>
      </c>
      <c r="H1308" s="9" t="n">
        <v>1794</v>
      </c>
      <c r="I1308" s="9" t="inlineStr">
        <is>
          <t>End-of-Rotation Starter (SP4-5)</t>
        </is>
      </c>
      <c r="J1308" s="17" t="inlineStr">
        <is>
          <t>Opening Day</t>
        </is>
      </c>
      <c r="K1308" s="11">
        <f>IFERROR(INDEX(Roles!$B$17:$B$20,MATCH(J1308,Roles!$A$17:$A$20,0)),1)</f>
        <v/>
      </c>
      <c r="L1308" s="18" t="n">
        <v>1</v>
      </c>
      <c r="M1308" s="18" t="n"/>
      <c r="N1308" s="18" t="n"/>
      <c r="O1308" s="18" t="n"/>
      <c r="P1308" s="18" t="n"/>
      <c r="Q1308" s="18" t="n"/>
      <c r="R1308" s="18" t="n"/>
      <c r="S1308" s="18" t="n"/>
      <c r="T1308" s="18" t="n"/>
      <c r="U1308" s="18" t="n"/>
      <c r="V1308" s="18" t="n"/>
      <c r="W1308" s="18" t="n"/>
      <c r="X1308" s="18" t="n"/>
      <c r="Y1308" s="13">
        <f>SUMPRODUCT(M1308:X1308,$M$2:$X$2)*$K1308*$L1308</f>
        <v/>
      </c>
      <c r="Z1308" s="14">
        <f>SUM(M1308:X1308)</f>
        <v/>
      </c>
      <c r="AA1308" s="13">
        <f>SUMPRODUCT(M1308:X1308,$M$3:$X$3)*$K1308*$L1308</f>
        <v/>
      </c>
      <c r="AB1308" s="13">
        <f>SUMPRODUCT(M1308:X1308,$M$4:$X$4)*$K1308*$L1308</f>
        <v/>
      </c>
      <c r="AC1308" s="15">
        <f>SUMPRODUCT(M1308:X1308,$M$5:$X$5)*$K1308*$L1308</f>
        <v/>
      </c>
      <c r="AD1308" s="15">
        <f>SUMPRODUCT(M1308:X1308,$M$6:$X$6)*$K1308*$L1308</f>
        <v/>
      </c>
      <c r="AE1308" s="19" t="n"/>
    </row>
    <row r="1309">
      <c r="A1309" s="9" t="n">
        <v>543510</v>
      </c>
      <c r="B1309" s="9" t="inlineStr">
        <is>
          <t>James McCann</t>
        </is>
      </c>
      <c r="C1309" s="9" t="inlineStr"/>
      <c r="D1309" s="9" t="n">
        <v>37</v>
      </c>
      <c r="E1309" s="17" t="inlineStr">
        <is>
          <t>R</t>
        </is>
      </c>
      <c r="F1309" s="17" t="n"/>
      <c r="G1309" s="9" t="n">
        <v>23</v>
      </c>
      <c r="H1309" s="9" t="n">
        <v>33</v>
      </c>
      <c r="I1309" s="9" t="inlineStr">
        <is>
          <t>Depth (no MLB IP)</t>
        </is>
      </c>
      <c r="J1309" s="17" t="inlineStr">
        <is>
          <t>Opening Day</t>
        </is>
      </c>
      <c r="K1309" s="11">
        <f>IFERROR(INDEX(Roles!$B$17:$B$20,MATCH(J1309,Roles!$A$17:$A$20,0)),1)</f>
        <v/>
      </c>
      <c r="L1309" s="18" t="n">
        <v>1</v>
      </c>
      <c r="M1309" s="18" t="n"/>
      <c r="N1309" s="18" t="n"/>
      <c r="O1309" s="18" t="n"/>
      <c r="P1309" s="18" t="n"/>
      <c r="Q1309" s="18" t="n"/>
      <c r="R1309" s="18" t="n"/>
      <c r="S1309" s="18" t="n"/>
      <c r="T1309" s="18" t="n"/>
      <c r="U1309" s="18" t="n"/>
      <c r="V1309" s="18" t="n"/>
      <c r="W1309" s="18" t="n"/>
      <c r="X1309" s="18" t="n"/>
      <c r="Y1309" s="13">
        <f>SUMPRODUCT(M1309:X1309,$M$2:$X$2)*$K1309*$L1309</f>
        <v/>
      </c>
      <c r="Z1309" s="14">
        <f>SUM(M1309:X1309)</f>
        <v/>
      </c>
      <c r="AA1309" s="13">
        <f>SUMPRODUCT(M1309:X1309,$M$3:$X$3)*$K1309*$L1309</f>
        <v/>
      </c>
      <c r="AB1309" s="13">
        <f>SUMPRODUCT(M1309:X1309,$M$4:$X$4)*$K1309*$L1309</f>
        <v/>
      </c>
      <c r="AC1309" s="15">
        <f>SUMPRODUCT(M1309:X1309,$M$5:$X$5)*$K1309*$L1309</f>
        <v/>
      </c>
      <c r="AD1309" s="15">
        <f>SUMPRODUCT(M1309:X1309,$M$6:$X$6)*$K1309*$L1309</f>
        <v/>
      </c>
      <c r="AE1309" s="19" t="n"/>
    </row>
    <row r="1310">
      <c r="A1310" s="9" t="n">
        <v>702795</v>
      </c>
      <c r="B1310" s="9" t="inlineStr">
        <is>
          <t>Ryan Loutos</t>
        </is>
      </c>
      <c r="C1310" s="9" t="inlineStr">
        <is>
          <t>WSH</t>
        </is>
      </c>
      <c r="D1310" s="9" t="n">
        <v>28</v>
      </c>
      <c r="E1310" s="17" t="inlineStr">
        <is>
          <t>R</t>
        </is>
      </c>
      <c r="F1310" s="17" t="n"/>
      <c r="G1310" s="9" t="n">
        <v>68</v>
      </c>
      <c r="H1310" s="9" t="n">
        <v>78</v>
      </c>
      <c r="I1310" s="9" t="inlineStr">
        <is>
          <t>Bullpen Depth Arm</t>
        </is>
      </c>
      <c r="J1310" s="17" t="inlineStr">
        <is>
          <t>Opening Day</t>
        </is>
      </c>
      <c r="K1310" s="11">
        <f>IFERROR(INDEX(Roles!$B$17:$B$20,MATCH(J1310,Roles!$A$17:$A$20,0)),1)</f>
        <v/>
      </c>
      <c r="L1310" s="18" t="n">
        <v>1</v>
      </c>
      <c r="M1310" s="18" t="n"/>
      <c r="N1310" s="18" t="n"/>
      <c r="O1310" s="18" t="n"/>
      <c r="P1310" s="18" t="n"/>
      <c r="Q1310" s="18" t="n"/>
      <c r="R1310" s="18" t="n"/>
      <c r="S1310" s="18" t="n"/>
      <c r="T1310" s="18" t="n"/>
      <c r="U1310" s="18" t="n"/>
      <c r="V1310" s="18" t="n"/>
      <c r="W1310" s="18" t="n"/>
      <c r="X1310" s="18" t="n"/>
      <c r="Y1310" s="13">
        <f>SUMPRODUCT(M1310:X1310,$M$2:$X$2)*$K1310*$L1310</f>
        <v/>
      </c>
      <c r="Z1310" s="14">
        <f>SUM(M1310:X1310)</f>
        <v/>
      </c>
      <c r="AA1310" s="13">
        <f>SUMPRODUCT(M1310:X1310,$M$3:$X$3)*$K1310*$L1310</f>
        <v/>
      </c>
      <c r="AB1310" s="13">
        <f>SUMPRODUCT(M1310:X1310,$M$4:$X$4)*$K1310*$L1310</f>
        <v/>
      </c>
      <c r="AC1310" s="15">
        <f>SUMPRODUCT(M1310:X1310,$M$5:$X$5)*$K1310*$L1310</f>
        <v/>
      </c>
      <c r="AD1310" s="15">
        <f>SUMPRODUCT(M1310:X1310,$M$6:$X$6)*$K1310*$L1310</f>
        <v/>
      </c>
      <c r="AE1310" s="19" t="n"/>
    </row>
    <row r="1311">
      <c r="A1311" s="9" t="n">
        <v>669310</v>
      </c>
      <c r="B1311" s="9" t="inlineStr">
        <is>
          <t>CJ Van Eyk</t>
        </is>
      </c>
      <c r="C1311" s="9" t="inlineStr">
        <is>
          <t>TOR</t>
        </is>
      </c>
      <c r="D1311" s="9" t="n">
        <v>28</v>
      </c>
      <c r="E1311" s="17" t="inlineStr">
        <is>
          <t>R</t>
        </is>
      </c>
      <c r="F1311" s="17" t="n"/>
      <c r="G1311" s="9" t="n">
        <v>35</v>
      </c>
      <c r="H1311" s="9" t="n">
        <v>35</v>
      </c>
      <c r="I1311" s="9" t="inlineStr">
        <is>
          <t>Bullpen Depth Arm</t>
        </is>
      </c>
      <c r="J1311" s="17" t="inlineStr">
        <is>
          <t>Opening Day</t>
        </is>
      </c>
      <c r="K1311" s="11">
        <f>IFERROR(INDEX(Roles!$B$17:$B$20,MATCH(J1311,Roles!$A$17:$A$20,0)),1)</f>
        <v/>
      </c>
      <c r="L1311" s="18" t="n">
        <v>1</v>
      </c>
      <c r="M1311" s="18" t="n"/>
      <c r="N1311" s="18" t="n"/>
      <c r="O1311" s="18" t="n"/>
      <c r="P1311" s="18" t="n"/>
      <c r="Q1311" s="18" t="n"/>
      <c r="R1311" s="18" t="n"/>
      <c r="S1311" s="18" t="n"/>
      <c r="T1311" s="18" t="n"/>
      <c r="U1311" s="18" t="n"/>
      <c r="V1311" s="18" t="n"/>
      <c r="W1311" s="18" t="n"/>
      <c r="X1311" s="18" t="n"/>
      <c r="Y1311" s="13">
        <f>SUMPRODUCT(M1311:X1311,$M$2:$X$2)*$K1311*$L1311</f>
        <v/>
      </c>
      <c r="Z1311" s="14">
        <f>SUM(M1311:X1311)</f>
        <v/>
      </c>
      <c r="AA1311" s="13">
        <f>SUMPRODUCT(M1311:X1311,$M$3:$X$3)*$K1311*$L1311</f>
        <v/>
      </c>
      <c r="AB1311" s="13">
        <f>SUMPRODUCT(M1311:X1311,$M$4:$X$4)*$K1311*$L1311</f>
        <v/>
      </c>
      <c r="AC1311" s="15">
        <f>SUMPRODUCT(M1311:X1311,$M$5:$X$5)*$K1311*$L1311</f>
        <v/>
      </c>
      <c r="AD1311" s="15">
        <f>SUMPRODUCT(M1311:X1311,$M$6:$X$6)*$K1311*$L1311</f>
        <v/>
      </c>
      <c r="AE1311" s="19" t="n"/>
    </row>
    <row r="1312">
      <c r="A1312" s="9" t="n">
        <v>693821</v>
      </c>
      <c r="B1312" s="9" t="inlineStr">
        <is>
          <t>Bryce Elder</t>
        </is>
      </c>
      <c r="C1312" s="9" t="inlineStr">
        <is>
          <t>ATL</t>
        </is>
      </c>
      <c r="D1312" s="9" t="n">
        <v>28</v>
      </c>
      <c r="E1312" s="17" t="inlineStr">
        <is>
          <t>R</t>
        </is>
      </c>
      <c r="F1312" s="17" t="n"/>
      <c r="G1312" s="9" t="n">
        <v>633</v>
      </c>
      <c r="H1312" s="9" t="n">
        <v>2497</v>
      </c>
      <c r="I1312" s="9" t="inlineStr">
        <is>
          <t>Mid-Rotation Starter (SP2-3)</t>
        </is>
      </c>
      <c r="J1312" s="17" t="inlineStr">
        <is>
          <t>Opening Day</t>
        </is>
      </c>
      <c r="K1312" s="11">
        <f>IFERROR(INDEX(Roles!$B$17:$B$20,MATCH(J1312,Roles!$A$17:$A$20,0)),1)</f>
        <v/>
      </c>
      <c r="L1312" s="18" t="n">
        <v>1</v>
      </c>
      <c r="M1312" s="18" t="n"/>
      <c r="N1312" s="18" t="n"/>
      <c r="O1312" s="18" t="n"/>
      <c r="P1312" s="18" t="n"/>
      <c r="Q1312" s="18" t="n"/>
      <c r="R1312" s="18" t="n"/>
      <c r="S1312" s="18" t="n"/>
      <c r="T1312" s="18" t="n"/>
      <c r="U1312" s="18" t="n"/>
      <c r="V1312" s="18" t="n"/>
      <c r="W1312" s="18" t="n"/>
      <c r="X1312" s="18" t="n"/>
      <c r="Y1312" s="13">
        <f>SUMPRODUCT(M1312:X1312,$M$2:$X$2)*$K1312*$L1312</f>
        <v/>
      </c>
      <c r="Z1312" s="14">
        <f>SUM(M1312:X1312)</f>
        <v/>
      </c>
      <c r="AA1312" s="13">
        <f>SUMPRODUCT(M1312:X1312,$M$3:$X$3)*$K1312*$L1312</f>
        <v/>
      </c>
      <c r="AB1312" s="13">
        <f>SUMPRODUCT(M1312:X1312,$M$4:$X$4)*$K1312*$L1312</f>
        <v/>
      </c>
      <c r="AC1312" s="15">
        <f>SUMPRODUCT(M1312:X1312,$M$5:$X$5)*$K1312*$L1312</f>
        <v/>
      </c>
      <c r="AD1312" s="15">
        <f>SUMPRODUCT(M1312:X1312,$M$6:$X$6)*$K1312*$L1312</f>
        <v/>
      </c>
      <c r="AE1312" s="19" t="n"/>
    </row>
    <row r="1313">
      <c r="A1313" s="9" t="n">
        <v>687924</v>
      </c>
      <c r="B1313" s="9" t="inlineStr">
        <is>
          <t>Julian Aguiar</t>
        </is>
      </c>
      <c r="C1313" s="9" t="inlineStr">
        <is>
          <t>CIN</t>
        </is>
      </c>
      <c r="D1313" s="9" t="n">
        <v>26</v>
      </c>
      <c r="E1313" s="17" t="inlineStr">
        <is>
          <t>R</t>
        </is>
      </c>
      <c r="F1313" s="17" t="n"/>
      <c r="G1313" s="9" t="n">
        <v>140</v>
      </c>
      <c r="H1313" s="9" t="n">
        <v>140</v>
      </c>
      <c r="I1313" s="9" t="inlineStr">
        <is>
          <t>Depth (no MLB IP)</t>
        </is>
      </c>
      <c r="J1313" s="17" t="inlineStr">
        <is>
          <t>Opening Day</t>
        </is>
      </c>
      <c r="K1313" s="11">
        <f>IFERROR(INDEX(Roles!$B$17:$B$20,MATCH(J1313,Roles!$A$17:$A$20,0)),1)</f>
        <v/>
      </c>
      <c r="L1313" s="18" t="n">
        <v>1</v>
      </c>
      <c r="M1313" s="18" t="n"/>
      <c r="N1313" s="18" t="n"/>
      <c r="O1313" s="18" t="n"/>
      <c r="P1313" s="18" t="n"/>
      <c r="Q1313" s="18" t="n"/>
      <c r="R1313" s="18" t="n"/>
      <c r="S1313" s="18" t="n"/>
      <c r="T1313" s="18" t="n"/>
      <c r="U1313" s="18" t="n"/>
      <c r="V1313" s="18" t="n"/>
      <c r="W1313" s="18" t="n"/>
      <c r="X1313" s="18" t="n"/>
      <c r="Y1313" s="13">
        <f>SUMPRODUCT(M1313:X1313,$M$2:$X$2)*$K1313*$L1313</f>
        <v/>
      </c>
      <c r="Z1313" s="14">
        <f>SUM(M1313:X1313)</f>
        <v/>
      </c>
      <c r="AA1313" s="13">
        <f>SUMPRODUCT(M1313:X1313,$M$3:$X$3)*$K1313*$L1313</f>
        <v/>
      </c>
      <c r="AB1313" s="13">
        <f>SUMPRODUCT(M1313:X1313,$M$4:$X$4)*$K1313*$L1313</f>
        <v/>
      </c>
      <c r="AC1313" s="15">
        <f>SUMPRODUCT(M1313:X1313,$M$5:$X$5)*$K1313*$L1313</f>
        <v/>
      </c>
      <c r="AD1313" s="15">
        <f>SUMPRODUCT(M1313:X1313,$M$6:$X$6)*$K1313*$L1313</f>
        <v/>
      </c>
      <c r="AE1313" s="19" t="n"/>
    </row>
    <row r="1314">
      <c r="A1314" s="9" t="n">
        <v>665019</v>
      </c>
      <c r="B1314" s="9" t="inlineStr">
        <is>
          <t>Kody Clemens</t>
        </is>
      </c>
      <c r="C1314" s="9" t="inlineStr">
        <is>
          <t>DET</t>
        </is>
      </c>
      <c r="D1314" s="9" t="n">
        <v>31</v>
      </c>
      <c r="E1314" s="17" t="inlineStr">
        <is>
          <t>R</t>
        </is>
      </c>
      <c r="F1314" s="17" t="n"/>
      <c r="G1314" s="9" t="n">
        <v>6</v>
      </c>
      <c r="H1314" s="9" t="n">
        <v>60</v>
      </c>
      <c r="I1314" s="9" t="inlineStr">
        <is>
          <t>Depth (no MLB IP)</t>
        </is>
      </c>
      <c r="J1314" s="17" t="inlineStr">
        <is>
          <t>Opening Day</t>
        </is>
      </c>
      <c r="K1314" s="11">
        <f>IFERROR(INDEX(Roles!$B$17:$B$20,MATCH(J1314,Roles!$A$17:$A$20,0)),1)</f>
        <v/>
      </c>
      <c r="L1314" s="18" t="n">
        <v>1</v>
      </c>
      <c r="M1314" s="18" t="n"/>
      <c r="N1314" s="18" t="n"/>
      <c r="O1314" s="18" t="n"/>
      <c r="P1314" s="18" t="n"/>
      <c r="Q1314" s="18" t="n"/>
      <c r="R1314" s="18" t="n"/>
      <c r="S1314" s="18" t="n"/>
      <c r="T1314" s="18" t="n"/>
      <c r="U1314" s="18" t="n"/>
      <c r="V1314" s="18" t="n"/>
      <c r="W1314" s="18" t="n"/>
      <c r="X1314" s="18" t="n"/>
      <c r="Y1314" s="13">
        <f>SUMPRODUCT(M1314:X1314,$M$2:$X$2)*$K1314*$L1314</f>
        <v/>
      </c>
      <c r="Z1314" s="14">
        <f>SUM(M1314:X1314)</f>
        <v/>
      </c>
      <c r="AA1314" s="13">
        <f>SUMPRODUCT(M1314:X1314,$M$3:$X$3)*$K1314*$L1314</f>
        <v/>
      </c>
      <c r="AB1314" s="13">
        <f>SUMPRODUCT(M1314:X1314,$M$4:$X$4)*$K1314*$L1314</f>
        <v/>
      </c>
      <c r="AC1314" s="15">
        <f>SUMPRODUCT(M1314:X1314,$M$5:$X$5)*$K1314*$L1314</f>
        <v/>
      </c>
      <c r="AD1314" s="15">
        <f>SUMPRODUCT(M1314:X1314,$M$6:$X$6)*$K1314*$L1314</f>
        <v/>
      </c>
      <c r="AE1314" s="19" t="n"/>
    </row>
    <row r="1315">
      <c r="A1315" s="9" t="n">
        <v>687223</v>
      </c>
      <c r="B1315" s="9" t="inlineStr">
        <is>
          <t>Carson Palmquist</t>
        </is>
      </c>
      <c r="C1315" s="9" t="inlineStr">
        <is>
          <t>WSH</t>
        </is>
      </c>
      <c r="D1315" s="9" t="n">
        <v>26</v>
      </c>
      <c r="E1315" s="17" t="inlineStr">
        <is>
          <t>L</t>
        </is>
      </c>
      <c r="F1315" s="17" t="n"/>
      <c r="G1315" s="9" t="n">
        <v>78</v>
      </c>
      <c r="H1315" s="9" t="n">
        <v>253</v>
      </c>
      <c r="I1315" s="9" t="inlineStr">
        <is>
          <t>Bullpen Depth Arm</t>
        </is>
      </c>
      <c r="J1315" s="17" t="inlineStr">
        <is>
          <t>Opening Day</t>
        </is>
      </c>
      <c r="K1315" s="11">
        <f>IFERROR(INDEX(Roles!$B$17:$B$20,MATCH(J1315,Roles!$A$17:$A$20,0)),1)</f>
        <v/>
      </c>
      <c r="L1315" s="18" t="n">
        <v>1</v>
      </c>
      <c r="M1315" s="18" t="n"/>
      <c r="N1315" s="18" t="n"/>
      <c r="O1315" s="18" t="n"/>
      <c r="P1315" s="18" t="n"/>
      <c r="Q1315" s="18" t="n"/>
      <c r="R1315" s="18" t="n"/>
      <c r="S1315" s="18" t="n"/>
      <c r="T1315" s="18" t="n"/>
      <c r="U1315" s="18" t="n"/>
      <c r="V1315" s="18" t="n"/>
      <c r="W1315" s="18" t="n"/>
      <c r="X1315" s="18" t="n"/>
      <c r="Y1315" s="13">
        <f>SUMPRODUCT(M1315:X1315,$M$2:$X$2)*$K1315*$L1315</f>
        <v/>
      </c>
      <c r="Z1315" s="14">
        <f>SUM(M1315:X1315)</f>
        <v/>
      </c>
      <c r="AA1315" s="13">
        <f>SUMPRODUCT(M1315:X1315,$M$3:$X$3)*$K1315*$L1315</f>
        <v/>
      </c>
      <c r="AB1315" s="13">
        <f>SUMPRODUCT(M1315:X1315,$M$4:$X$4)*$K1315*$L1315</f>
        <v/>
      </c>
      <c r="AC1315" s="15">
        <f>SUMPRODUCT(M1315:X1315,$M$5:$X$5)*$K1315*$L1315</f>
        <v/>
      </c>
      <c r="AD1315" s="15">
        <f>SUMPRODUCT(M1315:X1315,$M$6:$X$6)*$K1315*$L1315</f>
        <v/>
      </c>
      <c r="AE1315" s="19" t="n"/>
    </row>
    <row r="1316">
      <c r="A1316" s="9" t="n">
        <v>663623</v>
      </c>
      <c r="B1316" s="9" t="inlineStr">
        <is>
          <t>Jake Irvin</t>
        </is>
      </c>
      <c r="C1316" s="9" t="inlineStr">
        <is>
          <t>WSH</t>
        </is>
      </c>
      <c r="D1316" s="9" t="n">
        <v>30</v>
      </c>
      <c r="E1316" s="17" t="inlineStr">
        <is>
          <t>R</t>
        </is>
      </c>
      <c r="F1316" s="17" t="n"/>
      <c r="G1316" s="9" t="n">
        <v>426</v>
      </c>
      <c r="H1316" s="9" t="n">
        <v>2512</v>
      </c>
      <c r="I1316" s="9" t="inlineStr">
        <is>
          <t>Mid-Rotation Starter (SP2-3)</t>
        </is>
      </c>
      <c r="J1316" s="17" t="inlineStr">
        <is>
          <t>Opening Day</t>
        </is>
      </c>
      <c r="K1316" s="11">
        <f>IFERROR(INDEX(Roles!$B$17:$B$20,MATCH(J1316,Roles!$A$17:$A$20,0)),1)</f>
        <v/>
      </c>
      <c r="L1316" s="18" t="n">
        <v>1</v>
      </c>
      <c r="M1316" s="18" t="n"/>
      <c r="N1316" s="18" t="n"/>
      <c r="O1316" s="18" t="n"/>
      <c r="P1316" s="18" t="n"/>
      <c r="Q1316" s="18" t="n"/>
      <c r="R1316" s="18" t="n"/>
      <c r="S1316" s="18" t="n"/>
      <c r="T1316" s="18" t="n"/>
      <c r="U1316" s="18" t="n"/>
      <c r="V1316" s="18" t="n"/>
      <c r="W1316" s="18" t="n"/>
      <c r="X1316" s="18" t="n"/>
      <c r="Y1316" s="13">
        <f>SUMPRODUCT(M1316:X1316,$M$2:$X$2)*$K1316*$L1316</f>
        <v/>
      </c>
      <c r="Z1316" s="14">
        <f>SUM(M1316:X1316)</f>
        <v/>
      </c>
      <c r="AA1316" s="13">
        <f>SUMPRODUCT(M1316:X1316,$M$3:$X$3)*$K1316*$L1316</f>
        <v/>
      </c>
      <c r="AB1316" s="13">
        <f>SUMPRODUCT(M1316:X1316,$M$4:$X$4)*$K1316*$L1316</f>
        <v/>
      </c>
      <c r="AC1316" s="15">
        <f>SUMPRODUCT(M1316:X1316,$M$5:$X$5)*$K1316*$L1316</f>
        <v/>
      </c>
      <c r="AD1316" s="15">
        <f>SUMPRODUCT(M1316:X1316,$M$6:$X$6)*$K1316*$L1316</f>
        <v/>
      </c>
      <c r="AE1316" s="19" t="n"/>
    </row>
    <row r="1317">
      <c r="A1317" s="9" t="n">
        <v>544150</v>
      </c>
      <c r="B1317" s="9" t="inlineStr">
        <is>
          <t>Albert Suárez</t>
        </is>
      </c>
      <c r="C1317" s="9" t="inlineStr">
        <is>
          <t>BAL</t>
        </is>
      </c>
      <c r="D1317" s="9" t="n">
        <v>37</v>
      </c>
      <c r="E1317" s="17" t="inlineStr">
        <is>
          <t>R</t>
        </is>
      </c>
      <c r="F1317" s="17" t="n"/>
      <c r="G1317" s="9" t="n">
        <v>247</v>
      </c>
      <c r="H1317" s="9" t="n">
        <v>856</v>
      </c>
      <c r="I1317" s="9" t="inlineStr">
        <is>
          <t>Bullpen Depth Arm</t>
        </is>
      </c>
      <c r="J1317" s="17" t="inlineStr">
        <is>
          <t>Opening Day</t>
        </is>
      </c>
      <c r="K1317" s="11">
        <f>IFERROR(INDEX(Roles!$B$17:$B$20,MATCH(J1317,Roles!$A$17:$A$20,0)),1)</f>
        <v/>
      </c>
      <c r="L1317" s="18" t="n">
        <v>1</v>
      </c>
      <c r="M1317" s="18" t="n"/>
      <c r="N1317" s="18" t="n"/>
      <c r="O1317" s="18" t="n"/>
      <c r="P1317" s="18" t="n"/>
      <c r="Q1317" s="18" t="n"/>
      <c r="R1317" s="18" t="n"/>
      <c r="S1317" s="18" t="n"/>
      <c r="T1317" s="18" t="n"/>
      <c r="U1317" s="18" t="n"/>
      <c r="V1317" s="18" t="n"/>
      <c r="W1317" s="18" t="n"/>
      <c r="X1317" s="18" t="n"/>
      <c r="Y1317" s="13">
        <f>SUMPRODUCT(M1317:X1317,$M$2:$X$2)*$K1317*$L1317</f>
        <v/>
      </c>
      <c r="Z1317" s="14">
        <f>SUM(M1317:X1317)</f>
        <v/>
      </c>
      <c r="AA1317" s="13">
        <f>SUMPRODUCT(M1317:X1317,$M$3:$X$3)*$K1317*$L1317</f>
        <v/>
      </c>
      <c r="AB1317" s="13">
        <f>SUMPRODUCT(M1317:X1317,$M$4:$X$4)*$K1317*$L1317</f>
        <v/>
      </c>
      <c r="AC1317" s="15">
        <f>SUMPRODUCT(M1317:X1317,$M$5:$X$5)*$K1317*$L1317</f>
        <v/>
      </c>
      <c r="AD1317" s="15">
        <f>SUMPRODUCT(M1317:X1317,$M$6:$X$6)*$K1317*$L1317</f>
        <v/>
      </c>
      <c r="AE1317" s="19" t="n"/>
    </row>
    <row r="1318">
      <c r="A1318" s="9" t="n">
        <v>669422</v>
      </c>
      <c r="B1318" s="9" t="inlineStr">
        <is>
          <t>Matt Sauer</t>
        </is>
      </c>
      <c r="C1318" s="9" t="inlineStr">
        <is>
          <t>LAD</t>
        </is>
      </c>
      <c r="D1318" s="9" t="n">
        <v>28</v>
      </c>
      <c r="E1318" s="17" t="inlineStr">
        <is>
          <t>R</t>
        </is>
      </c>
      <c r="F1318" s="17" t="n"/>
      <c r="G1318" s="9" t="n">
        <v>129</v>
      </c>
      <c r="H1318" s="9" t="n">
        <v>213</v>
      </c>
      <c r="I1318" s="9" t="inlineStr">
        <is>
          <t>Bullpen Depth Arm</t>
        </is>
      </c>
      <c r="J1318" s="17" t="inlineStr">
        <is>
          <t>Opening Day</t>
        </is>
      </c>
      <c r="K1318" s="11">
        <f>IFERROR(INDEX(Roles!$B$17:$B$20,MATCH(J1318,Roles!$A$17:$A$20,0)),1)</f>
        <v/>
      </c>
      <c r="L1318" s="18" t="n">
        <v>1</v>
      </c>
      <c r="M1318" s="18" t="n"/>
      <c r="N1318" s="18" t="n"/>
      <c r="O1318" s="18" t="n"/>
      <c r="P1318" s="18" t="n"/>
      <c r="Q1318" s="18" t="n"/>
      <c r="R1318" s="18" t="n"/>
      <c r="S1318" s="18" t="n"/>
      <c r="T1318" s="18" t="n"/>
      <c r="U1318" s="18" t="n"/>
      <c r="V1318" s="18" t="n"/>
      <c r="W1318" s="18" t="n"/>
      <c r="X1318" s="18" t="n"/>
      <c r="Y1318" s="13">
        <f>SUMPRODUCT(M1318:X1318,$M$2:$X$2)*$K1318*$L1318</f>
        <v/>
      </c>
      <c r="Z1318" s="14">
        <f>SUM(M1318:X1318)</f>
        <v/>
      </c>
      <c r="AA1318" s="13">
        <f>SUMPRODUCT(M1318:X1318,$M$3:$X$3)*$K1318*$L1318</f>
        <v/>
      </c>
      <c r="AB1318" s="13">
        <f>SUMPRODUCT(M1318:X1318,$M$4:$X$4)*$K1318*$L1318</f>
        <v/>
      </c>
      <c r="AC1318" s="15">
        <f>SUMPRODUCT(M1318:X1318,$M$5:$X$5)*$K1318*$L1318</f>
        <v/>
      </c>
      <c r="AD1318" s="15">
        <f>SUMPRODUCT(M1318:X1318,$M$6:$X$6)*$K1318*$L1318</f>
        <v/>
      </c>
      <c r="AE1318" s="19" t="n"/>
    </row>
    <row r="1319">
      <c r="A1319" s="9" t="n">
        <v>642770</v>
      </c>
      <c r="B1319" s="9" t="inlineStr">
        <is>
          <t>Javy Guerra</t>
        </is>
      </c>
      <c r="C1319" s="9" t="inlineStr">
        <is>
          <t>TB</t>
        </is>
      </c>
      <c r="D1319" s="9" t="n">
        <v>31</v>
      </c>
      <c r="E1319" s="17" t="inlineStr">
        <is>
          <t>R</t>
        </is>
      </c>
      <c r="F1319" s="17" t="n"/>
      <c r="G1319" s="9" t="n">
        <v>97</v>
      </c>
      <c r="H1319" s="9" t="n">
        <v>179</v>
      </c>
      <c r="I1319" s="9" t="inlineStr">
        <is>
          <t>Depth (no MLB IP)</t>
        </is>
      </c>
      <c r="J1319" s="17" t="inlineStr">
        <is>
          <t>Opening Day</t>
        </is>
      </c>
      <c r="K1319" s="11">
        <f>IFERROR(INDEX(Roles!$B$17:$B$20,MATCH(J1319,Roles!$A$17:$A$20,0)),1)</f>
        <v/>
      </c>
      <c r="L1319" s="18" t="n">
        <v>1</v>
      </c>
      <c r="M1319" s="18" t="n"/>
      <c r="N1319" s="18" t="n"/>
      <c r="O1319" s="18" t="n"/>
      <c r="P1319" s="18" t="n"/>
      <c r="Q1319" s="18" t="n"/>
      <c r="R1319" s="18" t="n"/>
      <c r="S1319" s="18" t="n"/>
      <c r="T1319" s="18" t="n"/>
      <c r="U1319" s="18" t="n"/>
      <c r="V1319" s="18" t="n"/>
      <c r="W1319" s="18" t="n"/>
      <c r="X1319" s="18" t="n"/>
      <c r="Y1319" s="13">
        <f>SUMPRODUCT(M1319:X1319,$M$2:$X$2)*$K1319*$L1319</f>
        <v/>
      </c>
      <c r="Z1319" s="14">
        <f>SUM(M1319:X1319)</f>
        <v/>
      </c>
      <c r="AA1319" s="13">
        <f>SUMPRODUCT(M1319:X1319,$M$3:$X$3)*$K1319*$L1319</f>
        <v/>
      </c>
      <c r="AB1319" s="13">
        <f>SUMPRODUCT(M1319:X1319,$M$4:$X$4)*$K1319*$L1319</f>
        <v/>
      </c>
      <c r="AC1319" s="15">
        <f>SUMPRODUCT(M1319:X1319,$M$5:$X$5)*$K1319*$L1319</f>
        <v/>
      </c>
      <c r="AD1319" s="15">
        <f>SUMPRODUCT(M1319:X1319,$M$6:$X$6)*$K1319*$L1319</f>
        <v/>
      </c>
      <c r="AE1319" s="19" t="n"/>
    </row>
    <row r="1320">
      <c r="A1320" s="9" t="n">
        <v>669194</v>
      </c>
      <c r="B1320" s="9" t="inlineStr">
        <is>
          <t>Ryne Nelson</t>
        </is>
      </c>
      <c r="C1320" s="9" t="inlineStr">
        <is>
          <t>ARI</t>
        </is>
      </c>
      <c r="D1320" s="9" t="n">
        <v>29</v>
      </c>
      <c r="E1320" s="17" t="inlineStr">
        <is>
          <t>R</t>
        </is>
      </c>
      <c r="F1320" s="17" t="n"/>
      <c r="G1320" s="9" t="n">
        <v>362</v>
      </c>
      <c r="H1320" s="9" t="n">
        <v>2299</v>
      </c>
      <c r="I1320" s="9" t="inlineStr">
        <is>
          <t>Mid-Rotation Starter (SP2-3)</t>
        </is>
      </c>
      <c r="J1320" s="17" t="inlineStr">
        <is>
          <t>Opening Day</t>
        </is>
      </c>
      <c r="K1320" s="11">
        <f>IFERROR(INDEX(Roles!$B$17:$B$20,MATCH(J1320,Roles!$A$17:$A$20,0)),1)</f>
        <v/>
      </c>
      <c r="L1320" s="18" t="n">
        <v>1</v>
      </c>
      <c r="M1320" s="18" t="n"/>
      <c r="N1320" s="18" t="n"/>
      <c r="O1320" s="18" t="n"/>
      <c r="P1320" s="18" t="n"/>
      <c r="Q1320" s="18" t="n"/>
      <c r="R1320" s="18" t="n"/>
      <c r="S1320" s="18" t="n"/>
      <c r="T1320" s="18" t="n"/>
      <c r="U1320" s="18" t="n"/>
      <c r="V1320" s="18" t="n"/>
      <c r="W1320" s="18" t="n"/>
      <c r="X1320" s="18" t="n"/>
      <c r="Y1320" s="13">
        <f>SUMPRODUCT(M1320:X1320,$M$2:$X$2)*$K1320*$L1320</f>
        <v/>
      </c>
      <c r="Z1320" s="14">
        <f>SUM(M1320:X1320)</f>
        <v/>
      </c>
      <c r="AA1320" s="13">
        <f>SUMPRODUCT(M1320:X1320,$M$3:$X$3)*$K1320*$L1320</f>
        <v/>
      </c>
      <c r="AB1320" s="13">
        <f>SUMPRODUCT(M1320:X1320,$M$4:$X$4)*$K1320*$L1320</f>
        <v/>
      </c>
      <c r="AC1320" s="15">
        <f>SUMPRODUCT(M1320:X1320,$M$5:$X$5)*$K1320*$L1320</f>
        <v/>
      </c>
      <c r="AD1320" s="15">
        <f>SUMPRODUCT(M1320:X1320,$M$6:$X$6)*$K1320*$L1320</f>
        <v/>
      </c>
      <c r="AE1320" s="19" t="n"/>
    </row>
    <row r="1321">
      <c r="A1321" s="9" t="n">
        <v>670174</v>
      </c>
      <c r="B1321" s="9" t="inlineStr">
        <is>
          <t>Josh Winckowski</t>
        </is>
      </c>
      <c r="C1321" s="9" t="inlineStr">
        <is>
          <t>BOS</t>
        </is>
      </c>
      <c r="D1321" s="9" t="n">
        <v>29</v>
      </c>
      <c r="E1321" s="17" t="inlineStr">
        <is>
          <t>R</t>
        </is>
      </c>
      <c r="F1321" s="17" t="n"/>
      <c r="G1321" s="9" t="n">
        <v>52</v>
      </c>
      <c r="H1321" s="9" t="n">
        <v>1071</v>
      </c>
      <c r="I1321" s="9" t="inlineStr">
        <is>
          <t>Bullpen Depth Arm</t>
        </is>
      </c>
      <c r="J1321" s="17" t="inlineStr">
        <is>
          <t>Opening Day</t>
        </is>
      </c>
      <c r="K1321" s="11">
        <f>IFERROR(INDEX(Roles!$B$17:$B$20,MATCH(J1321,Roles!$A$17:$A$20,0)),1)</f>
        <v/>
      </c>
      <c r="L1321" s="18" t="n">
        <v>1</v>
      </c>
      <c r="M1321" s="18" t="n"/>
      <c r="N1321" s="18" t="n"/>
      <c r="O1321" s="18" t="n"/>
      <c r="P1321" s="18" t="n"/>
      <c r="Q1321" s="18" t="n"/>
      <c r="R1321" s="18" t="n"/>
      <c r="S1321" s="18" t="n"/>
      <c r="T1321" s="18" t="n"/>
      <c r="U1321" s="18" t="n"/>
      <c r="V1321" s="18" t="n"/>
      <c r="W1321" s="18" t="n"/>
      <c r="X1321" s="18" t="n"/>
      <c r="Y1321" s="13">
        <f>SUMPRODUCT(M1321:X1321,$M$2:$X$2)*$K1321*$L1321</f>
        <v/>
      </c>
      <c r="Z1321" s="14">
        <f>SUM(M1321:X1321)</f>
        <v/>
      </c>
      <c r="AA1321" s="13">
        <f>SUMPRODUCT(M1321:X1321,$M$3:$X$3)*$K1321*$L1321</f>
        <v/>
      </c>
      <c r="AB1321" s="13">
        <f>SUMPRODUCT(M1321:X1321,$M$4:$X$4)*$K1321*$L1321</f>
        <v/>
      </c>
      <c r="AC1321" s="15">
        <f>SUMPRODUCT(M1321:X1321,$M$5:$X$5)*$K1321*$L1321</f>
        <v/>
      </c>
      <c r="AD1321" s="15">
        <f>SUMPRODUCT(M1321:X1321,$M$6:$X$6)*$K1321*$L1321</f>
        <v/>
      </c>
      <c r="AE1321" s="19" t="n"/>
    </row>
    <row r="1322">
      <c r="A1322" s="9" t="n">
        <v>607067</v>
      </c>
      <c r="B1322" s="9" t="inlineStr">
        <is>
          <t>Colin Rea</t>
        </is>
      </c>
      <c r="C1322" s="9" t="inlineStr">
        <is>
          <t>CHC</t>
        </is>
      </c>
      <c r="D1322" s="9" t="n">
        <v>36</v>
      </c>
      <c r="E1322" s="17" t="inlineStr">
        <is>
          <t>R</t>
        </is>
      </c>
      <c r="F1322" s="17" t="n"/>
      <c r="G1322" s="9" t="n">
        <v>575</v>
      </c>
      <c r="H1322" s="9" t="n">
        <v>2468</v>
      </c>
      <c r="I1322" s="9" t="inlineStr">
        <is>
          <t>End-of-Rotation Starter (SP4-5)</t>
        </is>
      </c>
      <c r="J1322" s="17" t="inlineStr">
        <is>
          <t>Opening Day</t>
        </is>
      </c>
      <c r="K1322" s="11">
        <f>IFERROR(INDEX(Roles!$B$17:$B$20,MATCH(J1322,Roles!$A$17:$A$20,0)),1)</f>
        <v/>
      </c>
      <c r="L1322" s="18" t="n">
        <v>1</v>
      </c>
      <c r="M1322" s="18" t="n"/>
      <c r="N1322" s="18" t="n"/>
      <c r="O1322" s="18" t="n"/>
      <c r="P1322" s="18" t="n"/>
      <c r="Q1322" s="18" t="n"/>
      <c r="R1322" s="18" t="n"/>
      <c r="S1322" s="18" t="n"/>
      <c r="T1322" s="18" t="n"/>
      <c r="U1322" s="18" t="n"/>
      <c r="V1322" s="18" t="n"/>
      <c r="W1322" s="18" t="n"/>
      <c r="X1322" s="18" t="n"/>
      <c r="Y1322" s="13">
        <f>SUMPRODUCT(M1322:X1322,$M$2:$X$2)*$K1322*$L1322</f>
        <v/>
      </c>
      <c r="Z1322" s="14">
        <f>SUM(M1322:X1322)</f>
        <v/>
      </c>
      <c r="AA1322" s="13">
        <f>SUMPRODUCT(M1322:X1322,$M$3:$X$3)*$K1322*$L1322</f>
        <v/>
      </c>
      <c r="AB1322" s="13">
        <f>SUMPRODUCT(M1322:X1322,$M$4:$X$4)*$K1322*$L1322</f>
        <v/>
      </c>
      <c r="AC1322" s="15">
        <f>SUMPRODUCT(M1322:X1322,$M$5:$X$5)*$K1322*$L1322</f>
        <v/>
      </c>
      <c r="AD1322" s="15">
        <f>SUMPRODUCT(M1322:X1322,$M$6:$X$6)*$K1322*$L1322</f>
        <v/>
      </c>
      <c r="AE1322" s="19" t="n"/>
    </row>
    <row r="1323">
      <c r="A1323" s="9" t="n">
        <v>641672</v>
      </c>
      <c r="B1323" s="9" t="inlineStr">
        <is>
          <t>Thomas Hatch</t>
        </is>
      </c>
      <c r="C1323" s="9" t="inlineStr">
        <is>
          <t>MIN</t>
        </is>
      </c>
      <c r="D1323" s="9" t="n">
        <v>32</v>
      </c>
      <c r="E1323" s="17" t="inlineStr">
        <is>
          <t>R</t>
        </is>
      </c>
      <c r="F1323" s="17" t="n"/>
      <c r="G1323" s="9" t="n">
        <v>152</v>
      </c>
      <c r="H1323" s="9" t="n">
        <v>307</v>
      </c>
      <c r="I1323" s="9" t="inlineStr">
        <is>
          <t>Bullpen Depth Arm</t>
        </is>
      </c>
      <c r="J1323" s="17" t="inlineStr">
        <is>
          <t>Opening Day</t>
        </is>
      </c>
      <c r="K1323" s="11">
        <f>IFERROR(INDEX(Roles!$B$17:$B$20,MATCH(J1323,Roles!$A$17:$A$20,0)),1)</f>
        <v/>
      </c>
      <c r="L1323" s="18" t="n">
        <v>1</v>
      </c>
      <c r="M1323" s="18" t="n"/>
      <c r="N1323" s="18" t="n"/>
      <c r="O1323" s="18" t="n"/>
      <c r="P1323" s="18" t="n"/>
      <c r="Q1323" s="18" t="n"/>
      <c r="R1323" s="18" t="n"/>
      <c r="S1323" s="18" t="n"/>
      <c r="T1323" s="18" t="n"/>
      <c r="U1323" s="18" t="n"/>
      <c r="V1323" s="18" t="n"/>
      <c r="W1323" s="18" t="n"/>
      <c r="X1323" s="18" t="n"/>
      <c r="Y1323" s="13">
        <f>SUMPRODUCT(M1323:X1323,$M$2:$X$2)*$K1323*$L1323</f>
        <v/>
      </c>
      <c r="Z1323" s="14">
        <f>SUM(M1323:X1323)</f>
        <v/>
      </c>
      <c r="AA1323" s="13">
        <f>SUMPRODUCT(M1323:X1323,$M$3:$X$3)*$K1323*$L1323</f>
        <v/>
      </c>
      <c r="AB1323" s="13">
        <f>SUMPRODUCT(M1323:X1323,$M$4:$X$4)*$K1323*$L1323</f>
        <v/>
      </c>
      <c r="AC1323" s="15">
        <f>SUMPRODUCT(M1323:X1323,$M$5:$X$5)*$K1323*$L1323</f>
        <v/>
      </c>
      <c r="AD1323" s="15">
        <f>SUMPRODUCT(M1323:X1323,$M$6:$X$6)*$K1323*$L1323</f>
        <v/>
      </c>
      <c r="AE1323" s="19" t="n"/>
    </row>
    <row r="1324">
      <c r="A1324" s="9" t="n">
        <v>664192</v>
      </c>
      <c r="B1324" s="9" t="inlineStr">
        <is>
          <t>Joey Lucchesi</t>
        </is>
      </c>
      <c r="C1324" s="9" t="inlineStr">
        <is>
          <t>SF</t>
        </is>
      </c>
      <c r="D1324" s="9" t="n">
        <v>34</v>
      </c>
      <c r="E1324" s="17" t="inlineStr">
        <is>
          <t>L</t>
        </is>
      </c>
      <c r="F1324" s="17" t="n"/>
      <c r="G1324" s="9" t="n">
        <v>24</v>
      </c>
      <c r="H1324" s="9" t="n">
        <v>430</v>
      </c>
      <c r="I1324" s="9" t="inlineStr">
        <is>
          <t>Bullpen Depth Arm</t>
        </is>
      </c>
      <c r="J1324" s="17" t="inlineStr">
        <is>
          <t>Opening Day</t>
        </is>
      </c>
      <c r="K1324" s="11">
        <f>IFERROR(INDEX(Roles!$B$17:$B$20,MATCH(J1324,Roles!$A$17:$A$20,0)),1)</f>
        <v/>
      </c>
      <c r="L1324" s="18" t="n">
        <v>1</v>
      </c>
      <c r="M1324" s="18" t="n"/>
      <c r="N1324" s="18" t="n"/>
      <c r="O1324" s="18" t="n"/>
      <c r="P1324" s="18" t="n"/>
      <c r="Q1324" s="18" t="n"/>
      <c r="R1324" s="18" t="n"/>
      <c r="S1324" s="18" t="n"/>
      <c r="T1324" s="18" t="n"/>
      <c r="U1324" s="18" t="n"/>
      <c r="V1324" s="18" t="n"/>
      <c r="W1324" s="18" t="n"/>
      <c r="X1324" s="18" t="n"/>
      <c r="Y1324" s="13">
        <f>SUMPRODUCT(M1324:X1324,$M$2:$X$2)*$K1324*$L1324</f>
        <v/>
      </c>
      <c r="Z1324" s="14">
        <f>SUM(M1324:X1324)</f>
        <v/>
      </c>
      <c r="AA1324" s="13">
        <f>SUMPRODUCT(M1324:X1324,$M$3:$X$3)*$K1324*$L1324</f>
        <v/>
      </c>
      <c r="AB1324" s="13">
        <f>SUMPRODUCT(M1324:X1324,$M$4:$X$4)*$K1324*$L1324</f>
        <v/>
      </c>
      <c r="AC1324" s="15">
        <f>SUMPRODUCT(M1324:X1324,$M$5:$X$5)*$K1324*$L1324</f>
        <v/>
      </c>
      <c r="AD1324" s="15">
        <f>SUMPRODUCT(M1324:X1324,$M$6:$X$6)*$K1324*$L1324</f>
        <v/>
      </c>
      <c r="AE1324" s="19" t="n"/>
    </row>
    <row r="1325">
      <c r="A1325" s="9" t="n">
        <v>807743</v>
      </c>
      <c r="B1325" s="9" t="inlineStr">
        <is>
          <t>Sean Sullivan</t>
        </is>
      </c>
      <c r="C1325" s="9" t="inlineStr">
        <is>
          <t>COL</t>
        </is>
      </c>
      <c r="D1325" s="9" t="n">
        <v>24</v>
      </c>
      <c r="E1325" s="17" t="inlineStr">
        <is>
          <t>L</t>
        </is>
      </c>
      <c r="F1325" s="17" t="n"/>
      <c r="G1325" s="9" t="n">
        <v>114</v>
      </c>
      <c r="H1325" s="9" t="n">
        <v>114</v>
      </c>
      <c r="I1325" s="9" t="inlineStr">
        <is>
          <t>End-of-Rotation Starter (SP4-5)</t>
        </is>
      </c>
      <c r="J1325" s="17" t="inlineStr">
        <is>
          <t>Opening Day</t>
        </is>
      </c>
      <c r="K1325" s="11">
        <f>IFERROR(INDEX(Roles!$B$17:$B$20,MATCH(J1325,Roles!$A$17:$A$20,0)),1)</f>
        <v/>
      </c>
      <c r="L1325" s="18" t="n">
        <v>1</v>
      </c>
      <c r="M1325" s="18" t="n"/>
      <c r="N1325" s="18" t="n"/>
      <c r="O1325" s="18" t="n"/>
      <c r="P1325" s="18" t="n"/>
      <c r="Q1325" s="18" t="n"/>
      <c r="R1325" s="18" t="n"/>
      <c r="S1325" s="18" t="n"/>
      <c r="T1325" s="18" t="n"/>
      <c r="U1325" s="18" t="n"/>
      <c r="V1325" s="18" t="n"/>
      <c r="W1325" s="18" t="n"/>
      <c r="X1325" s="18" t="n"/>
      <c r="Y1325" s="13">
        <f>SUMPRODUCT(M1325:X1325,$M$2:$X$2)*$K1325*$L1325</f>
        <v/>
      </c>
      <c r="Z1325" s="14">
        <f>SUM(M1325:X1325)</f>
        <v/>
      </c>
      <c r="AA1325" s="13">
        <f>SUMPRODUCT(M1325:X1325,$M$3:$X$3)*$K1325*$L1325</f>
        <v/>
      </c>
      <c r="AB1325" s="13">
        <f>SUMPRODUCT(M1325:X1325,$M$4:$X$4)*$K1325*$L1325</f>
        <v/>
      </c>
      <c r="AC1325" s="15">
        <f>SUMPRODUCT(M1325:X1325,$M$5:$X$5)*$K1325*$L1325</f>
        <v/>
      </c>
      <c r="AD1325" s="15">
        <f>SUMPRODUCT(M1325:X1325,$M$6:$X$6)*$K1325*$L1325</f>
        <v/>
      </c>
      <c r="AE1325" s="19" t="n"/>
    </row>
    <row r="1326">
      <c r="A1326" s="9" t="n">
        <v>641312</v>
      </c>
      <c r="B1326" s="9" t="inlineStr">
        <is>
          <t>Shaun Anderson</t>
        </is>
      </c>
      <c r="C1326" s="9" t="inlineStr">
        <is>
          <t>LAA</t>
        </is>
      </c>
      <c r="D1326" s="9" t="n">
        <v>32</v>
      </c>
      <c r="E1326" s="17" t="inlineStr">
        <is>
          <t>R</t>
        </is>
      </c>
      <c r="F1326" s="17" t="n"/>
      <c r="G1326" s="9" t="n">
        <v>93</v>
      </c>
      <c r="H1326" s="9" t="n">
        <v>241</v>
      </c>
      <c r="I1326" s="9" t="inlineStr">
        <is>
          <t>Bullpen Depth Arm</t>
        </is>
      </c>
      <c r="J1326" s="17" t="inlineStr">
        <is>
          <t>Opening Day</t>
        </is>
      </c>
      <c r="K1326" s="11">
        <f>IFERROR(INDEX(Roles!$B$17:$B$20,MATCH(J1326,Roles!$A$17:$A$20,0)),1)</f>
        <v/>
      </c>
      <c r="L1326" s="18" t="n">
        <v>1</v>
      </c>
      <c r="M1326" s="18" t="n"/>
      <c r="N1326" s="18" t="n"/>
      <c r="O1326" s="18" t="n"/>
      <c r="P1326" s="18" t="n"/>
      <c r="Q1326" s="18" t="n"/>
      <c r="R1326" s="18" t="n"/>
      <c r="S1326" s="18" t="n"/>
      <c r="T1326" s="18" t="n"/>
      <c r="U1326" s="18" t="n"/>
      <c r="V1326" s="18" t="n"/>
      <c r="W1326" s="18" t="n"/>
      <c r="X1326" s="18" t="n"/>
      <c r="Y1326" s="13">
        <f>SUMPRODUCT(M1326:X1326,$M$2:$X$2)*$K1326*$L1326</f>
        <v/>
      </c>
      <c r="Z1326" s="14">
        <f>SUM(M1326:X1326)</f>
        <v/>
      </c>
      <c r="AA1326" s="13">
        <f>SUMPRODUCT(M1326:X1326,$M$3:$X$3)*$K1326*$L1326</f>
        <v/>
      </c>
      <c r="AB1326" s="13">
        <f>SUMPRODUCT(M1326:X1326,$M$4:$X$4)*$K1326*$L1326</f>
        <v/>
      </c>
      <c r="AC1326" s="15">
        <f>SUMPRODUCT(M1326:X1326,$M$5:$X$5)*$K1326*$L1326</f>
        <v/>
      </c>
      <c r="AD1326" s="15">
        <f>SUMPRODUCT(M1326:X1326,$M$6:$X$6)*$K1326*$L1326</f>
        <v/>
      </c>
      <c r="AE1326" s="19" t="n"/>
    </row>
    <row r="1327">
      <c r="A1327" s="9" t="n">
        <v>669020</v>
      </c>
      <c r="B1327" s="9" t="inlineStr">
        <is>
          <t>Ryan Rolison</t>
        </is>
      </c>
      <c r="C1327" s="9" t="inlineStr">
        <is>
          <t>CHC</t>
        </is>
      </c>
      <c r="D1327" s="9" t="n">
        <v>29</v>
      </c>
      <c r="E1327" s="17" t="inlineStr">
        <is>
          <t>L</t>
        </is>
      </c>
      <c r="F1327" s="17" t="n"/>
      <c r="G1327" s="9" t="n">
        <v>243</v>
      </c>
      <c r="H1327" s="9" t="n">
        <v>436</v>
      </c>
      <c r="I1327" s="9" t="inlineStr">
        <is>
          <t>Bullpen Depth Arm</t>
        </is>
      </c>
      <c r="J1327" s="17" t="inlineStr">
        <is>
          <t>Opening Day</t>
        </is>
      </c>
      <c r="K1327" s="11">
        <f>IFERROR(INDEX(Roles!$B$17:$B$20,MATCH(J1327,Roles!$A$17:$A$20,0)),1)</f>
        <v/>
      </c>
      <c r="L1327" s="18" t="n">
        <v>1</v>
      </c>
      <c r="M1327" s="18" t="n"/>
      <c r="N1327" s="18" t="n"/>
      <c r="O1327" s="18" t="n"/>
      <c r="P1327" s="18" t="n"/>
      <c r="Q1327" s="18" t="n"/>
      <c r="R1327" s="18" t="n"/>
      <c r="S1327" s="18" t="n"/>
      <c r="T1327" s="18" t="n"/>
      <c r="U1327" s="18" t="n"/>
      <c r="V1327" s="18" t="n"/>
      <c r="W1327" s="18" t="n"/>
      <c r="X1327" s="18" t="n"/>
      <c r="Y1327" s="13">
        <f>SUMPRODUCT(M1327:X1327,$M$2:$X$2)*$K1327*$L1327</f>
        <v/>
      </c>
      <c r="Z1327" s="14">
        <f>SUM(M1327:X1327)</f>
        <v/>
      </c>
      <c r="AA1327" s="13">
        <f>SUMPRODUCT(M1327:X1327,$M$3:$X$3)*$K1327*$L1327</f>
        <v/>
      </c>
      <c r="AB1327" s="13">
        <f>SUMPRODUCT(M1327:X1327,$M$4:$X$4)*$K1327*$L1327</f>
        <v/>
      </c>
      <c r="AC1327" s="15">
        <f>SUMPRODUCT(M1327:X1327,$M$5:$X$5)*$K1327*$L1327</f>
        <v/>
      </c>
      <c r="AD1327" s="15">
        <f>SUMPRODUCT(M1327:X1327,$M$6:$X$6)*$K1327*$L1327</f>
        <v/>
      </c>
      <c r="AE1327" s="19" t="n"/>
    </row>
    <row r="1328">
      <c r="A1328" s="9" t="n">
        <v>641343</v>
      </c>
      <c r="B1328" s="9" t="inlineStr">
        <is>
          <t>Jake Bauers</t>
        </is>
      </c>
      <c r="C1328" s="9" t="inlineStr">
        <is>
          <t>MIL</t>
        </is>
      </c>
      <c r="D1328" s="9" t="n">
        <v>31</v>
      </c>
      <c r="E1328" s="17" t="inlineStr">
        <is>
          <t>L</t>
        </is>
      </c>
      <c r="F1328" s="17" t="n"/>
      <c r="G1328" s="9" t="n">
        <v>29</v>
      </c>
      <c r="H1328" s="9" t="n">
        <v>49</v>
      </c>
      <c r="I1328" s="9" t="inlineStr">
        <is>
          <t>Bullpen Depth Arm</t>
        </is>
      </c>
      <c r="J1328" s="17" t="inlineStr">
        <is>
          <t>Opening Day</t>
        </is>
      </c>
      <c r="K1328" s="11">
        <f>IFERROR(INDEX(Roles!$B$17:$B$20,MATCH(J1328,Roles!$A$17:$A$20,0)),1)</f>
        <v/>
      </c>
      <c r="L1328" s="18" t="n">
        <v>1</v>
      </c>
      <c r="M1328" s="18" t="n"/>
      <c r="N1328" s="18" t="n"/>
      <c r="O1328" s="18" t="n"/>
      <c r="P1328" s="18" t="n"/>
      <c r="Q1328" s="18" t="n"/>
      <c r="R1328" s="18" t="n"/>
      <c r="S1328" s="18" t="n"/>
      <c r="T1328" s="18" t="n"/>
      <c r="U1328" s="18" t="n"/>
      <c r="V1328" s="18" t="n"/>
      <c r="W1328" s="18" t="n"/>
      <c r="X1328" s="18" t="n"/>
      <c r="Y1328" s="13">
        <f>SUMPRODUCT(M1328:X1328,$M$2:$X$2)*$K1328*$L1328</f>
        <v/>
      </c>
      <c r="Z1328" s="14">
        <f>SUM(M1328:X1328)</f>
        <v/>
      </c>
      <c r="AA1328" s="13">
        <f>SUMPRODUCT(M1328:X1328,$M$3:$X$3)*$K1328*$L1328</f>
        <v/>
      </c>
      <c r="AB1328" s="13">
        <f>SUMPRODUCT(M1328:X1328,$M$4:$X$4)*$K1328*$L1328</f>
        <v/>
      </c>
      <c r="AC1328" s="15">
        <f>SUMPRODUCT(M1328:X1328,$M$5:$X$5)*$K1328*$L1328</f>
        <v/>
      </c>
      <c r="AD1328" s="15">
        <f>SUMPRODUCT(M1328:X1328,$M$6:$X$6)*$K1328*$L1328</f>
        <v/>
      </c>
      <c r="AE1328" s="19" t="n"/>
    </row>
    <row r="1329">
      <c r="A1329" s="9" t="n">
        <v>663773</v>
      </c>
      <c r="B1329" s="9" t="inlineStr">
        <is>
          <t>Bryan Hoeing</t>
        </is>
      </c>
      <c r="C1329" s="9" t="inlineStr">
        <is>
          <t>SD</t>
        </is>
      </c>
      <c r="D1329" s="9" t="n">
        <v>30</v>
      </c>
      <c r="E1329" s="17" t="inlineStr">
        <is>
          <t>R</t>
        </is>
      </c>
      <c r="F1329" s="17" t="n"/>
      <c r="G1329" s="9" t="n">
        <v>36</v>
      </c>
      <c r="H1329" s="9" t="n">
        <v>611</v>
      </c>
      <c r="I1329" s="9" t="inlineStr">
        <is>
          <t>Bullpen Depth Arm</t>
        </is>
      </c>
      <c r="J1329" s="17" t="inlineStr">
        <is>
          <t>Opening Day</t>
        </is>
      </c>
      <c r="K1329" s="11">
        <f>IFERROR(INDEX(Roles!$B$17:$B$20,MATCH(J1329,Roles!$A$17:$A$20,0)),1)</f>
        <v/>
      </c>
      <c r="L1329" s="18" t="n">
        <v>1</v>
      </c>
      <c r="M1329" s="18" t="n"/>
      <c r="N1329" s="18" t="n"/>
      <c r="O1329" s="18" t="n"/>
      <c r="P1329" s="18" t="n"/>
      <c r="Q1329" s="18" t="n"/>
      <c r="R1329" s="18" t="n"/>
      <c r="S1329" s="18" t="n"/>
      <c r="T1329" s="18" t="n"/>
      <c r="U1329" s="18" t="n"/>
      <c r="V1329" s="18" t="n"/>
      <c r="W1329" s="18" t="n"/>
      <c r="X1329" s="18" t="n"/>
      <c r="Y1329" s="13">
        <f>SUMPRODUCT(M1329:X1329,$M$2:$X$2)*$K1329*$L1329</f>
        <v/>
      </c>
      <c r="Z1329" s="14">
        <f>SUM(M1329:X1329)</f>
        <v/>
      </c>
      <c r="AA1329" s="13">
        <f>SUMPRODUCT(M1329:X1329,$M$3:$X$3)*$K1329*$L1329</f>
        <v/>
      </c>
      <c r="AB1329" s="13">
        <f>SUMPRODUCT(M1329:X1329,$M$4:$X$4)*$K1329*$L1329</f>
        <v/>
      </c>
      <c r="AC1329" s="15">
        <f>SUMPRODUCT(M1329:X1329,$M$5:$X$5)*$K1329*$L1329</f>
        <v/>
      </c>
      <c r="AD1329" s="15">
        <f>SUMPRODUCT(M1329:X1329,$M$6:$X$6)*$K1329*$L1329</f>
        <v/>
      </c>
      <c r="AE1329" s="19" t="n"/>
    </row>
    <row r="1330">
      <c r="A1330" s="9" t="n">
        <v>606930</v>
      </c>
      <c r="B1330" s="9" t="inlineStr">
        <is>
          <t>Jacob Barnes</t>
        </is>
      </c>
      <c r="C1330" s="9" t="inlineStr">
        <is>
          <t>TOR</t>
        </is>
      </c>
      <c r="D1330" s="9" t="n">
        <v>37</v>
      </c>
      <c r="E1330" s="17" t="inlineStr">
        <is>
          <t>R</t>
        </is>
      </c>
      <c r="F1330" s="17" t="n"/>
      <c r="G1330" s="9" t="n">
        <v>36</v>
      </c>
      <c r="H1330" s="9" t="n">
        <v>471</v>
      </c>
      <c r="I1330" s="9" t="inlineStr">
        <is>
          <t>Bullpen Depth Arm</t>
        </is>
      </c>
      <c r="J1330" s="17" t="inlineStr">
        <is>
          <t>Opening Day</t>
        </is>
      </c>
      <c r="K1330" s="11">
        <f>IFERROR(INDEX(Roles!$B$17:$B$20,MATCH(J1330,Roles!$A$17:$A$20,0)),1)</f>
        <v/>
      </c>
      <c r="L1330" s="18" t="n">
        <v>1</v>
      </c>
      <c r="M1330" s="18" t="n"/>
      <c r="N1330" s="18" t="n"/>
      <c r="O1330" s="18" t="n"/>
      <c r="P1330" s="18" t="n"/>
      <c r="Q1330" s="18" t="n"/>
      <c r="R1330" s="18" t="n"/>
      <c r="S1330" s="18" t="n"/>
      <c r="T1330" s="18" t="n"/>
      <c r="U1330" s="18" t="n"/>
      <c r="V1330" s="18" t="n"/>
      <c r="W1330" s="18" t="n"/>
      <c r="X1330" s="18" t="n"/>
      <c r="Y1330" s="13">
        <f>SUMPRODUCT(M1330:X1330,$M$2:$X$2)*$K1330*$L1330</f>
        <v/>
      </c>
      <c r="Z1330" s="14">
        <f>SUM(M1330:X1330)</f>
        <v/>
      </c>
      <c r="AA1330" s="13">
        <f>SUMPRODUCT(M1330:X1330,$M$3:$X$3)*$K1330*$L1330</f>
        <v/>
      </c>
      <c r="AB1330" s="13">
        <f>SUMPRODUCT(M1330:X1330,$M$4:$X$4)*$K1330*$L1330</f>
        <v/>
      </c>
      <c r="AC1330" s="15">
        <f>SUMPRODUCT(M1330:X1330,$M$5:$X$5)*$K1330*$L1330</f>
        <v/>
      </c>
      <c r="AD1330" s="15">
        <f>SUMPRODUCT(M1330:X1330,$M$6:$X$6)*$K1330*$L1330</f>
        <v/>
      </c>
      <c r="AE1330" s="19" t="n"/>
    </row>
    <row r="1331">
      <c r="A1331" s="9" t="n">
        <v>545121</v>
      </c>
      <c r="B1331" s="9" t="inlineStr">
        <is>
          <t>Ildemaro Vargas</t>
        </is>
      </c>
      <c r="C1331" s="9" t="inlineStr"/>
      <c r="D1331" s="9" t="n">
        <v>35</v>
      </c>
      <c r="E1331" s="17" t="inlineStr">
        <is>
          <t>R</t>
        </is>
      </c>
      <c r="F1331" s="17" t="n"/>
      <c r="G1331" s="9" t="n">
        <v>17</v>
      </c>
      <c r="H1331" s="9" t="n">
        <v>39</v>
      </c>
      <c r="I1331" s="9" t="inlineStr">
        <is>
          <t>Depth (no MLB IP)</t>
        </is>
      </c>
      <c r="J1331" s="17" t="inlineStr">
        <is>
          <t>Opening Day</t>
        </is>
      </c>
      <c r="K1331" s="11">
        <f>IFERROR(INDEX(Roles!$B$17:$B$20,MATCH(J1331,Roles!$A$17:$A$20,0)),1)</f>
        <v/>
      </c>
      <c r="L1331" s="18" t="n">
        <v>1</v>
      </c>
      <c r="M1331" s="18" t="n"/>
      <c r="N1331" s="18" t="n"/>
      <c r="O1331" s="18" t="n"/>
      <c r="P1331" s="18" t="n"/>
      <c r="Q1331" s="18" t="n"/>
      <c r="R1331" s="18" t="n"/>
      <c r="S1331" s="18" t="n"/>
      <c r="T1331" s="18" t="n"/>
      <c r="U1331" s="18" t="n"/>
      <c r="V1331" s="18" t="n"/>
      <c r="W1331" s="18" t="n"/>
      <c r="X1331" s="18" t="n"/>
      <c r="Y1331" s="13">
        <f>SUMPRODUCT(M1331:X1331,$M$2:$X$2)*$K1331*$L1331</f>
        <v/>
      </c>
      <c r="Z1331" s="14">
        <f>SUM(M1331:X1331)</f>
        <v/>
      </c>
      <c r="AA1331" s="13">
        <f>SUMPRODUCT(M1331:X1331,$M$3:$X$3)*$K1331*$L1331</f>
        <v/>
      </c>
      <c r="AB1331" s="13">
        <f>SUMPRODUCT(M1331:X1331,$M$4:$X$4)*$K1331*$L1331</f>
        <v/>
      </c>
      <c r="AC1331" s="15">
        <f>SUMPRODUCT(M1331:X1331,$M$5:$X$5)*$K1331*$L1331</f>
        <v/>
      </c>
      <c r="AD1331" s="15">
        <f>SUMPRODUCT(M1331:X1331,$M$6:$X$6)*$K1331*$L1331</f>
        <v/>
      </c>
      <c r="AE1331" s="19" t="n"/>
    </row>
    <row r="1332">
      <c r="A1332" s="9" t="n">
        <v>547943</v>
      </c>
      <c r="B1332" s="9" t="inlineStr">
        <is>
          <t>Hyun Jin Ryu</t>
        </is>
      </c>
      <c r="C1332" s="9" t="inlineStr">
        <is>
          <t>TOR</t>
        </is>
      </c>
      <c r="D1332" s="9" t="n">
        <v>40</v>
      </c>
      <c r="E1332" s="17" t="inlineStr">
        <is>
          <t>L</t>
        </is>
      </c>
      <c r="F1332" s="17" t="n"/>
      <c r="G1332" s="9" t="n">
        <v>224</v>
      </c>
      <c r="H1332" s="9" t="n">
        <v>337</v>
      </c>
      <c r="I1332" s="9" t="inlineStr">
        <is>
          <t>Depth (no MLB IP)</t>
        </is>
      </c>
      <c r="J1332" s="17" t="inlineStr">
        <is>
          <t>Opening Day</t>
        </is>
      </c>
      <c r="K1332" s="11">
        <f>IFERROR(INDEX(Roles!$B$17:$B$20,MATCH(J1332,Roles!$A$17:$A$20,0)),1)</f>
        <v/>
      </c>
      <c r="L1332" s="18" t="n">
        <v>1</v>
      </c>
      <c r="M1332" s="18" t="n"/>
      <c r="N1332" s="18" t="n"/>
      <c r="O1332" s="18" t="n"/>
      <c r="P1332" s="18" t="n"/>
      <c r="Q1332" s="18" t="n"/>
      <c r="R1332" s="18" t="n"/>
      <c r="S1332" s="18" t="n"/>
      <c r="T1332" s="18" t="n"/>
      <c r="U1332" s="18" t="n"/>
      <c r="V1332" s="18" t="n"/>
      <c r="W1332" s="18" t="n"/>
      <c r="X1332" s="18" t="n"/>
      <c r="Y1332" s="13">
        <f>SUMPRODUCT(M1332:X1332,$M$2:$X$2)*$K1332*$L1332</f>
        <v/>
      </c>
      <c r="Z1332" s="14">
        <f>SUM(M1332:X1332)</f>
        <v/>
      </c>
      <c r="AA1332" s="13">
        <f>SUMPRODUCT(M1332:X1332,$M$3:$X$3)*$K1332*$L1332</f>
        <v/>
      </c>
      <c r="AB1332" s="13">
        <f>SUMPRODUCT(M1332:X1332,$M$4:$X$4)*$K1332*$L1332</f>
        <v/>
      </c>
      <c r="AC1332" s="15">
        <f>SUMPRODUCT(M1332:X1332,$M$5:$X$5)*$K1332*$L1332</f>
        <v/>
      </c>
      <c r="AD1332" s="15">
        <f>SUMPRODUCT(M1332:X1332,$M$6:$X$6)*$K1332*$L1332</f>
        <v/>
      </c>
      <c r="AE1332" s="19" t="n"/>
    </row>
    <row r="1333">
      <c r="A1333" s="9" t="n">
        <v>656818</v>
      </c>
      <c r="B1333" s="9" t="inlineStr">
        <is>
          <t>Connor Overton</t>
        </is>
      </c>
      <c r="C1333" s="9" t="inlineStr">
        <is>
          <t>CIN</t>
        </is>
      </c>
      <c r="D1333" s="9" t="n">
        <v>33</v>
      </c>
      <c r="E1333" s="17" t="inlineStr">
        <is>
          <t>R</t>
        </is>
      </c>
      <c r="F1333" s="17" t="n"/>
      <c r="G1333" s="9" t="n">
        <v>55</v>
      </c>
      <c r="H1333" s="9" t="n">
        <v>179</v>
      </c>
      <c r="I1333" s="9" t="inlineStr">
        <is>
          <t>Depth (no MLB IP)</t>
        </is>
      </c>
      <c r="J1333" s="17" t="inlineStr">
        <is>
          <t>Opening Day</t>
        </is>
      </c>
      <c r="K1333" s="11">
        <f>IFERROR(INDEX(Roles!$B$17:$B$20,MATCH(J1333,Roles!$A$17:$A$20,0)),1)</f>
        <v/>
      </c>
      <c r="L1333" s="18" t="n">
        <v>1</v>
      </c>
      <c r="M1333" s="18" t="n"/>
      <c r="N1333" s="18" t="n"/>
      <c r="O1333" s="18" t="n"/>
      <c r="P1333" s="18" t="n"/>
      <c r="Q1333" s="18" t="n"/>
      <c r="R1333" s="18" t="n"/>
      <c r="S1333" s="18" t="n"/>
      <c r="T1333" s="18" t="n"/>
      <c r="U1333" s="18" t="n"/>
      <c r="V1333" s="18" t="n"/>
      <c r="W1333" s="18" t="n"/>
      <c r="X1333" s="18" t="n"/>
      <c r="Y1333" s="13">
        <f>SUMPRODUCT(M1333:X1333,$M$2:$X$2)*$K1333*$L1333</f>
        <v/>
      </c>
      <c r="Z1333" s="14">
        <f>SUM(M1333:X1333)</f>
        <v/>
      </c>
      <c r="AA1333" s="13">
        <f>SUMPRODUCT(M1333:X1333,$M$3:$X$3)*$K1333*$L1333</f>
        <v/>
      </c>
      <c r="AB1333" s="13">
        <f>SUMPRODUCT(M1333:X1333,$M$4:$X$4)*$K1333*$L1333</f>
        <v/>
      </c>
      <c r="AC1333" s="15">
        <f>SUMPRODUCT(M1333:X1333,$M$5:$X$5)*$K1333*$L1333</f>
        <v/>
      </c>
      <c r="AD1333" s="15">
        <f>SUMPRODUCT(M1333:X1333,$M$6:$X$6)*$K1333*$L1333</f>
        <v/>
      </c>
      <c r="AE1333" s="19" t="n"/>
    </row>
    <row r="1334">
      <c r="A1334" s="9" t="n">
        <v>502179</v>
      </c>
      <c r="B1334" s="9" t="inlineStr">
        <is>
          <t>Paolo Espino</t>
        </is>
      </c>
      <c r="C1334" s="9" t="inlineStr">
        <is>
          <t>TOR</t>
        </is>
      </c>
      <c r="D1334" s="9" t="n">
        <v>40</v>
      </c>
      <c r="E1334" s="17" t="inlineStr">
        <is>
          <t>R</t>
        </is>
      </c>
      <c r="F1334" s="17" t="n"/>
      <c r="G1334" s="9" t="n">
        <v>44</v>
      </c>
      <c r="H1334" s="9" t="n">
        <v>559</v>
      </c>
      <c r="I1334" s="9" t="inlineStr">
        <is>
          <t>Depth (no MLB IP)</t>
        </is>
      </c>
      <c r="J1334" s="17" t="inlineStr">
        <is>
          <t>Opening Day</t>
        </is>
      </c>
      <c r="K1334" s="11">
        <f>IFERROR(INDEX(Roles!$B$17:$B$20,MATCH(J1334,Roles!$A$17:$A$20,0)),1)</f>
        <v/>
      </c>
      <c r="L1334" s="18" t="n">
        <v>1</v>
      </c>
      <c r="M1334" s="18" t="n"/>
      <c r="N1334" s="18" t="n"/>
      <c r="O1334" s="18" t="n"/>
      <c r="P1334" s="18" t="n"/>
      <c r="Q1334" s="18" t="n"/>
      <c r="R1334" s="18" t="n"/>
      <c r="S1334" s="18" t="n"/>
      <c r="T1334" s="18" t="n"/>
      <c r="U1334" s="18" t="n"/>
      <c r="V1334" s="18" t="n"/>
      <c r="W1334" s="18" t="n"/>
      <c r="X1334" s="18" t="n"/>
      <c r="Y1334" s="13">
        <f>SUMPRODUCT(M1334:X1334,$M$2:$X$2)*$K1334*$L1334</f>
        <v/>
      </c>
      <c r="Z1334" s="14">
        <f>SUM(M1334:X1334)</f>
        <v/>
      </c>
      <c r="AA1334" s="13">
        <f>SUMPRODUCT(M1334:X1334,$M$3:$X$3)*$K1334*$L1334</f>
        <v/>
      </c>
      <c r="AB1334" s="13">
        <f>SUMPRODUCT(M1334:X1334,$M$4:$X$4)*$K1334*$L1334</f>
        <v/>
      </c>
      <c r="AC1334" s="15">
        <f>SUMPRODUCT(M1334:X1334,$M$5:$X$5)*$K1334*$L1334</f>
        <v/>
      </c>
      <c r="AD1334" s="15">
        <f>SUMPRODUCT(M1334:X1334,$M$6:$X$6)*$K1334*$L1334</f>
        <v/>
      </c>
      <c r="AE1334" s="19" t="n"/>
    </row>
    <row r="1335">
      <c r="A1335" s="9" t="n">
        <v>670810</v>
      </c>
      <c r="B1335" s="9" t="inlineStr">
        <is>
          <t>Logan Gillaspie</t>
        </is>
      </c>
      <c r="C1335" s="9" t="inlineStr">
        <is>
          <t>SD</t>
        </is>
      </c>
      <c r="D1335" s="9" t="n">
        <v>30</v>
      </c>
      <c r="E1335" s="17" t="inlineStr">
        <is>
          <t>R</t>
        </is>
      </c>
      <c r="F1335" s="17" t="n"/>
      <c r="G1335" s="9" t="n">
        <v>31</v>
      </c>
      <c r="H1335" s="9" t="n">
        <v>200</v>
      </c>
      <c r="I1335" s="9" t="inlineStr">
        <is>
          <t>Bullpen Depth Arm</t>
        </is>
      </c>
      <c r="J1335" s="17" t="inlineStr">
        <is>
          <t>Opening Day</t>
        </is>
      </c>
      <c r="K1335" s="11">
        <f>IFERROR(INDEX(Roles!$B$17:$B$20,MATCH(J1335,Roles!$A$17:$A$20,0)),1)</f>
        <v/>
      </c>
      <c r="L1335" s="18" t="n">
        <v>1</v>
      </c>
      <c r="M1335" s="18" t="n"/>
      <c r="N1335" s="18" t="n"/>
      <c r="O1335" s="18" t="n"/>
      <c r="P1335" s="18" t="n"/>
      <c r="Q1335" s="18" t="n"/>
      <c r="R1335" s="18" t="n"/>
      <c r="S1335" s="18" t="n"/>
      <c r="T1335" s="18" t="n"/>
      <c r="U1335" s="18" t="n"/>
      <c r="V1335" s="18" t="n"/>
      <c r="W1335" s="18" t="n"/>
      <c r="X1335" s="18" t="n"/>
      <c r="Y1335" s="13">
        <f>SUMPRODUCT(M1335:X1335,$M$2:$X$2)*$K1335*$L1335</f>
        <v/>
      </c>
      <c r="Z1335" s="14">
        <f>SUM(M1335:X1335)</f>
        <v/>
      </c>
      <c r="AA1335" s="13">
        <f>SUMPRODUCT(M1335:X1335,$M$3:$X$3)*$K1335*$L1335</f>
        <v/>
      </c>
      <c r="AB1335" s="13">
        <f>SUMPRODUCT(M1335:X1335,$M$4:$X$4)*$K1335*$L1335</f>
        <v/>
      </c>
      <c r="AC1335" s="15">
        <f>SUMPRODUCT(M1335:X1335,$M$5:$X$5)*$K1335*$L1335</f>
        <v/>
      </c>
      <c r="AD1335" s="15">
        <f>SUMPRODUCT(M1335:X1335,$M$6:$X$6)*$K1335*$L1335</f>
        <v/>
      </c>
      <c r="AE1335" s="19" t="n"/>
    </row>
    <row r="1336">
      <c r="A1336" s="9" t="n">
        <v>663436</v>
      </c>
      <c r="B1336" s="9" t="inlineStr">
        <is>
          <t>Davis Martin</t>
        </is>
      </c>
      <c r="C1336" s="9" t="inlineStr">
        <is>
          <t>CWS</t>
        </is>
      </c>
      <c r="D1336" s="9" t="n">
        <v>30</v>
      </c>
      <c r="E1336" s="17" t="inlineStr">
        <is>
          <t>R</t>
        </is>
      </c>
      <c r="F1336" s="17" t="n"/>
      <c r="G1336" s="9" t="n">
        <v>592</v>
      </c>
      <c r="H1336" s="9" t="n">
        <v>1682</v>
      </c>
      <c r="I1336" s="9" t="inlineStr">
        <is>
          <t>Mid-Rotation Starter (SP2-3)</t>
        </is>
      </c>
      <c r="J1336" s="17" t="inlineStr">
        <is>
          <t>Opening Day</t>
        </is>
      </c>
      <c r="K1336" s="11">
        <f>IFERROR(INDEX(Roles!$B$17:$B$20,MATCH(J1336,Roles!$A$17:$A$20,0)),1)</f>
        <v/>
      </c>
      <c r="L1336" s="18" t="n">
        <v>1</v>
      </c>
      <c r="M1336" s="18" t="n"/>
      <c r="N1336" s="18" t="n"/>
      <c r="O1336" s="18" t="n"/>
      <c r="P1336" s="18" t="n"/>
      <c r="Q1336" s="18" t="n"/>
      <c r="R1336" s="18" t="n"/>
      <c r="S1336" s="18" t="n"/>
      <c r="T1336" s="18" t="n"/>
      <c r="U1336" s="18" t="n"/>
      <c r="V1336" s="18" t="n"/>
      <c r="W1336" s="18" t="n"/>
      <c r="X1336" s="18" t="n"/>
      <c r="Y1336" s="13">
        <f>SUMPRODUCT(M1336:X1336,$M$2:$X$2)*$K1336*$L1336</f>
        <v/>
      </c>
      <c r="Z1336" s="14">
        <f>SUM(M1336:X1336)</f>
        <v/>
      </c>
      <c r="AA1336" s="13">
        <f>SUMPRODUCT(M1336:X1336,$M$3:$X$3)*$K1336*$L1336</f>
        <v/>
      </c>
      <c r="AB1336" s="13">
        <f>SUMPRODUCT(M1336:X1336,$M$4:$X$4)*$K1336*$L1336</f>
        <v/>
      </c>
      <c r="AC1336" s="15">
        <f>SUMPRODUCT(M1336:X1336,$M$5:$X$5)*$K1336*$L1336</f>
        <v/>
      </c>
      <c r="AD1336" s="15">
        <f>SUMPRODUCT(M1336:X1336,$M$6:$X$6)*$K1336*$L1336</f>
        <v/>
      </c>
      <c r="AE1336" s="19" t="n"/>
    </row>
    <row r="1337">
      <c r="A1337" s="9" t="n">
        <v>642528</v>
      </c>
      <c r="B1337" s="9" t="inlineStr">
        <is>
          <t>Jonathan Loáisiga</t>
        </is>
      </c>
      <c r="C1337" s="9" t="inlineStr">
        <is>
          <t>ARI</t>
        </is>
      </c>
      <c r="D1337" s="9" t="n">
        <v>32</v>
      </c>
      <c r="E1337" s="17" t="inlineStr">
        <is>
          <t>R</t>
        </is>
      </c>
      <c r="F1337" s="17" t="n"/>
      <c r="G1337" s="9" t="n">
        <v>242</v>
      </c>
      <c r="H1337" s="9" t="n">
        <v>669</v>
      </c>
      <c r="I1337" s="9" t="inlineStr">
        <is>
          <t>Bullpen Depth Arm</t>
        </is>
      </c>
      <c r="J1337" s="17" t="inlineStr">
        <is>
          <t>Opening Day</t>
        </is>
      </c>
      <c r="K1337" s="11">
        <f>IFERROR(INDEX(Roles!$B$17:$B$20,MATCH(J1337,Roles!$A$17:$A$20,0)),1)</f>
        <v/>
      </c>
      <c r="L1337" s="18" t="n">
        <v>1</v>
      </c>
      <c r="M1337" s="18" t="n"/>
      <c r="N1337" s="18" t="n"/>
      <c r="O1337" s="18" t="n"/>
      <c r="P1337" s="18" t="n"/>
      <c r="Q1337" s="18" t="n"/>
      <c r="R1337" s="18" t="n"/>
      <c r="S1337" s="18" t="n"/>
      <c r="T1337" s="18" t="n"/>
      <c r="U1337" s="18" t="n"/>
      <c r="V1337" s="18" t="n"/>
      <c r="W1337" s="18" t="n"/>
      <c r="X1337" s="18" t="n"/>
      <c r="Y1337" s="13">
        <f>SUMPRODUCT(M1337:X1337,$M$2:$X$2)*$K1337*$L1337</f>
        <v/>
      </c>
      <c r="Z1337" s="14">
        <f>SUM(M1337:X1337)</f>
        <v/>
      </c>
      <c r="AA1337" s="13">
        <f>SUMPRODUCT(M1337:X1337,$M$3:$X$3)*$K1337*$L1337</f>
        <v/>
      </c>
      <c r="AB1337" s="13">
        <f>SUMPRODUCT(M1337:X1337,$M$4:$X$4)*$K1337*$L1337</f>
        <v/>
      </c>
      <c r="AC1337" s="15">
        <f>SUMPRODUCT(M1337:X1337,$M$5:$X$5)*$K1337*$L1337</f>
        <v/>
      </c>
      <c r="AD1337" s="15">
        <f>SUMPRODUCT(M1337:X1337,$M$6:$X$6)*$K1337*$L1337</f>
        <v/>
      </c>
      <c r="AE1337" s="19" t="n"/>
    </row>
    <row r="1338">
      <c r="A1338" s="9" t="n">
        <v>656212</v>
      </c>
      <c r="B1338" s="9" t="inlineStr">
        <is>
          <t>Charlie Barnes</t>
        </is>
      </c>
      <c r="C1338" s="9" t="inlineStr">
        <is>
          <t>LAD</t>
        </is>
      </c>
      <c r="D1338" s="9" t="n">
        <v>31</v>
      </c>
      <c r="E1338" s="17" t="inlineStr">
        <is>
          <t>L</t>
        </is>
      </c>
      <c r="F1338" s="17" t="n"/>
      <c r="G1338" s="9" t="n">
        <v>63</v>
      </c>
      <c r="H1338" s="9" t="n">
        <v>63</v>
      </c>
      <c r="I1338" s="9" t="inlineStr">
        <is>
          <t>Bullpen Depth Arm</t>
        </is>
      </c>
      <c r="J1338" s="17" t="inlineStr">
        <is>
          <t>Opening Day</t>
        </is>
      </c>
      <c r="K1338" s="11">
        <f>IFERROR(INDEX(Roles!$B$17:$B$20,MATCH(J1338,Roles!$A$17:$A$20,0)),1)</f>
        <v/>
      </c>
      <c r="L1338" s="18" t="n">
        <v>1</v>
      </c>
      <c r="M1338" s="18" t="n"/>
      <c r="N1338" s="18" t="n"/>
      <c r="O1338" s="18" t="n"/>
      <c r="P1338" s="18" t="n"/>
      <c r="Q1338" s="18" t="n"/>
      <c r="R1338" s="18" t="n"/>
      <c r="S1338" s="18" t="n"/>
      <c r="T1338" s="18" t="n"/>
      <c r="U1338" s="18" t="n"/>
      <c r="V1338" s="18" t="n"/>
      <c r="W1338" s="18" t="n"/>
      <c r="X1338" s="18" t="n"/>
      <c r="Y1338" s="13">
        <f>SUMPRODUCT(M1338:X1338,$M$2:$X$2)*$K1338*$L1338</f>
        <v/>
      </c>
      <c r="Z1338" s="14">
        <f>SUM(M1338:X1338)</f>
        <v/>
      </c>
      <c r="AA1338" s="13">
        <f>SUMPRODUCT(M1338:X1338,$M$3:$X$3)*$K1338*$L1338</f>
        <v/>
      </c>
      <c r="AB1338" s="13">
        <f>SUMPRODUCT(M1338:X1338,$M$4:$X$4)*$K1338*$L1338</f>
        <v/>
      </c>
      <c r="AC1338" s="15">
        <f>SUMPRODUCT(M1338:X1338,$M$5:$X$5)*$K1338*$L1338</f>
        <v/>
      </c>
      <c r="AD1338" s="15">
        <f>SUMPRODUCT(M1338:X1338,$M$6:$X$6)*$K1338*$L1338</f>
        <v/>
      </c>
      <c r="AE1338" s="19" t="n"/>
    </row>
    <row r="1339">
      <c r="A1339" s="9" t="n">
        <v>682990</v>
      </c>
      <c r="B1339" s="9" t="inlineStr">
        <is>
          <t>Quinn Priester</t>
        </is>
      </c>
      <c r="C1339" s="9" t="inlineStr">
        <is>
          <t>MIL</t>
        </is>
      </c>
      <c r="D1339" s="9" t="n">
        <v>26</v>
      </c>
      <c r="E1339" s="17" t="inlineStr">
        <is>
          <t>R</t>
        </is>
      </c>
      <c r="F1339" s="17" t="n"/>
      <c r="G1339" s="9" t="n">
        <v>653</v>
      </c>
      <c r="H1339" s="9" t="n">
        <v>1108</v>
      </c>
      <c r="I1339" s="9" t="inlineStr">
        <is>
          <t>Mid-Rotation Starter (SP2-3)</t>
        </is>
      </c>
      <c r="J1339" s="17" t="inlineStr">
        <is>
          <t>Opening Day</t>
        </is>
      </c>
      <c r="K1339" s="11">
        <f>IFERROR(INDEX(Roles!$B$17:$B$20,MATCH(J1339,Roles!$A$17:$A$20,0)),1)</f>
        <v/>
      </c>
      <c r="L1339" s="18" t="n">
        <v>1</v>
      </c>
      <c r="M1339" s="18" t="n"/>
      <c r="N1339" s="18" t="n"/>
      <c r="O1339" s="18" t="n"/>
      <c r="P1339" s="18" t="n"/>
      <c r="Q1339" s="18" t="n"/>
      <c r="R1339" s="18" t="n"/>
      <c r="S1339" s="18" t="n"/>
      <c r="T1339" s="18" t="n"/>
      <c r="U1339" s="18" t="n"/>
      <c r="V1339" s="18" t="n"/>
      <c r="W1339" s="18" t="n"/>
      <c r="X1339" s="18" t="n"/>
      <c r="Y1339" s="13">
        <f>SUMPRODUCT(M1339:X1339,$M$2:$X$2)*$K1339*$L1339</f>
        <v/>
      </c>
      <c r="Z1339" s="14">
        <f>SUM(M1339:X1339)</f>
        <v/>
      </c>
      <c r="AA1339" s="13">
        <f>SUMPRODUCT(M1339:X1339,$M$3:$X$3)*$K1339*$L1339</f>
        <v/>
      </c>
      <c r="AB1339" s="13">
        <f>SUMPRODUCT(M1339:X1339,$M$4:$X$4)*$K1339*$L1339</f>
        <v/>
      </c>
      <c r="AC1339" s="15">
        <f>SUMPRODUCT(M1339:X1339,$M$5:$X$5)*$K1339*$L1339</f>
        <v/>
      </c>
      <c r="AD1339" s="15">
        <f>SUMPRODUCT(M1339:X1339,$M$6:$X$6)*$K1339*$L1339</f>
        <v/>
      </c>
      <c r="AE1339" s="19" t="n"/>
    </row>
    <row r="1340">
      <c r="A1340" s="9" t="n">
        <v>701552</v>
      </c>
      <c r="B1340" s="9" t="inlineStr">
        <is>
          <t>Andre Granillo</t>
        </is>
      </c>
      <c r="C1340" s="9" t="inlineStr">
        <is>
          <t>WSH</t>
        </is>
      </c>
      <c r="D1340" s="9" t="n">
        <v>27</v>
      </c>
      <c r="E1340" s="17" t="inlineStr">
        <is>
          <t>R</t>
        </is>
      </c>
      <c r="F1340" s="17" t="n"/>
      <c r="G1340" s="9" t="n">
        <v>50</v>
      </c>
      <c r="H1340" s="9" t="n">
        <v>141</v>
      </c>
      <c r="I1340" s="9" t="inlineStr">
        <is>
          <t>Bullpen Depth Arm</t>
        </is>
      </c>
      <c r="J1340" s="17" t="inlineStr">
        <is>
          <t>Opening Day</t>
        </is>
      </c>
      <c r="K1340" s="11">
        <f>IFERROR(INDEX(Roles!$B$17:$B$20,MATCH(J1340,Roles!$A$17:$A$20,0)),1)</f>
        <v/>
      </c>
      <c r="L1340" s="18" t="n">
        <v>1</v>
      </c>
      <c r="M1340" s="18" t="n"/>
      <c r="N1340" s="18" t="n"/>
      <c r="O1340" s="18" t="n"/>
      <c r="P1340" s="18" t="n"/>
      <c r="Q1340" s="18" t="n"/>
      <c r="R1340" s="18" t="n"/>
      <c r="S1340" s="18" t="n"/>
      <c r="T1340" s="18" t="n"/>
      <c r="U1340" s="18" t="n"/>
      <c r="V1340" s="18" t="n"/>
      <c r="W1340" s="18" t="n"/>
      <c r="X1340" s="18" t="n"/>
      <c r="Y1340" s="13">
        <f>SUMPRODUCT(M1340:X1340,$M$2:$X$2)*$K1340*$L1340</f>
        <v/>
      </c>
      <c r="Z1340" s="14">
        <f>SUM(M1340:X1340)</f>
        <v/>
      </c>
      <c r="AA1340" s="13">
        <f>SUMPRODUCT(M1340:X1340,$M$3:$X$3)*$K1340*$L1340</f>
        <v/>
      </c>
      <c r="AB1340" s="13">
        <f>SUMPRODUCT(M1340:X1340,$M$4:$X$4)*$K1340*$L1340</f>
        <v/>
      </c>
      <c r="AC1340" s="15">
        <f>SUMPRODUCT(M1340:X1340,$M$5:$X$5)*$K1340*$L1340</f>
        <v/>
      </c>
      <c r="AD1340" s="15">
        <f>SUMPRODUCT(M1340:X1340,$M$6:$X$6)*$K1340*$L1340</f>
        <v/>
      </c>
      <c r="AE1340" s="19" t="n"/>
    </row>
    <row r="1341">
      <c r="A1341" s="9" t="n">
        <v>685299</v>
      </c>
      <c r="B1341" s="9" t="inlineStr">
        <is>
          <t>Tanner Gordon</t>
        </is>
      </c>
      <c r="C1341" s="9" t="inlineStr">
        <is>
          <t>COL</t>
        </is>
      </c>
      <c r="D1341" s="9" t="n">
        <v>29</v>
      </c>
      <c r="E1341" s="17" t="inlineStr">
        <is>
          <t>R</t>
        </is>
      </c>
      <c r="F1341" s="17" t="n"/>
      <c r="G1341" s="9" t="n">
        <v>428</v>
      </c>
      <c r="H1341" s="9" t="n">
        <v>925</v>
      </c>
      <c r="I1341" s="9" t="inlineStr">
        <is>
          <t>End-of-Rotation Starter (SP4-5)</t>
        </is>
      </c>
      <c r="J1341" s="17" t="inlineStr">
        <is>
          <t>Opening Day</t>
        </is>
      </c>
      <c r="K1341" s="11">
        <f>IFERROR(INDEX(Roles!$B$17:$B$20,MATCH(J1341,Roles!$A$17:$A$20,0)),1)</f>
        <v/>
      </c>
      <c r="L1341" s="18" t="n">
        <v>1</v>
      </c>
      <c r="M1341" s="18" t="n"/>
      <c r="N1341" s="18" t="n"/>
      <c r="O1341" s="18" t="n"/>
      <c r="P1341" s="18" t="n"/>
      <c r="Q1341" s="18" t="n"/>
      <c r="R1341" s="18" t="n"/>
      <c r="S1341" s="18" t="n"/>
      <c r="T1341" s="18" t="n"/>
      <c r="U1341" s="18" t="n"/>
      <c r="V1341" s="18" t="n"/>
      <c r="W1341" s="18" t="n"/>
      <c r="X1341" s="18" t="n"/>
      <c r="Y1341" s="13">
        <f>SUMPRODUCT(M1341:X1341,$M$2:$X$2)*$K1341*$L1341</f>
        <v/>
      </c>
      <c r="Z1341" s="14">
        <f>SUM(M1341:X1341)</f>
        <v/>
      </c>
      <c r="AA1341" s="13">
        <f>SUMPRODUCT(M1341:X1341,$M$3:$X$3)*$K1341*$L1341</f>
        <v/>
      </c>
      <c r="AB1341" s="13">
        <f>SUMPRODUCT(M1341:X1341,$M$4:$X$4)*$K1341*$L1341</f>
        <v/>
      </c>
      <c r="AC1341" s="15">
        <f>SUMPRODUCT(M1341:X1341,$M$5:$X$5)*$K1341*$L1341</f>
        <v/>
      </c>
      <c r="AD1341" s="15">
        <f>SUMPRODUCT(M1341:X1341,$M$6:$X$6)*$K1341*$L1341</f>
        <v/>
      </c>
      <c r="AE1341" s="19" t="n"/>
    </row>
    <row r="1342">
      <c r="A1342" s="9" t="n">
        <v>621111</v>
      </c>
      <c r="B1342" s="9" t="inlineStr">
        <is>
          <t>Walker Buehler</t>
        </is>
      </c>
      <c r="C1342" s="9" t="inlineStr">
        <is>
          <t>SD</t>
        </is>
      </c>
      <c r="D1342" s="9" t="n">
        <v>32</v>
      </c>
      <c r="E1342" s="17" t="inlineStr">
        <is>
          <t>R</t>
        </is>
      </c>
      <c r="F1342" s="17" t="n"/>
      <c r="G1342" s="9" t="n">
        <v>609</v>
      </c>
      <c r="H1342" s="9" t="n">
        <v>1792</v>
      </c>
      <c r="I1342" s="9" t="inlineStr">
        <is>
          <t>End-of-Rotation Starter (SP4-5)</t>
        </is>
      </c>
      <c r="J1342" s="17" t="inlineStr">
        <is>
          <t>Opening Day</t>
        </is>
      </c>
      <c r="K1342" s="11">
        <f>IFERROR(INDEX(Roles!$B$17:$B$20,MATCH(J1342,Roles!$A$17:$A$20,0)),1)</f>
        <v/>
      </c>
      <c r="L1342" s="18" t="n">
        <v>1</v>
      </c>
      <c r="M1342" s="18" t="n"/>
      <c r="N1342" s="18" t="n"/>
      <c r="O1342" s="18" t="n"/>
      <c r="P1342" s="18" t="n"/>
      <c r="Q1342" s="18" t="n"/>
      <c r="R1342" s="18" t="n"/>
      <c r="S1342" s="18" t="n"/>
      <c r="T1342" s="18" t="n"/>
      <c r="U1342" s="18" t="n"/>
      <c r="V1342" s="18" t="n"/>
      <c r="W1342" s="18" t="n"/>
      <c r="X1342" s="18" t="n"/>
      <c r="Y1342" s="13">
        <f>SUMPRODUCT(M1342:X1342,$M$2:$X$2)*$K1342*$L1342</f>
        <v/>
      </c>
      <c r="Z1342" s="14">
        <f>SUM(M1342:X1342)</f>
        <v/>
      </c>
      <c r="AA1342" s="13">
        <f>SUMPRODUCT(M1342:X1342,$M$3:$X$3)*$K1342*$L1342</f>
        <v/>
      </c>
      <c r="AB1342" s="13">
        <f>SUMPRODUCT(M1342:X1342,$M$4:$X$4)*$K1342*$L1342</f>
        <v/>
      </c>
      <c r="AC1342" s="15">
        <f>SUMPRODUCT(M1342:X1342,$M$5:$X$5)*$K1342*$L1342</f>
        <v/>
      </c>
      <c r="AD1342" s="15">
        <f>SUMPRODUCT(M1342:X1342,$M$6:$X$6)*$K1342*$L1342</f>
        <v/>
      </c>
      <c r="AE1342" s="19" t="n"/>
    </row>
    <row r="1343">
      <c r="A1343" s="9" t="n">
        <v>682051</v>
      </c>
      <c r="B1343" s="9" t="inlineStr">
        <is>
          <t>Garrett Hill</t>
        </is>
      </c>
      <c r="C1343" s="9" t="inlineStr">
        <is>
          <t>DET</t>
        </is>
      </c>
      <c r="D1343" s="9" t="n">
        <v>31</v>
      </c>
      <c r="E1343" s="17" t="inlineStr">
        <is>
          <t>R</t>
        </is>
      </c>
      <c r="F1343" s="17" t="n"/>
      <c r="G1343" s="9" t="n">
        <v>80</v>
      </c>
      <c r="H1343" s="9" t="n">
        <v>343</v>
      </c>
      <c r="I1343" s="9" t="inlineStr">
        <is>
          <t>Depth (no MLB IP)</t>
        </is>
      </c>
      <c r="J1343" s="17" t="inlineStr">
        <is>
          <t>Opening Day</t>
        </is>
      </c>
      <c r="K1343" s="11">
        <f>IFERROR(INDEX(Roles!$B$17:$B$20,MATCH(J1343,Roles!$A$17:$A$20,0)),1)</f>
        <v/>
      </c>
      <c r="L1343" s="18" t="n">
        <v>1</v>
      </c>
      <c r="M1343" s="18" t="n"/>
      <c r="N1343" s="18" t="n"/>
      <c r="O1343" s="18" t="n"/>
      <c r="P1343" s="18" t="n"/>
      <c r="Q1343" s="18" t="n"/>
      <c r="R1343" s="18" t="n"/>
      <c r="S1343" s="18" t="n"/>
      <c r="T1343" s="18" t="n"/>
      <c r="U1343" s="18" t="n"/>
      <c r="V1343" s="18" t="n"/>
      <c r="W1343" s="18" t="n"/>
      <c r="X1343" s="18" t="n"/>
      <c r="Y1343" s="13">
        <f>SUMPRODUCT(M1343:X1343,$M$2:$X$2)*$K1343*$L1343</f>
        <v/>
      </c>
      <c r="Z1343" s="14">
        <f>SUM(M1343:X1343)</f>
        <v/>
      </c>
      <c r="AA1343" s="13">
        <f>SUMPRODUCT(M1343:X1343,$M$3:$X$3)*$K1343*$L1343</f>
        <v/>
      </c>
      <c r="AB1343" s="13">
        <f>SUMPRODUCT(M1343:X1343,$M$4:$X$4)*$K1343*$L1343</f>
        <v/>
      </c>
      <c r="AC1343" s="15">
        <f>SUMPRODUCT(M1343:X1343,$M$5:$X$5)*$K1343*$L1343</f>
        <v/>
      </c>
      <c r="AD1343" s="15">
        <f>SUMPRODUCT(M1343:X1343,$M$6:$X$6)*$K1343*$L1343</f>
        <v/>
      </c>
      <c r="AE1343" s="19" t="n"/>
    </row>
    <row r="1344">
      <c r="A1344" s="9" t="n">
        <v>664942</v>
      </c>
      <c r="B1344" s="9" t="inlineStr">
        <is>
          <t>James Naile</t>
        </is>
      </c>
      <c r="C1344" s="9" t="inlineStr">
        <is>
          <t>STL</t>
        </is>
      </c>
      <c r="D1344" s="9" t="n">
        <v>34</v>
      </c>
      <c r="E1344" s="17" t="inlineStr">
        <is>
          <t>R</t>
        </is>
      </c>
      <c r="F1344" s="17" t="n"/>
      <c r="G1344" s="9" t="n">
        <v>80</v>
      </c>
      <c r="H1344" s="9" t="n">
        <v>117</v>
      </c>
      <c r="I1344" s="9" t="inlineStr">
        <is>
          <t>Depth (no MLB IP)</t>
        </is>
      </c>
      <c r="J1344" s="17" t="inlineStr">
        <is>
          <t>Opening Day</t>
        </is>
      </c>
      <c r="K1344" s="11">
        <f>IFERROR(INDEX(Roles!$B$17:$B$20,MATCH(J1344,Roles!$A$17:$A$20,0)),1)</f>
        <v/>
      </c>
      <c r="L1344" s="18" t="n">
        <v>1</v>
      </c>
      <c r="M1344" s="18" t="n"/>
      <c r="N1344" s="18" t="n"/>
      <c r="O1344" s="18" t="n"/>
      <c r="P1344" s="18" t="n"/>
      <c r="Q1344" s="18" t="n"/>
      <c r="R1344" s="18" t="n"/>
      <c r="S1344" s="18" t="n"/>
      <c r="T1344" s="18" t="n"/>
      <c r="U1344" s="18" t="n"/>
      <c r="V1344" s="18" t="n"/>
      <c r="W1344" s="18" t="n"/>
      <c r="X1344" s="18" t="n"/>
      <c r="Y1344" s="13">
        <f>SUMPRODUCT(M1344:X1344,$M$2:$X$2)*$K1344*$L1344</f>
        <v/>
      </c>
      <c r="Z1344" s="14">
        <f>SUM(M1344:X1344)</f>
        <v/>
      </c>
      <c r="AA1344" s="13">
        <f>SUMPRODUCT(M1344:X1344,$M$3:$X$3)*$K1344*$L1344</f>
        <v/>
      </c>
      <c r="AB1344" s="13">
        <f>SUMPRODUCT(M1344:X1344,$M$4:$X$4)*$K1344*$L1344</f>
        <v/>
      </c>
      <c r="AC1344" s="15">
        <f>SUMPRODUCT(M1344:X1344,$M$5:$X$5)*$K1344*$L1344</f>
        <v/>
      </c>
      <c r="AD1344" s="15">
        <f>SUMPRODUCT(M1344:X1344,$M$6:$X$6)*$K1344*$L1344</f>
        <v/>
      </c>
      <c r="AE1344" s="19" t="n"/>
    </row>
    <row r="1345">
      <c r="A1345" s="9" t="n">
        <v>663372</v>
      </c>
      <c r="B1345" s="9" t="inlineStr">
        <is>
          <t>Ryan Feltner</t>
        </is>
      </c>
      <c r="C1345" s="9" t="inlineStr">
        <is>
          <t>COL</t>
        </is>
      </c>
      <c r="D1345" s="9" t="n">
        <v>30</v>
      </c>
      <c r="E1345" s="17" t="inlineStr">
        <is>
          <t>R</t>
        </is>
      </c>
      <c r="F1345" s="17" t="n"/>
      <c r="G1345" s="9" t="n">
        <v>518</v>
      </c>
      <c r="H1345" s="9" t="n">
        <v>1974</v>
      </c>
      <c r="I1345" s="9" t="inlineStr">
        <is>
          <t>Mid-Rotation Starter (SP2-3)</t>
        </is>
      </c>
      <c r="J1345" s="17" t="inlineStr">
        <is>
          <t>Opening Day</t>
        </is>
      </c>
      <c r="K1345" s="11">
        <f>IFERROR(INDEX(Roles!$B$17:$B$20,MATCH(J1345,Roles!$A$17:$A$20,0)),1)</f>
        <v/>
      </c>
      <c r="L1345" s="18" t="n">
        <v>1</v>
      </c>
      <c r="M1345" s="18" t="n"/>
      <c r="N1345" s="18" t="n"/>
      <c r="O1345" s="18" t="n"/>
      <c r="P1345" s="18" t="n"/>
      <c r="Q1345" s="18" t="n"/>
      <c r="R1345" s="18" t="n"/>
      <c r="S1345" s="18" t="n"/>
      <c r="T1345" s="18" t="n"/>
      <c r="U1345" s="18" t="n"/>
      <c r="V1345" s="18" t="n"/>
      <c r="W1345" s="18" t="n"/>
      <c r="X1345" s="18" t="n"/>
      <c r="Y1345" s="13">
        <f>SUMPRODUCT(M1345:X1345,$M$2:$X$2)*$K1345*$L1345</f>
        <v/>
      </c>
      <c r="Z1345" s="14">
        <f>SUM(M1345:X1345)</f>
        <v/>
      </c>
      <c r="AA1345" s="13">
        <f>SUMPRODUCT(M1345:X1345,$M$3:$X$3)*$K1345*$L1345</f>
        <v/>
      </c>
      <c r="AB1345" s="13">
        <f>SUMPRODUCT(M1345:X1345,$M$4:$X$4)*$K1345*$L1345</f>
        <v/>
      </c>
      <c r="AC1345" s="15">
        <f>SUMPRODUCT(M1345:X1345,$M$5:$X$5)*$K1345*$L1345</f>
        <v/>
      </c>
      <c r="AD1345" s="15">
        <f>SUMPRODUCT(M1345:X1345,$M$6:$X$6)*$K1345*$L1345</f>
        <v/>
      </c>
      <c r="AE1345" s="19" t="n"/>
    </row>
    <row r="1346">
      <c r="A1346" s="9" t="n">
        <v>664353</v>
      </c>
      <c r="B1346" s="9" t="inlineStr">
        <is>
          <t>José Urquidy</t>
        </is>
      </c>
      <c r="C1346" s="9" t="inlineStr">
        <is>
          <t>CWS</t>
        </is>
      </c>
      <c r="D1346" s="9" t="n">
        <v>32</v>
      </c>
      <c r="E1346" s="17" t="inlineStr">
        <is>
          <t>R</t>
        </is>
      </c>
      <c r="F1346" s="17" t="n"/>
      <c r="G1346" s="9" t="n">
        <v>131</v>
      </c>
      <c r="H1346" s="9" t="n">
        <v>1101</v>
      </c>
      <c r="I1346" s="9" t="inlineStr">
        <is>
          <t>Bullpen Depth Arm</t>
        </is>
      </c>
      <c r="J1346" s="17" t="inlineStr">
        <is>
          <t>Opening Day</t>
        </is>
      </c>
      <c r="K1346" s="11">
        <f>IFERROR(INDEX(Roles!$B$17:$B$20,MATCH(J1346,Roles!$A$17:$A$20,0)),1)</f>
        <v/>
      </c>
      <c r="L1346" s="18" t="n">
        <v>1</v>
      </c>
      <c r="M1346" s="18" t="n"/>
      <c r="N1346" s="18" t="n"/>
      <c r="O1346" s="18" t="n"/>
      <c r="P1346" s="18" t="n"/>
      <c r="Q1346" s="18" t="n"/>
      <c r="R1346" s="18" t="n"/>
      <c r="S1346" s="18" t="n"/>
      <c r="T1346" s="18" t="n"/>
      <c r="U1346" s="18" t="n"/>
      <c r="V1346" s="18" t="n"/>
      <c r="W1346" s="18" t="n"/>
      <c r="X1346" s="18" t="n"/>
      <c r="Y1346" s="13">
        <f>SUMPRODUCT(M1346:X1346,$M$2:$X$2)*$K1346*$L1346</f>
        <v/>
      </c>
      <c r="Z1346" s="14">
        <f>SUM(M1346:X1346)</f>
        <v/>
      </c>
      <c r="AA1346" s="13">
        <f>SUMPRODUCT(M1346:X1346,$M$3:$X$3)*$K1346*$L1346</f>
        <v/>
      </c>
      <c r="AB1346" s="13">
        <f>SUMPRODUCT(M1346:X1346,$M$4:$X$4)*$K1346*$L1346</f>
        <v/>
      </c>
      <c r="AC1346" s="15">
        <f>SUMPRODUCT(M1346:X1346,$M$5:$X$5)*$K1346*$L1346</f>
        <v/>
      </c>
      <c r="AD1346" s="15">
        <f>SUMPRODUCT(M1346:X1346,$M$6:$X$6)*$K1346*$L1346</f>
        <v/>
      </c>
      <c r="AE1346" s="19" t="n"/>
    </row>
    <row r="1347">
      <c r="A1347" s="9" t="n">
        <v>593974</v>
      </c>
      <c r="B1347" s="9" t="inlineStr">
        <is>
          <t>Wandy Peralta</t>
        </is>
      </c>
      <c r="C1347" s="9" t="inlineStr">
        <is>
          <t>SD</t>
        </is>
      </c>
      <c r="D1347" s="9" t="n">
        <v>35</v>
      </c>
      <c r="E1347" s="17" t="inlineStr">
        <is>
          <t>L</t>
        </is>
      </c>
      <c r="F1347" s="17" t="n"/>
      <c r="G1347" s="9" t="n">
        <v>303</v>
      </c>
      <c r="H1347" s="9" t="n">
        <v>1228</v>
      </c>
      <c r="I1347" s="9" t="inlineStr">
        <is>
          <t>Bullpen Depth Arm</t>
        </is>
      </c>
      <c r="J1347" s="17" t="inlineStr">
        <is>
          <t>Opening Day</t>
        </is>
      </c>
      <c r="K1347" s="11">
        <f>IFERROR(INDEX(Roles!$B$17:$B$20,MATCH(J1347,Roles!$A$17:$A$20,0)),1)</f>
        <v/>
      </c>
      <c r="L1347" s="18" t="n">
        <v>1</v>
      </c>
      <c r="M1347" s="18" t="n"/>
      <c r="N1347" s="18" t="n"/>
      <c r="O1347" s="18" t="n"/>
      <c r="P1347" s="18" t="n"/>
      <c r="Q1347" s="18" t="n"/>
      <c r="R1347" s="18" t="n"/>
      <c r="S1347" s="18" t="n"/>
      <c r="T1347" s="18" t="n"/>
      <c r="U1347" s="18" t="n"/>
      <c r="V1347" s="18" t="n"/>
      <c r="W1347" s="18" t="n"/>
      <c r="X1347" s="18" t="n"/>
      <c r="Y1347" s="13">
        <f>SUMPRODUCT(M1347:X1347,$M$2:$X$2)*$K1347*$L1347</f>
        <v/>
      </c>
      <c r="Z1347" s="14">
        <f>SUM(M1347:X1347)</f>
        <v/>
      </c>
      <c r="AA1347" s="13">
        <f>SUMPRODUCT(M1347:X1347,$M$3:$X$3)*$K1347*$L1347</f>
        <v/>
      </c>
      <c r="AB1347" s="13">
        <f>SUMPRODUCT(M1347:X1347,$M$4:$X$4)*$K1347*$L1347</f>
        <v/>
      </c>
      <c r="AC1347" s="15">
        <f>SUMPRODUCT(M1347:X1347,$M$5:$X$5)*$K1347*$L1347</f>
        <v/>
      </c>
      <c r="AD1347" s="15">
        <f>SUMPRODUCT(M1347:X1347,$M$6:$X$6)*$K1347*$L1347</f>
        <v/>
      </c>
      <c r="AE1347" s="19" t="n"/>
    </row>
    <row r="1348">
      <c r="A1348" s="9" t="n">
        <v>689441</v>
      </c>
      <c r="B1348" s="9" t="inlineStr">
        <is>
          <t>Coleman Crow</t>
        </is>
      </c>
      <c r="C1348" s="9" t="inlineStr">
        <is>
          <t>MIL</t>
        </is>
      </c>
      <c r="D1348" s="9" t="n">
        <v>26</v>
      </c>
      <c r="E1348" s="17" t="inlineStr">
        <is>
          <t>R</t>
        </is>
      </c>
      <c r="F1348" s="17" t="n"/>
      <c r="G1348" s="9" t="n">
        <v>85</v>
      </c>
      <c r="H1348" s="9" t="n">
        <v>85</v>
      </c>
      <c r="I1348" s="9" t="inlineStr">
        <is>
          <t>End-of-Rotation Starter (SP4-5)</t>
        </is>
      </c>
      <c r="J1348" s="17" t="inlineStr">
        <is>
          <t>Opening Day</t>
        </is>
      </c>
      <c r="K1348" s="11">
        <f>IFERROR(INDEX(Roles!$B$17:$B$20,MATCH(J1348,Roles!$A$17:$A$20,0)),1)</f>
        <v/>
      </c>
      <c r="L1348" s="18" t="n">
        <v>1</v>
      </c>
      <c r="M1348" s="18" t="n"/>
      <c r="N1348" s="18" t="n"/>
      <c r="O1348" s="18" t="n"/>
      <c r="P1348" s="18" t="n"/>
      <c r="Q1348" s="18" t="n"/>
      <c r="R1348" s="18" t="n"/>
      <c r="S1348" s="18" t="n"/>
      <c r="T1348" s="18" t="n"/>
      <c r="U1348" s="18" t="n"/>
      <c r="V1348" s="18" t="n"/>
      <c r="W1348" s="18" t="n"/>
      <c r="X1348" s="18" t="n"/>
      <c r="Y1348" s="13">
        <f>SUMPRODUCT(M1348:X1348,$M$2:$X$2)*$K1348*$L1348</f>
        <v/>
      </c>
      <c r="Z1348" s="14">
        <f>SUM(M1348:X1348)</f>
        <v/>
      </c>
      <c r="AA1348" s="13">
        <f>SUMPRODUCT(M1348:X1348,$M$3:$X$3)*$K1348*$L1348</f>
        <v/>
      </c>
      <c r="AB1348" s="13">
        <f>SUMPRODUCT(M1348:X1348,$M$4:$X$4)*$K1348*$L1348</f>
        <v/>
      </c>
      <c r="AC1348" s="15">
        <f>SUMPRODUCT(M1348:X1348,$M$5:$X$5)*$K1348*$L1348</f>
        <v/>
      </c>
      <c r="AD1348" s="15">
        <f>SUMPRODUCT(M1348:X1348,$M$6:$X$6)*$K1348*$L1348</f>
        <v/>
      </c>
      <c r="AE1348" s="19" t="n"/>
    </row>
    <row r="1349">
      <c r="A1349" s="9" t="n">
        <v>573186</v>
      </c>
      <c r="B1349" s="9" t="inlineStr">
        <is>
          <t>Marcus Stroman</t>
        </is>
      </c>
      <c r="C1349" s="9" t="inlineStr">
        <is>
          <t>NYY</t>
        </is>
      </c>
      <c r="D1349" s="9" t="n">
        <v>36</v>
      </c>
      <c r="E1349" s="17" t="inlineStr">
        <is>
          <t>R</t>
        </is>
      </c>
      <c r="F1349" s="17" t="n"/>
      <c r="G1349" s="9" t="n">
        <v>175</v>
      </c>
      <c r="H1349" s="9" t="n">
        <v>1994</v>
      </c>
      <c r="I1349" s="9" t="inlineStr">
        <is>
          <t>End-of-Rotation Starter (SP4-5)</t>
        </is>
      </c>
      <c r="J1349" s="17" t="inlineStr">
        <is>
          <t>Opening Day</t>
        </is>
      </c>
      <c r="K1349" s="11">
        <f>IFERROR(INDEX(Roles!$B$17:$B$20,MATCH(J1349,Roles!$A$17:$A$20,0)),1)</f>
        <v/>
      </c>
      <c r="L1349" s="18" t="n">
        <v>1</v>
      </c>
      <c r="M1349" s="18" t="n"/>
      <c r="N1349" s="18" t="n"/>
      <c r="O1349" s="18" t="n"/>
      <c r="P1349" s="18" t="n"/>
      <c r="Q1349" s="18" t="n"/>
      <c r="R1349" s="18" t="n"/>
      <c r="S1349" s="18" t="n"/>
      <c r="T1349" s="18" t="n"/>
      <c r="U1349" s="18" t="n"/>
      <c r="V1349" s="18" t="n"/>
      <c r="W1349" s="18" t="n"/>
      <c r="X1349" s="18" t="n"/>
      <c r="Y1349" s="13">
        <f>SUMPRODUCT(M1349:X1349,$M$2:$X$2)*$K1349*$L1349</f>
        <v/>
      </c>
      <c r="Z1349" s="14">
        <f>SUM(M1349:X1349)</f>
        <v/>
      </c>
      <c r="AA1349" s="13">
        <f>SUMPRODUCT(M1349:X1349,$M$3:$X$3)*$K1349*$L1349</f>
        <v/>
      </c>
      <c r="AB1349" s="13">
        <f>SUMPRODUCT(M1349:X1349,$M$4:$X$4)*$K1349*$L1349</f>
        <v/>
      </c>
      <c r="AC1349" s="15">
        <f>SUMPRODUCT(M1349:X1349,$M$5:$X$5)*$K1349*$L1349</f>
        <v/>
      </c>
      <c r="AD1349" s="15">
        <f>SUMPRODUCT(M1349:X1349,$M$6:$X$6)*$K1349*$L1349</f>
        <v/>
      </c>
      <c r="AE1349" s="19" t="n"/>
    </row>
    <row r="1350">
      <c r="A1350" s="9" t="n">
        <v>686475</v>
      </c>
      <c r="B1350" s="9" t="inlineStr">
        <is>
          <t>Tyler Tolbert</t>
        </is>
      </c>
      <c r="C1350" s="9" t="inlineStr">
        <is>
          <t>KC</t>
        </is>
      </c>
      <c r="D1350" s="9" t="n">
        <v>29</v>
      </c>
      <c r="E1350" s="17" t="inlineStr">
        <is>
          <t>R</t>
        </is>
      </c>
      <c r="F1350" s="17" t="n"/>
      <c r="G1350" s="9" t="n">
        <v>33</v>
      </c>
      <c r="H1350" s="9" t="n">
        <v>33</v>
      </c>
      <c r="I1350" s="9" t="inlineStr">
        <is>
          <t>Bullpen Depth Arm</t>
        </is>
      </c>
      <c r="J1350" s="17" t="inlineStr">
        <is>
          <t>Opening Day</t>
        </is>
      </c>
      <c r="K1350" s="11">
        <f>IFERROR(INDEX(Roles!$B$17:$B$20,MATCH(J1350,Roles!$A$17:$A$20,0)),1)</f>
        <v/>
      </c>
      <c r="L1350" s="18" t="n">
        <v>1</v>
      </c>
      <c r="M1350" s="18" t="n"/>
      <c r="N1350" s="18" t="n"/>
      <c r="O1350" s="18" t="n"/>
      <c r="P1350" s="18" t="n"/>
      <c r="Q1350" s="18" t="n"/>
      <c r="R1350" s="18" t="n"/>
      <c r="S1350" s="18" t="n"/>
      <c r="T1350" s="18" t="n"/>
      <c r="U1350" s="18" t="n"/>
      <c r="V1350" s="18" t="n"/>
      <c r="W1350" s="18" t="n"/>
      <c r="X1350" s="18" t="n"/>
      <c r="Y1350" s="13">
        <f>SUMPRODUCT(M1350:X1350,$M$2:$X$2)*$K1350*$L1350</f>
        <v/>
      </c>
      <c r="Z1350" s="14">
        <f>SUM(M1350:X1350)</f>
        <v/>
      </c>
      <c r="AA1350" s="13">
        <f>SUMPRODUCT(M1350:X1350,$M$3:$X$3)*$K1350*$L1350</f>
        <v/>
      </c>
      <c r="AB1350" s="13">
        <f>SUMPRODUCT(M1350:X1350,$M$4:$X$4)*$K1350*$L1350</f>
        <v/>
      </c>
      <c r="AC1350" s="15">
        <f>SUMPRODUCT(M1350:X1350,$M$5:$X$5)*$K1350*$L1350</f>
        <v/>
      </c>
      <c r="AD1350" s="15">
        <f>SUMPRODUCT(M1350:X1350,$M$6:$X$6)*$K1350*$L1350</f>
        <v/>
      </c>
      <c r="AE1350" s="19" t="n"/>
    </row>
    <row r="1351">
      <c r="A1351" s="9" t="n">
        <v>605507</v>
      </c>
      <c r="B1351" s="9" t="inlineStr">
        <is>
          <t>Zach Thompson</t>
        </is>
      </c>
      <c r="C1351" s="9" t="inlineStr">
        <is>
          <t>PIT</t>
        </is>
      </c>
      <c r="D1351" s="9" t="n">
        <v>33</v>
      </c>
      <c r="E1351" s="17" t="inlineStr">
        <is>
          <t>R</t>
        </is>
      </c>
      <c r="F1351" s="17" t="n"/>
      <c r="G1351" s="9" t="n">
        <v>12</v>
      </c>
      <c r="H1351" s="9" t="n">
        <v>555</v>
      </c>
      <c r="I1351" s="9" t="inlineStr">
        <is>
          <t>Depth (no MLB IP)</t>
        </is>
      </c>
      <c r="J1351" s="17" t="inlineStr">
        <is>
          <t>Opening Day</t>
        </is>
      </c>
      <c r="K1351" s="11">
        <f>IFERROR(INDEX(Roles!$B$17:$B$20,MATCH(J1351,Roles!$A$17:$A$20,0)),1)</f>
        <v/>
      </c>
      <c r="L1351" s="18" t="n">
        <v>1</v>
      </c>
      <c r="M1351" s="18" t="n"/>
      <c r="N1351" s="18" t="n"/>
      <c r="O1351" s="18" t="n"/>
      <c r="P1351" s="18" t="n"/>
      <c r="Q1351" s="18" t="n"/>
      <c r="R1351" s="18" t="n"/>
      <c r="S1351" s="18" t="n"/>
      <c r="T1351" s="18" t="n"/>
      <c r="U1351" s="18" t="n"/>
      <c r="V1351" s="18" t="n"/>
      <c r="W1351" s="18" t="n"/>
      <c r="X1351" s="18" t="n"/>
      <c r="Y1351" s="13">
        <f>SUMPRODUCT(M1351:X1351,$M$2:$X$2)*$K1351*$L1351</f>
        <v/>
      </c>
      <c r="Z1351" s="14">
        <f>SUM(M1351:X1351)</f>
        <v/>
      </c>
      <c r="AA1351" s="13">
        <f>SUMPRODUCT(M1351:X1351,$M$3:$X$3)*$K1351*$L1351</f>
        <v/>
      </c>
      <c r="AB1351" s="13">
        <f>SUMPRODUCT(M1351:X1351,$M$4:$X$4)*$K1351*$L1351</f>
        <v/>
      </c>
      <c r="AC1351" s="15">
        <f>SUMPRODUCT(M1351:X1351,$M$5:$X$5)*$K1351*$L1351</f>
        <v/>
      </c>
      <c r="AD1351" s="15">
        <f>SUMPRODUCT(M1351:X1351,$M$6:$X$6)*$K1351*$L1351</f>
        <v/>
      </c>
      <c r="AE1351" s="19" t="n"/>
    </row>
    <row r="1352">
      <c r="A1352" s="9" t="n">
        <v>688138</v>
      </c>
      <c r="B1352" s="9" t="inlineStr">
        <is>
          <t>Logan Evans</t>
        </is>
      </c>
      <c r="C1352" s="9" t="inlineStr">
        <is>
          <t>SEA</t>
        </is>
      </c>
      <c r="D1352" s="9" t="n">
        <v>26</v>
      </c>
      <c r="E1352" s="17" t="inlineStr">
        <is>
          <t>R</t>
        </is>
      </c>
      <c r="F1352" s="17" t="n"/>
      <c r="G1352" s="9" t="n">
        <v>350</v>
      </c>
      <c r="H1352" s="9" t="n">
        <v>350</v>
      </c>
      <c r="I1352" s="9" t="inlineStr">
        <is>
          <t>Mid-Rotation Starter (SP2-3)</t>
        </is>
      </c>
      <c r="J1352" s="17" t="inlineStr">
        <is>
          <t>Opening Day</t>
        </is>
      </c>
      <c r="K1352" s="11">
        <f>IFERROR(INDEX(Roles!$B$17:$B$20,MATCH(J1352,Roles!$A$17:$A$20,0)),1)</f>
        <v/>
      </c>
      <c r="L1352" s="18" t="n">
        <v>1</v>
      </c>
      <c r="M1352" s="18" t="n"/>
      <c r="N1352" s="18" t="n"/>
      <c r="O1352" s="18" t="n"/>
      <c r="P1352" s="18" t="n"/>
      <c r="Q1352" s="18" t="n"/>
      <c r="R1352" s="18" t="n"/>
      <c r="S1352" s="18" t="n"/>
      <c r="T1352" s="18" t="n"/>
      <c r="U1352" s="18" t="n"/>
      <c r="V1352" s="18" t="n"/>
      <c r="W1352" s="18" t="n"/>
      <c r="X1352" s="18" t="n"/>
      <c r="Y1352" s="13">
        <f>SUMPRODUCT(M1352:X1352,$M$2:$X$2)*$K1352*$L1352</f>
        <v/>
      </c>
      <c r="Z1352" s="14">
        <f>SUM(M1352:X1352)</f>
        <v/>
      </c>
      <c r="AA1352" s="13">
        <f>SUMPRODUCT(M1352:X1352,$M$3:$X$3)*$K1352*$L1352</f>
        <v/>
      </c>
      <c r="AB1352" s="13">
        <f>SUMPRODUCT(M1352:X1352,$M$4:$X$4)*$K1352*$L1352</f>
        <v/>
      </c>
      <c r="AC1352" s="15">
        <f>SUMPRODUCT(M1352:X1352,$M$5:$X$5)*$K1352*$L1352</f>
        <v/>
      </c>
      <c r="AD1352" s="15">
        <f>SUMPRODUCT(M1352:X1352,$M$6:$X$6)*$K1352*$L1352</f>
        <v/>
      </c>
      <c r="AE1352" s="19" t="n"/>
    </row>
    <row r="1353">
      <c r="A1353" s="9" t="n">
        <v>641743</v>
      </c>
      <c r="B1353" s="9" t="inlineStr">
        <is>
          <t>Anthony Kay</t>
        </is>
      </c>
      <c r="C1353" s="9" t="inlineStr">
        <is>
          <t>CWS</t>
        </is>
      </c>
      <c r="D1353" s="9" t="n">
        <v>32</v>
      </c>
      <c r="E1353" s="17" t="inlineStr">
        <is>
          <t>L</t>
        </is>
      </c>
      <c r="F1353" s="17" t="n"/>
      <c r="G1353" s="9" t="n">
        <v>669</v>
      </c>
      <c r="H1353" s="9" t="n">
        <v>745</v>
      </c>
      <c r="I1353" s="9" t="inlineStr">
        <is>
          <t>End-of-Rotation Starter (SP4-5)</t>
        </is>
      </c>
      <c r="J1353" s="17" t="inlineStr">
        <is>
          <t>Opening Day</t>
        </is>
      </c>
      <c r="K1353" s="11">
        <f>IFERROR(INDEX(Roles!$B$17:$B$20,MATCH(J1353,Roles!$A$17:$A$20,0)),1)</f>
        <v/>
      </c>
      <c r="L1353" s="18" t="n">
        <v>1</v>
      </c>
      <c r="M1353" s="18" t="n"/>
      <c r="N1353" s="18" t="n"/>
      <c r="O1353" s="18" t="n"/>
      <c r="P1353" s="18" t="n"/>
      <c r="Q1353" s="18" t="n"/>
      <c r="R1353" s="18" t="n"/>
      <c r="S1353" s="18" t="n"/>
      <c r="T1353" s="18" t="n"/>
      <c r="U1353" s="18" t="n"/>
      <c r="V1353" s="18" t="n"/>
      <c r="W1353" s="18" t="n"/>
      <c r="X1353" s="18" t="n"/>
      <c r="Y1353" s="13">
        <f>SUMPRODUCT(M1353:X1353,$M$2:$X$2)*$K1353*$L1353</f>
        <v/>
      </c>
      <c r="Z1353" s="14">
        <f>SUM(M1353:X1353)</f>
        <v/>
      </c>
      <c r="AA1353" s="13">
        <f>SUMPRODUCT(M1353:X1353,$M$3:$X$3)*$K1353*$L1353</f>
        <v/>
      </c>
      <c r="AB1353" s="13">
        <f>SUMPRODUCT(M1353:X1353,$M$4:$X$4)*$K1353*$L1353</f>
        <v/>
      </c>
      <c r="AC1353" s="15">
        <f>SUMPRODUCT(M1353:X1353,$M$5:$X$5)*$K1353*$L1353</f>
        <v/>
      </c>
      <c r="AD1353" s="15">
        <f>SUMPRODUCT(M1353:X1353,$M$6:$X$6)*$K1353*$L1353</f>
        <v/>
      </c>
      <c r="AE1353" s="19" t="n"/>
    </row>
    <row r="1354">
      <c r="A1354" s="9" t="n">
        <v>608348</v>
      </c>
      <c r="B1354" s="9" t="inlineStr">
        <is>
          <t>Carson Kelly</t>
        </is>
      </c>
      <c r="C1354" s="9" t="inlineStr"/>
      <c r="D1354" s="9" t="n">
        <v>32</v>
      </c>
      <c r="E1354" s="17" t="inlineStr">
        <is>
          <t>R</t>
        </is>
      </c>
      <c r="F1354" s="17" t="n"/>
      <c r="G1354" s="9" t="n">
        <v>13</v>
      </c>
      <c r="H1354" s="9" t="n">
        <v>55</v>
      </c>
      <c r="I1354" s="9" t="inlineStr">
        <is>
          <t>Depth (no MLB IP)</t>
        </is>
      </c>
      <c r="J1354" s="17" t="inlineStr">
        <is>
          <t>Opening Day</t>
        </is>
      </c>
      <c r="K1354" s="11">
        <f>IFERROR(INDEX(Roles!$B$17:$B$20,MATCH(J1354,Roles!$A$17:$A$20,0)),1)</f>
        <v/>
      </c>
      <c r="L1354" s="18" t="n">
        <v>1</v>
      </c>
      <c r="M1354" s="18" t="n"/>
      <c r="N1354" s="18" t="n"/>
      <c r="O1354" s="18" t="n"/>
      <c r="P1354" s="18" t="n"/>
      <c r="Q1354" s="18" t="n"/>
      <c r="R1354" s="18" t="n"/>
      <c r="S1354" s="18" t="n"/>
      <c r="T1354" s="18" t="n"/>
      <c r="U1354" s="18" t="n"/>
      <c r="V1354" s="18" t="n"/>
      <c r="W1354" s="18" t="n"/>
      <c r="X1354" s="18" t="n"/>
      <c r="Y1354" s="13">
        <f>SUMPRODUCT(M1354:X1354,$M$2:$X$2)*$K1354*$L1354</f>
        <v/>
      </c>
      <c r="Z1354" s="14">
        <f>SUM(M1354:X1354)</f>
        <v/>
      </c>
      <c r="AA1354" s="13">
        <f>SUMPRODUCT(M1354:X1354,$M$3:$X$3)*$K1354*$L1354</f>
        <v/>
      </c>
      <c r="AB1354" s="13">
        <f>SUMPRODUCT(M1354:X1354,$M$4:$X$4)*$K1354*$L1354</f>
        <v/>
      </c>
      <c r="AC1354" s="15">
        <f>SUMPRODUCT(M1354:X1354,$M$5:$X$5)*$K1354*$L1354</f>
        <v/>
      </c>
      <c r="AD1354" s="15">
        <f>SUMPRODUCT(M1354:X1354,$M$6:$X$6)*$K1354*$L1354</f>
        <v/>
      </c>
      <c r="AE1354" s="19" t="n"/>
    </row>
    <row r="1355">
      <c r="A1355" s="9" t="n">
        <v>641585</v>
      </c>
      <c r="B1355" s="9" t="inlineStr">
        <is>
          <t>J.P. France</t>
        </is>
      </c>
      <c r="C1355" s="9" t="inlineStr">
        <is>
          <t>HOU</t>
        </is>
      </c>
      <c r="D1355" s="9" t="n">
        <v>32</v>
      </c>
      <c r="E1355" s="17" t="inlineStr">
        <is>
          <t>R</t>
        </is>
      </c>
      <c r="F1355" s="17" t="n"/>
      <c r="G1355" s="9" t="n">
        <v>31</v>
      </c>
      <c r="H1355" s="9" t="n">
        <v>749</v>
      </c>
      <c r="I1355" s="9" t="inlineStr">
        <is>
          <t>End-of-Rotation Starter (SP4-5)</t>
        </is>
      </c>
      <c r="J1355" s="17" t="inlineStr">
        <is>
          <t>Opening Day</t>
        </is>
      </c>
      <c r="K1355" s="11">
        <f>IFERROR(INDEX(Roles!$B$17:$B$20,MATCH(J1355,Roles!$A$17:$A$20,0)),1)</f>
        <v/>
      </c>
      <c r="L1355" s="18" t="n">
        <v>1</v>
      </c>
      <c r="M1355" s="18" t="n"/>
      <c r="N1355" s="18" t="n"/>
      <c r="O1355" s="18" t="n"/>
      <c r="P1355" s="18" t="n"/>
      <c r="Q1355" s="18" t="n"/>
      <c r="R1355" s="18" t="n"/>
      <c r="S1355" s="18" t="n"/>
      <c r="T1355" s="18" t="n"/>
      <c r="U1355" s="18" t="n"/>
      <c r="V1355" s="18" t="n"/>
      <c r="W1355" s="18" t="n"/>
      <c r="X1355" s="18" t="n"/>
      <c r="Y1355" s="13">
        <f>SUMPRODUCT(M1355:X1355,$M$2:$X$2)*$K1355*$L1355</f>
        <v/>
      </c>
      <c r="Z1355" s="14">
        <f>SUM(M1355:X1355)</f>
        <v/>
      </c>
      <c r="AA1355" s="13">
        <f>SUMPRODUCT(M1355:X1355,$M$3:$X$3)*$K1355*$L1355</f>
        <v/>
      </c>
      <c r="AB1355" s="13">
        <f>SUMPRODUCT(M1355:X1355,$M$4:$X$4)*$K1355*$L1355</f>
        <v/>
      </c>
      <c r="AC1355" s="15">
        <f>SUMPRODUCT(M1355:X1355,$M$5:$X$5)*$K1355*$L1355</f>
        <v/>
      </c>
      <c r="AD1355" s="15">
        <f>SUMPRODUCT(M1355:X1355,$M$6:$X$6)*$K1355*$L1355</f>
        <v/>
      </c>
      <c r="AE1355" s="19" t="n"/>
    </row>
    <row r="1356">
      <c r="A1356" s="9" t="n">
        <v>642215</v>
      </c>
      <c r="B1356" s="9" t="inlineStr">
        <is>
          <t>Weston Wilson</t>
        </is>
      </c>
      <c r="C1356" s="9" t="inlineStr"/>
      <c r="D1356" s="9" t="n">
        <v>32</v>
      </c>
      <c r="E1356" s="17" t="inlineStr">
        <is>
          <t>R</t>
        </is>
      </c>
      <c r="F1356" s="17" t="n"/>
      <c r="G1356" s="9" t="n">
        <v>21</v>
      </c>
      <c r="H1356" s="9" t="n">
        <v>37</v>
      </c>
      <c r="I1356" s="9" t="inlineStr">
        <is>
          <t>Depth (no MLB IP)</t>
        </is>
      </c>
      <c r="J1356" s="17" t="inlineStr">
        <is>
          <t>Opening Day</t>
        </is>
      </c>
      <c r="K1356" s="11">
        <f>IFERROR(INDEX(Roles!$B$17:$B$20,MATCH(J1356,Roles!$A$17:$A$20,0)),1)</f>
        <v/>
      </c>
      <c r="L1356" s="18" t="n">
        <v>1</v>
      </c>
      <c r="M1356" s="18" t="n"/>
      <c r="N1356" s="18" t="n"/>
      <c r="O1356" s="18" t="n"/>
      <c r="P1356" s="18" t="n"/>
      <c r="Q1356" s="18" t="n"/>
      <c r="R1356" s="18" t="n"/>
      <c r="S1356" s="18" t="n"/>
      <c r="T1356" s="18" t="n"/>
      <c r="U1356" s="18" t="n"/>
      <c r="V1356" s="18" t="n"/>
      <c r="W1356" s="18" t="n"/>
      <c r="X1356" s="18" t="n"/>
      <c r="Y1356" s="13">
        <f>SUMPRODUCT(M1356:X1356,$M$2:$X$2)*$K1356*$L1356</f>
        <v/>
      </c>
      <c r="Z1356" s="14">
        <f>SUM(M1356:X1356)</f>
        <v/>
      </c>
      <c r="AA1356" s="13">
        <f>SUMPRODUCT(M1356:X1356,$M$3:$X$3)*$K1356*$L1356</f>
        <v/>
      </c>
      <c r="AB1356" s="13">
        <f>SUMPRODUCT(M1356:X1356,$M$4:$X$4)*$K1356*$L1356</f>
        <v/>
      </c>
      <c r="AC1356" s="15">
        <f>SUMPRODUCT(M1356:X1356,$M$5:$X$5)*$K1356*$L1356</f>
        <v/>
      </c>
      <c r="AD1356" s="15">
        <f>SUMPRODUCT(M1356:X1356,$M$6:$X$6)*$K1356*$L1356</f>
        <v/>
      </c>
      <c r="AE1356" s="19" t="n"/>
    </row>
    <row r="1357">
      <c r="A1357" s="9" t="n">
        <v>502624</v>
      </c>
      <c r="B1357" s="9" t="inlineStr">
        <is>
          <t>Chase Anderson</t>
        </is>
      </c>
      <c r="C1357" s="9" t="inlineStr">
        <is>
          <t>TEX</t>
        </is>
      </c>
      <c r="D1357" s="9" t="n">
        <v>39</v>
      </c>
      <c r="E1357" s="17" t="inlineStr">
        <is>
          <t>R</t>
        </is>
      </c>
      <c r="F1357" s="17" t="n"/>
      <c r="G1357" s="9" t="n">
        <v>255</v>
      </c>
      <c r="H1357" s="9" t="n">
        <v>730</v>
      </c>
      <c r="I1357" s="9" t="inlineStr">
        <is>
          <t>Depth (no MLB IP)</t>
        </is>
      </c>
      <c r="J1357" s="17" t="inlineStr">
        <is>
          <t>Opening Day</t>
        </is>
      </c>
      <c r="K1357" s="11">
        <f>IFERROR(INDEX(Roles!$B$17:$B$20,MATCH(J1357,Roles!$A$17:$A$20,0)),1)</f>
        <v/>
      </c>
      <c r="L1357" s="18" t="n">
        <v>1</v>
      </c>
      <c r="M1357" s="18" t="n"/>
      <c r="N1357" s="18" t="n"/>
      <c r="O1357" s="18" t="n"/>
      <c r="P1357" s="18" t="n"/>
      <c r="Q1357" s="18" t="n"/>
      <c r="R1357" s="18" t="n"/>
      <c r="S1357" s="18" t="n"/>
      <c r="T1357" s="18" t="n"/>
      <c r="U1357" s="18" t="n"/>
      <c r="V1357" s="18" t="n"/>
      <c r="W1357" s="18" t="n"/>
      <c r="X1357" s="18" t="n"/>
      <c r="Y1357" s="13">
        <f>SUMPRODUCT(M1357:X1357,$M$2:$X$2)*$K1357*$L1357</f>
        <v/>
      </c>
      <c r="Z1357" s="14">
        <f>SUM(M1357:X1357)</f>
        <v/>
      </c>
      <c r="AA1357" s="13">
        <f>SUMPRODUCT(M1357:X1357,$M$3:$X$3)*$K1357*$L1357</f>
        <v/>
      </c>
      <c r="AB1357" s="13">
        <f>SUMPRODUCT(M1357:X1357,$M$4:$X$4)*$K1357*$L1357</f>
        <v/>
      </c>
      <c r="AC1357" s="15">
        <f>SUMPRODUCT(M1357:X1357,$M$5:$X$5)*$K1357*$L1357</f>
        <v/>
      </c>
      <c r="AD1357" s="15">
        <f>SUMPRODUCT(M1357:X1357,$M$6:$X$6)*$K1357*$L1357</f>
        <v/>
      </c>
      <c r="AE1357" s="19" t="n"/>
    </row>
    <row r="1358">
      <c r="A1358" s="9" t="n">
        <v>687765</v>
      </c>
      <c r="B1358" s="9" t="inlineStr">
        <is>
          <t>Mitch Spence</t>
        </is>
      </c>
      <c r="C1358" s="9" t="inlineStr">
        <is>
          <t>KC</t>
        </is>
      </c>
      <c r="D1358" s="9" t="n">
        <v>29</v>
      </c>
      <c r="E1358" s="17" t="inlineStr">
        <is>
          <t>R</t>
        </is>
      </c>
      <c r="F1358" s="17" t="n"/>
      <c r="G1358" s="9" t="n">
        <v>56</v>
      </c>
      <c r="H1358" s="9" t="n">
        <v>1082</v>
      </c>
      <c r="I1358" s="9" t="inlineStr">
        <is>
          <t>End-of-Rotation Starter (SP4-5)</t>
        </is>
      </c>
      <c r="J1358" s="17" t="inlineStr">
        <is>
          <t>Opening Day</t>
        </is>
      </c>
      <c r="K1358" s="11">
        <f>IFERROR(INDEX(Roles!$B$17:$B$20,MATCH(J1358,Roles!$A$17:$A$20,0)),1)</f>
        <v/>
      </c>
      <c r="L1358" s="18" t="n">
        <v>1</v>
      </c>
      <c r="M1358" s="18" t="n"/>
      <c r="N1358" s="18" t="n"/>
      <c r="O1358" s="18" t="n"/>
      <c r="P1358" s="18" t="n"/>
      <c r="Q1358" s="18" t="n"/>
      <c r="R1358" s="18" t="n"/>
      <c r="S1358" s="18" t="n"/>
      <c r="T1358" s="18" t="n"/>
      <c r="U1358" s="18" t="n"/>
      <c r="V1358" s="18" t="n"/>
      <c r="W1358" s="18" t="n"/>
      <c r="X1358" s="18" t="n"/>
      <c r="Y1358" s="13">
        <f>SUMPRODUCT(M1358:X1358,$M$2:$X$2)*$K1358*$L1358</f>
        <v/>
      </c>
      <c r="Z1358" s="14">
        <f>SUM(M1358:X1358)</f>
        <v/>
      </c>
      <c r="AA1358" s="13">
        <f>SUMPRODUCT(M1358:X1358,$M$3:$X$3)*$K1358*$L1358</f>
        <v/>
      </c>
      <c r="AB1358" s="13">
        <f>SUMPRODUCT(M1358:X1358,$M$4:$X$4)*$K1358*$L1358</f>
        <v/>
      </c>
      <c r="AC1358" s="15">
        <f>SUMPRODUCT(M1358:X1358,$M$5:$X$5)*$K1358*$L1358</f>
        <v/>
      </c>
      <c r="AD1358" s="15">
        <f>SUMPRODUCT(M1358:X1358,$M$6:$X$6)*$K1358*$L1358</f>
        <v/>
      </c>
      <c r="AE1358" s="19" t="n"/>
    </row>
    <row r="1359">
      <c r="A1359" s="9" t="n">
        <v>686563</v>
      </c>
      <c r="B1359" s="9" t="inlineStr">
        <is>
          <t>Jonathan Cannon</t>
        </is>
      </c>
      <c r="C1359" s="9" t="inlineStr">
        <is>
          <t>CWS</t>
        </is>
      </c>
      <c r="D1359" s="9" t="n">
        <v>26</v>
      </c>
      <c r="E1359" s="17" t="inlineStr">
        <is>
          <t>R</t>
        </is>
      </c>
      <c r="F1359" s="17" t="n"/>
      <c r="G1359" s="9" t="n">
        <v>18</v>
      </c>
      <c r="H1359" s="9" t="n">
        <v>1006</v>
      </c>
      <c r="I1359" s="9" t="inlineStr">
        <is>
          <t>Mid-Rotation Starter (SP2-3)</t>
        </is>
      </c>
      <c r="J1359" s="17" t="inlineStr">
        <is>
          <t>Opening Day</t>
        </is>
      </c>
      <c r="K1359" s="11">
        <f>IFERROR(INDEX(Roles!$B$17:$B$20,MATCH(J1359,Roles!$A$17:$A$20,0)),1)</f>
        <v/>
      </c>
      <c r="L1359" s="18" t="n">
        <v>1</v>
      </c>
      <c r="M1359" s="18" t="n"/>
      <c r="N1359" s="18" t="n"/>
      <c r="O1359" s="18" t="n"/>
      <c r="P1359" s="18" t="n"/>
      <c r="Q1359" s="18" t="n"/>
      <c r="R1359" s="18" t="n"/>
      <c r="S1359" s="18" t="n"/>
      <c r="T1359" s="18" t="n"/>
      <c r="U1359" s="18" t="n"/>
      <c r="V1359" s="18" t="n"/>
      <c r="W1359" s="18" t="n"/>
      <c r="X1359" s="18" t="n"/>
      <c r="Y1359" s="13">
        <f>SUMPRODUCT(M1359:X1359,$M$2:$X$2)*$K1359*$L1359</f>
        <v/>
      </c>
      <c r="Z1359" s="14">
        <f>SUM(M1359:X1359)</f>
        <v/>
      </c>
      <c r="AA1359" s="13">
        <f>SUMPRODUCT(M1359:X1359,$M$3:$X$3)*$K1359*$L1359</f>
        <v/>
      </c>
      <c r="AB1359" s="13">
        <f>SUMPRODUCT(M1359:X1359,$M$4:$X$4)*$K1359*$L1359</f>
        <v/>
      </c>
      <c r="AC1359" s="15">
        <f>SUMPRODUCT(M1359:X1359,$M$5:$X$5)*$K1359*$L1359</f>
        <v/>
      </c>
      <c r="AD1359" s="15">
        <f>SUMPRODUCT(M1359:X1359,$M$6:$X$6)*$K1359*$L1359</f>
        <v/>
      </c>
      <c r="AE1359" s="19" t="n"/>
    </row>
    <row r="1360">
      <c r="A1360" s="9" t="n">
        <v>665871</v>
      </c>
      <c r="B1360" s="9" t="inlineStr">
        <is>
          <t>Javier Assad</t>
        </is>
      </c>
      <c r="C1360" s="9" t="inlineStr">
        <is>
          <t>CHC</t>
        </is>
      </c>
      <c r="D1360" s="9" t="n">
        <v>29</v>
      </c>
      <c r="E1360" s="17" t="inlineStr">
        <is>
          <t>R</t>
        </is>
      </c>
      <c r="F1360" s="17" t="n"/>
      <c r="G1360" s="9" t="n">
        <v>361</v>
      </c>
      <c r="H1360" s="9" t="n">
        <v>1767</v>
      </c>
      <c r="I1360" s="9" t="inlineStr">
        <is>
          <t>End-of-Rotation Starter (SP4-5)</t>
        </is>
      </c>
      <c r="J1360" s="17" t="inlineStr">
        <is>
          <t>Opening Day</t>
        </is>
      </c>
      <c r="K1360" s="11">
        <f>IFERROR(INDEX(Roles!$B$17:$B$20,MATCH(J1360,Roles!$A$17:$A$20,0)),1)</f>
        <v/>
      </c>
      <c r="L1360" s="18" t="n">
        <v>1</v>
      </c>
      <c r="M1360" s="18" t="n"/>
      <c r="N1360" s="18" t="n"/>
      <c r="O1360" s="18" t="n"/>
      <c r="P1360" s="18" t="n"/>
      <c r="Q1360" s="18" t="n"/>
      <c r="R1360" s="18" t="n"/>
      <c r="S1360" s="18" t="n"/>
      <c r="T1360" s="18" t="n"/>
      <c r="U1360" s="18" t="n"/>
      <c r="V1360" s="18" t="n"/>
      <c r="W1360" s="18" t="n"/>
      <c r="X1360" s="18" t="n"/>
      <c r="Y1360" s="13">
        <f>SUMPRODUCT(M1360:X1360,$M$2:$X$2)*$K1360*$L1360</f>
        <v/>
      </c>
      <c r="Z1360" s="14">
        <f>SUM(M1360:X1360)</f>
        <v/>
      </c>
      <c r="AA1360" s="13">
        <f>SUMPRODUCT(M1360:X1360,$M$3:$X$3)*$K1360*$L1360</f>
        <v/>
      </c>
      <c r="AB1360" s="13">
        <f>SUMPRODUCT(M1360:X1360,$M$4:$X$4)*$K1360*$L1360</f>
        <v/>
      </c>
      <c r="AC1360" s="15">
        <f>SUMPRODUCT(M1360:X1360,$M$5:$X$5)*$K1360*$L1360</f>
        <v/>
      </c>
      <c r="AD1360" s="15">
        <f>SUMPRODUCT(M1360:X1360,$M$6:$X$6)*$K1360*$L1360</f>
        <v/>
      </c>
      <c r="AE1360" s="19" t="n"/>
    </row>
    <row r="1361">
      <c r="A1361" s="9" t="n">
        <v>595978</v>
      </c>
      <c r="B1361" s="9" t="inlineStr">
        <is>
          <t>Austin Hedges</t>
        </is>
      </c>
      <c r="C1361" s="9" t="inlineStr"/>
      <c r="D1361" s="9" t="n">
        <v>34</v>
      </c>
      <c r="E1361" s="17" t="inlineStr">
        <is>
          <t>R</t>
        </is>
      </c>
      <c r="F1361" s="17" t="n"/>
      <c r="G1361" s="9" t="n">
        <v>20</v>
      </c>
      <c r="H1361" s="9" t="n">
        <v>58</v>
      </c>
      <c r="I1361" s="9" t="inlineStr">
        <is>
          <t>Depth (no MLB IP)</t>
        </is>
      </c>
      <c r="J1361" s="17" t="inlineStr">
        <is>
          <t>Opening Day</t>
        </is>
      </c>
      <c r="K1361" s="11">
        <f>IFERROR(INDEX(Roles!$B$17:$B$20,MATCH(J1361,Roles!$A$17:$A$20,0)),1)</f>
        <v/>
      </c>
      <c r="L1361" s="18" t="n">
        <v>1</v>
      </c>
      <c r="M1361" s="18" t="n"/>
      <c r="N1361" s="18" t="n"/>
      <c r="O1361" s="18" t="n"/>
      <c r="P1361" s="18" t="n"/>
      <c r="Q1361" s="18" t="n"/>
      <c r="R1361" s="18" t="n"/>
      <c r="S1361" s="18" t="n"/>
      <c r="T1361" s="18" t="n"/>
      <c r="U1361" s="18" t="n"/>
      <c r="V1361" s="18" t="n"/>
      <c r="W1361" s="18" t="n"/>
      <c r="X1361" s="18" t="n"/>
      <c r="Y1361" s="13">
        <f>SUMPRODUCT(M1361:X1361,$M$2:$X$2)*$K1361*$L1361</f>
        <v/>
      </c>
      <c r="Z1361" s="14">
        <f>SUM(M1361:X1361)</f>
        <v/>
      </c>
      <c r="AA1361" s="13">
        <f>SUMPRODUCT(M1361:X1361,$M$3:$X$3)*$K1361*$L1361</f>
        <v/>
      </c>
      <c r="AB1361" s="13">
        <f>SUMPRODUCT(M1361:X1361,$M$4:$X$4)*$K1361*$L1361</f>
        <v/>
      </c>
      <c r="AC1361" s="15">
        <f>SUMPRODUCT(M1361:X1361,$M$5:$X$5)*$K1361*$L1361</f>
        <v/>
      </c>
      <c r="AD1361" s="15">
        <f>SUMPRODUCT(M1361:X1361,$M$6:$X$6)*$K1361*$L1361</f>
        <v/>
      </c>
      <c r="AE1361" s="19" t="n"/>
    </row>
    <row r="1362">
      <c r="A1362" s="9" t="n">
        <v>542881</v>
      </c>
      <c r="B1362" s="9" t="inlineStr">
        <is>
          <t>Tyler Anderson</t>
        </is>
      </c>
      <c r="C1362" s="9" t="inlineStr">
        <is>
          <t>LAA</t>
        </is>
      </c>
      <c r="D1362" s="9" t="n">
        <v>37</v>
      </c>
      <c r="E1362" s="17" t="inlineStr">
        <is>
          <t>L</t>
        </is>
      </c>
      <c r="F1362" s="17" t="n"/>
      <c r="G1362" s="9" t="n">
        <v>599</v>
      </c>
      <c r="H1362" s="9" t="n">
        <v>2700</v>
      </c>
      <c r="I1362" s="9" t="inlineStr">
        <is>
          <t>Mid-Rotation Starter (SP2-3)</t>
        </is>
      </c>
      <c r="J1362" s="17" t="inlineStr">
        <is>
          <t>Opening Day</t>
        </is>
      </c>
      <c r="K1362" s="11">
        <f>IFERROR(INDEX(Roles!$B$17:$B$20,MATCH(J1362,Roles!$A$17:$A$20,0)),1)</f>
        <v/>
      </c>
      <c r="L1362" s="18" t="n">
        <v>1</v>
      </c>
      <c r="M1362" s="18" t="n"/>
      <c r="N1362" s="18" t="n"/>
      <c r="O1362" s="18" t="n"/>
      <c r="P1362" s="18" t="n"/>
      <c r="Q1362" s="18" t="n"/>
      <c r="R1362" s="18" t="n"/>
      <c r="S1362" s="18" t="n"/>
      <c r="T1362" s="18" t="n"/>
      <c r="U1362" s="18" t="n"/>
      <c r="V1362" s="18" t="n"/>
      <c r="W1362" s="18" t="n"/>
      <c r="X1362" s="18" t="n"/>
      <c r="Y1362" s="13">
        <f>SUMPRODUCT(M1362:X1362,$M$2:$X$2)*$K1362*$L1362</f>
        <v/>
      </c>
      <c r="Z1362" s="14">
        <f>SUM(M1362:X1362)</f>
        <v/>
      </c>
      <c r="AA1362" s="13">
        <f>SUMPRODUCT(M1362:X1362,$M$3:$X$3)*$K1362*$L1362</f>
        <v/>
      </c>
      <c r="AB1362" s="13">
        <f>SUMPRODUCT(M1362:X1362,$M$4:$X$4)*$K1362*$L1362</f>
        <v/>
      </c>
      <c r="AC1362" s="15">
        <f>SUMPRODUCT(M1362:X1362,$M$5:$X$5)*$K1362*$L1362</f>
        <v/>
      </c>
      <c r="AD1362" s="15">
        <f>SUMPRODUCT(M1362:X1362,$M$6:$X$6)*$K1362*$L1362</f>
        <v/>
      </c>
      <c r="AE1362" s="19" t="n"/>
    </row>
    <row r="1363">
      <c r="A1363" s="9" t="n">
        <v>571912</v>
      </c>
      <c r="B1363" s="9" t="inlineStr">
        <is>
          <t>Luke Maile</t>
        </is>
      </c>
      <c r="C1363" s="9" t="inlineStr">
        <is>
          <t>CIN</t>
        </is>
      </c>
      <c r="D1363" s="9" t="n">
        <v>36</v>
      </c>
      <c r="E1363" s="17" t="inlineStr">
        <is>
          <t>R</t>
        </is>
      </c>
      <c r="F1363" s="17" t="n"/>
      <c r="G1363" s="9" t="n">
        <v>3</v>
      </c>
      <c r="H1363" s="9" t="n">
        <v>50</v>
      </c>
      <c r="I1363" s="9" t="inlineStr">
        <is>
          <t>Depth (no MLB IP)</t>
        </is>
      </c>
      <c r="J1363" s="17" t="inlineStr">
        <is>
          <t>Opening Day</t>
        </is>
      </c>
      <c r="K1363" s="11">
        <f>IFERROR(INDEX(Roles!$B$17:$B$20,MATCH(J1363,Roles!$A$17:$A$20,0)),1)</f>
        <v/>
      </c>
      <c r="L1363" s="18" t="n">
        <v>1</v>
      </c>
      <c r="M1363" s="18" t="n"/>
      <c r="N1363" s="18" t="n"/>
      <c r="O1363" s="18" t="n"/>
      <c r="P1363" s="18" t="n"/>
      <c r="Q1363" s="18" t="n"/>
      <c r="R1363" s="18" t="n"/>
      <c r="S1363" s="18" t="n"/>
      <c r="T1363" s="18" t="n"/>
      <c r="U1363" s="18" t="n"/>
      <c r="V1363" s="18" t="n"/>
      <c r="W1363" s="18" t="n"/>
      <c r="X1363" s="18" t="n"/>
      <c r="Y1363" s="13">
        <f>SUMPRODUCT(M1363:X1363,$M$2:$X$2)*$K1363*$L1363</f>
        <v/>
      </c>
      <c r="Z1363" s="14">
        <f>SUM(M1363:X1363)</f>
        <v/>
      </c>
      <c r="AA1363" s="13">
        <f>SUMPRODUCT(M1363:X1363,$M$3:$X$3)*$K1363*$L1363</f>
        <v/>
      </c>
      <c r="AB1363" s="13">
        <f>SUMPRODUCT(M1363:X1363,$M$4:$X$4)*$K1363*$L1363</f>
        <v/>
      </c>
      <c r="AC1363" s="15">
        <f>SUMPRODUCT(M1363:X1363,$M$5:$X$5)*$K1363*$L1363</f>
        <v/>
      </c>
      <c r="AD1363" s="15">
        <f>SUMPRODUCT(M1363:X1363,$M$6:$X$6)*$K1363*$L1363</f>
        <v/>
      </c>
      <c r="AE1363" s="19" t="n"/>
    </row>
    <row r="1364">
      <c r="A1364" s="9" t="n">
        <v>683352</v>
      </c>
      <c r="B1364" s="9" t="inlineStr">
        <is>
          <t>Mitch Bratt</t>
        </is>
      </c>
      <c r="C1364" s="9" t="inlineStr">
        <is>
          <t>ARI</t>
        </is>
      </c>
      <c r="D1364" s="9" t="n">
        <v>23</v>
      </c>
      <c r="E1364" s="17" t="inlineStr">
        <is>
          <t>L</t>
        </is>
      </c>
      <c r="F1364" s="17" t="n"/>
      <c r="G1364" s="9" t="n">
        <v>194</v>
      </c>
      <c r="H1364" s="9" t="n">
        <v>194</v>
      </c>
      <c r="I1364" s="9" t="inlineStr">
        <is>
          <t>End-of-Rotation Starter (SP4-5)</t>
        </is>
      </c>
      <c r="J1364" s="17" t="inlineStr">
        <is>
          <t>Opening Day</t>
        </is>
      </c>
      <c r="K1364" s="11">
        <f>IFERROR(INDEX(Roles!$B$17:$B$20,MATCH(J1364,Roles!$A$17:$A$20,0)),1)</f>
        <v/>
      </c>
      <c r="L1364" s="18" t="n">
        <v>1</v>
      </c>
      <c r="M1364" s="18" t="n"/>
      <c r="N1364" s="18" t="n"/>
      <c r="O1364" s="18" t="n"/>
      <c r="P1364" s="18" t="n"/>
      <c r="Q1364" s="18" t="n"/>
      <c r="R1364" s="18" t="n"/>
      <c r="S1364" s="18" t="n"/>
      <c r="T1364" s="18" t="n"/>
      <c r="U1364" s="18" t="n"/>
      <c r="V1364" s="18" t="n"/>
      <c r="W1364" s="18" t="n"/>
      <c r="X1364" s="18" t="n"/>
      <c r="Y1364" s="13">
        <f>SUMPRODUCT(M1364:X1364,$M$2:$X$2)*$K1364*$L1364</f>
        <v/>
      </c>
      <c r="Z1364" s="14">
        <f>SUM(M1364:X1364)</f>
        <v/>
      </c>
      <c r="AA1364" s="13">
        <f>SUMPRODUCT(M1364:X1364,$M$3:$X$3)*$K1364*$L1364</f>
        <v/>
      </c>
      <c r="AB1364" s="13">
        <f>SUMPRODUCT(M1364:X1364,$M$4:$X$4)*$K1364*$L1364</f>
        <v/>
      </c>
      <c r="AC1364" s="15">
        <f>SUMPRODUCT(M1364:X1364,$M$5:$X$5)*$K1364*$L1364</f>
        <v/>
      </c>
      <c r="AD1364" s="15">
        <f>SUMPRODUCT(M1364:X1364,$M$6:$X$6)*$K1364*$L1364</f>
        <v/>
      </c>
      <c r="AE1364" s="19" t="n"/>
    </row>
    <row r="1365">
      <c r="A1365" s="9" t="n">
        <v>663941</v>
      </c>
      <c r="B1365" s="9" t="inlineStr">
        <is>
          <t>Tristan Beck</t>
        </is>
      </c>
      <c r="C1365" s="9" t="inlineStr">
        <is>
          <t>SF</t>
        </is>
      </c>
      <c r="D1365" s="9" t="n">
        <v>31</v>
      </c>
      <c r="E1365" s="17" t="inlineStr">
        <is>
          <t>R</t>
        </is>
      </c>
      <c r="F1365" s="17" t="n"/>
      <c r="G1365" s="9" t="n">
        <v>64</v>
      </c>
      <c r="H1365" s="9" t="n">
        <v>717</v>
      </c>
      <c r="I1365" s="9" t="inlineStr">
        <is>
          <t>Bullpen Depth Arm</t>
        </is>
      </c>
      <c r="J1365" s="17" t="inlineStr">
        <is>
          <t>Opening Day</t>
        </is>
      </c>
      <c r="K1365" s="11">
        <f>IFERROR(INDEX(Roles!$B$17:$B$20,MATCH(J1365,Roles!$A$17:$A$20,0)),1)</f>
        <v/>
      </c>
      <c r="L1365" s="18" t="n">
        <v>1</v>
      </c>
      <c r="M1365" s="18" t="n"/>
      <c r="N1365" s="18" t="n"/>
      <c r="O1365" s="18" t="n"/>
      <c r="P1365" s="18" t="n"/>
      <c r="Q1365" s="18" t="n"/>
      <c r="R1365" s="18" t="n"/>
      <c r="S1365" s="18" t="n"/>
      <c r="T1365" s="18" t="n"/>
      <c r="U1365" s="18" t="n"/>
      <c r="V1365" s="18" t="n"/>
      <c r="W1365" s="18" t="n"/>
      <c r="X1365" s="18" t="n"/>
      <c r="Y1365" s="13">
        <f>SUMPRODUCT(M1365:X1365,$M$2:$X$2)*$K1365*$L1365</f>
        <v/>
      </c>
      <c r="Z1365" s="14">
        <f>SUM(M1365:X1365)</f>
        <v/>
      </c>
      <c r="AA1365" s="13">
        <f>SUMPRODUCT(M1365:X1365,$M$3:$X$3)*$K1365*$L1365</f>
        <v/>
      </c>
      <c r="AB1365" s="13">
        <f>SUMPRODUCT(M1365:X1365,$M$4:$X$4)*$K1365*$L1365</f>
        <v/>
      </c>
      <c r="AC1365" s="15">
        <f>SUMPRODUCT(M1365:X1365,$M$5:$X$5)*$K1365*$L1365</f>
        <v/>
      </c>
      <c r="AD1365" s="15">
        <f>SUMPRODUCT(M1365:X1365,$M$6:$X$6)*$K1365*$L1365</f>
        <v/>
      </c>
      <c r="AE1365" s="19" t="n"/>
    </row>
    <row r="1366">
      <c r="A1366" s="9" t="n">
        <v>674072</v>
      </c>
      <c r="B1366" s="9" t="inlineStr">
        <is>
          <t>Tommy Henry</t>
        </is>
      </c>
      <c r="C1366" s="9" t="inlineStr">
        <is>
          <t>ARI</t>
        </is>
      </c>
      <c r="D1366" s="9" t="n">
        <v>29</v>
      </c>
      <c r="E1366" s="17" t="inlineStr">
        <is>
          <t>L</t>
        </is>
      </c>
      <c r="F1366" s="17" t="n"/>
      <c r="G1366" s="9" t="n">
        <v>26</v>
      </c>
      <c r="H1366" s="9" t="n">
        <v>794</v>
      </c>
      <c r="I1366" s="9" t="inlineStr">
        <is>
          <t>End-of-Rotation Starter (SP4-5)</t>
        </is>
      </c>
      <c r="J1366" s="17" t="inlineStr">
        <is>
          <t>Opening Day</t>
        </is>
      </c>
      <c r="K1366" s="11">
        <f>IFERROR(INDEX(Roles!$B$17:$B$20,MATCH(J1366,Roles!$A$17:$A$20,0)),1)</f>
        <v/>
      </c>
      <c r="L1366" s="18" t="n">
        <v>1</v>
      </c>
      <c r="M1366" s="18" t="n"/>
      <c r="N1366" s="18" t="n"/>
      <c r="O1366" s="18" t="n"/>
      <c r="P1366" s="18" t="n"/>
      <c r="Q1366" s="18" t="n"/>
      <c r="R1366" s="18" t="n"/>
      <c r="S1366" s="18" t="n"/>
      <c r="T1366" s="18" t="n"/>
      <c r="U1366" s="18" t="n"/>
      <c r="V1366" s="18" t="n"/>
      <c r="W1366" s="18" t="n"/>
      <c r="X1366" s="18" t="n"/>
      <c r="Y1366" s="13">
        <f>SUMPRODUCT(M1366:X1366,$M$2:$X$2)*$K1366*$L1366</f>
        <v/>
      </c>
      <c r="Z1366" s="14">
        <f>SUM(M1366:X1366)</f>
        <v/>
      </c>
      <c r="AA1366" s="13">
        <f>SUMPRODUCT(M1366:X1366,$M$3:$X$3)*$K1366*$L1366</f>
        <v/>
      </c>
      <c r="AB1366" s="13">
        <f>SUMPRODUCT(M1366:X1366,$M$4:$X$4)*$K1366*$L1366</f>
        <v/>
      </c>
      <c r="AC1366" s="15">
        <f>SUMPRODUCT(M1366:X1366,$M$5:$X$5)*$K1366*$L1366</f>
        <v/>
      </c>
      <c r="AD1366" s="15">
        <f>SUMPRODUCT(M1366:X1366,$M$6:$X$6)*$K1366*$L1366</f>
        <v/>
      </c>
      <c r="AE1366" s="19" t="n"/>
    </row>
    <row r="1367">
      <c r="A1367" s="9" t="n">
        <v>657756</v>
      </c>
      <c r="B1367" s="9" t="inlineStr">
        <is>
          <t>Connor Seabold</t>
        </is>
      </c>
      <c r="C1367" s="9" t="inlineStr">
        <is>
          <t>KC</t>
        </is>
      </c>
      <c r="D1367" s="9" t="n">
        <v>31</v>
      </c>
      <c r="E1367" s="17" t="inlineStr">
        <is>
          <t>R</t>
        </is>
      </c>
      <c r="F1367" s="17" t="n"/>
      <c r="G1367" s="9" t="n">
        <v>115</v>
      </c>
      <c r="H1367" s="9" t="n">
        <v>669</v>
      </c>
      <c r="I1367" s="9" t="inlineStr">
        <is>
          <t>Bullpen Depth Arm</t>
        </is>
      </c>
      <c r="J1367" s="17" t="inlineStr">
        <is>
          <t>Opening Day</t>
        </is>
      </c>
      <c r="K1367" s="11">
        <f>IFERROR(INDEX(Roles!$B$17:$B$20,MATCH(J1367,Roles!$A$17:$A$20,0)),1)</f>
        <v/>
      </c>
      <c r="L1367" s="18" t="n">
        <v>1</v>
      </c>
      <c r="M1367" s="18" t="n"/>
      <c r="N1367" s="18" t="n"/>
      <c r="O1367" s="18" t="n"/>
      <c r="P1367" s="18" t="n"/>
      <c r="Q1367" s="18" t="n"/>
      <c r="R1367" s="18" t="n"/>
      <c r="S1367" s="18" t="n"/>
      <c r="T1367" s="18" t="n"/>
      <c r="U1367" s="18" t="n"/>
      <c r="V1367" s="18" t="n"/>
      <c r="W1367" s="18" t="n"/>
      <c r="X1367" s="18" t="n"/>
      <c r="Y1367" s="13">
        <f>SUMPRODUCT(M1367:X1367,$M$2:$X$2)*$K1367*$L1367</f>
        <v/>
      </c>
      <c r="Z1367" s="14">
        <f>SUM(M1367:X1367)</f>
        <v/>
      </c>
      <c r="AA1367" s="13">
        <f>SUMPRODUCT(M1367:X1367,$M$3:$X$3)*$K1367*$L1367</f>
        <v/>
      </c>
      <c r="AB1367" s="13">
        <f>SUMPRODUCT(M1367:X1367,$M$4:$X$4)*$K1367*$L1367</f>
        <v/>
      </c>
      <c r="AC1367" s="15">
        <f>SUMPRODUCT(M1367:X1367,$M$5:$X$5)*$K1367*$L1367</f>
        <v/>
      </c>
      <c r="AD1367" s="15">
        <f>SUMPRODUCT(M1367:X1367,$M$6:$X$6)*$K1367*$L1367</f>
        <v/>
      </c>
      <c r="AE1367" s="19" t="n"/>
    </row>
    <row r="1368">
      <c r="A1368" s="9" t="n">
        <v>669620</v>
      </c>
      <c r="B1368" s="9" t="inlineStr">
        <is>
          <t>Brady Basso</t>
        </is>
      </c>
      <c r="C1368" s="9" t="inlineStr">
        <is>
          <t>OAK</t>
        </is>
      </c>
      <c r="D1368" s="9" t="n">
        <v>29</v>
      </c>
      <c r="E1368" s="17" t="inlineStr">
        <is>
          <t>L</t>
        </is>
      </c>
      <c r="F1368" s="17" t="n"/>
      <c r="G1368" s="9" t="n">
        <v>178</v>
      </c>
      <c r="H1368" s="9" t="n">
        <v>327</v>
      </c>
      <c r="I1368" s="9" t="inlineStr">
        <is>
          <t>Middle Relief</t>
        </is>
      </c>
      <c r="J1368" s="17" t="inlineStr">
        <is>
          <t>Opening Day</t>
        </is>
      </c>
      <c r="K1368" s="11">
        <f>IFERROR(INDEX(Roles!$B$17:$B$20,MATCH(J1368,Roles!$A$17:$A$20,0)),1)</f>
        <v/>
      </c>
      <c r="L1368" s="18" t="n">
        <v>1</v>
      </c>
      <c r="M1368" s="18" t="n"/>
      <c r="N1368" s="18" t="n"/>
      <c r="O1368" s="18" t="n"/>
      <c r="P1368" s="18" t="n"/>
      <c r="Q1368" s="18" t="n"/>
      <c r="R1368" s="18" t="n"/>
      <c r="S1368" s="18" t="n"/>
      <c r="T1368" s="18" t="n"/>
      <c r="U1368" s="18" t="n"/>
      <c r="V1368" s="18" t="n"/>
      <c r="W1368" s="18" t="n"/>
      <c r="X1368" s="18" t="n"/>
      <c r="Y1368" s="13">
        <f>SUMPRODUCT(M1368:X1368,$M$2:$X$2)*$K1368*$L1368</f>
        <v/>
      </c>
      <c r="Z1368" s="14">
        <f>SUM(M1368:X1368)</f>
        <v/>
      </c>
      <c r="AA1368" s="13">
        <f>SUMPRODUCT(M1368:X1368,$M$3:$X$3)*$K1368*$L1368</f>
        <v/>
      </c>
      <c r="AB1368" s="13">
        <f>SUMPRODUCT(M1368:X1368,$M$4:$X$4)*$K1368*$L1368</f>
        <v/>
      </c>
      <c r="AC1368" s="15">
        <f>SUMPRODUCT(M1368:X1368,$M$5:$X$5)*$K1368*$L1368</f>
        <v/>
      </c>
      <c r="AD1368" s="15">
        <f>SUMPRODUCT(M1368:X1368,$M$6:$X$6)*$K1368*$L1368</f>
        <v/>
      </c>
      <c r="AE1368" s="19" t="n"/>
    </row>
    <row r="1369">
      <c r="A1369" s="9" t="n">
        <v>642545</v>
      </c>
      <c r="B1369" s="9" t="inlineStr">
        <is>
          <t>Jaime Barria</t>
        </is>
      </c>
      <c r="C1369" s="9" t="inlineStr">
        <is>
          <t>LAA</t>
        </is>
      </c>
      <c r="D1369" s="9" t="n">
        <v>30</v>
      </c>
      <c r="E1369" s="17" t="inlineStr">
        <is>
          <t>R</t>
        </is>
      </c>
      <c r="F1369" s="17" t="n"/>
      <c r="G1369" s="9" t="n">
        <v>362</v>
      </c>
      <c r="H1369" s="9" t="n">
        <v>678</v>
      </c>
      <c r="I1369" s="9" t="inlineStr">
        <is>
          <t>Depth (no MLB IP)</t>
        </is>
      </c>
      <c r="J1369" s="17" t="inlineStr">
        <is>
          <t>Opening Day</t>
        </is>
      </c>
      <c r="K1369" s="11">
        <f>IFERROR(INDEX(Roles!$B$17:$B$20,MATCH(J1369,Roles!$A$17:$A$20,0)),1)</f>
        <v/>
      </c>
      <c r="L1369" s="18" t="n">
        <v>1</v>
      </c>
      <c r="M1369" s="18" t="n"/>
      <c r="N1369" s="18" t="n"/>
      <c r="O1369" s="18" t="n"/>
      <c r="P1369" s="18" t="n"/>
      <c r="Q1369" s="18" t="n"/>
      <c r="R1369" s="18" t="n"/>
      <c r="S1369" s="18" t="n"/>
      <c r="T1369" s="18" t="n"/>
      <c r="U1369" s="18" t="n"/>
      <c r="V1369" s="18" t="n"/>
      <c r="W1369" s="18" t="n"/>
      <c r="X1369" s="18" t="n"/>
      <c r="Y1369" s="13">
        <f>SUMPRODUCT(M1369:X1369,$M$2:$X$2)*$K1369*$L1369</f>
        <v/>
      </c>
      <c r="Z1369" s="14">
        <f>SUM(M1369:X1369)</f>
        <v/>
      </c>
      <c r="AA1369" s="13">
        <f>SUMPRODUCT(M1369:X1369,$M$3:$X$3)*$K1369*$L1369</f>
        <v/>
      </c>
      <c r="AB1369" s="13">
        <f>SUMPRODUCT(M1369:X1369,$M$4:$X$4)*$K1369*$L1369</f>
        <v/>
      </c>
      <c r="AC1369" s="15">
        <f>SUMPRODUCT(M1369:X1369,$M$5:$X$5)*$K1369*$L1369</f>
        <v/>
      </c>
      <c r="AD1369" s="15">
        <f>SUMPRODUCT(M1369:X1369,$M$6:$X$6)*$K1369*$L1369</f>
        <v/>
      </c>
      <c r="AE1369" s="19" t="n"/>
    </row>
    <row r="1370">
      <c r="A1370" s="9" t="n">
        <v>641703</v>
      </c>
      <c r="B1370" s="9" t="inlineStr">
        <is>
          <t>Brent Honeywell</t>
        </is>
      </c>
      <c r="C1370" s="9" t="inlineStr">
        <is>
          <t>LAD</t>
        </is>
      </c>
      <c r="D1370" s="9" t="n">
        <v>32</v>
      </c>
      <c r="E1370" s="17" t="inlineStr">
        <is>
          <t>R</t>
        </is>
      </c>
      <c r="F1370" s="17" t="n"/>
      <c r="G1370" s="9" t="n">
        <v>149</v>
      </c>
      <c r="H1370" s="9" t="n">
        <v>383</v>
      </c>
      <c r="I1370" s="9" t="inlineStr">
        <is>
          <t>Depth (no MLB IP)</t>
        </is>
      </c>
      <c r="J1370" s="17" t="inlineStr">
        <is>
          <t>Opening Day</t>
        </is>
      </c>
      <c r="K1370" s="11">
        <f>IFERROR(INDEX(Roles!$B$17:$B$20,MATCH(J1370,Roles!$A$17:$A$20,0)),1)</f>
        <v/>
      </c>
      <c r="L1370" s="18" t="n">
        <v>1</v>
      </c>
      <c r="M1370" s="18" t="n"/>
      <c r="N1370" s="18" t="n"/>
      <c r="O1370" s="18" t="n"/>
      <c r="P1370" s="18" t="n"/>
      <c r="Q1370" s="18" t="n"/>
      <c r="R1370" s="18" t="n"/>
      <c r="S1370" s="18" t="n"/>
      <c r="T1370" s="18" t="n"/>
      <c r="U1370" s="18" t="n"/>
      <c r="V1370" s="18" t="n"/>
      <c r="W1370" s="18" t="n"/>
      <c r="X1370" s="18" t="n"/>
      <c r="Y1370" s="13">
        <f>SUMPRODUCT(M1370:X1370,$M$2:$X$2)*$K1370*$L1370</f>
        <v/>
      </c>
      <c r="Z1370" s="14">
        <f>SUM(M1370:X1370)</f>
        <v/>
      </c>
      <c r="AA1370" s="13">
        <f>SUMPRODUCT(M1370:X1370,$M$3:$X$3)*$K1370*$L1370</f>
        <v/>
      </c>
      <c r="AB1370" s="13">
        <f>SUMPRODUCT(M1370:X1370,$M$4:$X$4)*$K1370*$L1370</f>
        <v/>
      </c>
      <c r="AC1370" s="15">
        <f>SUMPRODUCT(M1370:X1370,$M$5:$X$5)*$K1370*$L1370</f>
        <v/>
      </c>
      <c r="AD1370" s="15">
        <f>SUMPRODUCT(M1370:X1370,$M$6:$X$6)*$K1370*$L1370</f>
        <v/>
      </c>
      <c r="AE1370" s="19" t="n"/>
    </row>
    <row r="1371">
      <c r="A1371" s="9" t="n">
        <v>666159</v>
      </c>
      <c r="B1371" s="9" t="inlineStr">
        <is>
          <t>Matt Manning</t>
        </is>
      </c>
      <c r="C1371" s="9" t="inlineStr">
        <is>
          <t>DET</t>
        </is>
      </c>
      <c r="D1371" s="9" t="n">
        <v>29</v>
      </c>
      <c r="E1371" s="17" t="inlineStr">
        <is>
          <t>R</t>
        </is>
      </c>
      <c r="F1371" s="17" t="n"/>
      <c r="G1371" s="9" t="n">
        <v>123</v>
      </c>
      <c r="H1371" s="9" t="n">
        <v>702</v>
      </c>
      <c r="I1371" s="9" t="inlineStr">
        <is>
          <t>Depth (no MLB IP)</t>
        </is>
      </c>
      <c r="J1371" s="17" t="inlineStr">
        <is>
          <t>Opening Day</t>
        </is>
      </c>
      <c r="K1371" s="11">
        <f>IFERROR(INDEX(Roles!$B$17:$B$20,MATCH(J1371,Roles!$A$17:$A$20,0)),1)</f>
        <v/>
      </c>
      <c r="L1371" s="18" t="n">
        <v>1</v>
      </c>
      <c r="M1371" s="18" t="n"/>
      <c r="N1371" s="18" t="n"/>
      <c r="O1371" s="18" t="n"/>
      <c r="P1371" s="18" t="n"/>
      <c r="Q1371" s="18" t="n"/>
      <c r="R1371" s="18" t="n"/>
      <c r="S1371" s="18" t="n"/>
      <c r="T1371" s="18" t="n"/>
      <c r="U1371" s="18" t="n"/>
      <c r="V1371" s="18" t="n"/>
      <c r="W1371" s="18" t="n"/>
      <c r="X1371" s="18" t="n"/>
      <c r="Y1371" s="13">
        <f>SUMPRODUCT(M1371:X1371,$M$2:$X$2)*$K1371*$L1371</f>
        <v/>
      </c>
      <c r="Z1371" s="14">
        <f>SUM(M1371:X1371)</f>
        <v/>
      </c>
      <c r="AA1371" s="13">
        <f>SUMPRODUCT(M1371:X1371,$M$3:$X$3)*$K1371*$L1371</f>
        <v/>
      </c>
      <c r="AB1371" s="13">
        <f>SUMPRODUCT(M1371:X1371,$M$4:$X$4)*$K1371*$L1371</f>
        <v/>
      </c>
      <c r="AC1371" s="15">
        <f>SUMPRODUCT(M1371:X1371,$M$5:$X$5)*$K1371*$L1371</f>
        <v/>
      </c>
      <c r="AD1371" s="15">
        <f>SUMPRODUCT(M1371:X1371,$M$6:$X$6)*$K1371*$L1371</f>
        <v/>
      </c>
      <c r="AE1371" s="19" t="n"/>
    </row>
    <row r="1372">
      <c r="A1372" s="9" t="n">
        <v>669947</v>
      </c>
      <c r="B1372" s="9" t="inlineStr">
        <is>
          <t>Jesse Scholtens</t>
        </is>
      </c>
      <c r="C1372" s="9" t="inlineStr">
        <is>
          <t>TB</t>
        </is>
      </c>
      <c r="D1372" s="9" t="n">
        <v>33</v>
      </c>
      <c r="E1372" s="17" t="inlineStr">
        <is>
          <t>R</t>
        </is>
      </c>
      <c r="F1372" s="17" t="n"/>
      <c r="G1372" s="9" t="n">
        <v>196</v>
      </c>
      <c r="H1372" s="9" t="n">
        <v>611</v>
      </c>
      <c r="I1372" s="9" t="inlineStr">
        <is>
          <t>End-of-Rotation Starter (SP4-5)</t>
        </is>
      </c>
      <c r="J1372" s="17" t="inlineStr">
        <is>
          <t>Opening Day</t>
        </is>
      </c>
      <c r="K1372" s="11">
        <f>IFERROR(INDEX(Roles!$B$17:$B$20,MATCH(J1372,Roles!$A$17:$A$20,0)),1)</f>
        <v/>
      </c>
      <c r="L1372" s="18" t="n">
        <v>1</v>
      </c>
      <c r="M1372" s="18" t="n"/>
      <c r="N1372" s="18" t="n"/>
      <c r="O1372" s="18" t="n"/>
      <c r="P1372" s="18" t="n"/>
      <c r="Q1372" s="18" t="n"/>
      <c r="R1372" s="18" t="n"/>
      <c r="S1372" s="18" t="n"/>
      <c r="T1372" s="18" t="n"/>
      <c r="U1372" s="18" t="n"/>
      <c r="V1372" s="18" t="n"/>
      <c r="W1372" s="18" t="n"/>
      <c r="X1372" s="18" t="n"/>
      <c r="Y1372" s="13">
        <f>SUMPRODUCT(M1372:X1372,$M$2:$X$2)*$K1372*$L1372</f>
        <v/>
      </c>
      <c r="Z1372" s="14">
        <f>SUM(M1372:X1372)</f>
        <v/>
      </c>
      <c r="AA1372" s="13">
        <f>SUMPRODUCT(M1372:X1372,$M$3:$X$3)*$K1372*$L1372</f>
        <v/>
      </c>
      <c r="AB1372" s="13">
        <f>SUMPRODUCT(M1372:X1372,$M$4:$X$4)*$K1372*$L1372</f>
        <v/>
      </c>
      <c r="AC1372" s="15">
        <f>SUMPRODUCT(M1372:X1372,$M$5:$X$5)*$K1372*$L1372</f>
        <v/>
      </c>
      <c r="AD1372" s="15">
        <f>SUMPRODUCT(M1372:X1372,$M$6:$X$6)*$K1372*$L1372</f>
        <v/>
      </c>
      <c r="AE1372" s="19" t="n"/>
    </row>
    <row r="1373">
      <c r="A1373" s="9" t="n">
        <v>663969</v>
      </c>
      <c r="B1373" s="9" t="inlineStr">
        <is>
          <t>Tyler Phillips</t>
        </is>
      </c>
      <c r="C1373" s="9" t="inlineStr">
        <is>
          <t>MIA</t>
        </is>
      </c>
      <c r="D1373" s="9" t="n">
        <v>29</v>
      </c>
      <c r="E1373" s="17" t="inlineStr">
        <is>
          <t>R</t>
        </is>
      </c>
      <c r="F1373" s="17" t="n"/>
      <c r="G1373" s="9" t="n">
        <v>507</v>
      </c>
      <c r="H1373" s="9" t="n">
        <v>980</v>
      </c>
      <c r="I1373" s="9" t="inlineStr">
        <is>
          <t>Bullpen Depth Arm</t>
        </is>
      </c>
      <c r="J1373" s="17" t="inlineStr">
        <is>
          <t>Opening Day</t>
        </is>
      </c>
      <c r="K1373" s="11">
        <f>IFERROR(INDEX(Roles!$B$17:$B$20,MATCH(J1373,Roles!$A$17:$A$20,0)),1)</f>
        <v/>
      </c>
      <c r="L1373" s="18" t="n">
        <v>1</v>
      </c>
      <c r="M1373" s="18" t="n"/>
      <c r="N1373" s="18" t="n"/>
      <c r="O1373" s="18" t="n"/>
      <c r="P1373" s="18" t="n"/>
      <c r="Q1373" s="18" t="n"/>
      <c r="R1373" s="18" t="n"/>
      <c r="S1373" s="18" t="n"/>
      <c r="T1373" s="18" t="n"/>
      <c r="U1373" s="18" t="n"/>
      <c r="V1373" s="18" t="n"/>
      <c r="W1373" s="18" t="n"/>
      <c r="X1373" s="18" t="n"/>
      <c r="Y1373" s="13">
        <f>SUMPRODUCT(M1373:X1373,$M$2:$X$2)*$K1373*$L1373</f>
        <v/>
      </c>
      <c r="Z1373" s="14">
        <f>SUM(M1373:X1373)</f>
        <v/>
      </c>
      <c r="AA1373" s="13">
        <f>SUMPRODUCT(M1373:X1373,$M$3:$X$3)*$K1373*$L1373</f>
        <v/>
      </c>
      <c r="AB1373" s="13">
        <f>SUMPRODUCT(M1373:X1373,$M$4:$X$4)*$K1373*$L1373</f>
        <v/>
      </c>
      <c r="AC1373" s="15">
        <f>SUMPRODUCT(M1373:X1373,$M$5:$X$5)*$K1373*$L1373</f>
        <v/>
      </c>
      <c r="AD1373" s="15">
        <f>SUMPRODUCT(M1373:X1373,$M$6:$X$6)*$K1373*$L1373</f>
        <v/>
      </c>
      <c r="AE1373" s="19" t="n"/>
    </row>
    <row r="1374">
      <c r="A1374" s="9" t="n">
        <v>695034</v>
      </c>
      <c r="B1374" s="9" t="inlineStr">
        <is>
          <t>Kade Morris</t>
        </is>
      </c>
      <c r="C1374" s="9" t="inlineStr">
        <is>
          <t>OAK</t>
        </is>
      </c>
      <c r="D1374" s="9" t="n">
        <v>25</v>
      </c>
      <c r="E1374" s="17" t="inlineStr">
        <is>
          <t>R</t>
        </is>
      </c>
      <c r="F1374" s="17" t="n"/>
      <c r="G1374" s="9" t="n">
        <v>89</v>
      </c>
      <c r="H1374" s="9" t="n">
        <v>89</v>
      </c>
      <c r="I1374" s="9" t="inlineStr">
        <is>
          <t>Bullpen Depth Arm</t>
        </is>
      </c>
      <c r="J1374" s="17" t="inlineStr">
        <is>
          <t>Opening Day</t>
        </is>
      </c>
      <c r="K1374" s="11">
        <f>IFERROR(INDEX(Roles!$B$17:$B$20,MATCH(J1374,Roles!$A$17:$A$20,0)),1)</f>
        <v/>
      </c>
      <c r="L1374" s="18" t="n">
        <v>1</v>
      </c>
      <c r="M1374" s="18" t="n"/>
      <c r="N1374" s="18" t="n"/>
      <c r="O1374" s="18" t="n"/>
      <c r="P1374" s="18" t="n"/>
      <c r="Q1374" s="18" t="n"/>
      <c r="R1374" s="18" t="n"/>
      <c r="S1374" s="18" t="n"/>
      <c r="T1374" s="18" t="n"/>
      <c r="U1374" s="18" t="n"/>
      <c r="V1374" s="18" t="n"/>
      <c r="W1374" s="18" t="n"/>
      <c r="X1374" s="18" t="n"/>
      <c r="Y1374" s="13">
        <f>SUMPRODUCT(M1374:X1374,$M$2:$X$2)*$K1374*$L1374</f>
        <v/>
      </c>
      <c r="Z1374" s="14">
        <f>SUM(M1374:X1374)</f>
        <v/>
      </c>
      <c r="AA1374" s="13">
        <f>SUMPRODUCT(M1374:X1374,$M$3:$X$3)*$K1374*$L1374</f>
        <v/>
      </c>
      <c r="AB1374" s="13">
        <f>SUMPRODUCT(M1374:X1374,$M$4:$X$4)*$K1374*$L1374</f>
        <v/>
      </c>
      <c r="AC1374" s="15">
        <f>SUMPRODUCT(M1374:X1374,$M$5:$X$5)*$K1374*$L1374</f>
        <v/>
      </c>
      <c r="AD1374" s="15">
        <f>SUMPRODUCT(M1374:X1374,$M$6:$X$6)*$K1374*$L1374</f>
        <v/>
      </c>
      <c r="AE1374" s="19" t="n"/>
    </row>
    <row r="1375">
      <c r="A1375" s="9" t="n">
        <v>671345</v>
      </c>
      <c r="B1375" s="9" t="inlineStr">
        <is>
          <t>Jason Foley</t>
        </is>
      </c>
      <c r="C1375" s="9" t="inlineStr">
        <is>
          <t>SF</t>
        </is>
      </c>
      <c r="D1375" s="9" t="n">
        <v>31</v>
      </c>
      <c r="E1375" s="17" t="inlineStr">
        <is>
          <t>R</t>
        </is>
      </c>
      <c r="F1375" s="17" t="n"/>
      <c r="G1375" s="9" t="n">
        <v>99</v>
      </c>
      <c r="H1375" s="9" t="n">
        <v>881</v>
      </c>
      <c r="I1375" s="9" t="inlineStr">
        <is>
          <t>Bullpen Depth Arm</t>
        </is>
      </c>
      <c r="J1375" s="17" t="inlineStr">
        <is>
          <t>Opening Day</t>
        </is>
      </c>
      <c r="K1375" s="11">
        <f>IFERROR(INDEX(Roles!$B$17:$B$20,MATCH(J1375,Roles!$A$17:$A$20,0)),1)</f>
        <v/>
      </c>
      <c r="L1375" s="18" t="n">
        <v>1</v>
      </c>
      <c r="M1375" s="18" t="n"/>
      <c r="N1375" s="18" t="n"/>
      <c r="O1375" s="18" t="n"/>
      <c r="P1375" s="18" t="n"/>
      <c r="Q1375" s="18" t="n"/>
      <c r="R1375" s="18" t="n"/>
      <c r="S1375" s="18" t="n"/>
      <c r="T1375" s="18" t="n"/>
      <c r="U1375" s="18" t="n"/>
      <c r="V1375" s="18" t="n"/>
      <c r="W1375" s="18" t="n"/>
      <c r="X1375" s="18" t="n"/>
      <c r="Y1375" s="13">
        <f>SUMPRODUCT(M1375:X1375,$M$2:$X$2)*$K1375*$L1375</f>
        <v/>
      </c>
      <c r="Z1375" s="14">
        <f>SUM(M1375:X1375)</f>
        <v/>
      </c>
      <c r="AA1375" s="13">
        <f>SUMPRODUCT(M1375:X1375,$M$3:$X$3)*$K1375*$L1375</f>
        <v/>
      </c>
      <c r="AB1375" s="13">
        <f>SUMPRODUCT(M1375:X1375,$M$4:$X$4)*$K1375*$L1375</f>
        <v/>
      </c>
      <c r="AC1375" s="15">
        <f>SUMPRODUCT(M1375:X1375,$M$5:$X$5)*$K1375*$L1375</f>
        <v/>
      </c>
      <c r="AD1375" s="15">
        <f>SUMPRODUCT(M1375:X1375,$M$6:$X$6)*$K1375*$L1375</f>
        <v/>
      </c>
      <c r="AE1375" s="19" t="n"/>
    </row>
    <row r="1376">
      <c r="A1376" s="9" t="n">
        <v>669952</v>
      </c>
      <c r="B1376" s="9" t="inlineStr">
        <is>
          <t>Mitch White</t>
        </is>
      </c>
      <c r="C1376" s="9" t="inlineStr">
        <is>
          <t>MIL</t>
        </is>
      </c>
      <c r="D1376" s="9" t="n">
        <v>32</v>
      </c>
      <c r="E1376" s="17" t="inlineStr">
        <is>
          <t>R</t>
        </is>
      </c>
      <c r="F1376" s="17" t="n"/>
      <c r="G1376" s="9" t="n">
        <v>110</v>
      </c>
      <c r="H1376" s="9" t="n">
        <v>610</v>
      </c>
      <c r="I1376" s="9" t="inlineStr">
        <is>
          <t>Depth (no MLB IP)</t>
        </is>
      </c>
      <c r="J1376" s="17" t="inlineStr">
        <is>
          <t>Opening Day</t>
        </is>
      </c>
      <c r="K1376" s="11">
        <f>IFERROR(INDEX(Roles!$B$17:$B$20,MATCH(J1376,Roles!$A$17:$A$20,0)),1)</f>
        <v/>
      </c>
      <c r="L1376" s="18" t="n">
        <v>1</v>
      </c>
      <c r="M1376" s="18" t="n"/>
      <c r="N1376" s="18" t="n"/>
      <c r="O1376" s="18" t="n"/>
      <c r="P1376" s="18" t="n"/>
      <c r="Q1376" s="18" t="n"/>
      <c r="R1376" s="18" t="n"/>
      <c r="S1376" s="18" t="n"/>
      <c r="T1376" s="18" t="n"/>
      <c r="U1376" s="18" t="n"/>
      <c r="V1376" s="18" t="n"/>
      <c r="W1376" s="18" t="n"/>
      <c r="X1376" s="18" t="n"/>
      <c r="Y1376" s="13">
        <f>SUMPRODUCT(M1376:X1376,$M$2:$X$2)*$K1376*$L1376</f>
        <v/>
      </c>
      <c r="Z1376" s="14">
        <f>SUM(M1376:X1376)</f>
        <v/>
      </c>
      <c r="AA1376" s="13">
        <f>SUMPRODUCT(M1376:X1376,$M$3:$X$3)*$K1376*$L1376</f>
        <v/>
      </c>
      <c r="AB1376" s="13">
        <f>SUMPRODUCT(M1376:X1376,$M$4:$X$4)*$K1376*$L1376</f>
        <v/>
      </c>
      <c r="AC1376" s="15">
        <f>SUMPRODUCT(M1376:X1376,$M$5:$X$5)*$K1376*$L1376</f>
        <v/>
      </c>
      <c r="AD1376" s="15">
        <f>SUMPRODUCT(M1376:X1376,$M$6:$X$6)*$K1376*$L1376</f>
        <v/>
      </c>
      <c r="AE1376" s="19" t="n"/>
    </row>
    <row r="1377">
      <c r="A1377" s="9" t="n">
        <v>674285</v>
      </c>
      <c r="B1377" s="9" t="inlineStr">
        <is>
          <t>Eduardo Salazar</t>
        </is>
      </c>
      <c r="C1377" s="9" t="inlineStr">
        <is>
          <t>WSH</t>
        </is>
      </c>
      <c r="D1377" s="9" t="n">
        <v>29</v>
      </c>
      <c r="E1377" s="17" t="inlineStr">
        <is>
          <t>R</t>
        </is>
      </c>
      <c r="F1377" s="17" t="n"/>
      <c r="G1377" s="9" t="n">
        <v>150</v>
      </c>
      <c r="H1377" s="9" t="n">
        <v>344</v>
      </c>
      <c r="I1377" s="9" t="inlineStr">
        <is>
          <t>Bullpen Depth Arm</t>
        </is>
      </c>
      <c r="J1377" s="17" t="inlineStr">
        <is>
          <t>Opening Day</t>
        </is>
      </c>
      <c r="K1377" s="11">
        <f>IFERROR(INDEX(Roles!$B$17:$B$20,MATCH(J1377,Roles!$A$17:$A$20,0)),1)</f>
        <v/>
      </c>
      <c r="L1377" s="18" t="n">
        <v>1</v>
      </c>
      <c r="M1377" s="18" t="n"/>
      <c r="N1377" s="18" t="n"/>
      <c r="O1377" s="18" t="n"/>
      <c r="P1377" s="18" t="n"/>
      <c r="Q1377" s="18" t="n"/>
      <c r="R1377" s="18" t="n"/>
      <c r="S1377" s="18" t="n"/>
      <c r="T1377" s="18" t="n"/>
      <c r="U1377" s="18" t="n"/>
      <c r="V1377" s="18" t="n"/>
      <c r="W1377" s="18" t="n"/>
      <c r="X1377" s="18" t="n"/>
      <c r="Y1377" s="13">
        <f>SUMPRODUCT(M1377:X1377,$M$2:$X$2)*$K1377*$L1377</f>
        <v/>
      </c>
      <c r="Z1377" s="14">
        <f>SUM(M1377:X1377)</f>
        <v/>
      </c>
      <c r="AA1377" s="13">
        <f>SUMPRODUCT(M1377:X1377,$M$3:$X$3)*$K1377*$L1377</f>
        <v/>
      </c>
      <c r="AB1377" s="13">
        <f>SUMPRODUCT(M1377:X1377,$M$4:$X$4)*$K1377*$L1377</f>
        <v/>
      </c>
      <c r="AC1377" s="15">
        <f>SUMPRODUCT(M1377:X1377,$M$5:$X$5)*$K1377*$L1377</f>
        <v/>
      </c>
      <c r="AD1377" s="15">
        <f>SUMPRODUCT(M1377:X1377,$M$6:$X$6)*$K1377*$L1377</f>
        <v/>
      </c>
      <c r="AE1377" s="19" t="n"/>
    </row>
    <row r="1378">
      <c r="A1378" s="9" t="n">
        <v>696131</v>
      </c>
      <c r="B1378" s="9" t="inlineStr">
        <is>
          <t>Mason Black</t>
        </is>
      </c>
      <c r="C1378" s="9" t="inlineStr">
        <is>
          <t>KC</t>
        </is>
      </c>
      <c r="D1378" s="9" t="n">
        <v>27</v>
      </c>
      <c r="E1378" s="17" t="inlineStr">
        <is>
          <t>R</t>
        </is>
      </c>
      <c r="F1378" s="17" t="n"/>
      <c r="G1378" s="9" t="n">
        <v>142</v>
      </c>
      <c r="H1378" s="9" t="n">
        <v>330</v>
      </c>
      <c r="I1378" s="9" t="inlineStr">
        <is>
          <t>Bullpen Depth Arm</t>
        </is>
      </c>
      <c r="J1378" s="17" t="inlineStr">
        <is>
          <t>Opening Day</t>
        </is>
      </c>
      <c r="K1378" s="11">
        <f>IFERROR(INDEX(Roles!$B$17:$B$20,MATCH(J1378,Roles!$A$17:$A$20,0)),1)</f>
        <v/>
      </c>
      <c r="L1378" s="18" t="n">
        <v>1</v>
      </c>
      <c r="M1378" s="18" t="n"/>
      <c r="N1378" s="18" t="n"/>
      <c r="O1378" s="18" t="n"/>
      <c r="P1378" s="18" t="n"/>
      <c r="Q1378" s="18" t="n"/>
      <c r="R1378" s="18" t="n"/>
      <c r="S1378" s="18" t="n"/>
      <c r="T1378" s="18" t="n"/>
      <c r="U1378" s="18" t="n"/>
      <c r="V1378" s="18" t="n"/>
      <c r="W1378" s="18" t="n"/>
      <c r="X1378" s="18" t="n"/>
      <c r="Y1378" s="13">
        <f>SUMPRODUCT(M1378:X1378,$M$2:$X$2)*$K1378*$L1378</f>
        <v/>
      </c>
      <c r="Z1378" s="14">
        <f>SUM(M1378:X1378)</f>
        <v/>
      </c>
      <c r="AA1378" s="13">
        <f>SUMPRODUCT(M1378:X1378,$M$3:$X$3)*$K1378*$L1378</f>
        <v/>
      </c>
      <c r="AB1378" s="13">
        <f>SUMPRODUCT(M1378:X1378,$M$4:$X$4)*$K1378*$L1378</f>
        <v/>
      </c>
      <c r="AC1378" s="15">
        <f>SUMPRODUCT(M1378:X1378,$M$5:$X$5)*$K1378*$L1378</f>
        <v/>
      </c>
      <c r="AD1378" s="15">
        <f>SUMPRODUCT(M1378:X1378,$M$6:$X$6)*$K1378*$L1378</f>
        <v/>
      </c>
      <c r="AE1378" s="19" t="n"/>
    </row>
    <row r="1379">
      <c r="A1379" s="9" t="n">
        <v>543548</v>
      </c>
      <c r="B1379" s="9" t="inlineStr">
        <is>
          <t>Tommy Milone</t>
        </is>
      </c>
      <c r="C1379" s="9" t="inlineStr">
        <is>
          <t>SEA</t>
        </is>
      </c>
      <c r="D1379" s="9" t="n">
        <v>40</v>
      </c>
      <c r="E1379" s="17" t="inlineStr">
        <is>
          <t>L</t>
        </is>
      </c>
      <c r="F1379" s="17" t="n"/>
      <c r="G1379" s="9" t="n">
        <v>40</v>
      </c>
      <c r="H1379" s="9" t="n">
        <v>109</v>
      </c>
      <c r="I1379" s="9" t="inlineStr">
        <is>
          <t>Depth (no MLB IP)</t>
        </is>
      </c>
      <c r="J1379" s="17" t="inlineStr">
        <is>
          <t>Opening Day</t>
        </is>
      </c>
      <c r="K1379" s="11">
        <f>IFERROR(INDEX(Roles!$B$17:$B$20,MATCH(J1379,Roles!$A$17:$A$20,0)),1)</f>
        <v/>
      </c>
      <c r="L1379" s="18" t="n">
        <v>1</v>
      </c>
      <c r="M1379" s="18" t="n"/>
      <c r="N1379" s="18" t="n"/>
      <c r="O1379" s="18" t="n"/>
      <c r="P1379" s="18" t="n"/>
      <c r="Q1379" s="18" t="n"/>
      <c r="R1379" s="18" t="n"/>
      <c r="S1379" s="18" t="n"/>
      <c r="T1379" s="18" t="n"/>
      <c r="U1379" s="18" t="n"/>
      <c r="V1379" s="18" t="n"/>
      <c r="W1379" s="18" t="n"/>
      <c r="X1379" s="18" t="n"/>
      <c r="Y1379" s="13">
        <f>SUMPRODUCT(M1379:X1379,$M$2:$X$2)*$K1379*$L1379</f>
        <v/>
      </c>
      <c r="Z1379" s="14">
        <f>SUM(M1379:X1379)</f>
        <v/>
      </c>
      <c r="AA1379" s="13">
        <f>SUMPRODUCT(M1379:X1379,$M$3:$X$3)*$K1379*$L1379</f>
        <v/>
      </c>
      <c r="AB1379" s="13">
        <f>SUMPRODUCT(M1379:X1379,$M$4:$X$4)*$K1379*$L1379</f>
        <v/>
      </c>
      <c r="AC1379" s="15">
        <f>SUMPRODUCT(M1379:X1379,$M$5:$X$5)*$K1379*$L1379</f>
        <v/>
      </c>
      <c r="AD1379" s="15">
        <f>SUMPRODUCT(M1379:X1379,$M$6:$X$6)*$K1379*$L1379</f>
        <v/>
      </c>
      <c r="AE1379" s="19" t="n"/>
    </row>
    <row r="1380">
      <c r="A1380" s="9" t="n">
        <v>669920</v>
      </c>
      <c r="B1380" s="9" t="inlineStr">
        <is>
          <t>Jason Alexander</t>
        </is>
      </c>
      <c r="C1380" s="9" t="inlineStr">
        <is>
          <t>HOU</t>
        </is>
      </c>
      <c r="D1380" s="9" t="n">
        <v>34</v>
      </c>
      <c r="E1380" s="17" t="inlineStr">
        <is>
          <t>R</t>
        </is>
      </c>
      <c r="F1380" s="17" t="n"/>
      <c r="G1380" s="9" t="n">
        <v>84</v>
      </c>
      <c r="H1380" s="9" t="n">
        <v>741</v>
      </c>
      <c r="I1380" s="9" t="inlineStr">
        <is>
          <t>End-of-Rotation Starter (SP4-5)</t>
        </is>
      </c>
      <c r="J1380" s="17" t="inlineStr">
        <is>
          <t>Opening Day</t>
        </is>
      </c>
      <c r="K1380" s="11">
        <f>IFERROR(INDEX(Roles!$B$17:$B$20,MATCH(J1380,Roles!$A$17:$A$20,0)),1)</f>
        <v/>
      </c>
      <c r="L1380" s="18" t="n">
        <v>1</v>
      </c>
      <c r="M1380" s="18" t="n"/>
      <c r="N1380" s="18" t="n"/>
      <c r="O1380" s="18" t="n"/>
      <c r="P1380" s="18" t="n"/>
      <c r="Q1380" s="18" t="n"/>
      <c r="R1380" s="18" t="n"/>
      <c r="S1380" s="18" t="n"/>
      <c r="T1380" s="18" t="n"/>
      <c r="U1380" s="18" t="n"/>
      <c r="V1380" s="18" t="n"/>
      <c r="W1380" s="18" t="n"/>
      <c r="X1380" s="18" t="n"/>
      <c r="Y1380" s="13">
        <f>SUMPRODUCT(M1380:X1380,$M$2:$X$2)*$K1380*$L1380</f>
        <v/>
      </c>
      <c r="Z1380" s="14">
        <f>SUM(M1380:X1380)</f>
        <v/>
      </c>
      <c r="AA1380" s="13">
        <f>SUMPRODUCT(M1380:X1380,$M$3:$X$3)*$K1380*$L1380</f>
        <v/>
      </c>
      <c r="AB1380" s="13">
        <f>SUMPRODUCT(M1380:X1380,$M$4:$X$4)*$K1380*$L1380</f>
        <v/>
      </c>
      <c r="AC1380" s="15">
        <f>SUMPRODUCT(M1380:X1380,$M$5:$X$5)*$K1380*$L1380</f>
        <v/>
      </c>
      <c r="AD1380" s="15">
        <f>SUMPRODUCT(M1380:X1380,$M$6:$X$6)*$K1380*$L1380</f>
        <v/>
      </c>
      <c r="AE1380" s="19" t="n"/>
    </row>
    <row r="1381">
      <c r="A1381" s="9" t="n">
        <v>693313</v>
      </c>
      <c r="B1381" s="9" t="inlineStr">
        <is>
          <t>Carson Seymour</t>
        </is>
      </c>
      <c r="C1381" s="9" t="inlineStr">
        <is>
          <t>SF</t>
        </is>
      </c>
      <c r="D1381" s="9" t="n">
        <v>28</v>
      </c>
      <c r="E1381" s="17" t="inlineStr">
        <is>
          <t>R</t>
        </is>
      </c>
      <c r="F1381" s="17" t="n"/>
      <c r="G1381" s="9" t="n">
        <v>125</v>
      </c>
      <c r="H1381" s="9" t="n">
        <v>281</v>
      </c>
      <c r="I1381" s="9" t="inlineStr">
        <is>
          <t>Bullpen Depth Arm</t>
        </is>
      </c>
      <c r="J1381" s="17" t="inlineStr">
        <is>
          <t>Opening Day</t>
        </is>
      </c>
      <c r="K1381" s="11">
        <f>IFERROR(INDEX(Roles!$B$17:$B$20,MATCH(J1381,Roles!$A$17:$A$20,0)),1)</f>
        <v/>
      </c>
      <c r="L1381" s="18" t="n">
        <v>1</v>
      </c>
      <c r="M1381" s="18" t="n"/>
      <c r="N1381" s="18" t="n"/>
      <c r="O1381" s="18" t="n"/>
      <c r="P1381" s="18" t="n"/>
      <c r="Q1381" s="18" t="n"/>
      <c r="R1381" s="18" t="n"/>
      <c r="S1381" s="18" t="n"/>
      <c r="T1381" s="18" t="n"/>
      <c r="U1381" s="18" t="n"/>
      <c r="V1381" s="18" t="n"/>
      <c r="W1381" s="18" t="n"/>
      <c r="X1381" s="18" t="n"/>
      <c r="Y1381" s="13">
        <f>SUMPRODUCT(M1381:X1381,$M$2:$X$2)*$K1381*$L1381</f>
        <v/>
      </c>
      <c r="Z1381" s="14">
        <f>SUM(M1381:X1381)</f>
        <v/>
      </c>
      <c r="AA1381" s="13">
        <f>SUMPRODUCT(M1381:X1381,$M$3:$X$3)*$K1381*$L1381</f>
        <v/>
      </c>
      <c r="AB1381" s="13">
        <f>SUMPRODUCT(M1381:X1381,$M$4:$X$4)*$K1381*$L1381</f>
        <v/>
      </c>
      <c r="AC1381" s="15">
        <f>SUMPRODUCT(M1381:X1381,$M$5:$X$5)*$K1381*$L1381</f>
        <v/>
      </c>
      <c r="AD1381" s="15">
        <f>SUMPRODUCT(M1381:X1381,$M$6:$X$6)*$K1381*$L1381</f>
        <v/>
      </c>
      <c r="AE1381" s="19" t="n"/>
    </row>
    <row r="1382">
      <c r="A1382" s="9" t="n">
        <v>656353</v>
      </c>
      <c r="B1382" s="9" t="inlineStr">
        <is>
          <t>Tucker Davidson</t>
        </is>
      </c>
      <c r="C1382" s="9" t="inlineStr">
        <is>
          <t>KC</t>
        </is>
      </c>
      <c r="D1382" s="9" t="n">
        <v>31</v>
      </c>
      <c r="E1382" s="17" t="inlineStr">
        <is>
          <t>L</t>
        </is>
      </c>
      <c r="F1382" s="17" t="n"/>
      <c r="G1382" s="9" t="n">
        <v>19</v>
      </c>
      <c r="H1382" s="9" t="n">
        <v>498</v>
      </c>
      <c r="I1382" s="9" t="inlineStr">
        <is>
          <t>Depth (no MLB IP)</t>
        </is>
      </c>
      <c r="J1382" s="17" t="inlineStr">
        <is>
          <t>Opening Day</t>
        </is>
      </c>
      <c r="K1382" s="11">
        <f>IFERROR(INDEX(Roles!$B$17:$B$20,MATCH(J1382,Roles!$A$17:$A$20,0)),1)</f>
        <v/>
      </c>
      <c r="L1382" s="18" t="n">
        <v>1</v>
      </c>
      <c r="M1382" s="18" t="n"/>
      <c r="N1382" s="18" t="n"/>
      <c r="O1382" s="18" t="n"/>
      <c r="P1382" s="18" t="n"/>
      <c r="Q1382" s="18" t="n"/>
      <c r="R1382" s="18" t="n"/>
      <c r="S1382" s="18" t="n"/>
      <c r="T1382" s="18" t="n"/>
      <c r="U1382" s="18" t="n"/>
      <c r="V1382" s="18" t="n"/>
      <c r="W1382" s="18" t="n"/>
      <c r="X1382" s="18" t="n"/>
      <c r="Y1382" s="13">
        <f>SUMPRODUCT(M1382:X1382,$M$2:$X$2)*$K1382*$L1382</f>
        <v/>
      </c>
      <c r="Z1382" s="14">
        <f>SUM(M1382:X1382)</f>
        <v/>
      </c>
      <c r="AA1382" s="13">
        <f>SUMPRODUCT(M1382:X1382,$M$3:$X$3)*$K1382*$L1382</f>
        <v/>
      </c>
      <c r="AB1382" s="13">
        <f>SUMPRODUCT(M1382:X1382,$M$4:$X$4)*$K1382*$L1382</f>
        <v/>
      </c>
      <c r="AC1382" s="15">
        <f>SUMPRODUCT(M1382:X1382,$M$5:$X$5)*$K1382*$L1382</f>
        <v/>
      </c>
      <c r="AD1382" s="15">
        <f>SUMPRODUCT(M1382:X1382,$M$6:$X$6)*$K1382*$L1382</f>
        <v/>
      </c>
      <c r="AE1382" s="19" t="n"/>
    </row>
    <row r="1383">
      <c r="A1383" s="9" t="n">
        <v>683627</v>
      </c>
      <c r="B1383" s="9" t="inlineStr">
        <is>
          <t>Anthony Molina</t>
        </is>
      </c>
      <c r="C1383" s="9" t="inlineStr">
        <is>
          <t>SF</t>
        </is>
      </c>
      <c r="D1383" s="9" t="n">
        <v>25</v>
      </c>
      <c r="E1383" s="17" t="inlineStr">
        <is>
          <t>R</t>
        </is>
      </c>
      <c r="F1383" s="17" t="n"/>
      <c r="G1383" s="9" t="n">
        <v>114</v>
      </c>
      <c r="H1383" s="9" t="n">
        <v>538</v>
      </c>
      <c r="I1383" s="9" t="inlineStr">
        <is>
          <t>Bullpen Depth Arm</t>
        </is>
      </c>
      <c r="J1383" s="17" t="inlineStr">
        <is>
          <t>Opening Day</t>
        </is>
      </c>
      <c r="K1383" s="11">
        <f>IFERROR(INDEX(Roles!$B$17:$B$20,MATCH(J1383,Roles!$A$17:$A$20,0)),1)</f>
        <v/>
      </c>
      <c r="L1383" s="18" t="n">
        <v>1</v>
      </c>
      <c r="M1383" s="18" t="n"/>
      <c r="N1383" s="18" t="n"/>
      <c r="O1383" s="18" t="n"/>
      <c r="P1383" s="18" t="n"/>
      <c r="Q1383" s="18" t="n"/>
      <c r="R1383" s="18" t="n"/>
      <c r="S1383" s="18" t="n"/>
      <c r="T1383" s="18" t="n"/>
      <c r="U1383" s="18" t="n"/>
      <c r="V1383" s="18" t="n"/>
      <c r="W1383" s="18" t="n"/>
      <c r="X1383" s="18" t="n"/>
      <c r="Y1383" s="13">
        <f>SUMPRODUCT(M1383:X1383,$M$2:$X$2)*$K1383*$L1383</f>
        <v/>
      </c>
      <c r="Z1383" s="14">
        <f>SUM(M1383:X1383)</f>
        <v/>
      </c>
      <c r="AA1383" s="13">
        <f>SUMPRODUCT(M1383:X1383,$M$3:$X$3)*$K1383*$L1383</f>
        <v/>
      </c>
      <c r="AB1383" s="13">
        <f>SUMPRODUCT(M1383:X1383,$M$4:$X$4)*$K1383*$L1383</f>
        <v/>
      </c>
      <c r="AC1383" s="15">
        <f>SUMPRODUCT(M1383:X1383,$M$5:$X$5)*$K1383*$L1383</f>
        <v/>
      </c>
      <c r="AD1383" s="15">
        <f>SUMPRODUCT(M1383:X1383,$M$6:$X$6)*$K1383*$L1383</f>
        <v/>
      </c>
      <c r="AE1383" s="19" t="n"/>
    </row>
    <row r="1384">
      <c r="A1384" s="9" t="n">
        <v>687931</v>
      </c>
      <c r="B1384" s="9" t="inlineStr">
        <is>
          <t>Carson Whisenhunt</t>
        </is>
      </c>
      <c r="C1384" s="9" t="inlineStr">
        <is>
          <t>SF</t>
        </is>
      </c>
      <c r="D1384" s="9" t="n">
        <v>26</v>
      </c>
      <c r="E1384" s="17" t="inlineStr">
        <is>
          <t>L</t>
        </is>
      </c>
      <c r="F1384" s="17" t="n"/>
      <c r="G1384" s="9" t="n">
        <v>164</v>
      </c>
      <c r="H1384" s="9" t="n">
        <v>266</v>
      </c>
      <c r="I1384" s="9" t="inlineStr">
        <is>
          <t>End-of-Rotation Starter (SP4-5)</t>
        </is>
      </c>
      <c r="J1384" s="17" t="inlineStr">
        <is>
          <t>Opening Day</t>
        </is>
      </c>
      <c r="K1384" s="11">
        <f>IFERROR(INDEX(Roles!$B$17:$B$20,MATCH(J1384,Roles!$A$17:$A$20,0)),1)</f>
        <v/>
      </c>
      <c r="L1384" s="18" t="n">
        <v>1</v>
      </c>
      <c r="M1384" s="18" t="n"/>
      <c r="N1384" s="18" t="n"/>
      <c r="O1384" s="18" t="n"/>
      <c r="P1384" s="18" t="n"/>
      <c r="Q1384" s="18" t="n"/>
      <c r="R1384" s="18" t="n"/>
      <c r="S1384" s="18" t="n"/>
      <c r="T1384" s="18" t="n"/>
      <c r="U1384" s="18" t="n"/>
      <c r="V1384" s="18" t="n"/>
      <c r="W1384" s="18" t="n"/>
      <c r="X1384" s="18" t="n"/>
      <c r="Y1384" s="13">
        <f>SUMPRODUCT(M1384:X1384,$M$2:$X$2)*$K1384*$L1384</f>
        <v/>
      </c>
      <c r="Z1384" s="14">
        <f>SUM(M1384:X1384)</f>
        <v/>
      </c>
      <c r="AA1384" s="13">
        <f>SUMPRODUCT(M1384:X1384,$M$3:$X$3)*$K1384*$L1384</f>
        <v/>
      </c>
      <c r="AB1384" s="13">
        <f>SUMPRODUCT(M1384:X1384,$M$4:$X$4)*$K1384*$L1384</f>
        <v/>
      </c>
      <c r="AC1384" s="15">
        <f>SUMPRODUCT(M1384:X1384,$M$5:$X$5)*$K1384*$L1384</f>
        <v/>
      </c>
      <c r="AD1384" s="15">
        <f>SUMPRODUCT(M1384:X1384,$M$6:$X$6)*$K1384*$L1384</f>
        <v/>
      </c>
      <c r="AE1384" s="19" t="n"/>
    </row>
    <row r="1385">
      <c r="A1385" s="9" t="n">
        <v>676661</v>
      </c>
      <c r="B1385" s="9" t="inlineStr">
        <is>
          <t>Max Lazar</t>
        </is>
      </c>
      <c r="C1385" s="9" t="inlineStr">
        <is>
          <t>PHI</t>
        </is>
      </c>
      <c r="D1385" s="9" t="n">
        <v>28</v>
      </c>
      <c r="E1385" s="17" t="inlineStr">
        <is>
          <t>R</t>
        </is>
      </c>
      <c r="F1385" s="17" t="n"/>
      <c r="G1385" s="9" t="n">
        <v>35</v>
      </c>
      <c r="H1385" s="9" t="n">
        <v>259</v>
      </c>
      <c r="I1385" s="9" t="inlineStr">
        <is>
          <t>Bullpen Depth Arm</t>
        </is>
      </c>
      <c r="J1385" s="17" t="inlineStr">
        <is>
          <t>Opening Day</t>
        </is>
      </c>
      <c r="K1385" s="11">
        <f>IFERROR(INDEX(Roles!$B$17:$B$20,MATCH(J1385,Roles!$A$17:$A$20,0)),1)</f>
        <v/>
      </c>
      <c r="L1385" s="18" t="n">
        <v>1</v>
      </c>
      <c r="M1385" s="18" t="n"/>
      <c r="N1385" s="18" t="n"/>
      <c r="O1385" s="18" t="n"/>
      <c r="P1385" s="18" t="n"/>
      <c r="Q1385" s="18" t="n"/>
      <c r="R1385" s="18" t="n"/>
      <c r="S1385" s="18" t="n"/>
      <c r="T1385" s="18" t="n"/>
      <c r="U1385" s="18" t="n"/>
      <c r="V1385" s="18" t="n"/>
      <c r="W1385" s="18" t="n"/>
      <c r="X1385" s="18" t="n"/>
      <c r="Y1385" s="13">
        <f>SUMPRODUCT(M1385:X1385,$M$2:$X$2)*$K1385*$L1385</f>
        <v/>
      </c>
      <c r="Z1385" s="14">
        <f>SUM(M1385:X1385)</f>
        <v/>
      </c>
      <c r="AA1385" s="13">
        <f>SUMPRODUCT(M1385:X1385,$M$3:$X$3)*$K1385*$L1385</f>
        <v/>
      </c>
      <c r="AB1385" s="13">
        <f>SUMPRODUCT(M1385:X1385,$M$4:$X$4)*$K1385*$L1385</f>
        <v/>
      </c>
      <c r="AC1385" s="15">
        <f>SUMPRODUCT(M1385:X1385,$M$5:$X$5)*$K1385*$L1385</f>
        <v/>
      </c>
      <c r="AD1385" s="15">
        <f>SUMPRODUCT(M1385:X1385,$M$6:$X$6)*$K1385*$L1385</f>
        <v/>
      </c>
      <c r="AE1385" s="19" t="n"/>
    </row>
    <row r="1386">
      <c r="A1386" s="9" t="n">
        <v>677865</v>
      </c>
      <c r="B1386" s="9" t="inlineStr">
        <is>
          <t>Justin Bruihl</t>
        </is>
      </c>
      <c r="C1386" s="9" t="inlineStr">
        <is>
          <t>STL</t>
        </is>
      </c>
      <c r="D1386" s="9" t="n">
        <v>30</v>
      </c>
      <c r="E1386" s="17" t="inlineStr">
        <is>
          <t>L</t>
        </is>
      </c>
      <c r="F1386" s="17" t="n"/>
      <c r="G1386" s="9" t="n">
        <v>328</v>
      </c>
      <c r="H1386" s="9" t="n">
        <v>641</v>
      </c>
      <c r="I1386" s="9" t="inlineStr">
        <is>
          <t>Bullpen Depth Arm</t>
        </is>
      </c>
      <c r="J1386" s="17" t="inlineStr">
        <is>
          <t>Opening Day</t>
        </is>
      </c>
      <c r="K1386" s="11">
        <f>IFERROR(INDEX(Roles!$B$17:$B$20,MATCH(J1386,Roles!$A$17:$A$20,0)),1)</f>
        <v/>
      </c>
      <c r="L1386" s="18" t="n">
        <v>1</v>
      </c>
      <c r="M1386" s="18" t="n"/>
      <c r="N1386" s="18" t="n"/>
      <c r="O1386" s="18" t="n"/>
      <c r="P1386" s="18" t="n"/>
      <c r="Q1386" s="18" t="n"/>
      <c r="R1386" s="18" t="n"/>
      <c r="S1386" s="18" t="n"/>
      <c r="T1386" s="18" t="n"/>
      <c r="U1386" s="18" t="n"/>
      <c r="V1386" s="18" t="n"/>
      <c r="W1386" s="18" t="n"/>
      <c r="X1386" s="18" t="n"/>
      <c r="Y1386" s="13">
        <f>SUMPRODUCT(M1386:X1386,$M$2:$X$2)*$K1386*$L1386</f>
        <v/>
      </c>
      <c r="Z1386" s="14">
        <f>SUM(M1386:X1386)</f>
        <v/>
      </c>
      <c r="AA1386" s="13">
        <f>SUMPRODUCT(M1386:X1386,$M$3:$X$3)*$K1386*$L1386</f>
        <v/>
      </c>
      <c r="AB1386" s="13">
        <f>SUMPRODUCT(M1386:X1386,$M$4:$X$4)*$K1386*$L1386</f>
        <v/>
      </c>
      <c r="AC1386" s="15">
        <f>SUMPRODUCT(M1386:X1386,$M$5:$X$5)*$K1386*$L1386</f>
        <v/>
      </c>
      <c r="AD1386" s="15">
        <f>SUMPRODUCT(M1386:X1386,$M$6:$X$6)*$K1386*$L1386</f>
        <v/>
      </c>
      <c r="AE1386" s="19" t="n"/>
    </row>
    <row r="1387">
      <c r="A1387" s="9" t="n">
        <v>663738</v>
      </c>
      <c r="B1387" s="9" t="inlineStr">
        <is>
          <t>Daniel Lynch IV</t>
        </is>
      </c>
      <c r="C1387" s="9" t="inlineStr">
        <is>
          <t>KC</t>
        </is>
      </c>
      <c r="D1387" s="9" t="n">
        <v>30</v>
      </c>
      <c r="E1387" s="17" t="inlineStr">
        <is>
          <t>L</t>
        </is>
      </c>
      <c r="F1387" s="17" t="n"/>
      <c r="G1387" s="9" t="n">
        <v>312</v>
      </c>
      <c r="H1387" s="9" t="n">
        <v>1598</v>
      </c>
      <c r="I1387" s="9" t="inlineStr">
        <is>
          <t>Bullpen Depth Arm</t>
        </is>
      </c>
      <c r="J1387" s="17" t="inlineStr">
        <is>
          <t>Opening Day</t>
        </is>
      </c>
      <c r="K1387" s="11">
        <f>IFERROR(INDEX(Roles!$B$17:$B$20,MATCH(J1387,Roles!$A$17:$A$20,0)),1)</f>
        <v/>
      </c>
      <c r="L1387" s="18" t="n">
        <v>1</v>
      </c>
      <c r="M1387" s="18" t="n"/>
      <c r="N1387" s="18" t="n"/>
      <c r="O1387" s="18" t="n"/>
      <c r="P1387" s="18" t="n"/>
      <c r="Q1387" s="18" t="n"/>
      <c r="R1387" s="18" t="n"/>
      <c r="S1387" s="18" t="n"/>
      <c r="T1387" s="18" t="n"/>
      <c r="U1387" s="18" t="n"/>
      <c r="V1387" s="18" t="n"/>
      <c r="W1387" s="18" t="n"/>
      <c r="X1387" s="18" t="n"/>
      <c r="Y1387" s="13">
        <f>SUMPRODUCT(M1387:X1387,$M$2:$X$2)*$K1387*$L1387</f>
        <v/>
      </c>
      <c r="Z1387" s="14">
        <f>SUM(M1387:X1387)</f>
        <v/>
      </c>
      <c r="AA1387" s="13">
        <f>SUMPRODUCT(M1387:X1387,$M$3:$X$3)*$K1387*$L1387</f>
        <v/>
      </c>
      <c r="AB1387" s="13">
        <f>SUMPRODUCT(M1387:X1387,$M$4:$X$4)*$K1387*$L1387</f>
        <v/>
      </c>
      <c r="AC1387" s="15">
        <f>SUMPRODUCT(M1387:X1387,$M$5:$X$5)*$K1387*$L1387</f>
        <v/>
      </c>
      <c r="AD1387" s="15">
        <f>SUMPRODUCT(M1387:X1387,$M$6:$X$6)*$K1387*$L1387</f>
        <v/>
      </c>
      <c r="AE1387" s="19" t="n"/>
    </row>
    <row r="1388">
      <c r="A1388" s="9" t="n">
        <v>681867</v>
      </c>
      <c r="B1388" s="9" t="inlineStr">
        <is>
          <t>Cooper Criswell</t>
        </is>
      </c>
      <c r="C1388" s="9" t="inlineStr">
        <is>
          <t>SEA</t>
        </is>
      </c>
      <c r="D1388" s="9" t="n">
        <v>30</v>
      </c>
      <c r="E1388" s="17" t="inlineStr">
        <is>
          <t>R</t>
        </is>
      </c>
      <c r="F1388" s="17" t="n"/>
      <c r="G1388" s="9" t="n">
        <v>153</v>
      </c>
      <c r="H1388" s="9" t="n">
        <v>821</v>
      </c>
      <c r="I1388" s="9" t="inlineStr">
        <is>
          <t>Bullpen Depth Arm</t>
        </is>
      </c>
      <c r="J1388" s="17" t="inlineStr">
        <is>
          <t>Opening Day</t>
        </is>
      </c>
      <c r="K1388" s="11">
        <f>IFERROR(INDEX(Roles!$B$17:$B$20,MATCH(J1388,Roles!$A$17:$A$20,0)),1)</f>
        <v/>
      </c>
      <c r="L1388" s="18" t="n">
        <v>1</v>
      </c>
      <c r="M1388" s="18" t="n"/>
      <c r="N1388" s="18" t="n"/>
      <c r="O1388" s="18" t="n"/>
      <c r="P1388" s="18" t="n"/>
      <c r="Q1388" s="18" t="n"/>
      <c r="R1388" s="18" t="n"/>
      <c r="S1388" s="18" t="n"/>
      <c r="T1388" s="18" t="n"/>
      <c r="U1388" s="18" t="n"/>
      <c r="V1388" s="18" t="n"/>
      <c r="W1388" s="18" t="n"/>
      <c r="X1388" s="18" t="n"/>
      <c r="Y1388" s="13">
        <f>SUMPRODUCT(M1388:X1388,$M$2:$X$2)*$K1388*$L1388</f>
        <v/>
      </c>
      <c r="Z1388" s="14">
        <f>SUM(M1388:X1388)</f>
        <v/>
      </c>
      <c r="AA1388" s="13">
        <f>SUMPRODUCT(M1388:X1388,$M$3:$X$3)*$K1388*$L1388</f>
        <v/>
      </c>
      <c r="AB1388" s="13">
        <f>SUMPRODUCT(M1388:X1388,$M$4:$X$4)*$K1388*$L1388</f>
        <v/>
      </c>
      <c r="AC1388" s="15">
        <f>SUMPRODUCT(M1388:X1388,$M$5:$X$5)*$K1388*$L1388</f>
        <v/>
      </c>
      <c r="AD1388" s="15">
        <f>SUMPRODUCT(M1388:X1388,$M$6:$X$6)*$K1388*$L1388</f>
        <v/>
      </c>
      <c r="AE1388" s="19" t="n"/>
    </row>
    <row r="1389">
      <c r="A1389" s="9" t="n">
        <v>607968</v>
      </c>
      <c r="B1389" s="9" t="inlineStr">
        <is>
          <t>Drew Rucinski</t>
        </is>
      </c>
      <c r="C1389" s="9" t="inlineStr">
        <is>
          <t>OAK</t>
        </is>
      </c>
      <c r="D1389" s="9" t="n">
        <v>38</v>
      </c>
      <c r="E1389" s="17" t="inlineStr">
        <is>
          <t>R</t>
        </is>
      </c>
      <c r="F1389" s="17" t="n"/>
      <c r="G1389" s="9" t="n">
        <v>95</v>
      </c>
      <c r="H1389" s="9" t="n">
        <v>95</v>
      </c>
      <c r="I1389" s="9" t="inlineStr">
        <is>
          <t>Depth (no MLB IP)</t>
        </is>
      </c>
      <c r="J1389" s="17" t="inlineStr">
        <is>
          <t>Opening Day</t>
        </is>
      </c>
      <c r="K1389" s="11">
        <f>IFERROR(INDEX(Roles!$B$17:$B$20,MATCH(J1389,Roles!$A$17:$A$20,0)),1)</f>
        <v/>
      </c>
      <c r="L1389" s="18" t="n">
        <v>1</v>
      </c>
      <c r="M1389" s="18" t="n"/>
      <c r="N1389" s="18" t="n"/>
      <c r="O1389" s="18" t="n"/>
      <c r="P1389" s="18" t="n"/>
      <c r="Q1389" s="18" t="n"/>
      <c r="R1389" s="18" t="n"/>
      <c r="S1389" s="18" t="n"/>
      <c r="T1389" s="18" t="n"/>
      <c r="U1389" s="18" t="n"/>
      <c r="V1389" s="18" t="n"/>
      <c r="W1389" s="18" t="n"/>
      <c r="X1389" s="18" t="n"/>
      <c r="Y1389" s="13">
        <f>SUMPRODUCT(M1389:X1389,$M$2:$X$2)*$K1389*$L1389</f>
        <v/>
      </c>
      <c r="Z1389" s="14">
        <f>SUM(M1389:X1389)</f>
        <v/>
      </c>
      <c r="AA1389" s="13">
        <f>SUMPRODUCT(M1389:X1389,$M$3:$X$3)*$K1389*$L1389</f>
        <v/>
      </c>
      <c r="AB1389" s="13">
        <f>SUMPRODUCT(M1389:X1389,$M$4:$X$4)*$K1389*$L1389</f>
        <v/>
      </c>
      <c r="AC1389" s="15">
        <f>SUMPRODUCT(M1389:X1389,$M$5:$X$5)*$K1389*$L1389</f>
        <v/>
      </c>
      <c r="AD1389" s="15">
        <f>SUMPRODUCT(M1389:X1389,$M$6:$X$6)*$K1389*$L1389</f>
        <v/>
      </c>
      <c r="AE1389" s="19" t="n"/>
    </row>
    <row r="1390">
      <c r="A1390" s="9" t="n">
        <v>598286</v>
      </c>
      <c r="B1390" s="9" t="inlineStr">
        <is>
          <t>Nick Ramirez</t>
        </is>
      </c>
      <c r="C1390" s="9" t="inlineStr">
        <is>
          <t>LAD</t>
        </is>
      </c>
      <c r="D1390" s="9" t="n">
        <v>37</v>
      </c>
      <c r="E1390" s="17" t="inlineStr">
        <is>
          <t>L</t>
        </is>
      </c>
      <c r="F1390" s="17" t="n"/>
      <c r="G1390" s="9" t="n">
        <v>63</v>
      </c>
      <c r="H1390" s="9" t="n">
        <v>235</v>
      </c>
      <c r="I1390" s="9" t="inlineStr">
        <is>
          <t>Depth (no MLB IP)</t>
        </is>
      </c>
      <c r="J1390" s="17" t="inlineStr">
        <is>
          <t>Opening Day</t>
        </is>
      </c>
      <c r="K1390" s="11">
        <f>IFERROR(INDEX(Roles!$B$17:$B$20,MATCH(J1390,Roles!$A$17:$A$20,0)),1)</f>
        <v/>
      </c>
      <c r="L1390" s="18" t="n">
        <v>1</v>
      </c>
      <c r="M1390" s="18" t="n"/>
      <c r="N1390" s="18" t="n"/>
      <c r="O1390" s="18" t="n"/>
      <c r="P1390" s="18" t="n"/>
      <c r="Q1390" s="18" t="n"/>
      <c r="R1390" s="18" t="n"/>
      <c r="S1390" s="18" t="n"/>
      <c r="T1390" s="18" t="n"/>
      <c r="U1390" s="18" t="n"/>
      <c r="V1390" s="18" t="n"/>
      <c r="W1390" s="18" t="n"/>
      <c r="X1390" s="18" t="n"/>
      <c r="Y1390" s="13">
        <f>SUMPRODUCT(M1390:X1390,$M$2:$X$2)*$K1390*$L1390</f>
        <v/>
      </c>
      <c r="Z1390" s="14">
        <f>SUM(M1390:X1390)</f>
        <v/>
      </c>
      <c r="AA1390" s="13">
        <f>SUMPRODUCT(M1390:X1390,$M$3:$X$3)*$K1390*$L1390</f>
        <v/>
      </c>
      <c r="AB1390" s="13">
        <f>SUMPRODUCT(M1390:X1390,$M$4:$X$4)*$K1390*$L1390</f>
        <v/>
      </c>
      <c r="AC1390" s="15">
        <f>SUMPRODUCT(M1390:X1390,$M$5:$X$5)*$K1390*$L1390</f>
        <v/>
      </c>
      <c r="AD1390" s="15">
        <f>SUMPRODUCT(M1390:X1390,$M$6:$X$6)*$K1390*$L1390</f>
        <v/>
      </c>
      <c r="AE1390" s="19" t="n"/>
    </row>
    <row r="1391">
      <c r="A1391" s="9" t="n">
        <v>607259</v>
      </c>
      <c r="B1391" s="9" t="inlineStr">
        <is>
          <t>Nick Martinez</t>
        </is>
      </c>
      <c r="C1391" s="9" t="inlineStr">
        <is>
          <t>TB</t>
        </is>
      </c>
      <c r="D1391" s="9" t="n">
        <v>36</v>
      </c>
      <c r="E1391" s="17" t="inlineStr">
        <is>
          <t>R</t>
        </is>
      </c>
      <c r="F1391" s="17" t="n"/>
      <c r="G1391" s="9" t="n">
        <v>682</v>
      </c>
      <c r="H1391" s="9" t="n">
        <v>2844</v>
      </c>
      <c r="I1391" s="9" t="inlineStr">
        <is>
          <t>End-of-Rotation Starter (SP4-5)</t>
        </is>
      </c>
      <c r="J1391" s="17" t="inlineStr">
        <is>
          <t>Opening Day</t>
        </is>
      </c>
      <c r="K1391" s="11">
        <f>IFERROR(INDEX(Roles!$B$17:$B$20,MATCH(J1391,Roles!$A$17:$A$20,0)),1)</f>
        <v/>
      </c>
      <c r="L1391" s="18" t="n">
        <v>1</v>
      </c>
      <c r="M1391" s="18" t="n"/>
      <c r="N1391" s="18" t="n"/>
      <c r="O1391" s="18" t="n"/>
      <c r="P1391" s="18" t="n"/>
      <c r="Q1391" s="18" t="n"/>
      <c r="R1391" s="18" t="n"/>
      <c r="S1391" s="18" t="n"/>
      <c r="T1391" s="18" t="n"/>
      <c r="U1391" s="18" t="n"/>
      <c r="V1391" s="18" t="n"/>
      <c r="W1391" s="18" t="n"/>
      <c r="X1391" s="18" t="n"/>
      <c r="Y1391" s="13">
        <f>SUMPRODUCT(M1391:X1391,$M$2:$X$2)*$K1391*$L1391</f>
        <v/>
      </c>
      <c r="Z1391" s="14">
        <f>SUM(M1391:X1391)</f>
        <v/>
      </c>
      <c r="AA1391" s="13">
        <f>SUMPRODUCT(M1391:X1391,$M$3:$X$3)*$K1391*$L1391</f>
        <v/>
      </c>
      <c r="AB1391" s="13">
        <f>SUMPRODUCT(M1391:X1391,$M$4:$X$4)*$K1391*$L1391</f>
        <v/>
      </c>
      <c r="AC1391" s="15">
        <f>SUMPRODUCT(M1391:X1391,$M$5:$X$5)*$K1391*$L1391</f>
        <v/>
      </c>
      <c r="AD1391" s="15">
        <f>SUMPRODUCT(M1391:X1391,$M$6:$X$6)*$K1391*$L1391</f>
        <v/>
      </c>
      <c r="AE1391" s="19" t="n"/>
    </row>
    <row r="1392">
      <c r="A1392" s="9" t="n">
        <v>647315</v>
      </c>
      <c r="B1392" s="9" t="inlineStr">
        <is>
          <t>Zach Pop</t>
        </is>
      </c>
      <c r="C1392" s="9" t="inlineStr">
        <is>
          <t>PHI</t>
        </is>
      </c>
      <c r="D1392" s="9" t="n">
        <v>30</v>
      </c>
      <c r="E1392" s="17" t="inlineStr">
        <is>
          <t>R</t>
        </is>
      </c>
      <c r="F1392" s="17" t="n"/>
      <c r="G1392" s="9" t="n">
        <v>31</v>
      </c>
      <c r="H1392" s="9" t="n">
        <v>492</v>
      </c>
      <c r="I1392" s="9" t="inlineStr">
        <is>
          <t>Bullpen Depth Arm</t>
        </is>
      </c>
      <c r="J1392" s="17" t="inlineStr">
        <is>
          <t>Opening Day</t>
        </is>
      </c>
      <c r="K1392" s="11">
        <f>IFERROR(INDEX(Roles!$B$17:$B$20,MATCH(J1392,Roles!$A$17:$A$20,0)),1)</f>
        <v/>
      </c>
      <c r="L1392" s="18" t="n">
        <v>1</v>
      </c>
      <c r="M1392" s="18" t="n"/>
      <c r="N1392" s="18" t="n"/>
      <c r="O1392" s="18" t="n"/>
      <c r="P1392" s="18" t="n"/>
      <c r="Q1392" s="18" t="n"/>
      <c r="R1392" s="18" t="n"/>
      <c r="S1392" s="18" t="n"/>
      <c r="T1392" s="18" t="n"/>
      <c r="U1392" s="18" t="n"/>
      <c r="V1392" s="18" t="n"/>
      <c r="W1392" s="18" t="n"/>
      <c r="X1392" s="18" t="n"/>
      <c r="Y1392" s="13">
        <f>SUMPRODUCT(M1392:X1392,$M$2:$X$2)*$K1392*$L1392</f>
        <v/>
      </c>
      <c r="Z1392" s="14">
        <f>SUM(M1392:X1392)</f>
        <v/>
      </c>
      <c r="AA1392" s="13">
        <f>SUMPRODUCT(M1392:X1392,$M$3:$X$3)*$K1392*$L1392</f>
        <v/>
      </c>
      <c r="AB1392" s="13">
        <f>SUMPRODUCT(M1392:X1392,$M$4:$X$4)*$K1392*$L1392</f>
        <v/>
      </c>
      <c r="AC1392" s="15">
        <f>SUMPRODUCT(M1392:X1392,$M$5:$X$5)*$K1392*$L1392</f>
        <v/>
      </c>
      <c r="AD1392" s="15">
        <f>SUMPRODUCT(M1392:X1392,$M$6:$X$6)*$K1392*$L1392</f>
        <v/>
      </c>
      <c r="AE1392" s="19" t="n"/>
    </row>
    <row r="1393">
      <c r="A1393" s="9" t="n">
        <v>695076</v>
      </c>
      <c r="B1393" s="9" t="inlineStr">
        <is>
          <t>Rhett Lowder</t>
        </is>
      </c>
      <c r="C1393" s="9" t="inlineStr">
        <is>
          <t>CIN</t>
        </is>
      </c>
      <c r="D1393" s="9" t="n">
        <v>25</v>
      </c>
      <c r="E1393" s="17" t="inlineStr">
        <is>
          <t>R</t>
        </is>
      </c>
      <c r="F1393" s="17" t="n"/>
      <c r="G1393" s="9" t="n">
        <v>563</v>
      </c>
      <c r="H1393" s="9" t="n">
        <v>691</v>
      </c>
      <c r="I1393" s="9" t="inlineStr">
        <is>
          <t>End-of-Rotation Starter (SP4-5)</t>
        </is>
      </c>
      <c r="J1393" s="17" t="inlineStr">
        <is>
          <t>Opening Day</t>
        </is>
      </c>
      <c r="K1393" s="11">
        <f>IFERROR(INDEX(Roles!$B$17:$B$20,MATCH(J1393,Roles!$A$17:$A$20,0)),1)</f>
        <v/>
      </c>
      <c r="L1393" s="18" t="n">
        <v>1</v>
      </c>
      <c r="M1393" s="18" t="n"/>
      <c r="N1393" s="18" t="n"/>
      <c r="O1393" s="18" t="n"/>
      <c r="P1393" s="18" t="n"/>
      <c r="Q1393" s="18" t="n"/>
      <c r="R1393" s="18" t="n"/>
      <c r="S1393" s="18" t="n"/>
      <c r="T1393" s="18" t="n"/>
      <c r="U1393" s="18" t="n"/>
      <c r="V1393" s="18" t="n"/>
      <c r="W1393" s="18" t="n"/>
      <c r="X1393" s="18" t="n"/>
      <c r="Y1393" s="13">
        <f>SUMPRODUCT(M1393:X1393,$M$2:$X$2)*$K1393*$L1393</f>
        <v/>
      </c>
      <c r="Z1393" s="14">
        <f>SUM(M1393:X1393)</f>
        <v/>
      </c>
      <c r="AA1393" s="13">
        <f>SUMPRODUCT(M1393:X1393,$M$3:$X$3)*$K1393*$L1393</f>
        <v/>
      </c>
      <c r="AB1393" s="13">
        <f>SUMPRODUCT(M1393:X1393,$M$4:$X$4)*$K1393*$L1393</f>
        <v/>
      </c>
      <c r="AC1393" s="15">
        <f>SUMPRODUCT(M1393:X1393,$M$5:$X$5)*$K1393*$L1393</f>
        <v/>
      </c>
      <c r="AD1393" s="15">
        <f>SUMPRODUCT(M1393:X1393,$M$6:$X$6)*$K1393*$L1393</f>
        <v/>
      </c>
      <c r="AE1393" s="19" t="n"/>
    </row>
    <row r="1394">
      <c r="A1394" s="9" t="n">
        <v>689672</v>
      </c>
      <c r="B1394" s="9" t="inlineStr">
        <is>
          <t>Drew Thorpe</t>
        </is>
      </c>
      <c r="C1394" s="9" t="inlineStr">
        <is>
          <t>CWS</t>
        </is>
      </c>
      <c r="D1394" s="9" t="n">
        <v>26</v>
      </c>
      <c r="E1394" s="17" t="inlineStr">
        <is>
          <t>R</t>
        </is>
      </c>
      <c r="F1394" s="17" t="n"/>
      <c r="G1394" s="9" t="n">
        <v>190</v>
      </c>
      <c r="H1394" s="9" t="n">
        <v>190</v>
      </c>
      <c r="I1394" s="9" t="inlineStr">
        <is>
          <t>Depth (no MLB IP)</t>
        </is>
      </c>
      <c r="J1394" s="17" t="inlineStr">
        <is>
          <t>Opening Day</t>
        </is>
      </c>
      <c r="K1394" s="11">
        <f>IFERROR(INDEX(Roles!$B$17:$B$20,MATCH(J1394,Roles!$A$17:$A$20,0)),1)</f>
        <v/>
      </c>
      <c r="L1394" s="18" t="n">
        <v>1</v>
      </c>
      <c r="M1394" s="18" t="n"/>
      <c r="N1394" s="18" t="n"/>
      <c r="O1394" s="18" t="n"/>
      <c r="P1394" s="18" t="n"/>
      <c r="Q1394" s="18" t="n"/>
      <c r="R1394" s="18" t="n"/>
      <c r="S1394" s="18" t="n"/>
      <c r="T1394" s="18" t="n"/>
      <c r="U1394" s="18" t="n"/>
      <c r="V1394" s="18" t="n"/>
      <c r="W1394" s="18" t="n"/>
      <c r="X1394" s="18" t="n"/>
      <c r="Y1394" s="13">
        <f>SUMPRODUCT(M1394:X1394,$M$2:$X$2)*$K1394*$L1394</f>
        <v/>
      </c>
      <c r="Z1394" s="14">
        <f>SUM(M1394:X1394)</f>
        <v/>
      </c>
      <c r="AA1394" s="13">
        <f>SUMPRODUCT(M1394:X1394,$M$3:$X$3)*$K1394*$L1394</f>
        <v/>
      </c>
      <c r="AB1394" s="13">
        <f>SUMPRODUCT(M1394:X1394,$M$4:$X$4)*$K1394*$L1394</f>
        <v/>
      </c>
      <c r="AC1394" s="15">
        <f>SUMPRODUCT(M1394:X1394,$M$5:$X$5)*$K1394*$L1394</f>
        <v/>
      </c>
      <c r="AD1394" s="15">
        <f>SUMPRODUCT(M1394:X1394,$M$6:$X$6)*$K1394*$L1394</f>
        <v/>
      </c>
      <c r="AE1394" s="19" t="n"/>
    </row>
    <row r="1395">
      <c r="A1395" s="9" t="n">
        <v>688297</v>
      </c>
      <c r="B1395" s="9" t="inlineStr">
        <is>
          <t>Chris Roycroft</t>
        </is>
      </c>
      <c r="C1395" s="9" t="inlineStr">
        <is>
          <t>OAK</t>
        </is>
      </c>
      <c r="D1395" s="9" t="n">
        <v>30</v>
      </c>
      <c r="E1395" s="17" t="inlineStr">
        <is>
          <t>R</t>
        </is>
      </c>
      <c r="F1395" s="17" t="n"/>
      <c r="G1395" s="9" t="n">
        <v>160</v>
      </c>
      <c r="H1395" s="9" t="n">
        <v>416</v>
      </c>
      <c r="I1395" s="9" t="inlineStr">
        <is>
          <t>Bullpen Depth Arm</t>
        </is>
      </c>
      <c r="J1395" s="17" t="inlineStr">
        <is>
          <t>Opening Day</t>
        </is>
      </c>
      <c r="K1395" s="11">
        <f>IFERROR(INDEX(Roles!$B$17:$B$20,MATCH(J1395,Roles!$A$17:$A$20,0)),1)</f>
        <v/>
      </c>
      <c r="L1395" s="18" t="n">
        <v>1</v>
      </c>
      <c r="M1395" s="18" t="n"/>
      <c r="N1395" s="18" t="n"/>
      <c r="O1395" s="18" t="n"/>
      <c r="P1395" s="18" t="n"/>
      <c r="Q1395" s="18" t="n"/>
      <c r="R1395" s="18" t="n"/>
      <c r="S1395" s="18" t="n"/>
      <c r="T1395" s="18" t="n"/>
      <c r="U1395" s="18" t="n"/>
      <c r="V1395" s="18" t="n"/>
      <c r="W1395" s="18" t="n"/>
      <c r="X1395" s="18" t="n"/>
      <c r="Y1395" s="13">
        <f>SUMPRODUCT(M1395:X1395,$M$2:$X$2)*$K1395*$L1395</f>
        <v/>
      </c>
      <c r="Z1395" s="14">
        <f>SUM(M1395:X1395)</f>
        <v/>
      </c>
      <c r="AA1395" s="13">
        <f>SUMPRODUCT(M1395:X1395,$M$3:$X$3)*$K1395*$L1395</f>
        <v/>
      </c>
      <c r="AB1395" s="13">
        <f>SUMPRODUCT(M1395:X1395,$M$4:$X$4)*$K1395*$L1395</f>
        <v/>
      </c>
      <c r="AC1395" s="15">
        <f>SUMPRODUCT(M1395:X1395,$M$5:$X$5)*$K1395*$L1395</f>
        <v/>
      </c>
      <c r="AD1395" s="15">
        <f>SUMPRODUCT(M1395:X1395,$M$6:$X$6)*$K1395*$L1395</f>
        <v/>
      </c>
      <c r="AE1395" s="19" t="n"/>
    </row>
    <row r="1396">
      <c r="A1396" s="9" t="n">
        <v>686826</v>
      </c>
      <c r="B1396" s="9" t="inlineStr">
        <is>
          <t>Bryce Jarvis</t>
        </is>
      </c>
      <c r="C1396" s="9" t="inlineStr">
        <is>
          <t>ARI</t>
        </is>
      </c>
      <c r="D1396" s="9" t="n">
        <v>29</v>
      </c>
      <c r="E1396" s="17" t="inlineStr">
        <is>
          <t>R</t>
        </is>
      </c>
      <c r="F1396" s="17" t="n"/>
      <c r="G1396" s="9" t="n">
        <v>98</v>
      </c>
      <c r="H1396" s="9" t="n">
        <v>448</v>
      </c>
      <c r="I1396" s="9" t="inlineStr">
        <is>
          <t>Bullpen Depth Arm</t>
        </is>
      </c>
      <c r="J1396" s="17" t="inlineStr">
        <is>
          <t>Opening Day</t>
        </is>
      </c>
      <c r="K1396" s="11">
        <f>IFERROR(INDEX(Roles!$B$17:$B$20,MATCH(J1396,Roles!$A$17:$A$20,0)),1)</f>
        <v/>
      </c>
      <c r="L1396" s="18" t="n">
        <v>1</v>
      </c>
      <c r="M1396" s="18" t="n"/>
      <c r="N1396" s="18" t="n"/>
      <c r="O1396" s="18" t="n"/>
      <c r="P1396" s="18" t="n"/>
      <c r="Q1396" s="18" t="n"/>
      <c r="R1396" s="18" t="n"/>
      <c r="S1396" s="18" t="n"/>
      <c r="T1396" s="18" t="n"/>
      <c r="U1396" s="18" t="n"/>
      <c r="V1396" s="18" t="n"/>
      <c r="W1396" s="18" t="n"/>
      <c r="X1396" s="18" t="n"/>
      <c r="Y1396" s="13">
        <f>SUMPRODUCT(M1396:X1396,$M$2:$X$2)*$K1396*$L1396</f>
        <v/>
      </c>
      <c r="Z1396" s="14">
        <f>SUM(M1396:X1396)</f>
        <v/>
      </c>
      <c r="AA1396" s="13">
        <f>SUMPRODUCT(M1396:X1396,$M$3:$X$3)*$K1396*$L1396</f>
        <v/>
      </c>
      <c r="AB1396" s="13">
        <f>SUMPRODUCT(M1396:X1396,$M$4:$X$4)*$K1396*$L1396</f>
        <v/>
      </c>
      <c r="AC1396" s="15">
        <f>SUMPRODUCT(M1396:X1396,$M$5:$X$5)*$K1396*$L1396</f>
        <v/>
      </c>
      <c r="AD1396" s="15">
        <f>SUMPRODUCT(M1396:X1396,$M$6:$X$6)*$K1396*$L1396</f>
        <v/>
      </c>
      <c r="AE1396" s="19" t="n"/>
    </row>
    <row r="1397">
      <c r="A1397" s="9" t="n">
        <v>527048</v>
      </c>
      <c r="B1397" s="9" t="inlineStr">
        <is>
          <t>Martín Pérez</t>
        </is>
      </c>
      <c r="C1397" s="9" t="inlineStr">
        <is>
          <t>ATL</t>
        </is>
      </c>
      <c r="D1397" s="9" t="n">
        <v>36</v>
      </c>
      <c r="E1397" s="17" t="inlineStr">
        <is>
          <t>L</t>
        </is>
      </c>
      <c r="F1397" s="17" t="n"/>
      <c r="G1397" s="9" t="n">
        <v>575</v>
      </c>
      <c r="H1397" s="9" t="n">
        <v>2822</v>
      </c>
      <c r="I1397" s="9" t="inlineStr">
        <is>
          <t>End-of-Rotation Starter (SP4-5)</t>
        </is>
      </c>
      <c r="J1397" s="17" t="inlineStr">
        <is>
          <t>Opening Day</t>
        </is>
      </c>
      <c r="K1397" s="11">
        <f>IFERROR(INDEX(Roles!$B$17:$B$20,MATCH(J1397,Roles!$A$17:$A$20,0)),1)</f>
        <v/>
      </c>
      <c r="L1397" s="18" t="n">
        <v>1</v>
      </c>
      <c r="M1397" s="18" t="n"/>
      <c r="N1397" s="18" t="n"/>
      <c r="O1397" s="18" t="n"/>
      <c r="P1397" s="18" t="n"/>
      <c r="Q1397" s="18" t="n"/>
      <c r="R1397" s="18" t="n"/>
      <c r="S1397" s="18" t="n"/>
      <c r="T1397" s="18" t="n"/>
      <c r="U1397" s="18" t="n"/>
      <c r="V1397" s="18" t="n"/>
      <c r="W1397" s="18" t="n"/>
      <c r="X1397" s="18" t="n"/>
      <c r="Y1397" s="13">
        <f>SUMPRODUCT(M1397:X1397,$M$2:$X$2)*$K1397*$L1397</f>
        <v/>
      </c>
      <c r="Z1397" s="14">
        <f>SUM(M1397:X1397)</f>
        <v/>
      </c>
      <c r="AA1397" s="13">
        <f>SUMPRODUCT(M1397:X1397,$M$3:$X$3)*$K1397*$L1397</f>
        <v/>
      </c>
      <c r="AB1397" s="13">
        <f>SUMPRODUCT(M1397:X1397,$M$4:$X$4)*$K1397*$L1397</f>
        <v/>
      </c>
      <c r="AC1397" s="15">
        <f>SUMPRODUCT(M1397:X1397,$M$5:$X$5)*$K1397*$L1397</f>
        <v/>
      </c>
      <c r="AD1397" s="15">
        <f>SUMPRODUCT(M1397:X1397,$M$6:$X$6)*$K1397*$L1397</f>
        <v/>
      </c>
      <c r="AE1397" s="19" t="n"/>
    </row>
    <row r="1398">
      <c r="A1398" s="9" t="n">
        <v>621295</v>
      </c>
      <c r="B1398" s="9" t="inlineStr">
        <is>
          <t>Nick Wittgren</t>
        </is>
      </c>
      <c r="C1398" s="9" t="inlineStr">
        <is>
          <t>KC</t>
        </is>
      </c>
      <c r="D1398" s="9" t="n">
        <v>36</v>
      </c>
      <c r="E1398" s="17" t="inlineStr">
        <is>
          <t>R</t>
        </is>
      </c>
      <c r="F1398" s="17" t="n"/>
      <c r="G1398" s="9" t="n">
        <v>128</v>
      </c>
      <c r="H1398" s="9" t="n">
        <v>262</v>
      </c>
      <c r="I1398" s="9" t="inlineStr">
        <is>
          <t>Depth (no MLB IP)</t>
        </is>
      </c>
      <c r="J1398" s="17" t="inlineStr">
        <is>
          <t>Opening Day</t>
        </is>
      </c>
      <c r="K1398" s="11">
        <f>IFERROR(INDEX(Roles!$B$17:$B$20,MATCH(J1398,Roles!$A$17:$A$20,0)),1)</f>
        <v/>
      </c>
      <c r="L1398" s="18" t="n">
        <v>1</v>
      </c>
      <c r="M1398" s="18" t="n"/>
      <c r="N1398" s="18" t="n"/>
      <c r="O1398" s="18" t="n"/>
      <c r="P1398" s="18" t="n"/>
      <c r="Q1398" s="18" t="n"/>
      <c r="R1398" s="18" t="n"/>
      <c r="S1398" s="18" t="n"/>
      <c r="T1398" s="18" t="n"/>
      <c r="U1398" s="18" t="n"/>
      <c r="V1398" s="18" t="n"/>
      <c r="W1398" s="18" t="n"/>
      <c r="X1398" s="18" t="n"/>
      <c r="Y1398" s="13">
        <f>SUMPRODUCT(M1398:X1398,$M$2:$X$2)*$K1398*$L1398</f>
        <v/>
      </c>
      <c r="Z1398" s="14">
        <f>SUM(M1398:X1398)</f>
        <v/>
      </c>
      <c r="AA1398" s="13">
        <f>SUMPRODUCT(M1398:X1398,$M$3:$X$3)*$K1398*$L1398</f>
        <v/>
      </c>
      <c r="AB1398" s="13">
        <f>SUMPRODUCT(M1398:X1398,$M$4:$X$4)*$K1398*$L1398</f>
        <v/>
      </c>
      <c r="AC1398" s="15">
        <f>SUMPRODUCT(M1398:X1398,$M$5:$X$5)*$K1398*$L1398</f>
        <v/>
      </c>
      <c r="AD1398" s="15">
        <f>SUMPRODUCT(M1398:X1398,$M$6:$X$6)*$K1398*$L1398</f>
        <v/>
      </c>
      <c r="AE1398" s="19" t="n"/>
    </row>
    <row r="1399">
      <c r="A1399" s="9" t="n">
        <v>642232</v>
      </c>
      <c r="B1399" s="9" t="inlineStr">
        <is>
          <t>Ryan Yarbrough</t>
        </is>
      </c>
      <c r="C1399" s="9" t="inlineStr">
        <is>
          <t>NYY</t>
        </is>
      </c>
      <c r="D1399" s="9" t="n">
        <v>35</v>
      </c>
      <c r="E1399" s="17" t="inlineStr">
        <is>
          <t>L</t>
        </is>
      </c>
      <c r="F1399" s="17" t="n"/>
      <c r="G1399" s="9" t="n">
        <v>245</v>
      </c>
      <c r="H1399" s="9" t="n">
        <v>1639</v>
      </c>
      <c r="I1399" s="9" t="inlineStr">
        <is>
          <t>Bullpen Depth Arm</t>
        </is>
      </c>
      <c r="J1399" s="17" t="inlineStr">
        <is>
          <t>Opening Day</t>
        </is>
      </c>
      <c r="K1399" s="11">
        <f>IFERROR(INDEX(Roles!$B$17:$B$20,MATCH(J1399,Roles!$A$17:$A$20,0)),1)</f>
        <v/>
      </c>
      <c r="L1399" s="18" t="n">
        <v>1</v>
      </c>
      <c r="M1399" s="18" t="n"/>
      <c r="N1399" s="18" t="n"/>
      <c r="O1399" s="18" t="n"/>
      <c r="P1399" s="18" t="n"/>
      <c r="Q1399" s="18" t="n"/>
      <c r="R1399" s="18" t="n"/>
      <c r="S1399" s="18" t="n"/>
      <c r="T1399" s="18" t="n"/>
      <c r="U1399" s="18" t="n"/>
      <c r="V1399" s="18" t="n"/>
      <c r="W1399" s="18" t="n"/>
      <c r="X1399" s="18" t="n"/>
      <c r="Y1399" s="13">
        <f>SUMPRODUCT(M1399:X1399,$M$2:$X$2)*$K1399*$L1399</f>
        <v/>
      </c>
      <c r="Z1399" s="14">
        <f>SUM(M1399:X1399)</f>
        <v/>
      </c>
      <c r="AA1399" s="13">
        <f>SUMPRODUCT(M1399:X1399,$M$3:$X$3)*$K1399*$L1399</f>
        <v/>
      </c>
      <c r="AB1399" s="13">
        <f>SUMPRODUCT(M1399:X1399,$M$4:$X$4)*$K1399*$L1399</f>
        <v/>
      </c>
      <c r="AC1399" s="15">
        <f>SUMPRODUCT(M1399:X1399,$M$5:$X$5)*$K1399*$L1399</f>
        <v/>
      </c>
      <c r="AD1399" s="15">
        <f>SUMPRODUCT(M1399:X1399,$M$6:$X$6)*$K1399*$L1399</f>
        <v/>
      </c>
      <c r="AE1399" s="19" t="n"/>
    </row>
    <row r="1400">
      <c r="A1400" s="9" t="n">
        <v>547179</v>
      </c>
      <c r="B1400" s="9" t="inlineStr">
        <is>
          <t>Michael Lorenzen</t>
        </is>
      </c>
      <c r="C1400" s="9" t="inlineStr">
        <is>
          <t>TOR</t>
        </is>
      </c>
      <c r="D1400" s="9" t="n">
        <v>35</v>
      </c>
      <c r="E1400" s="17" t="inlineStr">
        <is>
          <t>R</t>
        </is>
      </c>
      <c r="F1400" s="17" t="n"/>
      <c r="G1400" s="9" t="n">
        <v>619</v>
      </c>
      <c r="H1400" s="9" t="n">
        <v>2796</v>
      </c>
      <c r="I1400" s="9" t="inlineStr">
        <is>
          <t>End-of-Rotation Starter (SP4-5)</t>
        </is>
      </c>
      <c r="J1400" s="17" t="inlineStr">
        <is>
          <t>Opening Day</t>
        </is>
      </c>
      <c r="K1400" s="11">
        <f>IFERROR(INDEX(Roles!$B$17:$B$20,MATCH(J1400,Roles!$A$17:$A$20,0)),1)</f>
        <v/>
      </c>
      <c r="L1400" s="18" t="n">
        <v>1</v>
      </c>
      <c r="M1400" s="18" t="n"/>
      <c r="N1400" s="18" t="n"/>
      <c r="O1400" s="18" t="n"/>
      <c r="P1400" s="18" t="n"/>
      <c r="Q1400" s="18" t="n"/>
      <c r="R1400" s="18" t="n"/>
      <c r="S1400" s="18" t="n"/>
      <c r="T1400" s="18" t="n"/>
      <c r="U1400" s="18" t="n"/>
      <c r="V1400" s="18" t="n"/>
      <c r="W1400" s="18" t="n"/>
      <c r="X1400" s="18" t="n"/>
      <c r="Y1400" s="13">
        <f>SUMPRODUCT(M1400:X1400,$M$2:$X$2)*$K1400*$L1400</f>
        <v/>
      </c>
      <c r="Z1400" s="14">
        <f>SUM(M1400:X1400)</f>
        <v/>
      </c>
      <c r="AA1400" s="13">
        <f>SUMPRODUCT(M1400:X1400,$M$3:$X$3)*$K1400*$L1400</f>
        <v/>
      </c>
      <c r="AB1400" s="13">
        <f>SUMPRODUCT(M1400:X1400,$M$4:$X$4)*$K1400*$L1400</f>
        <v/>
      </c>
      <c r="AC1400" s="15">
        <f>SUMPRODUCT(M1400:X1400,$M$5:$X$5)*$K1400*$L1400</f>
        <v/>
      </c>
      <c r="AD1400" s="15">
        <f>SUMPRODUCT(M1400:X1400,$M$6:$X$6)*$K1400*$L1400</f>
        <v/>
      </c>
      <c r="AE1400" s="19" t="n"/>
    </row>
    <row r="1401">
      <c r="A1401" s="9" t="n">
        <v>666205</v>
      </c>
      <c r="B1401" s="9" t="inlineStr">
        <is>
          <t>Kyle Muller</t>
        </is>
      </c>
      <c r="C1401" s="9" t="inlineStr">
        <is>
          <t>OAK</t>
        </is>
      </c>
      <c r="D1401" s="9" t="n">
        <v>29</v>
      </c>
      <c r="E1401" s="17" t="inlineStr">
        <is>
          <t>L</t>
        </is>
      </c>
      <c r="F1401" s="17" t="n"/>
      <c r="G1401" s="9" t="n">
        <v>202</v>
      </c>
      <c r="H1401" s="9" t="n">
        <v>633</v>
      </c>
      <c r="I1401" s="9" t="inlineStr">
        <is>
          <t>Depth (no MLB IP)</t>
        </is>
      </c>
      <c r="J1401" s="17" t="inlineStr">
        <is>
          <t>Opening Day</t>
        </is>
      </c>
      <c r="K1401" s="11">
        <f>IFERROR(INDEX(Roles!$B$17:$B$20,MATCH(J1401,Roles!$A$17:$A$20,0)),1)</f>
        <v/>
      </c>
      <c r="L1401" s="18" t="n">
        <v>1</v>
      </c>
      <c r="M1401" s="18" t="n"/>
      <c r="N1401" s="18" t="n"/>
      <c r="O1401" s="18" t="n"/>
      <c r="P1401" s="18" t="n"/>
      <c r="Q1401" s="18" t="n"/>
      <c r="R1401" s="18" t="n"/>
      <c r="S1401" s="18" t="n"/>
      <c r="T1401" s="18" t="n"/>
      <c r="U1401" s="18" t="n"/>
      <c r="V1401" s="18" t="n"/>
      <c r="W1401" s="18" t="n"/>
      <c r="X1401" s="18" t="n"/>
      <c r="Y1401" s="13">
        <f>SUMPRODUCT(M1401:X1401,$M$2:$X$2)*$K1401*$L1401</f>
        <v/>
      </c>
      <c r="Z1401" s="14">
        <f>SUM(M1401:X1401)</f>
        <v/>
      </c>
      <c r="AA1401" s="13">
        <f>SUMPRODUCT(M1401:X1401,$M$3:$X$3)*$K1401*$L1401</f>
        <v/>
      </c>
      <c r="AB1401" s="13">
        <f>SUMPRODUCT(M1401:X1401,$M$4:$X$4)*$K1401*$L1401</f>
        <v/>
      </c>
      <c r="AC1401" s="15">
        <f>SUMPRODUCT(M1401:X1401,$M$5:$X$5)*$K1401*$L1401</f>
        <v/>
      </c>
      <c r="AD1401" s="15">
        <f>SUMPRODUCT(M1401:X1401,$M$6:$X$6)*$K1401*$L1401</f>
        <v/>
      </c>
      <c r="AE1401" s="19" t="n"/>
    </row>
    <row r="1402">
      <c r="A1402" s="9" t="n">
        <v>663978</v>
      </c>
      <c r="B1402" s="9" t="inlineStr">
        <is>
          <t>Chris Paddack</t>
        </is>
      </c>
      <c r="C1402" s="9" t="inlineStr">
        <is>
          <t>TEX</t>
        </is>
      </c>
      <c r="D1402" s="9" t="n">
        <v>31</v>
      </c>
      <c r="E1402" s="17" t="inlineStr">
        <is>
          <t>R</t>
        </is>
      </c>
      <c r="F1402" s="17" t="n"/>
      <c r="G1402" s="9" t="n">
        <v>267</v>
      </c>
      <c r="H1402" s="9" t="n">
        <v>1436</v>
      </c>
      <c r="I1402" s="9" t="inlineStr">
        <is>
          <t>End-of-Rotation Starter (SP4-5)</t>
        </is>
      </c>
      <c r="J1402" s="17" t="inlineStr">
        <is>
          <t>Opening Day</t>
        </is>
      </c>
      <c r="K1402" s="11">
        <f>IFERROR(INDEX(Roles!$B$17:$B$20,MATCH(J1402,Roles!$A$17:$A$20,0)),1)</f>
        <v/>
      </c>
      <c r="L1402" s="18" t="n">
        <v>1</v>
      </c>
      <c r="M1402" s="18" t="n"/>
      <c r="N1402" s="18" t="n"/>
      <c r="O1402" s="18" t="n"/>
      <c r="P1402" s="18" t="n"/>
      <c r="Q1402" s="18" t="n"/>
      <c r="R1402" s="18" t="n"/>
      <c r="S1402" s="18" t="n"/>
      <c r="T1402" s="18" t="n"/>
      <c r="U1402" s="18" t="n"/>
      <c r="V1402" s="18" t="n"/>
      <c r="W1402" s="18" t="n"/>
      <c r="X1402" s="18" t="n"/>
      <c r="Y1402" s="13">
        <f>SUMPRODUCT(M1402:X1402,$M$2:$X$2)*$K1402*$L1402</f>
        <v/>
      </c>
      <c r="Z1402" s="14">
        <f>SUM(M1402:X1402)</f>
        <v/>
      </c>
      <c r="AA1402" s="13">
        <f>SUMPRODUCT(M1402:X1402,$M$3:$X$3)*$K1402*$L1402</f>
        <v/>
      </c>
      <c r="AB1402" s="13">
        <f>SUMPRODUCT(M1402:X1402,$M$4:$X$4)*$K1402*$L1402</f>
        <v/>
      </c>
      <c r="AC1402" s="15">
        <f>SUMPRODUCT(M1402:X1402,$M$5:$X$5)*$K1402*$L1402</f>
        <v/>
      </c>
      <c r="AD1402" s="15">
        <f>SUMPRODUCT(M1402:X1402,$M$6:$X$6)*$K1402*$L1402</f>
        <v/>
      </c>
      <c r="AE1402" s="19" t="n"/>
    </row>
    <row r="1403">
      <c r="A1403" s="9" t="n">
        <v>643493</v>
      </c>
      <c r="B1403" s="9" t="inlineStr">
        <is>
          <t>Austin Pruitt</t>
        </is>
      </c>
      <c r="C1403" s="9" t="inlineStr">
        <is>
          <t>OAK</t>
        </is>
      </c>
      <c r="D1403" s="9" t="n">
        <v>37</v>
      </c>
      <c r="E1403" s="17" t="inlineStr">
        <is>
          <t>R</t>
        </is>
      </c>
      <c r="F1403" s="17" t="n"/>
      <c r="G1403" s="9" t="n">
        <v>24</v>
      </c>
      <c r="H1403" s="9" t="n">
        <v>444</v>
      </c>
      <c r="I1403" s="9" t="inlineStr">
        <is>
          <t>Depth (no MLB IP)</t>
        </is>
      </c>
      <c r="J1403" s="17" t="inlineStr">
        <is>
          <t>Opening Day</t>
        </is>
      </c>
      <c r="K1403" s="11">
        <f>IFERROR(INDEX(Roles!$B$17:$B$20,MATCH(J1403,Roles!$A$17:$A$20,0)),1)</f>
        <v/>
      </c>
      <c r="L1403" s="18" t="n">
        <v>1</v>
      </c>
      <c r="M1403" s="18" t="n"/>
      <c r="N1403" s="18" t="n"/>
      <c r="O1403" s="18" t="n"/>
      <c r="P1403" s="18" t="n"/>
      <c r="Q1403" s="18" t="n"/>
      <c r="R1403" s="18" t="n"/>
      <c r="S1403" s="18" t="n"/>
      <c r="T1403" s="18" t="n"/>
      <c r="U1403" s="18" t="n"/>
      <c r="V1403" s="18" t="n"/>
      <c r="W1403" s="18" t="n"/>
      <c r="X1403" s="18" t="n"/>
      <c r="Y1403" s="13">
        <f>SUMPRODUCT(M1403:X1403,$M$2:$X$2)*$K1403*$L1403</f>
        <v/>
      </c>
      <c r="Z1403" s="14">
        <f>SUM(M1403:X1403)</f>
        <v/>
      </c>
      <c r="AA1403" s="13">
        <f>SUMPRODUCT(M1403:X1403,$M$3:$X$3)*$K1403*$L1403</f>
        <v/>
      </c>
      <c r="AB1403" s="13">
        <f>SUMPRODUCT(M1403:X1403,$M$4:$X$4)*$K1403*$L1403</f>
        <v/>
      </c>
      <c r="AC1403" s="15">
        <f>SUMPRODUCT(M1403:X1403,$M$5:$X$5)*$K1403*$L1403</f>
        <v/>
      </c>
      <c r="AD1403" s="15">
        <f>SUMPRODUCT(M1403:X1403,$M$6:$X$6)*$K1403*$L1403</f>
        <v/>
      </c>
      <c r="AE1403" s="19" t="n"/>
    </row>
    <row r="1404">
      <c r="A1404" s="9" t="n">
        <v>672456</v>
      </c>
      <c r="B1404" s="9" t="inlineStr">
        <is>
          <t>Keider Montero</t>
        </is>
      </c>
      <c r="C1404" s="9" t="inlineStr">
        <is>
          <t>DET</t>
        </is>
      </c>
      <c r="D1404" s="9" t="n">
        <v>26</v>
      </c>
      <c r="E1404" s="17" t="inlineStr">
        <is>
          <t>R</t>
        </is>
      </c>
      <c r="F1404" s="17" t="n"/>
      <c r="G1404" s="9" t="n">
        <v>611</v>
      </c>
      <c r="H1404" s="9" t="n">
        <v>1412</v>
      </c>
      <c r="I1404" s="9" t="inlineStr">
        <is>
          <t>End-of-Rotation Starter (SP4-5)</t>
        </is>
      </c>
      <c r="J1404" s="17" t="inlineStr">
        <is>
          <t>Opening Day</t>
        </is>
      </c>
      <c r="K1404" s="11">
        <f>IFERROR(INDEX(Roles!$B$17:$B$20,MATCH(J1404,Roles!$A$17:$A$20,0)),1)</f>
        <v/>
      </c>
      <c r="L1404" s="18" t="n">
        <v>1</v>
      </c>
      <c r="M1404" s="18" t="n"/>
      <c r="N1404" s="18" t="n"/>
      <c r="O1404" s="18" t="n"/>
      <c r="P1404" s="18" t="n"/>
      <c r="Q1404" s="18" t="n"/>
      <c r="R1404" s="18" t="n"/>
      <c r="S1404" s="18" t="n"/>
      <c r="T1404" s="18" t="n"/>
      <c r="U1404" s="18" t="n"/>
      <c r="V1404" s="18" t="n"/>
      <c r="W1404" s="18" t="n"/>
      <c r="X1404" s="18" t="n"/>
      <c r="Y1404" s="13">
        <f>SUMPRODUCT(M1404:X1404,$M$2:$X$2)*$K1404*$L1404</f>
        <v/>
      </c>
      <c r="Z1404" s="14">
        <f>SUM(M1404:X1404)</f>
        <v/>
      </c>
      <c r="AA1404" s="13">
        <f>SUMPRODUCT(M1404:X1404,$M$3:$X$3)*$K1404*$L1404</f>
        <v/>
      </c>
      <c r="AB1404" s="13">
        <f>SUMPRODUCT(M1404:X1404,$M$4:$X$4)*$K1404*$L1404</f>
        <v/>
      </c>
      <c r="AC1404" s="15">
        <f>SUMPRODUCT(M1404:X1404,$M$5:$X$5)*$K1404*$L1404</f>
        <v/>
      </c>
      <c r="AD1404" s="15">
        <f>SUMPRODUCT(M1404:X1404,$M$6:$X$6)*$K1404*$L1404</f>
        <v/>
      </c>
      <c r="AE1404" s="19" t="n"/>
    </row>
    <row r="1405">
      <c r="A1405" s="9" t="n">
        <v>668820</v>
      </c>
      <c r="B1405" s="9" t="inlineStr">
        <is>
          <t>Max Kranick</t>
        </is>
      </c>
      <c r="C1405" s="9" t="inlineStr">
        <is>
          <t>WSH</t>
        </is>
      </c>
      <c r="D1405" s="9" t="n">
        <v>29</v>
      </c>
      <c r="E1405" s="17" t="inlineStr">
        <is>
          <t>R</t>
        </is>
      </c>
      <c r="F1405" s="17" t="n"/>
      <c r="G1405" s="9" t="n">
        <v>94</v>
      </c>
      <c r="H1405" s="9" t="n">
        <v>261</v>
      </c>
      <c r="I1405" s="9" t="inlineStr">
        <is>
          <t>Bullpen Depth Arm</t>
        </is>
      </c>
      <c r="J1405" s="17" t="inlineStr">
        <is>
          <t>Opening Day</t>
        </is>
      </c>
      <c r="K1405" s="11">
        <f>IFERROR(INDEX(Roles!$B$17:$B$20,MATCH(J1405,Roles!$A$17:$A$20,0)),1)</f>
        <v/>
      </c>
      <c r="L1405" s="18" t="n">
        <v>1</v>
      </c>
      <c r="M1405" s="18" t="n"/>
      <c r="N1405" s="18" t="n"/>
      <c r="O1405" s="18" t="n"/>
      <c r="P1405" s="18" t="n"/>
      <c r="Q1405" s="18" t="n"/>
      <c r="R1405" s="18" t="n"/>
      <c r="S1405" s="18" t="n"/>
      <c r="T1405" s="18" t="n"/>
      <c r="U1405" s="18" t="n"/>
      <c r="V1405" s="18" t="n"/>
      <c r="W1405" s="18" t="n"/>
      <c r="X1405" s="18" t="n"/>
      <c r="Y1405" s="13">
        <f>SUMPRODUCT(M1405:X1405,$M$2:$X$2)*$K1405*$L1405</f>
        <v/>
      </c>
      <c r="Z1405" s="14">
        <f>SUM(M1405:X1405)</f>
        <v/>
      </c>
      <c r="AA1405" s="13">
        <f>SUMPRODUCT(M1405:X1405,$M$3:$X$3)*$K1405*$L1405</f>
        <v/>
      </c>
      <c r="AB1405" s="13">
        <f>SUMPRODUCT(M1405:X1405,$M$4:$X$4)*$K1405*$L1405</f>
        <v/>
      </c>
      <c r="AC1405" s="15">
        <f>SUMPRODUCT(M1405:X1405,$M$5:$X$5)*$K1405*$L1405</f>
        <v/>
      </c>
      <c r="AD1405" s="15">
        <f>SUMPRODUCT(M1405:X1405,$M$6:$X$6)*$K1405*$L1405</f>
        <v/>
      </c>
      <c r="AE1405" s="19" t="n"/>
    </row>
    <row r="1406">
      <c r="A1406" s="9" t="n">
        <v>548389</v>
      </c>
      <c r="B1406" s="9" t="inlineStr">
        <is>
          <t>Ross Stripling</t>
        </is>
      </c>
      <c r="C1406" s="9" t="inlineStr">
        <is>
          <t>OAK</t>
        </is>
      </c>
      <c r="D1406" s="9" t="n">
        <v>37</v>
      </c>
      <c r="E1406" s="17" t="inlineStr">
        <is>
          <t>R</t>
        </is>
      </c>
      <c r="F1406" s="17" t="n"/>
      <c r="G1406" s="9" t="n">
        <v>381</v>
      </c>
      <c r="H1406" s="9" t="n">
        <v>1298</v>
      </c>
      <c r="I1406" s="9" t="inlineStr">
        <is>
          <t>Depth (no MLB IP)</t>
        </is>
      </c>
      <c r="J1406" s="17" t="inlineStr">
        <is>
          <t>Opening Day</t>
        </is>
      </c>
      <c r="K1406" s="11">
        <f>IFERROR(INDEX(Roles!$B$17:$B$20,MATCH(J1406,Roles!$A$17:$A$20,0)),1)</f>
        <v/>
      </c>
      <c r="L1406" s="18" t="n">
        <v>1</v>
      </c>
      <c r="M1406" s="18" t="n"/>
      <c r="N1406" s="18" t="n"/>
      <c r="O1406" s="18" t="n"/>
      <c r="P1406" s="18" t="n"/>
      <c r="Q1406" s="18" t="n"/>
      <c r="R1406" s="18" t="n"/>
      <c r="S1406" s="18" t="n"/>
      <c r="T1406" s="18" t="n"/>
      <c r="U1406" s="18" t="n"/>
      <c r="V1406" s="18" t="n"/>
      <c r="W1406" s="18" t="n"/>
      <c r="X1406" s="18" t="n"/>
      <c r="Y1406" s="13">
        <f>SUMPRODUCT(M1406:X1406,$M$2:$X$2)*$K1406*$L1406</f>
        <v/>
      </c>
      <c r="Z1406" s="14">
        <f>SUM(M1406:X1406)</f>
        <v/>
      </c>
      <c r="AA1406" s="13">
        <f>SUMPRODUCT(M1406:X1406,$M$3:$X$3)*$K1406*$L1406</f>
        <v/>
      </c>
      <c r="AB1406" s="13">
        <f>SUMPRODUCT(M1406:X1406,$M$4:$X$4)*$K1406*$L1406</f>
        <v/>
      </c>
      <c r="AC1406" s="15">
        <f>SUMPRODUCT(M1406:X1406,$M$5:$X$5)*$K1406*$L1406</f>
        <v/>
      </c>
      <c r="AD1406" s="15">
        <f>SUMPRODUCT(M1406:X1406,$M$6:$X$6)*$K1406*$L1406</f>
        <v/>
      </c>
      <c r="AE1406" s="19" t="n"/>
    </row>
    <row r="1407">
      <c r="A1407" s="9" t="n">
        <v>571578</v>
      </c>
      <c r="B1407" s="9" t="inlineStr">
        <is>
          <t>Patrick Corbin</t>
        </is>
      </c>
      <c r="C1407" s="9" t="inlineStr">
        <is>
          <t>TOR</t>
        </is>
      </c>
      <c r="D1407" s="9" t="n">
        <v>37</v>
      </c>
      <c r="E1407" s="17" t="inlineStr">
        <is>
          <t>L</t>
        </is>
      </c>
      <c r="F1407" s="17" t="n"/>
      <c r="G1407" s="9" t="n">
        <v>360</v>
      </c>
      <c r="H1407" s="9" t="n">
        <v>3290</v>
      </c>
      <c r="I1407" s="9" t="inlineStr">
        <is>
          <t>End-of-Rotation Starter (SP4-5)</t>
        </is>
      </c>
      <c r="J1407" s="17" t="inlineStr">
        <is>
          <t>Opening Day</t>
        </is>
      </c>
      <c r="K1407" s="11">
        <f>IFERROR(INDEX(Roles!$B$17:$B$20,MATCH(J1407,Roles!$A$17:$A$20,0)),1)</f>
        <v/>
      </c>
      <c r="L1407" s="18" t="n">
        <v>1</v>
      </c>
      <c r="M1407" s="18" t="n"/>
      <c r="N1407" s="18" t="n"/>
      <c r="O1407" s="18" t="n"/>
      <c r="P1407" s="18" t="n"/>
      <c r="Q1407" s="18" t="n"/>
      <c r="R1407" s="18" t="n"/>
      <c r="S1407" s="18" t="n"/>
      <c r="T1407" s="18" t="n"/>
      <c r="U1407" s="18" t="n"/>
      <c r="V1407" s="18" t="n"/>
      <c r="W1407" s="18" t="n"/>
      <c r="X1407" s="18" t="n"/>
      <c r="Y1407" s="13">
        <f>SUMPRODUCT(M1407:X1407,$M$2:$X$2)*$K1407*$L1407</f>
        <v/>
      </c>
      <c r="Z1407" s="14">
        <f>SUM(M1407:X1407)</f>
        <v/>
      </c>
      <c r="AA1407" s="13">
        <f>SUMPRODUCT(M1407:X1407,$M$3:$X$3)*$K1407*$L1407</f>
        <v/>
      </c>
      <c r="AB1407" s="13">
        <f>SUMPRODUCT(M1407:X1407,$M$4:$X$4)*$K1407*$L1407</f>
        <v/>
      </c>
      <c r="AC1407" s="15">
        <f>SUMPRODUCT(M1407:X1407,$M$5:$X$5)*$K1407*$L1407</f>
        <v/>
      </c>
      <c r="AD1407" s="15">
        <f>SUMPRODUCT(M1407:X1407,$M$6:$X$6)*$K1407*$L1407</f>
        <v/>
      </c>
      <c r="AE1407" s="19" t="n"/>
    </row>
    <row r="1408">
      <c r="A1408" s="9" t="n">
        <v>656970</v>
      </c>
      <c r="B1408" s="9" t="inlineStr">
        <is>
          <t>Devin Smeltzer</t>
        </is>
      </c>
      <c r="C1408" s="9" t="inlineStr">
        <is>
          <t>MIA</t>
        </is>
      </c>
      <c r="D1408" s="9" t="n">
        <v>31</v>
      </c>
      <c r="E1408" s="17" t="inlineStr">
        <is>
          <t>L</t>
        </is>
      </c>
      <c r="F1408" s="17" t="n"/>
      <c r="G1408" s="9" t="n">
        <v>100</v>
      </c>
      <c r="H1408" s="9" t="n">
        <v>387</v>
      </c>
      <c r="I1408" s="9" t="inlineStr">
        <is>
          <t>Depth (no MLB IP)</t>
        </is>
      </c>
      <c r="J1408" s="17" t="inlineStr">
        <is>
          <t>Opening Day</t>
        </is>
      </c>
      <c r="K1408" s="11">
        <f>IFERROR(INDEX(Roles!$B$17:$B$20,MATCH(J1408,Roles!$A$17:$A$20,0)),1)</f>
        <v/>
      </c>
      <c r="L1408" s="18" t="n">
        <v>1</v>
      </c>
      <c r="M1408" s="18" t="n"/>
      <c r="N1408" s="18" t="n"/>
      <c r="O1408" s="18" t="n"/>
      <c r="P1408" s="18" t="n"/>
      <c r="Q1408" s="18" t="n"/>
      <c r="R1408" s="18" t="n"/>
      <c r="S1408" s="18" t="n"/>
      <c r="T1408" s="18" t="n"/>
      <c r="U1408" s="18" t="n"/>
      <c r="V1408" s="18" t="n"/>
      <c r="W1408" s="18" t="n"/>
      <c r="X1408" s="18" t="n"/>
      <c r="Y1408" s="13">
        <f>SUMPRODUCT(M1408:X1408,$M$2:$X$2)*$K1408*$L1408</f>
        <v/>
      </c>
      <c r="Z1408" s="14">
        <f>SUM(M1408:X1408)</f>
        <v/>
      </c>
      <c r="AA1408" s="13">
        <f>SUMPRODUCT(M1408:X1408,$M$3:$X$3)*$K1408*$L1408</f>
        <v/>
      </c>
      <c r="AB1408" s="13">
        <f>SUMPRODUCT(M1408:X1408,$M$4:$X$4)*$K1408*$L1408</f>
        <v/>
      </c>
      <c r="AC1408" s="15">
        <f>SUMPRODUCT(M1408:X1408,$M$5:$X$5)*$K1408*$L1408</f>
        <v/>
      </c>
      <c r="AD1408" s="15">
        <f>SUMPRODUCT(M1408:X1408,$M$6:$X$6)*$K1408*$L1408</f>
        <v/>
      </c>
      <c r="AE1408" s="19" t="n"/>
    </row>
    <row r="1409">
      <c r="A1409" s="9" t="n">
        <v>656786</v>
      </c>
      <c r="B1409" s="9" t="inlineStr">
        <is>
          <t>Parker Mushinski</t>
        </is>
      </c>
      <c r="C1409" s="9" t="inlineStr">
        <is>
          <t>COL</t>
        </is>
      </c>
      <c r="D1409" s="9" t="n">
        <v>31</v>
      </c>
      <c r="E1409" s="17" t="inlineStr">
        <is>
          <t>L</t>
        </is>
      </c>
      <c r="F1409" s="17" t="n"/>
      <c r="G1409" s="9" t="n">
        <v>34</v>
      </c>
      <c r="H1409" s="9" t="n">
        <v>183</v>
      </c>
      <c r="I1409" s="9" t="inlineStr">
        <is>
          <t>Bullpen Depth Arm</t>
        </is>
      </c>
      <c r="J1409" s="17" t="inlineStr">
        <is>
          <t>Opening Day</t>
        </is>
      </c>
      <c r="K1409" s="11">
        <f>IFERROR(INDEX(Roles!$B$17:$B$20,MATCH(J1409,Roles!$A$17:$A$20,0)),1)</f>
        <v/>
      </c>
      <c r="L1409" s="18" t="n">
        <v>1</v>
      </c>
      <c r="M1409" s="18" t="n"/>
      <c r="N1409" s="18" t="n"/>
      <c r="O1409" s="18" t="n"/>
      <c r="P1409" s="18" t="n"/>
      <c r="Q1409" s="18" t="n"/>
      <c r="R1409" s="18" t="n"/>
      <c r="S1409" s="18" t="n"/>
      <c r="T1409" s="18" t="n"/>
      <c r="U1409" s="18" t="n"/>
      <c r="V1409" s="18" t="n"/>
      <c r="W1409" s="18" t="n"/>
      <c r="X1409" s="18" t="n"/>
      <c r="Y1409" s="13">
        <f>SUMPRODUCT(M1409:X1409,$M$2:$X$2)*$K1409*$L1409</f>
        <v/>
      </c>
      <c r="Z1409" s="14">
        <f>SUM(M1409:X1409)</f>
        <v/>
      </c>
      <c r="AA1409" s="13">
        <f>SUMPRODUCT(M1409:X1409,$M$3:$X$3)*$K1409*$L1409</f>
        <v/>
      </c>
      <c r="AB1409" s="13">
        <f>SUMPRODUCT(M1409:X1409,$M$4:$X$4)*$K1409*$L1409</f>
        <v/>
      </c>
      <c r="AC1409" s="15">
        <f>SUMPRODUCT(M1409:X1409,$M$5:$X$5)*$K1409*$L1409</f>
        <v/>
      </c>
      <c r="AD1409" s="15">
        <f>SUMPRODUCT(M1409:X1409,$M$6:$X$6)*$K1409*$L1409</f>
        <v/>
      </c>
      <c r="AE1409" s="19" t="n"/>
    </row>
    <row r="1410">
      <c r="A1410" s="9" t="n">
        <v>643361</v>
      </c>
      <c r="B1410" s="9" t="inlineStr">
        <is>
          <t>Kevin Herget</t>
        </is>
      </c>
      <c r="C1410" s="9" t="inlineStr">
        <is>
          <t>NYM</t>
        </is>
      </c>
      <c r="D1410" s="9" t="n">
        <v>36</v>
      </c>
      <c r="E1410" s="17" t="inlineStr">
        <is>
          <t>R</t>
        </is>
      </c>
      <c r="F1410" s="17" t="n"/>
      <c r="G1410" s="9" t="n">
        <v>3</v>
      </c>
      <c r="H1410" s="9" t="n">
        <v>237</v>
      </c>
      <c r="I1410" s="9" t="inlineStr">
        <is>
          <t>Bullpen Depth Arm</t>
        </is>
      </c>
      <c r="J1410" s="17" t="inlineStr">
        <is>
          <t>Opening Day</t>
        </is>
      </c>
      <c r="K1410" s="11">
        <f>IFERROR(INDEX(Roles!$B$17:$B$20,MATCH(J1410,Roles!$A$17:$A$20,0)),1)</f>
        <v/>
      </c>
      <c r="L1410" s="18" t="n">
        <v>1</v>
      </c>
      <c r="M1410" s="18" t="n"/>
      <c r="N1410" s="18" t="n"/>
      <c r="O1410" s="18" t="n"/>
      <c r="P1410" s="18" t="n"/>
      <c r="Q1410" s="18" t="n"/>
      <c r="R1410" s="18" t="n"/>
      <c r="S1410" s="18" t="n"/>
      <c r="T1410" s="18" t="n"/>
      <c r="U1410" s="18" t="n"/>
      <c r="V1410" s="18" t="n"/>
      <c r="W1410" s="18" t="n"/>
      <c r="X1410" s="18" t="n"/>
      <c r="Y1410" s="13">
        <f>SUMPRODUCT(M1410:X1410,$M$2:$X$2)*$K1410*$L1410</f>
        <v/>
      </c>
      <c r="Z1410" s="14">
        <f>SUM(M1410:X1410)</f>
        <v/>
      </c>
      <c r="AA1410" s="13">
        <f>SUMPRODUCT(M1410:X1410,$M$3:$X$3)*$K1410*$L1410</f>
        <v/>
      </c>
      <c r="AB1410" s="13">
        <f>SUMPRODUCT(M1410:X1410,$M$4:$X$4)*$K1410*$L1410</f>
        <v/>
      </c>
      <c r="AC1410" s="15">
        <f>SUMPRODUCT(M1410:X1410,$M$5:$X$5)*$K1410*$L1410</f>
        <v/>
      </c>
      <c r="AD1410" s="15">
        <f>SUMPRODUCT(M1410:X1410,$M$6:$X$6)*$K1410*$L1410</f>
        <v/>
      </c>
      <c r="AE1410" s="19" t="n"/>
    </row>
    <row r="1411">
      <c r="A1411" s="9" t="n">
        <v>541640</v>
      </c>
      <c r="B1411" s="9" t="inlineStr">
        <is>
          <t>Erasmo Ramírez</t>
        </is>
      </c>
      <c r="C1411" s="9" t="inlineStr">
        <is>
          <t>MIN</t>
        </is>
      </c>
      <c r="D1411" s="9" t="n">
        <v>37</v>
      </c>
      <c r="E1411" s="17" t="inlineStr">
        <is>
          <t>R</t>
        </is>
      </c>
      <c r="F1411" s="17" t="n"/>
      <c r="G1411" s="9" t="n">
        <v>42</v>
      </c>
      <c r="H1411" s="9" t="n">
        <v>748</v>
      </c>
      <c r="I1411" s="9" t="inlineStr">
        <is>
          <t>Bullpen Depth Arm</t>
        </is>
      </c>
      <c r="J1411" s="17" t="inlineStr">
        <is>
          <t>Opening Day</t>
        </is>
      </c>
      <c r="K1411" s="11">
        <f>IFERROR(INDEX(Roles!$B$17:$B$20,MATCH(J1411,Roles!$A$17:$A$20,0)),1)</f>
        <v/>
      </c>
      <c r="L1411" s="18" t="n">
        <v>1</v>
      </c>
      <c r="M1411" s="18" t="n"/>
      <c r="N1411" s="18" t="n"/>
      <c r="O1411" s="18" t="n"/>
      <c r="P1411" s="18" t="n"/>
      <c r="Q1411" s="18" t="n"/>
      <c r="R1411" s="18" t="n"/>
      <c r="S1411" s="18" t="n"/>
      <c r="T1411" s="18" t="n"/>
      <c r="U1411" s="18" t="n"/>
      <c r="V1411" s="18" t="n"/>
      <c r="W1411" s="18" t="n"/>
      <c r="X1411" s="18" t="n"/>
      <c r="Y1411" s="13">
        <f>SUMPRODUCT(M1411:X1411,$M$2:$X$2)*$K1411*$L1411</f>
        <v/>
      </c>
      <c r="Z1411" s="14">
        <f>SUM(M1411:X1411)</f>
        <v/>
      </c>
      <c r="AA1411" s="13">
        <f>SUMPRODUCT(M1411:X1411,$M$3:$X$3)*$K1411*$L1411</f>
        <v/>
      </c>
      <c r="AB1411" s="13">
        <f>SUMPRODUCT(M1411:X1411,$M$4:$X$4)*$K1411*$L1411</f>
        <v/>
      </c>
      <c r="AC1411" s="15">
        <f>SUMPRODUCT(M1411:X1411,$M$5:$X$5)*$K1411*$L1411</f>
        <v/>
      </c>
      <c r="AD1411" s="15">
        <f>SUMPRODUCT(M1411:X1411,$M$6:$X$6)*$K1411*$L1411</f>
        <v/>
      </c>
      <c r="AE1411" s="19" t="n"/>
    </row>
    <row r="1412">
      <c r="A1412" s="9" t="n">
        <v>608344</v>
      </c>
      <c r="B1412" s="9" t="inlineStr">
        <is>
          <t>Cole Irvin</t>
        </is>
      </c>
      <c r="C1412" s="9" t="inlineStr">
        <is>
          <t>LAD</t>
        </is>
      </c>
      <c r="D1412" s="9" t="n">
        <v>33</v>
      </c>
      <c r="E1412" s="17" t="inlineStr">
        <is>
          <t>L</t>
        </is>
      </c>
      <c r="F1412" s="17" t="n"/>
      <c r="G1412" s="9" t="n">
        <v>30</v>
      </c>
      <c r="H1412" s="9" t="n">
        <v>1599</v>
      </c>
      <c r="I1412" s="9" t="inlineStr">
        <is>
          <t>End-of-Rotation Starter (SP4-5)</t>
        </is>
      </c>
      <c r="J1412" s="17" t="inlineStr">
        <is>
          <t>Opening Day</t>
        </is>
      </c>
      <c r="K1412" s="11">
        <f>IFERROR(INDEX(Roles!$B$17:$B$20,MATCH(J1412,Roles!$A$17:$A$20,0)),1)</f>
        <v/>
      </c>
      <c r="L1412" s="18" t="n">
        <v>1</v>
      </c>
      <c r="M1412" s="18" t="n"/>
      <c r="N1412" s="18" t="n"/>
      <c r="O1412" s="18" t="n"/>
      <c r="P1412" s="18" t="n"/>
      <c r="Q1412" s="18" t="n"/>
      <c r="R1412" s="18" t="n"/>
      <c r="S1412" s="18" t="n"/>
      <c r="T1412" s="18" t="n"/>
      <c r="U1412" s="18" t="n"/>
      <c r="V1412" s="18" t="n"/>
      <c r="W1412" s="18" t="n"/>
      <c r="X1412" s="18" t="n"/>
      <c r="Y1412" s="13">
        <f>SUMPRODUCT(M1412:X1412,$M$2:$X$2)*$K1412*$L1412</f>
        <v/>
      </c>
      <c r="Z1412" s="14">
        <f>SUM(M1412:X1412)</f>
        <v/>
      </c>
      <c r="AA1412" s="13">
        <f>SUMPRODUCT(M1412:X1412,$M$3:$X$3)*$K1412*$L1412</f>
        <v/>
      </c>
      <c r="AB1412" s="13">
        <f>SUMPRODUCT(M1412:X1412,$M$4:$X$4)*$K1412*$L1412</f>
        <v/>
      </c>
      <c r="AC1412" s="15">
        <f>SUMPRODUCT(M1412:X1412,$M$5:$X$5)*$K1412*$L1412</f>
        <v/>
      </c>
      <c r="AD1412" s="15">
        <f>SUMPRODUCT(M1412:X1412,$M$6:$X$6)*$K1412*$L1412</f>
        <v/>
      </c>
      <c r="AE1412" s="19" t="n"/>
    </row>
    <row r="1413">
      <c r="A1413" s="9" t="n">
        <v>666154</v>
      </c>
      <c r="B1413" s="9" t="inlineStr">
        <is>
          <t>Karl Kauffmann</t>
        </is>
      </c>
      <c r="C1413" s="9" t="inlineStr">
        <is>
          <t>COL</t>
        </is>
      </c>
      <c r="D1413" s="9" t="n">
        <v>29</v>
      </c>
      <c r="E1413" s="17" t="inlineStr">
        <is>
          <t>R</t>
        </is>
      </c>
      <c r="F1413" s="17" t="n"/>
      <c r="G1413" s="9" t="n">
        <v>158</v>
      </c>
      <c r="H1413" s="9" t="n">
        <v>158</v>
      </c>
      <c r="I1413" s="9" t="inlineStr">
        <is>
          <t>Depth (no MLB IP)</t>
        </is>
      </c>
      <c r="J1413" s="17" t="inlineStr">
        <is>
          <t>Opening Day</t>
        </is>
      </c>
      <c r="K1413" s="11">
        <f>IFERROR(INDEX(Roles!$B$17:$B$20,MATCH(J1413,Roles!$A$17:$A$20,0)),1)</f>
        <v/>
      </c>
      <c r="L1413" s="18" t="n">
        <v>1</v>
      </c>
      <c r="M1413" s="18" t="n"/>
      <c r="N1413" s="18" t="n"/>
      <c r="O1413" s="18" t="n"/>
      <c r="P1413" s="18" t="n"/>
      <c r="Q1413" s="18" t="n"/>
      <c r="R1413" s="18" t="n"/>
      <c r="S1413" s="18" t="n"/>
      <c r="T1413" s="18" t="n"/>
      <c r="U1413" s="18" t="n"/>
      <c r="V1413" s="18" t="n"/>
      <c r="W1413" s="18" t="n"/>
      <c r="X1413" s="18" t="n"/>
      <c r="Y1413" s="13">
        <f>SUMPRODUCT(M1413:X1413,$M$2:$X$2)*$K1413*$L1413</f>
        <v/>
      </c>
      <c r="Z1413" s="14">
        <f>SUM(M1413:X1413)</f>
        <v/>
      </c>
      <c r="AA1413" s="13">
        <f>SUMPRODUCT(M1413:X1413,$M$3:$X$3)*$K1413*$L1413</f>
        <v/>
      </c>
      <c r="AB1413" s="13">
        <f>SUMPRODUCT(M1413:X1413,$M$4:$X$4)*$K1413*$L1413</f>
        <v/>
      </c>
      <c r="AC1413" s="15">
        <f>SUMPRODUCT(M1413:X1413,$M$5:$X$5)*$K1413*$L1413</f>
        <v/>
      </c>
      <c r="AD1413" s="15">
        <f>SUMPRODUCT(M1413:X1413,$M$6:$X$6)*$K1413*$L1413</f>
        <v/>
      </c>
      <c r="AE1413" s="19" t="n"/>
    </row>
    <row r="1414">
      <c r="A1414" s="9" t="n">
        <v>543475</v>
      </c>
      <c r="B1414" s="9" t="inlineStr">
        <is>
          <t>Jordan Lyles</t>
        </is>
      </c>
      <c r="C1414" s="9" t="inlineStr">
        <is>
          <t>KC</t>
        </is>
      </c>
      <c r="D1414" s="9" t="n">
        <v>36</v>
      </c>
      <c r="E1414" s="17" t="inlineStr">
        <is>
          <t>R</t>
        </is>
      </c>
      <c r="F1414" s="17" t="n"/>
      <c r="G1414" s="9" t="n">
        <v>19</v>
      </c>
      <c r="H1414" s="9" t="n">
        <v>1541</v>
      </c>
      <c r="I1414" s="9" t="inlineStr">
        <is>
          <t>Depth (no MLB IP)</t>
        </is>
      </c>
      <c r="J1414" s="17" t="inlineStr">
        <is>
          <t>Opening Day</t>
        </is>
      </c>
      <c r="K1414" s="11">
        <f>IFERROR(INDEX(Roles!$B$17:$B$20,MATCH(J1414,Roles!$A$17:$A$20,0)),1)</f>
        <v/>
      </c>
      <c r="L1414" s="18" t="n">
        <v>1</v>
      </c>
      <c r="M1414" s="18" t="n"/>
      <c r="N1414" s="18" t="n"/>
      <c r="O1414" s="18" t="n"/>
      <c r="P1414" s="18" t="n"/>
      <c r="Q1414" s="18" t="n"/>
      <c r="R1414" s="18" t="n"/>
      <c r="S1414" s="18" t="n"/>
      <c r="T1414" s="18" t="n"/>
      <c r="U1414" s="18" t="n"/>
      <c r="V1414" s="18" t="n"/>
      <c r="W1414" s="18" t="n"/>
      <c r="X1414" s="18" t="n"/>
      <c r="Y1414" s="13">
        <f>SUMPRODUCT(M1414:X1414,$M$2:$X$2)*$K1414*$L1414</f>
        <v/>
      </c>
      <c r="Z1414" s="14">
        <f>SUM(M1414:X1414)</f>
        <v/>
      </c>
      <c r="AA1414" s="13">
        <f>SUMPRODUCT(M1414:X1414,$M$3:$X$3)*$K1414*$L1414</f>
        <v/>
      </c>
      <c r="AB1414" s="13">
        <f>SUMPRODUCT(M1414:X1414,$M$4:$X$4)*$K1414*$L1414</f>
        <v/>
      </c>
      <c r="AC1414" s="15">
        <f>SUMPRODUCT(M1414:X1414,$M$5:$X$5)*$K1414*$L1414</f>
        <v/>
      </c>
      <c r="AD1414" s="15">
        <f>SUMPRODUCT(M1414:X1414,$M$6:$X$6)*$K1414*$L1414</f>
        <v/>
      </c>
      <c r="AE1414" s="19" t="n"/>
    </row>
    <row r="1415">
      <c r="A1415" s="9" t="n">
        <v>666126</v>
      </c>
      <c r="B1415" s="9" t="inlineStr">
        <is>
          <t>Carlos Cortes</t>
        </is>
      </c>
      <c r="C1415" s="9" t="inlineStr">
        <is>
          <t>OAK</t>
        </is>
      </c>
      <c r="D1415" s="9" t="n">
        <v>30</v>
      </c>
      <c r="E1415" s="17" t="inlineStr">
        <is>
          <t>S</t>
        </is>
      </c>
      <c r="F1415" s="17" t="n"/>
      <c r="G1415" s="9" t="n">
        <v>49</v>
      </c>
      <c r="H1415" s="9" t="n">
        <v>49</v>
      </c>
      <c r="I1415" s="9" t="inlineStr">
        <is>
          <t>Bullpen Depth Arm</t>
        </is>
      </c>
      <c r="J1415" s="17" t="inlineStr">
        <is>
          <t>Opening Day</t>
        </is>
      </c>
      <c r="K1415" s="11">
        <f>IFERROR(INDEX(Roles!$B$17:$B$20,MATCH(J1415,Roles!$A$17:$A$20,0)),1)</f>
        <v/>
      </c>
      <c r="L1415" s="18" t="n">
        <v>1</v>
      </c>
      <c r="M1415" s="18" t="n"/>
      <c r="N1415" s="18" t="n"/>
      <c r="O1415" s="18" t="n"/>
      <c r="P1415" s="18" t="n"/>
      <c r="Q1415" s="18" t="n"/>
      <c r="R1415" s="18" t="n"/>
      <c r="S1415" s="18" t="n"/>
      <c r="T1415" s="18" t="n"/>
      <c r="U1415" s="18" t="n"/>
      <c r="V1415" s="18" t="n"/>
      <c r="W1415" s="18" t="n"/>
      <c r="X1415" s="18" t="n"/>
      <c r="Y1415" s="13">
        <f>SUMPRODUCT(M1415:X1415,$M$2:$X$2)*$K1415*$L1415</f>
        <v/>
      </c>
      <c r="Z1415" s="14">
        <f>SUM(M1415:X1415)</f>
        <v/>
      </c>
      <c r="AA1415" s="13">
        <f>SUMPRODUCT(M1415:X1415,$M$3:$X$3)*$K1415*$L1415</f>
        <v/>
      </c>
      <c r="AB1415" s="13">
        <f>SUMPRODUCT(M1415:X1415,$M$4:$X$4)*$K1415*$L1415</f>
        <v/>
      </c>
      <c r="AC1415" s="15">
        <f>SUMPRODUCT(M1415:X1415,$M$5:$X$5)*$K1415*$L1415</f>
        <v/>
      </c>
      <c r="AD1415" s="15">
        <f>SUMPRODUCT(M1415:X1415,$M$6:$X$6)*$K1415*$L1415</f>
        <v/>
      </c>
      <c r="AE1415" s="19" t="n"/>
    </row>
    <row r="1416">
      <c r="A1416" s="9" t="n">
        <v>691951</v>
      </c>
      <c r="B1416" s="9" t="inlineStr">
        <is>
          <t>Sam Aldegheri</t>
        </is>
      </c>
      <c r="C1416" s="9" t="inlineStr">
        <is>
          <t>LAA</t>
        </is>
      </c>
      <c r="D1416" s="9" t="n">
        <v>25</v>
      </c>
      <c r="E1416" s="17" t="inlineStr">
        <is>
          <t>L</t>
        </is>
      </c>
      <c r="F1416" s="17" t="n"/>
      <c r="G1416" s="9" t="n">
        <v>151</v>
      </c>
      <c r="H1416" s="9" t="n">
        <v>291</v>
      </c>
      <c r="I1416" s="9" t="inlineStr">
        <is>
          <t>End-of-Rotation Starter (SP4-5)</t>
        </is>
      </c>
      <c r="J1416" s="17" t="inlineStr">
        <is>
          <t>Opening Day</t>
        </is>
      </c>
      <c r="K1416" s="11">
        <f>IFERROR(INDEX(Roles!$B$17:$B$20,MATCH(J1416,Roles!$A$17:$A$20,0)),1)</f>
        <v/>
      </c>
      <c r="L1416" s="18" t="n">
        <v>1</v>
      </c>
      <c r="M1416" s="18" t="n"/>
      <c r="N1416" s="18" t="n"/>
      <c r="O1416" s="18" t="n"/>
      <c r="P1416" s="18" t="n"/>
      <c r="Q1416" s="18" t="n"/>
      <c r="R1416" s="18" t="n"/>
      <c r="S1416" s="18" t="n"/>
      <c r="T1416" s="18" t="n"/>
      <c r="U1416" s="18" t="n"/>
      <c r="V1416" s="18" t="n"/>
      <c r="W1416" s="18" t="n"/>
      <c r="X1416" s="18" t="n"/>
      <c r="Y1416" s="13">
        <f>SUMPRODUCT(M1416:X1416,$M$2:$X$2)*$K1416*$L1416</f>
        <v/>
      </c>
      <c r="Z1416" s="14">
        <f>SUM(M1416:X1416)</f>
        <v/>
      </c>
      <c r="AA1416" s="13">
        <f>SUMPRODUCT(M1416:X1416,$M$3:$X$3)*$K1416*$L1416</f>
        <v/>
      </c>
      <c r="AB1416" s="13">
        <f>SUMPRODUCT(M1416:X1416,$M$4:$X$4)*$K1416*$L1416</f>
        <v/>
      </c>
      <c r="AC1416" s="15">
        <f>SUMPRODUCT(M1416:X1416,$M$5:$X$5)*$K1416*$L1416</f>
        <v/>
      </c>
      <c r="AD1416" s="15">
        <f>SUMPRODUCT(M1416:X1416,$M$6:$X$6)*$K1416*$L1416</f>
        <v/>
      </c>
      <c r="AE1416" s="19" t="n"/>
    </row>
    <row r="1417">
      <c r="A1417" s="9" t="n">
        <v>571771</v>
      </c>
      <c r="B1417" s="9" t="inlineStr">
        <is>
          <t>Enrique Hernández</t>
        </is>
      </c>
      <c r="C1417" s="9" t="inlineStr">
        <is>
          <t>LAD</t>
        </is>
      </c>
      <c r="D1417" s="9" t="n">
        <v>35</v>
      </c>
      <c r="E1417" s="17" t="inlineStr">
        <is>
          <t>R</t>
        </is>
      </c>
      <c r="F1417" s="17" t="n"/>
      <c r="G1417" s="9" t="n">
        <v>4</v>
      </c>
      <c r="H1417" s="9" t="n">
        <v>59</v>
      </c>
      <c r="I1417" s="9" t="inlineStr">
        <is>
          <t>Bullpen Depth Arm</t>
        </is>
      </c>
      <c r="J1417" s="17" t="inlineStr">
        <is>
          <t>Opening Day</t>
        </is>
      </c>
      <c r="K1417" s="11">
        <f>IFERROR(INDEX(Roles!$B$17:$B$20,MATCH(J1417,Roles!$A$17:$A$20,0)),1)</f>
        <v/>
      </c>
      <c r="L1417" s="18" t="n">
        <v>1</v>
      </c>
      <c r="M1417" s="18" t="n"/>
      <c r="N1417" s="18" t="n"/>
      <c r="O1417" s="18" t="n"/>
      <c r="P1417" s="18" t="n"/>
      <c r="Q1417" s="18" t="n"/>
      <c r="R1417" s="18" t="n"/>
      <c r="S1417" s="18" t="n"/>
      <c r="T1417" s="18" t="n"/>
      <c r="U1417" s="18" t="n"/>
      <c r="V1417" s="18" t="n"/>
      <c r="W1417" s="18" t="n"/>
      <c r="X1417" s="18" t="n"/>
      <c r="Y1417" s="13">
        <f>SUMPRODUCT(M1417:X1417,$M$2:$X$2)*$K1417*$L1417</f>
        <v/>
      </c>
      <c r="Z1417" s="14">
        <f>SUM(M1417:X1417)</f>
        <v/>
      </c>
      <c r="AA1417" s="13">
        <f>SUMPRODUCT(M1417:X1417,$M$3:$X$3)*$K1417*$L1417</f>
        <v/>
      </c>
      <c r="AB1417" s="13">
        <f>SUMPRODUCT(M1417:X1417,$M$4:$X$4)*$K1417*$L1417</f>
        <v/>
      </c>
      <c r="AC1417" s="15">
        <f>SUMPRODUCT(M1417:X1417,$M$5:$X$5)*$K1417*$L1417</f>
        <v/>
      </c>
      <c r="AD1417" s="15">
        <f>SUMPRODUCT(M1417:X1417,$M$6:$X$6)*$K1417*$L1417</f>
        <v/>
      </c>
      <c r="AE1417" s="19" t="n"/>
    </row>
    <row r="1418">
      <c r="A1418" s="9" t="n">
        <v>668676</v>
      </c>
      <c r="B1418" s="9" t="inlineStr">
        <is>
          <t>Zach Plesac</t>
        </is>
      </c>
      <c r="C1418" s="9" t="inlineStr">
        <is>
          <t>LAA</t>
        </is>
      </c>
      <c r="D1418" s="9" t="n">
        <v>32</v>
      </c>
      <c r="E1418" s="17" t="inlineStr">
        <is>
          <t>R</t>
        </is>
      </c>
      <c r="F1418" s="17" t="n"/>
      <c r="G1418" s="9" t="n">
        <v>54</v>
      </c>
      <c r="H1418" s="9" t="n">
        <v>727</v>
      </c>
      <c r="I1418" s="9" t="inlineStr">
        <is>
          <t>Depth (no MLB IP)</t>
        </is>
      </c>
      <c r="J1418" s="17" t="inlineStr">
        <is>
          <t>Opening Day</t>
        </is>
      </c>
      <c r="K1418" s="11">
        <f>IFERROR(INDEX(Roles!$B$17:$B$20,MATCH(J1418,Roles!$A$17:$A$20,0)),1)</f>
        <v/>
      </c>
      <c r="L1418" s="18" t="n">
        <v>1</v>
      </c>
      <c r="M1418" s="18" t="n"/>
      <c r="N1418" s="18" t="n"/>
      <c r="O1418" s="18" t="n"/>
      <c r="P1418" s="18" t="n"/>
      <c r="Q1418" s="18" t="n"/>
      <c r="R1418" s="18" t="n"/>
      <c r="S1418" s="18" t="n"/>
      <c r="T1418" s="18" t="n"/>
      <c r="U1418" s="18" t="n"/>
      <c r="V1418" s="18" t="n"/>
      <c r="W1418" s="18" t="n"/>
      <c r="X1418" s="18" t="n"/>
      <c r="Y1418" s="13">
        <f>SUMPRODUCT(M1418:X1418,$M$2:$X$2)*$K1418*$L1418</f>
        <v/>
      </c>
      <c r="Z1418" s="14">
        <f>SUM(M1418:X1418)</f>
        <v/>
      </c>
      <c r="AA1418" s="13">
        <f>SUMPRODUCT(M1418:X1418,$M$3:$X$3)*$K1418*$L1418</f>
        <v/>
      </c>
      <c r="AB1418" s="13">
        <f>SUMPRODUCT(M1418:X1418,$M$4:$X$4)*$K1418*$L1418</f>
        <v/>
      </c>
      <c r="AC1418" s="15">
        <f>SUMPRODUCT(M1418:X1418,$M$5:$X$5)*$K1418*$L1418</f>
        <v/>
      </c>
      <c r="AD1418" s="15">
        <f>SUMPRODUCT(M1418:X1418,$M$6:$X$6)*$K1418*$L1418</f>
        <v/>
      </c>
      <c r="AE1418" s="19" t="n"/>
    </row>
    <row r="1419">
      <c r="A1419" s="9" t="n">
        <v>605156</v>
      </c>
      <c r="B1419" s="9" t="inlineStr">
        <is>
          <t>Aaron Brooks</t>
        </is>
      </c>
      <c r="C1419" s="9" t="inlineStr">
        <is>
          <t>OAK</t>
        </is>
      </c>
      <c r="D1419" s="9" t="n">
        <v>37</v>
      </c>
      <c r="E1419" s="17" t="inlineStr">
        <is>
          <t>R</t>
        </is>
      </c>
      <c r="F1419" s="17" t="n"/>
      <c r="G1419" s="9" t="n">
        <v>4</v>
      </c>
      <c r="H1419" s="9" t="n">
        <v>166</v>
      </c>
      <c r="I1419" s="9" t="inlineStr">
        <is>
          <t>Depth (no MLB IP)</t>
        </is>
      </c>
      <c r="J1419" s="17" t="inlineStr">
        <is>
          <t>Opening Day</t>
        </is>
      </c>
      <c r="K1419" s="11">
        <f>IFERROR(INDEX(Roles!$B$17:$B$20,MATCH(J1419,Roles!$A$17:$A$20,0)),1)</f>
        <v/>
      </c>
      <c r="L1419" s="18" t="n">
        <v>1</v>
      </c>
      <c r="M1419" s="18" t="n"/>
      <c r="N1419" s="18" t="n"/>
      <c r="O1419" s="18" t="n"/>
      <c r="P1419" s="18" t="n"/>
      <c r="Q1419" s="18" t="n"/>
      <c r="R1419" s="18" t="n"/>
      <c r="S1419" s="18" t="n"/>
      <c r="T1419" s="18" t="n"/>
      <c r="U1419" s="18" t="n"/>
      <c r="V1419" s="18" t="n"/>
      <c r="W1419" s="18" t="n"/>
      <c r="X1419" s="18" t="n"/>
      <c r="Y1419" s="13">
        <f>SUMPRODUCT(M1419:X1419,$M$2:$X$2)*$K1419*$L1419</f>
        <v/>
      </c>
      <c r="Z1419" s="14">
        <f>SUM(M1419:X1419)</f>
        <v/>
      </c>
      <c r="AA1419" s="13">
        <f>SUMPRODUCT(M1419:X1419,$M$3:$X$3)*$K1419*$L1419</f>
        <v/>
      </c>
      <c r="AB1419" s="13">
        <f>SUMPRODUCT(M1419:X1419,$M$4:$X$4)*$K1419*$L1419</f>
        <v/>
      </c>
      <c r="AC1419" s="15">
        <f>SUMPRODUCT(M1419:X1419,$M$5:$X$5)*$K1419*$L1419</f>
        <v/>
      </c>
      <c r="AD1419" s="15">
        <f>SUMPRODUCT(M1419:X1419,$M$6:$X$6)*$K1419*$L1419</f>
        <v/>
      </c>
      <c r="AE1419" s="19" t="n"/>
    </row>
    <row r="1420">
      <c r="A1420" s="9" t="n">
        <v>669145</v>
      </c>
      <c r="B1420" s="9" t="inlineStr">
        <is>
          <t>Bruce Zimmermann</t>
        </is>
      </c>
      <c r="C1420" s="9" t="inlineStr">
        <is>
          <t>MIL</t>
        </is>
      </c>
      <c r="D1420" s="9" t="n">
        <v>32</v>
      </c>
      <c r="E1420" s="17" t="inlineStr">
        <is>
          <t>L</t>
        </is>
      </c>
      <c r="F1420" s="17" t="n"/>
      <c r="G1420" s="9" t="n">
        <v>21</v>
      </c>
      <c r="H1420" s="9" t="n">
        <v>430</v>
      </c>
      <c r="I1420" s="9" t="inlineStr">
        <is>
          <t>Mid-Rotation Starter (SP2-3)</t>
        </is>
      </c>
      <c r="J1420" s="17" t="inlineStr">
        <is>
          <t>Opening Day</t>
        </is>
      </c>
      <c r="K1420" s="11">
        <f>IFERROR(INDEX(Roles!$B$17:$B$20,MATCH(J1420,Roles!$A$17:$A$20,0)),1)</f>
        <v/>
      </c>
      <c r="L1420" s="18" t="n">
        <v>1</v>
      </c>
      <c r="M1420" s="18" t="n"/>
      <c r="N1420" s="18" t="n"/>
      <c r="O1420" s="18" t="n"/>
      <c r="P1420" s="18" t="n"/>
      <c r="Q1420" s="18" t="n"/>
      <c r="R1420" s="18" t="n"/>
      <c r="S1420" s="18" t="n"/>
      <c r="T1420" s="18" t="n"/>
      <c r="U1420" s="18" t="n"/>
      <c r="V1420" s="18" t="n"/>
      <c r="W1420" s="18" t="n"/>
      <c r="X1420" s="18" t="n"/>
      <c r="Y1420" s="13">
        <f>SUMPRODUCT(M1420:X1420,$M$2:$X$2)*$K1420*$L1420</f>
        <v/>
      </c>
      <c r="Z1420" s="14">
        <f>SUM(M1420:X1420)</f>
        <v/>
      </c>
      <c r="AA1420" s="13">
        <f>SUMPRODUCT(M1420:X1420,$M$3:$X$3)*$K1420*$L1420</f>
        <v/>
      </c>
      <c r="AB1420" s="13">
        <f>SUMPRODUCT(M1420:X1420,$M$4:$X$4)*$K1420*$L1420</f>
        <v/>
      </c>
      <c r="AC1420" s="15">
        <f>SUMPRODUCT(M1420:X1420,$M$5:$X$5)*$K1420*$L1420</f>
        <v/>
      </c>
      <c r="AD1420" s="15">
        <f>SUMPRODUCT(M1420:X1420,$M$6:$X$6)*$K1420*$L1420</f>
        <v/>
      </c>
      <c r="AE1420" s="19" t="n"/>
    </row>
    <row r="1421">
      <c r="A1421" s="9" t="n">
        <v>596117</v>
      </c>
      <c r="B1421" s="9" t="inlineStr">
        <is>
          <t>Garrett Stubbs</t>
        </is>
      </c>
      <c r="C1421" s="9" t="inlineStr"/>
      <c r="D1421" s="9" t="n">
        <v>34</v>
      </c>
      <c r="E1421" s="17" t="inlineStr">
        <is>
          <t>R</t>
        </is>
      </c>
      <c r="F1421" s="17" t="n"/>
      <c r="G1421" s="9" t="n">
        <v>24</v>
      </c>
      <c r="H1421" s="9" t="n">
        <v>61</v>
      </c>
      <c r="I1421" s="9" t="inlineStr">
        <is>
          <t>Depth (no MLB IP)</t>
        </is>
      </c>
      <c r="J1421" s="17" t="inlineStr">
        <is>
          <t>Opening Day</t>
        </is>
      </c>
      <c r="K1421" s="11">
        <f>IFERROR(INDEX(Roles!$B$17:$B$20,MATCH(J1421,Roles!$A$17:$A$20,0)),1)</f>
        <v/>
      </c>
      <c r="L1421" s="18" t="n">
        <v>1</v>
      </c>
      <c r="M1421" s="18" t="n"/>
      <c r="N1421" s="18" t="n"/>
      <c r="O1421" s="18" t="n"/>
      <c r="P1421" s="18" t="n"/>
      <c r="Q1421" s="18" t="n"/>
      <c r="R1421" s="18" t="n"/>
      <c r="S1421" s="18" t="n"/>
      <c r="T1421" s="18" t="n"/>
      <c r="U1421" s="18" t="n"/>
      <c r="V1421" s="18" t="n"/>
      <c r="W1421" s="18" t="n"/>
      <c r="X1421" s="18" t="n"/>
      <c r="Y1421" s="13">
        <f>SUMPRODUCT(M1421:X1421,$M$2:$X$2)*$K1421*$L1421</f>
        <v/>
      </c>
      <c r="Z1421" s="14">
        <f>SUM(M1421:X1421)</f>
        <v/>
      </c>
      <c r="AA1421" s="13">
        <f>SUMPRODUCT(M1421:X1421,$M$3:$X$3)*$K1421*$L1421</f>
        <v/>
      </c>
      <c r="AB1421" s="13">
        <f>SUMPRODUCT(M1421:X1421,$M$4:$X$4)*$K1421*$L1421</f>
        <v/>
      </c>
      <c r="AC1421" s="15">
        <f>SUMPRODUCT(M1421:X1421,$M$5:$X$5)*$K1421*$L1421</f>
        <v/>
      </c>
      <c r="AD1421" s="15">
        <f>SUMPRODUCT(M1421:X1421,$M$6:$X$6)*$K1421*$L1421</f>
        <v/>
      </c>
      <c r="AE1421" s="19" t="n"/>
    </row>
    <row r="1422">
      <c r="A1422" s="9" t="n">
        <v>656232</v>
      </c>
      <c r="B1422" s="9" t="inlineStr">
        <is>
          <t>Brandon Bielak</t>
        </is>
      </c>
      <c r="C1422" s="9" t="inlineStr">
        <is>
          <t>OAK</t>
        </is>
      </c>
      <c r="D1422" s="9" t="n">
        <v>31</v>
      </c>
      <c r="E1422" s="17" t="inlineStr">
        <is>
          <t>R</t>
        </is>
      </c>
      <c r="F1422" s="17" t="n"/>
      <c r="G1422" s="9" t="n">
        <v>140</v>
      </c>
      <c r="H1422" s="9" t="n">
        <v>547</v>
      </c>
      <c r="I1422" s="9" t="inlineStr">
        <is>
          <t>Depth (no MLB IP)</t>
        </is>
      </c>
      <c r="J1422" s="17" t="inlineStr">
        <is>
          <t>Opening Day</t>
        </is>
      </c>
      <c r="K1422" s="11">
        <f>IFERROR(INDEX(Roles!$B$17:$B$20,MATCH(J1422,Roles!$A$17:$A$20,0)),1)</f>
        <v/>
      </c>
      <c r="L1422" s="18" t="n">
        <v>1</v>
      </c>
      <c r="M1422" s="18" t="n"/>
      <c r="N1422" s="18" t="n"/>
      <c r="O1422" s="18" t="n"/>
      <c r="P1422" s="18" t="n"/>
      <c r="Q1422" s="18" t="n"/>
      <c r="R1422" s="18" t="n"/>
      <c r="S1422" s="18" t="n"/>
      <c r="T1422" s="18" t="n"/>
      <c r="U1422" s="18" t="n"/>
      <c r="V1422" s="18" t="n"/>
      <c r="W1422" s="18" t="n"/>
      <c r="X1422" s="18" t="n"/>
      <c r="Y1422" s="13">
        <f>SUMPRODUCT(M1422:X1422,$M$2:$X$2)*$K1422*$L1422</f>
        <v/>
      </c>
      <c r="Z1422" s="14">
        <f>SUM(M1422:X1422)</f>
        <v/>
      </c>
      <c r="AA1422" s="13">
        <f>SUMPRODUCT(M1422:X1422,$M$3:$X$3)*$K1422*$L1422</f>
        <v/>
      </c>
      <c r="AB1422" s="13">
        <f>SUMPRODUCT(M1422:X1422,$M$4:$X$4)*$K1422*$L1422</f>
        <v/>
      </c>
      <c r="AC1422" s="15">
        <f>SUMPRODUCT(M1422:X1422,$M$5:$X$5)*$K1422*$L1422</f>
        <v/>
      </c>
      <c r="AD1422" s="15">
        <f>SUMPRODUCT(M1422:X1422,$M$6:$X$6)*$K1422*$L1422</f>
        <v/>
      </c>
      <c r="AE1422" s="19" t="n"/>
    </row>
    <row r="1423">
      <c r="A1423" s="9" t="n">
        <v>641793</v>
      </c>
      <c r="B1423" s="9" t="inlineStr">
        <is>
          <t>Zack Littell</t>
        </is>
      </c>
      <c r="C1423" s="9" t="inlineStr">
        <is>
          <t>ARI</t>
        </is>
      </c>
      <c r="D1423" s="9" t="n">
        <v>31</v>
      </c>
      <c r="E1423" s="17" t="inlineStr">
        <is>
          <t>R</t>
        </is>
      </c>
      <c r="F1423" s="17" t="n"/>
      <c r="G1423" s="9" t="n">
        <v>540</v>
      </c>
      <c r="H1423" s="9" t="n">
        <v>2524</v>
      </c>
      <c r="I1423" s="9" t="inlineStr">
        <is>
          <t>Mid-Rotation Starter (SP2-3)</t>
        </is>
      </c>
      <c r="J1423" s="17" t="inlineStr">
        <is>
          <t>Opening Day</t>
        </is>
      </c>
      <c r="K1423" s="11">
        <f>IFERROR(INDEX(Roles!$B$17:$B$20,MATCH(J1423,Roles!$A$17:$A$20,0)),1)</f>
        <v/>
      </c>
      <c r="L1423" s="18" t="n">
        <v>1</v>
      </c>
      <c r="M1423" s="18" t="n"/>
      <c r="N1423" s="18" t="n"/>
      <c r="O1423" s="18" t="n"/>
      <c r="P1423" s="18" t="n"/>
      <c r="Q1423" s="18" t="n"/>
      <c r="R1423" s="18" t="n"/>
      <c r="S1423" s="18" t="n"/>
      <c r="T1423" s="18" t="n"/>
      <c r="U1423" s="18" t="n"/>
      <c r="V1423" s="18" t="n"/>
      <c r="W1423" s="18" t="n"/>
      <c r="X1423" s="18" t="n"/>
      <c r="Y1423" s="13">
        <f>SUMPRODUCT(M1423:X1423,$M$2:$X$2)*$K1423*$L1423</f>
        <v/>
      </c>
      <c r="Z1423" s="14">
        <f>SUM(M1423:X1423)</f>
        <v/>
      </c>
      <c r="AA1423" s="13">
        <f>SUMPRODUCT(M1423:X1423,$M$3:$X$3)*$K1423*$L1423</f>
        <v/>
      </c>
      <c r="AB1423" s="13">
        <f>SUMPRODUCT(M1423:X1423,$M$4:$X$4)*$K1423*$L1423</f>
        <v/>
      </c>
      <c r="AC1423" s="15">
        <f>SUMPRODUCT(M1423:X1423,$M$5:$X$5)*$K1423*$L1423</f>
        <v/>
      </c>
      <c r="AD1423" s="15">
        <f>SUMPRODUCT(M1423:X1423,$M$6:$X$6)*$K1423*$L1423</f>
        <v/>
      </c>
      <c r="AE1423" s="19" t="n"/>
    </row>
    <row r="1424">
      <c r="A1424" s="9" t="n">
        <v>677976</v>
      </c>
      <c r="B1424" s="9" t="inlineStr">
        <is>
          <t>Randy Dobnak</t>
        </is>
      </c>
      <c r="C1424" s="9" t="inlineStr">
        <is>
          <t>KC</t>
        </is>
      </c>
      <c r="D1424" s="9" t="n">
        <v>32</v>
      </c>
      <c r="E1424" s="17" t="inlineStr">
        <is>
          <t>R</t>
        </is>
      </c>
      <c r="F1424" s="17" t="n"/>
      <c r="G1424" s="9" t="n">
        <v>289</v>
      </c>
      <c r="H1424" s="9" t="n">
        <v>353</v>
      </c>
      <c r="I1424" s="9" t="inlineStr">
        <is>
          <t>Mid-Rotation Starter (SP2-3)</t>
        </is>
      </c>
      <c r="J1424" s="17" t="inlineStr">
        <is>
          <t>Opening Day</t>
        </is>
      </c>
      <c r="K1424" s="11">
        <f>IFERROR(INDEX(Roles!$B$17:$B$20,MATCH(J1424,Roles!$A$17:$A$20,0)),1)</f>
        <v/>
      </c>
      <c r="L1424" s="18" t="n">
        <v>1</v>
      </c>
      <c r="M1424" s="18" t="n"/>
      <c r="N1424" s="18" t="n"/>
      <c r="O1424" s="18" t="n"/>
      <c r="P1424" s="18" t="n"/>
      <c r="Q1424" s="18" t="n"/>
      <c r="R1424" s="18" t="n"/>
      <c r="S1424" s="18" t="n"/>
      <c r="T1424" s="18" t="n"/>
      <c r="U1424" s="18" t="n"/>
      <c r="V1424" s="18" t="n"/>
      <c r="W1424" s="18" t="n"/>
      <c r="X1424" s="18" t="n"/>
      <c r="Y1424" s="13">
        <f>SUMPRODUCT(M1424:X1424,$M$2:$X$2)*$K1424*$L1424</f>
        <v/>
      </c>
      <c r="Z1424" s="14">
        <f>SUM(M1424:X1424)</f>
        <v/>
      </c>
      <c r="AA1424" s="13">
        <f>SUMPRODUCT(M1424:X1424,$M$3:$X$3)*$K1424*$L1424</f>
        <v/>
      </c>
      <c r="AB1424" s="13">
        <f>SUMPRODUCT(M1424:X1424,$M$4:$X$4)*$K1424*$L1424</f>
        <v/>
      </c>
      <c r="AC1424" s="15">
        <f>SUMPRODUCT(M1424:X1424,$M$5:$X$5)*$K1424*$L1424</f>
        <v/>
      </c>
      <c r="AD1424" s="15">
        <f>SUMPRODUCT(M1424:X1424,$M$6:$X$6)*$K1424*$L1424</f>
        <v/>
      </c>
      <c r="AE1424" s="19" t="n"/>
    </row>
    <row r="1425">
      <c r="A1425" s="9" t="n">
        <v>500779</v>
      </c>
      <c r="B1425" s="9" t="inlineStr">
        <is>
          <t>Jose Quintana</t>
        </is>
      </c>
      <c r="C1425" s="9" t="inlineStr">
        <is>
          <t>COL</t>
        </is>
      </c>
      <c r="D1425" s="9" t="n">
        <v>38</v>
      </c>
      <c r="E1425" s="17" t="inlineStr">
        <is>
          <t>L</t>
        </is>
      </c>
      <c r="F1425" s="17" t="n"/>
      <c r="G1425" s="9" t="n">
        <v>181</v>
      </c>
      <c r="H1425" s="9" t="n">
        <v>2452</v>
      </c>
      <c r="I1425" s="9" t="inlineStr">
        <is>
          <t>Mid-Rotation Starter (SP2-3)</t>
        </is>
      </c>
      <c r="J1425" s="17" t="inlineStr">
        <is>
          <t>Opening Day</t>
        </is>
      </c>
      <c r="K1425" s="11">
        <f>IFERROR(INDEX(Roles!$B$17:$B$20,MATCH(J1425,Roles!$A$17:$A$20,0)),1)</f>
        <v/>
      </c>
      <c r="L1425" s="18" t="n">
        <v>1</v>
      </c>
      <c r="M1425" s="18" t="n"/>
      <c r="N1425" s="18" t="n"/>
      <c r="O1425" s="18" t="n"/>
      <c r="P1425" s="18" t="n"/>
      <c r="Q1425" s="18" t="n"/>
      <c r="R1425" s="18" t="n"/>
      <c r="S1425" s="18" t="n"/>
      <c r="T1425" s="18" t="n"/>
      <c r="U1425" s="18" t="n"/>
      <c r="V1425" s="18" t="n"/>
      <c r="W1425" s="18" t="n"/>
      <c r="X1425" s="18" t="n"/>
      <c r="Y1425" s="13">
        <f>SUMPRODUCT(M1425:X1425,$M$2:$X$2)*$K1425*$L1425</f>
        <v/>
      </c>
      <c r="Z1425" s="14">
        <f>SUM(M1425:X1425)</f>
        <v/>
      </c>
      <c r="AA1425" s="13">
        <f>SUMPRODUCT(M1425:X1425,$M$3:$X$3)*$K1425*$L1425</f>
        <v/>
      </c>
      <c r="AB1425" s="13">
        <f>SUMPRODUCT(M1425:X1425,$M$4:$X$4)*$K1425*$L1425</f>
        <v/>
      </c>
      <c r="AC1425" s="15">
        <f>SUMPRODUCT(M1425:X1425,$M$5:$X$5)*$K1425*$L1425</f>
        <v/>
      </c>
      <c r="AD1425" s="15">
        <f>SUMPRODUCT(M1425:X1425,$M$6:$X$6)*$K1425*$L1425</f>
        <v/>
      </c>
      <c r="AE1425" s="19" t="n"/>
    </row>
    <row r="1426">
      <c r="A1426" s="9" t="n">
        <v>669060</v>
      </c>
      <c r="B1426" s="9" t="inlineStr">
        <is>
          <t>Bryse Wilson</t>
        </is>
      </c>
      <c r="C1426" s="9" t="inlineStr">
        <is>
          <t>MIL</t>
        </is>
      </c>
      <c r="D1426" s="9" t="n">
        <v>29</v>
      </c>
      <c r="E1426" s="17" t="inlineStr">
        <is>
          <t>R</t>
        </is>
      </c>
      <c r="F1426" s="17" t="n"/>
      <c r="G1426" s="9" t="n">
        <v>145</v>
      </c>
      <c r="H1426" s="9" t="n">
        <v>1634</v>
      </c>
      <c r="I1426" s="9" t="inlineStr">
        <is>
          <t>Bullpen Depth Arm</t>
        </is>
      </c>
      <c r="J1426" s="17" t="inlineStr">
        <is>
          <t>Opening Day</t>
        </is>
      </c>
      <c r="K1426" s="11">
        <f>IFERROR(INDEX(Roles!$B$17:$B$20,MATCH(J1426,Roles!$A$17:$A$20,0)),1)</f>
        <v/>
      </c>
      <c r="L1426" s="18" t="n">
        <v>1</v>
      </c>
      <c r="M1426" s="18" t="n"/>
      <c r="N1426" s="18" t="n"/>
      <c r="O1426" s="18" t="n"/>
      <c r="P1426" s="18" t="n"/>
      <c r="Q1426" s="18" t="n"/>
      <c r="R1426" s="18" t="n"/>
      <c r="S1426" s="18" t="n"/>
      <c r="T1426" s="18" t="n"/>
      <c r="U1426" s="18" t="n"/>
      <c r="V1426" s="18" t="n"/>
      <c r="W1426" s="18" t="n"/>
      <c r="X1426" s="18" t="n"/>
      <c r="Y1426" s="13">
        <f>SUMPRODUCT(M1426:X1426,$M$2:$X$2)*$K1426*$L1426</f>
        <v/>
      </c>
      <c r="Z1426" s="14">
        <f>SUM(M1426:X1426)</f>
        <v/>
      </c>
      <c r="AA1426" s="13">
        <f>SUMPRODUCT(M1426:X1426,$M$3:$X$3)*$K1426*$L1426</f>
        <v/>
      </c>
      <c r="AB1426" s="13">
        <f>SUMPRODUCT(M1426:X1426,$M$4:$X$4)*$K1426*$L1426</f>
        <v/>
      </c>
      <c r="AC1426" s="15">
        <f>SUMPRODUCT(M1426:X1426,$M$5:$X$5)*$K1426*$L1426</f>
        <v/>
      </c>
      <c r="AD1426" s="15">
        <f>SUMPRODUCT(M1426:X1426,$M$6:$X$6)*$K1426*$L1426</f>
        <v/>
      </c>
      <c r="AE1426" s="19" t="n"/>
    </row>
    <row r="1427">
      <c r="A1427" s="9" t="n">
        <v>592836</v>
      </c>
      <c r="B1427" s="9" t="inlineStr">
        <is>
          <t>Taijuan Walker</t>
        </is>
      </c>
      <c r="C1427" s="9" t="inlineStr">
        <is>
          <t>PHI</t>
        </is>
      </c>
      <c r="D1427" s="9" t="n">
        <v>34</v>
      </c>
      <c r="E1427" s="17" t="inlineStr">
        <is>
          <t>R</t>
        </is>
      </c>
      <c r="F1427" s="17" t="n"/>
      <c r="G1427" s="9" t="n">
        <v>115</v>
      </c>
      <c r="H1427" s="9" t="n">
        <v>2416</v>
      </c>
      <c r="I1427" s="9" t="inlineStr">
        <is>
          <t>End-of-Rotation Starter (SP4-5)</t>
        </is>
      </c>
      <c r="J1427" s="17" t="inlineStr">
        <is>
          <t>Opening Day</t>
        </is>
      </c>
      <c r="K1427" s="11">
        <f>IFERROR(INDEX(Roles!$B$17:$B$20,MATCH(J1427,Roles!$A$17:$A$20,0)),1)</f>
        <v/>
      </c>
      <c r="L1427" s="18" t="n">
        <v>1</v>
      </c>
      <c r="M1427" s="18" t="n"/>
      <c r="N1427" s="18" t="n"/>
      <c r="O1427" s="18" t="n"/>
      <c r="P1427" s="18" t="n"/>
      <c r="Q1427" s="18" t="n"/>
      <c r="R1427" s="18" t="n"/>
      <c r="S1427" s="18" t="n"/>
      <c r="T1427" s="18" t="n"/>
      <c r="U1427" s="18" t="n"/>
      <c r="V1427" s="18" t="n"/>
      <c r="W1427" s="18" t="n"/>
      <c r="X1427" s="18" t="n"/>
      <c r="Y1427" s="13">
        <f>SUMPRODUCT(M1427:X1427,$M$2:$X$2)*$K1427*$L1427</f>
        <v/>
      </c>
      <c r="Z1427" s="14">
        <f>SUM(M1427:X1427)</f>
        <v/>
      </c>
      <c r="AA1427" s="13">
        <f>SUMPRODUCT(M1427:X1427,$M$3:$X$3)*$K1427*$L1427</f>
        <v/>
      </c>
      <c r="AB1427" s="13">
        <f>SUMPRODUCT(M1427:X1427,$M$4:$X$4)*$K1427*$L1427</f>
        <v/>
      </c>
      <c r="AC1427" s="15">
        <f>SUMPRODUCT(M1427:X1427,$M$5:$X$5)*$K1427*$L1427</f>
        <v/>
      </c>
      <c r="AD1427" s="15">
        <f>SUMPRODUCT(M1427:X1427,$M$6:$X$6)*$K1427*$L1427</f>
        <v/>
      </c>
      <c r="AE1427" s="19" t="n"/>
    </row>
    <row r="1428">
      <c r="A1428" s="9" t="n">
        <v>630023</v>
      </c>
      <c r="B1428" s="9" t="inlineStr">
        <is>
          <t>Yonny Chirinos</t>
        </is>
      </c>
      <c r="C1428" s="9" t="inlineStr">
        <is>
          <t>MIA</t>
        </is>
      </c>
      <c r="D1428" s="9" t="n">
        <v>33</v>
      </c>
      <c r="E1428" s="17" t="inlineStr">
        <is>
          <t>R</t>
        </is>
      </c>
      <c r="F1428" s="17" t="n"/>
      <c r="G1428" s="9" t="n">
        <v>144</v>
      </c>
      <c r="H1428" s="9" t="n">
        <v>541</v>
      </c>
      <c r="I1428" s="9" t="inlineStr">
        <is>
          <t>Depth (no MLB IP)</t>
        </is>
      </c>
      <c r="J1428" s="17" t="inlineStr">
        <is>
          <t>Opening Day</t>
        </is>
      </c>
      <c r="K1428" s="11">
        <f>IFERROR(INDEX(Roles!$B$17:$B$20,MATCH(J1428,Roles!$A$17:$A$20,0)),1)</f>
        <v/>
      </c>
      <c r="L1428" s="18" t="n">
        <v>1</v>
      </c>
      <c r="M1428" s="18" t="n"/>
      <c r="N1428" s="18" t="n"/>
      <c r="O1428" s="18" t="n"/>
      <c r="P1428" s="18" t="n"/>
      <c r="Q1428" s="18" t="n"/>
      <c r="R1428" s="18" t="n"/>
      <c r="S1428" s="18" t="n"/>
      <c r="T1428" s="18" t="n"/>
      <c r="U1428" s="18" t="n"/>
      <c r="V1428" s="18" t="n"/>
      <c r="W1428" s="18" t="n"/>
      <c r="X1428" s="18" t="n"/>
      <c r="Y1428" s="13">
        <f>SUMPRODUCT(M1428:X1428,$M$2:$X$2)*$K1428*$L1428</f>
        <v/>
      </c>
      <c r="Z1428" s="14">
        <f>SUM(M1428:X1428)</f>
        <v/>
      </c>
      <c r="AA1428" s="13">
        <f>SUMPRODUCT(M1428:X1428,$M$3:$X$3)*$K1428*$L1428</f>
        <v/>
      </c>
      <c r="AB1428" s="13">
        <f>SUMPRODUCT(M1428:X1428,$M$4:$X$4)*$K1428*$L1428</f>
        <v/>
      </c>
      <c r="AC1428" s="15">
        <f>SUMPRODUCT(M1428:X1428,$M$5:$X$5)*$K1428*$L1428</f>
        <v/>
      </c>
      <c r="AD1428" s="15">
        <f>SUMPRODUCT(M1428:X1428,$M$6:$X$6)*$K1428*$L1428</f>
        <v/>
      </c>
      <c r="AE1428" s="19" t="n"/>
    </row>
    <row r="1429">
      <c r="A1429" s="9" t="n">
        <v>680730</v>
      </c>
      <c r="B1429" s="9" t="inlineStr">
        <is>
          <t>Mitchell Parker</t>
        </is>
      </c>
      <c r="C1429" s="9" t="inlineStr">
        <is>
          <t>WSH</t>
        </is>
      </c>
      <c r="D1429" s="9" t="n">
        <v>27</v>
      </c>
      <c r="E1429" s="17" t="inlineStr">
        <is>
          <t>L</t>
        </is>
      </c>
      <c r="F1429" s="17" t="n"/>
      <c r="G1429" s="9" t="n">
        <v>178</v>
      </c>
      <c r="H1429" s="9" t="n">
        <v>1549</v>
      </c>
      <c r="I1429" s="9" t="inlineStr">
        <is>
          <t>End-of-Rotation Starter (SP4-5)</t>
        </is>
      </c>
      <c r="J1429" s="17" t="inlineStr">
        <is>
          <t>Opening Day</t>
        </is>
      </c>
      <c r="K1429" s="11">
        <f>IFERROR(INDEX(Roles!$B$17:$B$20,MATCH(J1429,Roles!$A$17:$A$20,0)),1)</f>
        <v/>
      </c>
      <c r="L1429" s="18" t="n">
        <v>1</v>
      </c>
      <c r="M1429" s="18" t="n"/>
      <c r="N1429" s="18" t="n"/>
      <c r="O1429" s="18" t="n"/>
      <c r="P1429" s="18" t="n"/>
      <c r="Q1429" s="18" t="n"/>
      <c r="R1429" s="18" t="n"/>
      <c r="S1429" s="18" t="n"/>
      <c r="T1429" s="18" t="n"/>
      <c r="U1429" s="18" t="n"/>
      <c r="V1429" s="18" t="n"/>
      <c r="W1429" s="18" t="n"/>
      <c r="X1429" s="18" t="n"/>
      <c r="Y1429" s="13">
        <f>SUMPRODUCT(M1429:X1429,$M$2:$X$2)*$K1429*$L1429</f>
        <v/>
      </c>
      <c r="Z1429" s="14">
        <f>SUM(M1429:X1429)</f>
        <v/>
      </c>
      <c r="AA1429" s="13">
        <f>SUMPRODUCT(M1429:X1429,$M$3:$X$3)*$K1429*$L1429</f>
        <v/>
      </c>
      <c r="AB1429" s="13">
        <f>SUMPRODUCT(M1429:X1429,$M$4:$X$4)*$K1429*$L1429</f>
        <v/>
      </c>
      <c r="AC1429" s="15">
        <f>SUMPRODUCT(M1429:X1429,$M$5:$X$5)*$K1429*$L1429</f>
        <v/>
      </c>
      <c r="AD1429" s="15">
        <f>SUMPRODUCT(M1429:X1429,$M$6:$X$6)*$K1429*$L1429</f>
        <v/>
      </c>
      <c r="AE1429" s="19" t="n"/>
    </row>
    <row r="1430">
      <c r="A1430" s="9" t="n">
        <v>518397</v>
      </c>
      <c r="B1430" s="9" t="inlineStr">
        <is>
          <t>Scott Alexander</t>
        </is>
      </c>
      <c r="C1430" s="9" t="inlineStr">
        <is>
          <t>SF</t>
        </is>
      </c>
      <c r="D1430" s="9" t="n">
        <v>37</v>
      </c>
      <c r="E1430" s="17" t="inlineStr">
        <is>
          <t>L</t>
        </is>
      </c>
      <c r="F1430" s="17" t="n"/>
      <c r="G1430" s="9" t="n">
        <v>81</v>
      </c>
      <c r="H1430" s="9" t="n">
        <v>512</v>
      </c>
      <c r="I1430" s="9" t="inlineStr">
        <is>
          <t>Bullpen Depth Arm</t>
        </is>
      </c>
      <c r="J1430" s="17" t="inlineStr">
        <is>
          <t>Opening Day</t>
        </is>
      </c>
      <c r="K1430" s="11">
        <f>IFERROR(INDEX(Roles!$B$17:$B$20,MATCH(J1430,Roles!$A$17:$A$20,0)),1)</f>
        <v/>
      </c>
      <c r="L1430" s="18" t="n">
        <v>1</v>
      </c>
      <c r="M1430" s="18" t="n"/>
      <c r="N1430" s="18" t="n"/>
      <c r="O1430" s="18" t="n"/>
      <c r="P1430" s="18" t="n"/>
      <c r="Q1430" s="18" t="n"/>
      <c r="R1430" s="18" t="n"/>
      <c r="S1430" s="18" t="n"/>
      <c r="T1430" s="18" t="n"/>
      <c r="U1430" s="18" t="n"/>
      <c r="V1430" s="18" t="n"/>
      <c r="W1430" s="18" t="n"/>
      <c r="X1430" s="18" t="n"/>
      <c r="Y1430" s="13">
        <f>SUMPRODUCT(M1430:X1430,$M$2:$X$2)*$K1430*$L1430</f>
        <v/>
      </c>
      <c r="Z1430" s="14">
        <f>SUM(M1430:X1430)</f>
        <v/>
      </c>
      <c r="AA1430" s="13">
        <f>SUMPRODUCT(M1430:X1430,$M$3:$X$3)*$K1430*$L1430</f>
        <v/>
      </c>
      <c r="AB1430" s="13">
        <f>SUMPRODUCT(M1430:X1430,$M$4:$X$4)*$K1430*$L1430</f>
        <v/>
      </c>
      <c r="AC1430" s="15">
        <f>SUMPRODUCT(M1430:X1430,$M$5:$X$5)*$K1430*$L1430</f>
        <v/>
      </c>
      <c r="AD1430" s="15">
        <f>SUMPRODUCT(M1430:X1430,$M$6:$X$6)*$K1430*$L1430</f>
        <v/>
      </c>
      <c r="AE1430" s="19" t="n"/>
    </row>
    <row r="1431">
      <c r="A1431" s="9" t="n">
        <v>689546</v>
      </c>
      <c r="B1431" s="9" t="inlineStr">
        <is>
          <t>Nick Davila</t>
        </is>
      </c>
      <c r="C1431" s="9" t="inlineStr">
        <is>
          <t>SEA</t>
        </is>
      </c>
      <c r="D1431" s="9" t="n">
        <v>28</v>
      </c>
      <c r="E1431" s="17" t="inlineStr">
        <is>
          <t>R</t>
        </is>
      </c>
      <c r="F1431" s="17" t="n"/>
      <c r="G1431" s="9" t="n">
        <v>119</v>
      </c>
      <c r="H1431" s="9" t="n">
        <v>119</v>
      </c>
      <c r="I1431" s="9" t="inlineStr">
        <is>
          <t>Bullpen Depth Arm</t>
        </is>
      </c>
      <c r="J1431" s="17" t="inlineStr">
        <is>
          <t>Opening Day</t>
        </is>
      </c>
      <c r="K1431" s="11">
        <f>IFERROR(INDEX(Roles!$B$17:$B$20,MATCH(J1431,Roles!$A$17:$A$20,0)),1)</f>
        <v/>
      </c>
      <c r="L1431" s="18" t="n">
        <v>1</v>
      </c>
      <c r="M1431" s="18" t="n"/>
      <c r="N1431" s="18" t="n"/>
      <c r="O1431" s="18" t="n"/>
      <c r="P1431" s="18" t="n"/>
      <c r="Q1431" s="18" t="n"/>
      <c r="R1431" s="18" t="n"/>
      <c r="S1431" s="18" t="n"/>
      <c r="T1431" s="18" t="n"/>
      <c r="U1431" s="18" t="n"/>
      <c r="V1431" s="18" t="n"/>
      <c r="W1431" s="18" t="n"/>
      <c r="X1431" s="18" t="n"/>
      <c r="Y1431" s="13">
        <f>SUMPRODUCT(M1431:X1431,$M$2:$X$2)*$K1431*$L1431</f>
        <v/>
      </c>
      <c r="Z1431" s="14">
        <f>SUM(M1431:X1431)</f>
        <v/>
      </c>
      <c r="AA1431" s="13">
        <f>SUMPRODUCT(M1431:X1431,$M$3:$X$3)*$K1431*$L1431</f>
        <v/>
      </c>
      <c r="AB1431" s="13">
        <f>SUMPRODUCT(M1431:X1431,$M$4:$X$4)*$K1431*$L1431</f>
        <v/>
      </c>
      <c r="AC1431" s="15">
        <f>SUMPRODUCT(M1431:X1431,$M$5:$X$5)*$K1431*$L1431</f>
        <v/>
      </c>
      <c r="AD1431" s="15">
        <f>SUMPRODUCT(M1431:X1431,$M$6:$X$6)*$K1431*$L1431</f>
        <v/>
      </c>
      <c r="AE1431" s="19" t="n"/>
    </row>
    <row r="1432">
      <c r="A1432" s="9" t="n">
        <v>570666</v>
      </c>
      <c r="B1432" s="9" t="inlineStr">
        <is>
          <t>Luis Cessa</t>
        </is>
      </c>
      <c r="C1432" s="9" t="inlineStr">
        <is>
          <t>CIN</t>
        </is>
      </c>
      <c r="D1432" s="9" t="n">
        <v>35</v>
      </c>
      <c r="E1432" s="17" t="inlineStr">
        <is>
          <t>R</t>
        </is>
      </c>
      <c r="F1432" s="17" t="n"/>
      <c r="G1432" s="9" t="n">
        <v>132</v>
      </c>
      <c r="H1432" s="9" t="n">
        <v>468</v>
      </c>
      <c r="I1432" s="9" t="inlineStr">
        <is>
          <t>Depth (no MLB IP)</t>
        </is>
      </c>
      <c r="J1432" s="17" t="inlineStr">
        <is>
          <t>Opening Day</t>
        </is>
      </c>
      <c r="K1432" s="11">
        <f>IFERROR(INDEX(Roles!$B$17:$B$20,MATCH(J1432,Roles!$A$17:$A$20,0)),1)</f>
        <v/>
      </c>
      <c r="L1432" s="18" t="n">
        <v>1</v>
      </c>
      <c r="M1432" s="18" t="n"/>
      <c r="N1432" s="18" t="n"/>
      <c r="O1432" s="18" t="n"/>
      <c r="P1432" s="18" t="n"/>
      <c r="Q1432" s="18" t="n"/>
      <c r="R1432" s="18" t="n"/>
      <c r="S1432" s="18" t="n"/>
      <c r="T1432" s="18" t="n"/>
      <c r="U1432" s="18" t="n"/>
      <c r="V1432" s="18" t="n"/>
      <c r="W1432" s="18" t="n"/>
      <c r="X1432" s="18" t="n"/>
      <c r="Y1432" s="13">
        <f>SUMPRODUCT(M1432:X1432,$M$2:$X$2)*$K1432*$L1432</f>
        <v/>
      </c>
      <c r="Z1432" s="14">
        <f>SUM(M1432:X1432)</f>
        <v/>
      </c>
      <c r="AA1432" s="13">
        <f>SUMPRODUCT(M1432:X1432,$M$3:$X$3)*$K1432*$L1432</f>
        <v/>
      </c>
      <c r="AB1432" s="13">
        <f>SUMPRODUCT(M1432:X1432,$M$4:$X$4)*$K1432*$L1432</f>
        <v/>
      </c>
      <c r="AC1432" s="15">
        <f>SUMPRODUCT(M1432:X1432,$M$5:$X$5)*$K1432*$L1432</f>
        <v/>
      </c>
      <c r="AD1432" s="15">
        <f>SUMPRODUCT(M1432:X1432,$M$6:$X$6)*$K1432*$L1432</f>
        <v/>
      </c>
      <c r="AE1432" s="19" t="n"/>
    </row>
    <row r="1433">
      <c r="A1433" s="9" t="n">
        <v>624431</v>
      </c>
      <c r="B1433" s="9" t="inlineStr">
        <is>
          <t>Jose Trevino</t>
        </is>
      </c>
      <c r="C1433" s="9" t="inlineStr">
        <is>
          <t>CIN</t>
        </is>
      </c>
      <c r="D1433" s="9" t="n">
        <v>34</v>
      </c>
      <c r="E1433" s="17" t="inlineStr">
        <is>
          <t>R</t>
        </is>
      </c>
      <c r="F1433" s="17" t="n"/>
      <c r="G1433" s="9" t="n">
        <v>49</v>
      </c>
      <c r="H1433" s="9" t="n">
        <v>74</v>
      </c>
      <c r="I1433" s="9" t="inlineStr">
        <is>
          <t>Bullpen Depth Arm</t>
        </is>
      </c>
      <c r="J1433" s="17" t="inlineStr">
        <is>
          <t>Opening Day</t>
        </is>
      </c>
      <c r="K1433" s="11">
        <f>IFERROR(INDEX(Roles!$B$17:$B$20,MATCH(J1433,Roles!$A$17:$A$20,0)),1)</f>
        <v/>
      </c>
      <c r="L1433" s="18" t="n">
        <v>1</v>
      </c>
      <c r="M1433" s="18" t="n"/>
      <c r="N1433" s="18" t="n"/>
      <c r="O1433" s="18" t="n"/>
      <c r="P1433" s="18" t="n"/>
      <c r="Q1433" s="18" t="n"/>
      <c r="R1433" s="18" t="n"/>
      <c r="S1433" s="18" t="n"/>
      <c r="T1433" s="18" t="n"/>
      <c r="U1433" s="18" t="n"/>
      <c r="V1433" s="18" t="n"/>
      <c r="W1433" s="18" t="n"/>
      <c r="X1433" s="18" t="n"/>
      <c r="Y1433" s="13">
        <f>SUMPRODUCT(M1433:X1433,$M$2:$X$2)*$K1433*$L1433</f>
        <v/>
      </c>
      <c r="Z1433" s="14">
        <f>SUM(M1433:X1433)</f>
        <v/>
      </c>
      <c r="AA1433" s="13">
        <f>SUMPRODUCT(M1433:X1433,$M$3:$X$3)*$K1433*$L1433</f>
        <v/>
      </c>
      <c r="AB1433" s="13">
        <f>SUMPRODUCT(M1433:X1433,$M$4:$X$4)*$K1433*$L1433</f>
        <v/>
      </c>
      <c r="AC1433" s="15">
        <f>SUMPRODUCT(M1433:X1433,$M$5:$X$5)*$K1433*$L1433</f>
        <v/>
      </c>
      <c r="AD1433" s="15">
        <f>SUMPRODUCT(M1433:X1433,$M$6:$X$6)*$K1433*$L1433</f>
        <v/>
      </c>
      <c r="AE1433" s="19" t="n"/>
    </row>
    <row r="1434">
      <c r="A1434" s="9" t="n">
        <v>702474</v>
      </c>
      <c r="B1434" s="9" t="inlineStr">
        <is>
          <t>Mike Paredes</t>
        </is>
      </c>
      <c r="C1434" s="9" t="inlineStr">
        <is>
          <t>MIN</t>
        </is>
      </c>
      <c r="D1434" s="9" t="n">
        <v>26</v>
      </c>
      <c r="E1434" s="17" t="inlineStr">
        <is>
          <t>R</t>
        </is>
      </c>
      <c r="F1434" s="17" t="n"/>
      <c r="G1434" s="9" t="n">
        <v>154</v>
      </c>
      <c r="H1434" s="9" t="n">
        <v>154</v>
      </c>
      <c r="I1434" s="9" t="inlineStr">
        <is>
          <t>End-of-Rotation Starter (SP4-5)</t>
        </is>
      </c>
      <c r="J1434" s="17" t="inlineStr">
        <is>
          <t>Opening Day</t>
        </is>
      </c>
      <c r="K1434" s="11">
        <f>IFERROR(INDEX(Roles!$B$17:$B$20,MATCH(J1434,Roles!$A$17:$A$20,0)),1)</f>
        <v/>
      </c>
      <c r="L1434" s="18" t="n">
        <v>1</v>
      </c>
      <c r="M1434" s="18" t="n"/>
      <c r="N1434" s="18" t="n"/>
      <c r="O1434" s="18" t="n"/>
      <c r="P1434" s="18" t="n"/>
      <c r="Q1434" s="18" t="n"/>
      <c r="R1434" s="18" t="n"/>
      <c r="S1434" s="18" t="n"/>
      <c r="T1434" s="18" t="n"/>
      <c r="U1434" s="18" t="n"/>
      <c r="V1434" s="18" t="n"/>
      <c r="W1434" s="18" t="n"/>
      <c r="X1434" s="18" t="n"/>
      <c r="Y1434" s="13">
        <f>SUMPRODUCT(M1434:X1434,$M$2:$X$2)*$K1434*$L1434</f>
        <v/>
      </c>
      <c r="Z1434" s="14">
        <f>SUM(M1434:X1434)</f>
        <v/>
      </c>
      <c r="AA1434" s="13">
        <f>SUMPRODUCT(M1434:X1434,$M$3:$X$3)*$K1434*$L1434</f>
        <v/>
      </c>
      <c r="AB1434" s="13">
        <f>SUMPRODUCT(M1434:X1434,$M$4:$X$4)*$K1434*$L1434</f>
        <v/>
      </c>
      <c r="AC1434" s="15">
        <f>SUMPRODUCT(M1434:X1434,$M$5:$X$5)*$K1434*$L1434</f>
        <v/>
      </c>
      <c r="AD1434" s="15">
        <f>SUMPRODUCT(M1434:X1434,$M$6:$X$6)*$K1434*$L1434</f>
        <v/>
      </c>
      <c r="AE1434" s="19" t="n"/>
    </row>
    <row r="1435">
      <c r="A1435" s="9" t="n">
        <v>696522</v>
      </c>
      <c r="B1435" s="9" t="inlineStr">
        <is>
          <t>Hayden Juenger</t>
        </is>
      </c>
      <c r="C1435" s="9" t="inlineStr">
        <is>
          <t>OAK</t>
        </is>
      </c>
      <c r="D1435" s="9" t="n">
        <v>26</v>
      </c>
      <c r="E1435" s="17" t="inlineStr">
        <is>
          <t>R</t>
        </is>
      </c>
      <c r="F1435" s="17" t="n"/>
      <c r="G1435" s="9" t="n">
        <v>81</v>
      </c>
      <c r="H1435" s="9" t="n">
        <v>81</v>
      </c>
      <c r="I1435" s="9" t="inlineStr">
        <is>
          <t>Bullpen Depth Arm</t>
        </is>
      </c>
      <c r="J1435" s="17" t="inlineStr">
        <is>
          <t>Opening Day</t>
        </is>
      </c>
      <c r="K1435" s="11">
        <f>IFERROR(INDEX(Roles!$B$17:$B$20,MATCH(J1435,Roles!$A$17:$A$20,0)),1)</f>
        <v/>
      </c>
      <c r="L1435" s="18" t="n">
        <v>1</v>
      </c>
      <c r="M1435" s="18" t="n"/>
      <c r="N1435" s="18" t="n"/>
      <c r="O1435" s="18" t="n"/>
      <c r="P1435" s="18" t="n"/>
      <c r="Q1435" s="18" t="n"/>
      <c r="R1435" s="18" t="n"/>
      <c r="S1435" s="18" t="n"/>
      <c r="T1435" s="18" t="n"/>
      <c r="U1435" s="18" t="n"/>
      <c r="V1435" s="18" t="n"/>
      <c r="W1435" s="18" t="n"/>
      <c r="X1435" s="18" t="n"/>
      <c r="Y1435" s="13">
        <f>SUMPRODUCT(M1435:X1435,$M$2:$X$2)*$K1435*$L1435</f>
        <v/>
      </c>
      <c r="Z1435" s="14">
        <f>SUM(M1435:X1435)</f>
        <v/>
      </c>
      <c r="AA1435" s="13">
        <f>SUMPRODUCT(M1435:X1435,$M$3:$X$3)*$K1435*$L1435</f>
        <v/>
      </c>
      <c r="AB1435" s="13">
        <f>SUMPRODUCT(M1435:X1435,$M$4:$X$4)*$K1435*$L1435</f>
        <v/>
      </c>
      <c r="AC1435" s="15">
        <f>SUMPRODUCT(M1435:X1435,$M$5:$X$5)*$K1435*$L1435</f>
        <v/>
      </c>
      <c r="AD1435" s="15">
        <f>SUMPRODUCT(M1435:X1435,$M$6:$X$6)*$K1435*$L1435</f>
        <v/>
      </c>
      <c r="AE1435" s="19" t="n"/>
    </row>
    <row r="1436">
      <c r="A1436" s="9" t="n">
        <v>683155</v>
      </c>
      <c r="B1436" s="9" t="inlineStr">
        <is>
          <t>Joey Estes</t>
        </is>
      </c>
      <c r="C1436" s="9" t="inlineStr">
        <is>
          <t>OAK</t>
        </is>
      </c>
      <c r="D1436" s="9" t="n">
        <v>25</v>
      </c>
      <c r="E1436" s="17" t="inlineStr">
        <is>
          <t>R</t>
        </is>
      </c>
      <c r="F1436" s="17" t="n"/>
      <c r="G1436" s="9" t="n">
        <v>34</v>
      </c>
      <c r="H1436" s="9" t="n">
        <v>679</v>
      </c>
      <c r="I1436" s="9" t="inlineStr">
        <is>
          <t>End-of-Rotation Starter (SP4-5)</t>
        </is>
      </c>
      <c r="J1436" s="17" t="inlineStr">
        <is>
          <t>Opening Day</t>
        </is>
      </c>
      <c r="K1436" s="11">
        <f>IFERROR(INDEX(Roles!$B$17:$B$20,MATCH(J1436,Roles!$A$17:$A$20,0)),1)</f>
        <v/>
      </c>
      <c r="L1436" s="18" t="n">
        <v>1</v>
      </c>
      <c r="M1436" s="18" t="n"/>
      <c r="N1436" s="18" t="n"/>
      <c r="O1436" s="18" t="n"/>
      <c r="P1436" s="18" t="n"/>
      <c r="Q1436" s="18" t="n"/>
      <c r="R1436" s="18" t="n"/>
      <c r="S1436" s="18" t="n"/>
      <c r="T1436" s="18" t="n"/>
      <c r="U1436" s="18" t="n"/>
      <c r="V1436" s="18" t="n"/>
      <c r="W1436" s="18" t="n"/>
      <c r="X1436" s="18" t="n"/>
      <c r="Y1436" s="13">
        <f>SUMPRODUCT(M1436:X1436,$M$2:$X$2)*$K1436*$L1436</f>
        <v/>
      </c>
      <c r="Z1436" s="14">
        <f>SUM(M1436:X1436)</f>
        <v/>
      </c>
      <c r="AA1436" s="13">
        <f>SUMPRODUCT(M1436:X1436,$M$3:$X$3)*$K1436*$L1436</f>
        <v/>
      </c>
      <c r="AB1436" s="13">
        <f>SUMPRODUCT(M1436:X1436,$M$4:$X$4)*$K1436*$L1436</f>
        <v/>
      </c>
      <c r="AC1436" s="15">
        <f>SUMPRODUCT(M1436:X1436,$M$5:$X$5)*$K1436*$L1436</f>
        <v/>
      </c>
      <c r="AD1436" s="15">
        <f>SUMPRODUCT(M1436:X1436,$M$6:$X$6)*$K1436*$L1436</f>
        <v/>
      </c>
      <c r="AE1436" s="19" t="n"/>
    </row>
    <row r="1437">
      <c r="A1437" s="9" t="n">
        <v>542947</v>
      </c>
      <c r="B1437" s="9" t="inlineStr">
        <is>
          <t>Richard Bleier</t>
        </is>
      </c>
      <c r="C1437" s="9" t="inlineStr">
        <is>
          <t>BOS</t>
        </is>
      </c>
      <c r="D1437" s="9" t="n">
        <v>40</v>
      </c>
      <c r="E1437" s="17" t="inlineStr">
        <is>
          <t>L</t>
        </is>
      </c>
      <c r="F1437" s="17" t="n"/>
      <c r="G1437" s="9" t="n">
        <v>132</v>
      </c>
      <c r="H1437" s="9" t="n">
        <v>354</v>
      </c>
      <c r="I1437" s="9" t="inlineStr">
        <is>
          <t>Depth (no MLB IP)</t>
        </is>
      </c>
      <c r="J1437" s="17" t="inlineStr">
        <is>
          <t>Opening Day</t>
        </is>
      </c>
      <c r="K1437" s="11">
        <f>IFERROR(INDEX(Roles!$B$17:$B$20,MATCH(J1437,Roles!$A$17:$A$20,0)),1)</f>
        <v/>
      </c>
      <c r="L1437" s="18" t="n">
        <v>1</v>
      </c>
      <c r="M1437" s="18" t="n"/>
      <c r="N1437" s="18" t="n"/>
      <c r="O1437" s="18" t="n"/>
      <c r="P1437" s="18" t="n"/>
      <c r="Q1437" s="18" t="n"/>
      <c r="R1437" s="18" t="n"/>
      <c r="S1437" s="18" t="n"/>
      <c r="T1437" s="18" t="n"/>
      <c r="U1437" s="18" t="n"/>
      <c r="V1437" s="18" t="n"/>
      <c r="W1437" s="18" t="n"/>
      <c r="X1437" s="18" t="n"/>
      <c r="Y1437" s="13">
        <f>SUMPRODUCT(M1437:X1437,$M$2:$X$2)*$K1437*$L1437</f>
        <v/>
      </c>
      <c r="Z1437" s="14">
        <f>SUM(M1437:X1437)</f>
        <v/>
      </c>
      <c r="AA1437" s="13">
        <f>SUMPRODUCT(M1437:X1437,$M$3:$X$3)*$K1437*$L1437</f>
        <v/>
      </c>
      <c r="AB1437" s="13">
        <f>SUMPRODUCT(M1437:X1437,$M$4:$X$4)*$K1437*$L1437</f>
        <v/>
      </c>
      <c r="AC1437" s="15">
        <f>SUMPRODUCT(M1437:X1437,$M$5:$X$5)*$K1437*$L1437</f>
        <v/>
      </c>
      <c r="AD1437" s="15">
        <f>SUMPRODUCT(M1437:X1437,$M$6:$X$6)*$K1437*$L1437</f>
        <v/>
      </c>
      <c r="AE1437" s="19" t="n"/>
    </row>
    <row r="1438">
      <c r="A1438" s="9" t="n">
        <v>642028</v>
      </c>
      <c r="B1438" s="9" t="inlineStr">
        <is>
          <t>Josh Rogers</t>
        </is>
      </c>
      <c r="C1438" s="9" t="inlineStr">
        <is>
          <t>COL</t>
        </is>
      </c>
      <c r="D1438" s="9" t="n">
        <v>32</v>
      </c>
      <c r="E1438" s="17" t="inlineStr">
        <is>
          <t>L</t>
        </is>
      </c>
      <c r="F1438" s="17" t="n"/>
      <c r="G1438" s="9" t="n">
        <v>50</v>
      </c>
      <c r="H1438" s="9" t="n">
        <v>163</v>
      </c>
      <c r="I1438" s="9" t="inlineStr">
        <is>
          <t>Depth (no MLB IP)</t>
        </is>
      </c>
      <c r="J1438" s="17" t="inlineStr">
        <is>
          <t>Opening Day</t>
        </is>
      </c>
      <c r="K1438" s="11">
        <f>IFERROR(INDEX(Roles!$B$17:$B$20,MATCH(J1438,Roles!$A$17:$A$20,0)),1)</f>
        <v/>
      </c>
      <c r="L1438" s="18" t="n">
        <v>1</v>
      </c>
      <c r="M1438" s="18" t="n"/>
      <c r="N1438" s="18" t="n"/>
      <c r="O1438" s="18" t="n"/>
      <c r="P1438" s="18" t="n"/>
      <c r="Q1438" s="18" t="n"/>
      <c r="R1438" s="18" t="n"/>
      <c r="S1438" s="18" t="n"/>
      <c r="T1438" s="18" t="n"/>
      <c r="U1438" s="18" t="n"/>
      <c r="V1438" s="18" t="n"/>
      <c r="W1438" s="18" t="n"/>
      <c r="X1438" s="18" t="n"/>
      <c r="Y1438" s="13">
        <f>SUMPRODUCT(M1438:X1438,$M$2:$X$2)*$K1438*$L1438</f>
        <v/>
      </c>
      <c r="Z1438" s="14">
        <f>SUM(M1438:X1438)</f>
        <v/>
      </c>
      <c r="AA1438" s="13">
        <f>SUMPRODUCT(M1438:X1438,$M$3:$X$3)*$K1438*$L1438</f>
        <v/>
      </c>
      <c r="AB1438" s="13">
        <f>SUMPRODUCT(M1438:X1438,$M$4:$X$4)*$K1438*$L1438</f>
        <v/>
      </c>
      <c r="AC1438" s="15">
        <f>SUMPRODUCT(M1438:X1438,$M$5:$X$5)*$K1438*$L1438</f>
        <v/>
      </c>
      <c r="AD1438" s="15">
        <f>SUMPRODUCT(M1438:X1438,$M$6:$X$6)*$K1438*$L1438</f>
        <v/>
      </c>
      <c r="AE1438" s="19" t="n"/>
    </row>
    <row r="1439">
      <c r="A1439" s="9" t="n">
        <v>670124</v>
      </c>
      <c r="B1439" s="9" t="inlineStr">
        <is>
          <t>Adam Oller</t>
        </is>
      </c>
      <c r="C1439" s="9" t="inlineStr">
        <is>
          <t>MIA</t>
        </is>
      </c>
      <c r="D1439" s="9" t="n">
        <v>32</v>
      </c>
      <c r="E1439" s="17" t="inlineStr">
        <is>
          <t>R</t>
        </is>
      </c>
      <c r="F1439" s="17" t="n"/>
      <c r="G1439" s="9" t="n">
        <v>189</v>
      </c>
      <c r="H1439" s="9" t="n">
        <v>627</v>
      </c>
      <c r="I1439" s="9" t="inlineStr">
        <is>
          <t>Depth (no MLB IP)</t>
        </is>
      </c>
      <c r="J1439" s="17" t="inlineStr">
        <is>
          <t>Opening Day</t>
        </is>
      </c>
      <c r="K1439" s="11">
        <f>IFERROR(INDEX(Roles!$B$17:$B$20,MATCH(J1439,Roles!$A$17:$A$20,0)),1)</f>
        <v/>
      </c>
      <c r="L1439" s="18" t="n">
        <v>1</v>
      </c>
      <c r="M1439" s="18" t="n"/>
      <c r="N1439" s="18" t="n"/>
      <c r="O1439" s="18" t="n"/>
      <c r="P1439" s="18" t="n"/>
      <c r="Q1439" s="18" t="n"/>
      <c r="R1439" s="18" t="n"/>
      <c r="S1439" s="18" t="n"/>
      <c r="T1439" s="18" t="n"/>
      <c r="U1439" s="18" t="n"/>
      <c r="V1439" s="18" t="n"/>
      <c r="W1439" s="18" t="n"/>
      <c r="X1439" s="18" t="n"/>
      <c r="Y1439" s="13">
        <f>SUMPRODUCT(M1439:X1439,$M$2:$X$2)*$K1439*$L1439</f>
        <v/>
      </c>
      <c r="Z1439" s="14">
        <f>SUM(M1439:X1439)</f>
        <v/>
      </c>
      <c r="AA1439" s="13">
        <f>SUMPRODUCT(M1439:X1439,$M$3:$X$3)*$K1439*$L1439</f>
        <v/>
      </c>
      <c r="AB1439" s="13">
        <f>SUMPRODUCT(M1439:X1439,$M$4:$X$4)*$K1439*$L1439</f>
        <v/>
      </c>
      <c r="AC1439" s="15">
        <f>SUMPRODUCT(M1439:X1439,$M$5:$X$5)*$K1439*$L1439</f>
        <v/>
      </c>
      <c r="AD1439" s="15">
        <f>SUMPRODUCT(M1439:X1439,$M$6:$X$6)*$K1439*$L1439</f>
        <v/>
      </c>
      <c r="AE1439" s="19" t="n"/>
    </row>
    <row r="1440">
      <c r="A1440" s="9" t="n">
        <v>664350</v>
      </c>
      <c r="B1440" s="9" t="inlineStr">
        <is>
          <t>Sixto Sánchez</t>
        </is>
      </c>
      <c r="C1440" s="9" t="inlineStr">
        <is>
          <t>MIA</t>
        </is>
      </c>
      <c r="D1440" s="9" t="n">
        <v>28</v>
      </c>
      <c r="E1440" s="17" t="inlineStr">
        <is>
          <t>R</t>
        </is>
      </c>
      <c r="F1440" s="17" t="n"/>
      <c r="G1440" s="9" t="n">
        <v>162</v>
      </c>
      <c r="H1440" s="9" t="n">
        <v>162</v>
      </c>
      <c r="I1440" s="9" t="inlineStr">
        <is>
          <t>Depth (no MLB IP)</t>
        </is>
      </c>
      <c r="J1440" s="17" t="inlineStr">
        <is>
          <t>Opening Day</t>
        </is>
      </c>
      <c r="K1440" s="11">
        <f>IFERROR(INDEX(Roles!$B$17:$B$20,MATCH(J1440,Roles!$A$17:$A$20,0)),1)</f>
        <v/>
      </c>
      <c r="L1440" s="18" t="n">
        <v>1</v>
      </c>
      <c r="M1440" s="18" t="n"/>
      <c r="N1440" s="18" t="n"/>
      <c r="O1440" s="18" t="n"/>
      <c r="P1440" s="18" t="n"/>
      <c r="Q1440" s="18" t="n"/>
      <c r="R1440" s="18" t="n"/>
      <c r="S1440" s="18" t="n"/>
      <c r="T1440" s="18" t="n"/>
      <c r="U1440" s="18" t="n"/>
      <c r="V1440" s="18" t="n"/>
      <c r="W1440" s="18" t="n"/>
      <c r="X1440" s="18" t="n"/>
      <c r="Y1440" s="13">
        <f>SUMPRODUCT(M1440:X1440,$M$2:$X$2)*$K1440*$L1440</f>
        <v/>
      </c>
      <c r="Z1440" s="14">
        <f>SUM(M1440:X1440)</f>
        <v/>
      </c>
      <c r="AA1440" s="13">
        <f>SUMPRODUCT(M1440:X1440,$M$3:$X$3)*$K1440*$L1440</f>
        <v/>
      </c>
      <c r="AB1440" s="13">
        <f>SUMPRODUCT(M1440:X1440,$M$4:$X$4)*$K1440*$L1440</f>
        <v/>
      </c>
      <c r="AC1440" s="15">
        <f>SUMPRODUCT(M1440:X1440,$M$5:$X$5)*$K1440*$L1440</f>
        <v/>
      </c>
      <c r="AD1440" s="15">
        <f>SUMPRODUCT(M1440:X1440,$M$6:$X$6)*$K1440*$L1440</f>
        <v/>
      </c>
      <c r="AE1440" s="19" t="n"/>
    </row>
    <row r="1441">
      <c r="A1441" s="9" t="n">
        <v>663568</v>
      </c>
      <c r="B1441" s="9" t="inlineStr">
        <is>
          <t>Stephen Kolek</t>
        </is>
      </c>
      <c r="C1441" s="9" t="inlineStr">
        <is>
          <t>KC</t>
        </is>
      </c>
      <c r="D1441" s="9" t="n">
        <v>30</v>
      </c>
      <c r="E1441" s="17" t="inlineStr">
        <is>
          <t>R</t>
        </is>
      </c>
      <c r="F1441" s="17" t="n"/>
      <c r="G1441" s="9" t="n">
        <v>224</v>
      </c>
      <c r="H1441" s="9" t="n">
        <v>896</v>
      </c>
      <c r="I1441" s="9" t="inlineStr">
        <is>
          <t>End-of-Rotation Starter (SP4-5)</t>
        </is>
      </c>
      <c r="J1441" s="17" t="inlineStr">
        <is>
          <t>Opening Day</t>
        </is>
      </c>
      <c r="K1441" s="11">
        <f>IFERROR(INDEX(Roles!$B$17:$B$20,MATCH(J1441,Roles!$A$17:$A$20,0)),1)</f>
        <v/>
      </c>
      <c r="L1441" s="18" t="n">
        <v>1</v>
      </c>
      <c r="M1441" s="18" t="n"/>
      <c r="N1441" s="18" t="n"/>
      <c r="O1441" s="18" t="n"/>
      <c r="P1441" s="18" t="n"/>
      <c r="Q1441" s="18" t="n"/>
      <c r="R1441" s="18" t="n"/>
      <c r="S1441" s="18" t="n"/>
      <c r="T1441" s="18" t="n"/>
      <c r="U1441" s="18" t="n"/>
      <c r="V1441" s="18" t="n"/>
      <c r="W1441" s="18" t="n"/>
      <c r="X1441" s="18" t="n"/>
      <c r="Y1441" s="13">
        <f>SUMPRODUCT(M1441:X1441,$M$2:$X$2)*$K1441*$L1441</f>
        <v/>
      </c>
      <c r="Z1441" s="14">
        <f>SUM(M1441:X1441)</f>
        <v/>
      </c>
      <c r="AA1441" s="13">
        <f>SUMPRODUCT(M1441:X1441,$M$3:$X$3)*$K1441*$L1441</f>
        <v/>
      </c>
      <c r="AB1441" s="13">
        <f>SUMPRODUCT(M1441:X1441,$M$4:$X$4)*$K1441*$L1441</f>
        <v/>
      </c>
      <c r="AC1441" s="15">
        <f>SUMPRODUCT(M1441:X1441,$M$5:$X$5)*$K1441*$L1441</f>
        <v/>
      </c>
      <c r="AD1441" s="15">
        <f>SUMPRODUCT(M1441:X1441,$M$6:$X$6)*$K1441*$L1441</f>
        <v/>
      </c>
      <c r="AE1441" s="19" t="n"/>
    </row>
    <row r="1442">
      <c r="A1442" s="9" t="n">
        <v>676083</v>
      </c>
      <c r="B1442" s="9" t="inlineStr">
        <is>
          <t>Janson Junk</t>
        </is>
      </c>
      <c r="C1442" s="9" t="inlineStr">
        <is>
          <t>MIA</t>
        </is>
      </c>
      <c r="D1442" s="9" t="n">
        <v>31</v>
      </c>
      <c r="E1442" s="17" t="inlineStr">
        <is>
          <t>R</t>
        </is>
      </c>
      <c r="F1442" s="17" t="n"/>
      <c r="G1442" s="9" t="n">
        <v>487</v>
      </c>
      <c r="H1442" s="9" t="n">
        <v>1052</v>
      </c>
      <c r="I1442" s="9" t="inlineStr">
        <is>
          <t>End-of-Rotation Starter (SP4-5)</t>
        </is>
      </c>
      <c r="J1442" s="17" t="inlineStr">
        <is>
          <t>Opening Day</t>
        </is>
      </c>
      <c r="K1442" s="11">
        <f>IFERROR(INDEX(Roles!$B$17:$B$20,MATCH(J1442,Roles!$A$17:$A$20,0)),1)</f>
        <v/>
      </c>
      <c r="L1442" s="18" t="n">
        <v>1</v>
      </c>
      <c r="M1442" s="18" t="n"/>
      <c r="N1442" s="18" t="n"/>
      <c r="O1442" s="18" t="n"/>
      <c r="P1442" s="18" t="n"/>
      <c r="Q1442" s="18" t="n"/>
      <c r="R1442" s="18" t="n"/>
      <c r="S1442" s="18" t="n"/>
      <c r="T1442" s="18" t="n"/>
      <c r="U1442" s="18" t="n"/>
      <c r="V1442" s="18" t="n"/>
      <c r="W1442" s="18" t="n"/>
      <c r="X1442" s="18" t="n"/>
      <c r="Y1442" s="13">
        <f>SUMPRODUCT(M1442:X1442,$M$2:$X$2)*$K1442*$L1442</f>
        <v/>
      </c>
      <c r="Z1442" s="14">
        <f>SUM(M1442:X1442)</f>
        <v/>
      </c>
      <c r="AA1442" s="13">
        <f>SUMPRODUCT(M1442:X1442,$M$3:$X$3)*$K1442*$L1442</f>
        <v/>
      </c>
      <c r="AB1442" s="13">
        <f>SUMPRODUCT(M1442:X1442,$M$4:$X$4)*$K1442*$L1442</f>
        <v/>
      </c>
      <c r="AC1442" s="15">
        <f>SUMPRODUCT(M1442:X1442,$M$5:$X$5)*$K1442*$L1442</f>
        <v/>
      </c>
      <c r="AD1442" s="15">
        <f>SUMPRODUCT(M1442:X1442,$M$6:$X$6)*$K1442*$L1442</f>
        <v/>
      </c>
      <c r="AE1442" s="19" t="n"/>
    </row>
    <row r="1443">
      <c r="A1443" s="9" t="n">
        <v>596271</v>
      </c>
      <c r="B1443" s="9" t="inlineStr">
        <is>
          <t>Casey Lawrence</t>
        </is>
      </c>
      <c r="C1443" s="9" t="inlineStr">
        <is>
          <t>SEA</t>
        </is>
      </c>
      <c r="D1443" s="9" t="n">
        <v>39</v>
      </c>
      <c r="E1443" s="17" t="inlineStr">
        <is>
          <t>R</t>
        </is>
      </c>
      <c r="F1443" s="17" t="n"/>
      <c r="G1443" s="9" t="n">
        <v>80</v>
      </c>
      <c r="H1443" s="9" t="n">
        <v>281</v>
      </c>
      <c r="I1443" s="9" t="inlineStr">
        <is>
          <t>Bullpen Depth Arm</t>
        </is>
      </c>
      <c r="J1443" s="17" t="inlineStr">
        <is>
          <t>Opening Day</t>
        </is>
      </c>
      <c r="K1443" s="11">
        <f>IFERROR(INDEX(Roles!$B$17:$B$20,MATCH(J1443,Roles!$A$17:$A$20,0)),1)</f>
        <v/>
      </c>
      <c r="L1443" s="18" t="n">
        <v>1</v>
      </c>
      <c r="M1443" s="18" t="n"/>
      <c r="N1443" s="18" t="n"/>
      <c r="O1443" s="18" t="n"/>
      <c r="P1443" s="18" t="n"/>
      <c r="Q1443" s="18" t="n"/>
      <c r="R1443" s="18" t="n"/>
      <c r="S1443" s="18" t="n"/>
      <c r="T1443" s="18" t="n"/>
      <c r="U1443" s="18" t="n"/>
      <c r="V1443" s="18" t="n"/>
      <c r="W1443" s="18" t="n"/>
      <c r="X1443" s="18" t="n"/>
      <c r="Y1443" s="13">
        <f>SUMPRODUCT(M1443:X1443,$M$2:$X$2)*$K1443*$L1443</f>
        <v/>
      </c>
      <c r="Z1443" s="14">
        <f>SUM(M1443:X1443)</f>
        <v/>
      </c>
      <c r="AA1443" s="13">
        <f>SUMPRODUCT(M1443:X1443,$M$3:$X$3)*$K1443*$L1443</f>
        <v/>
      </c>
      <c r="AB1443" s="13">
        <f>SUMPRODUCT(M1443:X1443,$M$4:$X$4)*$K1443*$L1443</f>
        <v/>
      </c>
      <c r="AC1443" s="15">
        <f>SUMPRODUCT(M1443:X1443,$M$5:$X$5)*$K1443*$L1443</f>
        <v/>
      </c>
      <c r="AD1443" s="15">
        <f>SUMPRODUCT(M1443:X1443,$M$6:$X$6)*$K1443*$L1443</f>
        <v/>
      </c>
      <c r="AE1443" s="19" t="n"/>
    </row>
    <row r="1444">
      <c r="A1444" s="9" t="n">
        <v>456501</v>
      </c>
      <c r="B1444" s="9" t="inlineStr">
        <is>
          <t>Johnny Cueto</t>
        </is>
      </c>
      <c r="C1444" s="9" t="inlineStr">
        <is>
          <t>LAA</t>
        </is>
      </c>
      <c r="D1444" s="9" t="n">
        <v>41</v>
      </c>
      <c r="E1444" s="17" t="inlineStr">
        <is>
          <t>R</t>
        </is>
      </c>
      <c r="F1444" s="17" t="n"/>
      <c r="G1444" s="9" t="n">
        <v>50</v>
      </c>
      <c r="H1444" s="9" t="n">
        <v>919</v>
      </c>
      <c r="I1444" s="9" t="inlineStr">
        <is>
          <t>Depth (no MLB IP)</t>
        </is>
      </c>
      <c r="J1444" s="17" t="inlineStr">
        <is>
          <t>Opening Day</t>
        </is>
      </c>
      <c r="K1444" s="11">
        <f>IFERROR(INDEX(Roles!$B$17:$B$20,MATCH(J1444,Roles!$A$17:$A$20,0)),1)</f>
        <v/>
      </c>
      <c r="L1444" s="18" t="n">
        <v>1</v>
      </c>
      <c r="M1444" s="18" t="n"/>
      <c r="N1444" s="18" t="n"/>
      <c r="O1444" s="18" t="n"/>
      <c r="P1444" s="18" t="n"/>
      <c r="Q1444" s="18" t="n"/>
      <c r="R1444" s="18" t="n"/>
      <c r="S1444" s="18" t="n"/>
      <c r="T1444" s="18" t="n"/>
      <c r="U1444" s="18" t="n"/>
      <c r="V1444" s="18" t="n"/>
      <c r="W1444" s="18" t="n"/>
      <c r="X1444" s="18" t="n"/>
      <c r="Y1444" s="13">
        <f>SUMPRODUCT(M1444:X1444,$M$2:$X$2)*$K1444*$L1444</f>
        <v/>
      </c>
      <c r="Z1444" s="14">
        <f>SUM(M1444:X1444)</f>
        <v/>
      </c>
      <c r="AA1444" s="13">
        <f>SUMPRODUCT(M1444:X1444,$M$3:$X$3)*$K1444*$L1444</f>
        <v/>
      </c>
      <c r="AB1444" s="13">
        <f>SUMPRODUCT(M1444:X1444,$M$4:$X$4)*$K1444*$L1444</f>
        <v/>
      </c>
      <c r="AC1444" s="15">
        <f>SUMPRODUCT(M1444:X1444,$M$5:$X$5)*$K1444*$L1444</f>
        <v/>
      </c>
      <c r="AD1444" s="15">
        <f>SUMPRODUCT(M1444:X1444,$M$6:$X$6)*$K1444*$L1444</f>
        <v/>
      </c>
      <c r="AE1444" s="19" t="n"/>
    </row>
    <row r="1445">
      <c r="A1445" s="9" t="n">
        <v>669270</v>
      </c>
      <c r="B1445" s="9" t="inlineStr">
        <is>
          <t>Joel Kuhnel</t>
        </is>
      </c>
      <c r="C1445" s="9" t="inlineStr">
        <is>
          <t>SF</t>
        </is>
      </c>
      <c r="D1445" s="9" t="n">
        <v>32</v>
      </c>
      <c r="E1445" s="17" t="inlineStr">
        <is>
          <t>R</t>
        </is>
      </c>
      <c r="F1445" s="17" t="n"/>
      <c r="G1445" s="9" t="n">
        <v>185</v>
      </c>
      <c r="H1445" s="9" t="n">
        <v>537</v>
      </c>
      <c r="I1445" s="9" t="inlineStr">
        <is>
          <t>Bullpen Depth Arm</t>
        </is>
      </c>
      <c r="J1445" s="17" t="inlineStr">
        <is>
          <t>Opening Day</t>
        </is>
      </c>
      <c r="K1445" s="11">
        <f>IFERROR(INDEX(Roles!$B$17:$B$20,MATCH(J1445,Roles!$A$17:$A$20,0)),1)</f>
        <v/>
      </c>
      <c r="L1445" s="18" t="n">
        <v>1</v>
      </c>
      <c r="M1445" s="18" t="n"/>
      <c r="N1445" s="18" t="n"/>
      <c r="O1445" s="18" t="n"/>
      <c r="P1445" s="18" t="n"/>
      <c r="Q1445" s="18" t="n"/>
      <c r="R1445" s="18" t="n"/>
      <c r="S1445" s="18" t="n"/>
      <c r="T1445" s="18" t="n"/>
      <c r="U1445" s="18" t="n"/>
      <c r="V1445" s="18" t="n"/>
      <c r="W1445" s="18" t="n"/>
      <c r="X1445" s="18" t="n"/>
      <c r="Y1445" s="13">
        <f>SUMPRODUCT(M1445:X1445,$M$2:$X$2)*$K1445*$L1445</f>
        <v/>
      </c>
      <c r="Z1445" s="14">
        <f>SUM(M1445:X1445)</f>
        <v/>
      </c>
      <c r="AA1445" s="13">
        <f>SUMPRODUCT(M1445:X1445,$M$3:$X$3)*$K1445*$L1445</f>
        <v/>
      </c>
      <c r="AB1445" s="13">
        <f>SUMPRODUCT(M1445:X1445,$M$4:$X$4)*$K1445*$L1445</f>
        <v/>
      </c>
      <c r="AC1445" s="15">
        <f>SUMPRODUCT(M1445:X1445,$M$5:$X$5)*$K1445*$L1445</f>
        <v/>
      </c>
      <c r="AD1445" s="15">
        <f>SUMPRODUCT(M1445:X1445,$M$6:$X$6)*$K1445*$L1445</f>
        <v/>
      </c>
      <c r="AE1445" s="19" t="n"/>
    </row>
    <row r="1446">
      <c r="A1446" s="9" t="n">
        <v>800049</v>
      </c>
      <c r="B1446" s="9" t="inlineStr">
        <is>
          <t>Adam Mazur</t>
        </is>
      </c>
      <c r="C1446" s="9" t="inlineStr">
        <is>
          <t>MIA</t>
        </is>
      </c>
      <c r="D1446" s="9" t="n">
        <v>26</v>
      </c>
      <c r="E1446" s="17" t="inlineStr">
        <is>
          <t>R</t>
        </is>
      </c>
      <c r="F1446" s="17" t="n"/>
      <c r="G1446" s="9" t="n">
        <v>139</v>
      </c>
      <c r="H1446" s="9" t="n">
        <v>297</v>
      </c>
      <c r="I1446" s="9" t="inlineStr">
        <is>
          <t>End-of-Rotation Starter (SP4-5)</t>
        </is>
      </c>
      <c r="J1446" s="17" t="inlineStr">
        <is>
          <t>Opening Day</t>
        </is>
      </c>
      <c r="K1446" s="11">
        <f>IFERROR(INDEX(Roles!$B$17:$B$20,MATCH(J1446,Roles!$A$17:$A$20,0)),1)</f>
        <v/>
      </c>
      <c r="L1446" s="18" t="n">
        <v>1</v>
      </c>
      <c r="M1446" s="18" t="n"/>
      <c r="N1446" s="18" t="n"/>
      <c r="O1446" s="18" t="n"/>
      <c r="P1446" s="18" t="n"/>
      <c r="Q1446" s="18" t="n"/>
      <c r="R1446" s="18" t="n"/>
      <c r="S1446" s="18" t="n"/>
      <c r="T1446" s="18" t="n"/>
      <c r="U1446" s="18" t="n"/>
      <c r="V1446" s="18" t="n"/>
      <c r="W1446" s="18" t="n"/>
      <c r="X1446" s="18" t="n"/>
      <c r="Y1446" s="13">
        <f>SUMPRODUCT(M1446:X1446,$M$2:$X$2)*$K1446*$L1446</f>
        <v/>
      </c>
      <c r="Z1446" s="14">
        <f>SUM(M1446:X1446)</f>
        <v/>
      </c>
      <c r="AA1446" s="13">
        <f>SUMPRODUCT(M1446:X1446,$M$3:$X$3)*$K1446*$L1446</f>
        <v/>
      </c>
      <c r="AB1446" s="13">
        <f>SUMPRODUCT(M1446:X1446,$M$4:$X$4)*$K1446*$L1446</f>
        <v/>
      </c>
      <c r="AC1446" s="15">
        <f>SUMPRODUCT(M1446:X1446,$M$5:$X$5)*$K1446*$L1446</f>
        <v/>
      </c>
      <c r="AD1446" s="15">
        <f>SUMPRODUCT(M1446:X1446,$M$6:$X$6)*$K1446*$L1446</f>
        <v/>
      </c>
      <c r="AE1446" s="19" t="n"/>
    </row>
    <row r="1447">
      <c r="A1447" s="9" t="n">
        <v>489119</v>
      </c>
      <c r="B1447" s="9" t="inlineStr">
        <is>
          <t>Wade Miley</t>
        </is>
      </c>
      <c r="C1447" s="9" t="inlineStr">
        <is>
          <t>CIN</t>
        </is>
      </c>
      <c r="D1447" s="9" t="n">
        <v>40</v>
      </c>
      <c r="E1447" s="17" t="inlineStr">
        <is>
          <t>L</t>
        </is>
      </c>
      <c r="F1447" s="17" t="n"/>
      <c r="G1447" s="9" t="n">
        <v>55</v>
      </c>
      <c r="H1447" s="9" t="n">
        <v>734</v>
      </c>
      <c r="I1447" s="9" t="inlineStr">
        <is>
          <t>End-of-Rotation Starter (SP4-5)</t>
        </is>
      </c>
      <c r="J1447" s="17" t="inlineStr">
        <is>
          <t>Opening Day</t>
        </is>
      </c>
      <c r="K1447" s="11">
        <f>IFERROR(INDEX(Roles!$B$17:$B$20,MATCH(J1447,Roles!$A$17:$A$20,0)),1)</f>
        <v/>
      </c>
      <c r="L1447" s="18" t="n">
        <v>1</v>
      </c>
      <c r="M1447" s="18" t="n"/>
      <c r="N1447" s="18" t="n"/>
      <c r="O1447" s="18" t="n"/>
      <c r="P1447" s="18" t="n"/>
      <c r="Q1447" s="18" t="n"/>
      <c r="R1447" s="18" t="n"/>
      <c r="S1447" s="18" t="n"/>
      <c r="T1447" s="18" t="n"/>
      <c r="U1447" s="18" t="n"/>
      <c r="V1447" s="18" t="n"/>
      <c r="W1447" s="18" t="n"/>
      <c r="X1447" s="18" t="n"/>
      <c r="Y1447" s="13">
        <f>SUMPRODUCT(M1447:X1447,$M$2:$X$2)*$K1447*$L1447</f>
        <v/>
      </c>
      <c r="Z1447" s="14">
        <f>SUM(M1447:X1447)</f>
        <v/>
      </c>
      <c r="AA1447" s="13">
        <f>SUMPRODUCT(M1447:X1447,$M$3:$X$3)*$K1447*$L1447</f>
        <v/>
      </c>
      <c r="AB1447" s="13">
        <f>SUMPRODUCT(M1447:X1447,$M$4:$X$4)*$K1447*$L1447</f>
        <v/>
      </c>
      <c r="AC1447" s="15">
        <f>SUMPRODUCT(M1447:X1447,$M$5:$X$5)*$K1447*$L1447</f>
        <v/>
      </c>
      <c r="AD1447" s="15">
        <f>SUMPRODUCT(M1447:X1447,$M$6:$X$6)*$K1447*$L1447</f>
        <v/>
      </c>
      <c r="AE1447" s="19" t="n"/>
    </row>
    <row r="1448">
      <c r="A1448" s="9" t="n">
        <v>657093</v>
      </c>
      <c r="B1448" s="9" t="inlineStr">
        <is>
          <t>Spenser Watkins</t>
        </is>
      </c>
      <c r="C1448" s="9" t="inlineStr">
        <is>
          <t>BAL</t>
        </is>
      </c>
      <c r="D1448" s="9" t="n">
        <v>34</v>
      </c>
      <c r="E1448" s="17" t="inlineStr">
        <is>
          <t>R</t>
        </is>
      </c>
      <c r="F1448" s="17" t="n"/>
      <c r="G1448" s="9" t="n">
        <v>21</v>
      </c>
      <c r="H1448" s="9" t="n">
        <v>480</v>
      </c>
      <c r="I1448" s="9" t="inlineStr">
        <is>
          <t>Depth (no MLB IP)</t>
        </is>
      </c>
      <c r="J1448" s="17" t="inlineStr">
        <is>
          <t>Opening Day</t>
        </is>
      </c>
      <c r="K1448" s="11">
        <f>IFERROR(INDEX(Roles!$B$17:$B$20,MATCH(J1448,Roles!$A$17:$A$20,0)),1)</f>
        <v/>
      </c>
      <c r="L1448" s="18" t="n">
        <v>1</v>
      </c>
      <c r="M1448" s="18" t="n"/>
      <c r="N1448" s="18" t="n"/>
      <c r="O1448" s="18" t="n"/>
      <c r="P1448" s="18" t="n"/>
      <c r="Q1448" s="18" t="n"/>
      <c r="R1448" s="18" t="n"/>
      <c r="S1448" s="18" t="n"/>
      <c r="T1448" s="18" t="n"/>
      <c r="U1448" s="18" t="n"/>
      <c r="V1448" s="18" t="n"/>
      <c r="W1448" s="18" t="n"/>
      <c r="X1448" s="18" t="n"/>
      <c r="Y1448" s="13">
        <f>SUMPRODUCT(M1448:X1448,$M$2:$X$2)*$K1448*$L1448</f>
        <v/>
      </c>
      <c r="Z1448" s="14">
        <f>SUM(M1448:X1448)</f>
        <v/>
      </c>
      <c r="AA1448" s="13">
        <f>SUMPRODUCT(M1448:X1448,$M$3:$X$3)*$K1448*$L1448</f>
        <v/>
      </c>
      <c r="AB1448" s="13">
        <f>SUMPRODUCT(M1448:X1448,$M$4:$X$4)*$K1448*$L1448</f>
        <v/>
      </c>
      <c r="AC1448" s="15">
        <f>SUMPRODUCT(M1448:X1448,$M$5:$X$5)*$K1448*$L1448</f>
        <v/>
      </c>
      <c r="AD1448" s="15">
        <f>SUMPRODUCT(M1448:X1448,$M$6:$X$6)*$K1448*$L1448</f>
        <v/>
      </c>
      <c r="AE1448" s="19" t="n"/>
    </row>
    <row r="1449">
      <c r="A1449" s="9" t="n">
        <v>518516</v>
      </c>
      <c r="B1449" s="9" t="inlineStr">
        <is>
          <t>Madison Bumgarner</t>
        </is>
      </c>
      <c r="C1449" s="9" t="inlineStr">
        <is>
          <t>ARI</t>
        </is>
      </c>
      <c r="D1449" s="9" t="n">
        <v>37</v>
      </c>
      <c r="E1449" s="17" t="inlineStr">
        <is>
          <t>L</t>
        </is>
      </c>
      <c r="F1449" s="17" t="n"/>
      <c r="G1449" s="9" t="n">
        <v>90</v>
      </c>
      <c r="H1449" s="9" t="n">
        <v>788</v>
      </c>
      <c r="I1449" s="9" t="inlineStr">
        <is>
          <t>Depth (no MLB IP)</t>
        </is>
      </c>
      <c r="J1449" s="17" t="inlineStr">
        <is>
          <t>Opening Day</t>
        </is>
      </c>
      <c r="K1449" s="11">
        <f>IFERROR(INDEX(Roles!$B$17:$B$20,MATCH(J1449,Roles!$A$17:$A$20,0)),1)</f>
        <v/>
      </c>
      <c r="L1449" s="18" t="n">
        <v>1</v>
      </c>
      <c r="M1449" s="18" t="n"/>
      <c r="N1449" s="18" t="n"/>
      <c r="O1449" s="18" t="n"/>
      <c r="P1449" s="18" t="n"/>
      <c r="Q1449" s="18" t="n"/>
      <c r="R1449" s="18" t="n"/>
      <c r="S1449" s="18" t="n"/>
      <c r="T1449" s="18" t="n"/>
      <c r="U1449" s="18" t="n"/>
      <c r="V1449" s="18" t="n"/>
      <c r="W1449" s="18" t="n"/>
      <c r="X1449" s="18" t="n"/>
      <c r="Y1449" s="13">
        <f>SUMPRODUCT(M1449:X1449,$M$2:$X$2)*$K1449*$L1449</f>
        <v/>
      </c>
      <c r="Z1449" s="14">
        <f>SUM(M1449:X1449)</f>
        <v/>
      </c>
      <c r="AA1449" s="13">
        <f>SUMPRODUCT(M1449:X1449,$M$3:$X$3)*$K1449*$L1449</f>
        <v/>
      </c>
      <c r="AB1449" s="13">
        <f>SUMPRODUCT(M1449:X1449,$M$4:$X$4)*$K1449*$L1449</f>
        <v/>
      </c>
      <c r="AC1449" s="15">
        <f>SUMPRODUCT(M1449:X1449,$M$5:$X$5)*$K1449*$L1449</f>
        <v/>
      </c>
      <c r="AD1449" s="15">
        <f>SUMPRODUCT(M1449:X1449,$M$6:$X$6)*$K1449*$L1449</f>
        <v/>
      </c>
      <c r="AE1449" s="19" t="n"/>
    </row>
    <row r="1450">
      <c r="A1450" s="9" t="n">
        <v>805326</v>
      </c>
      <c r="B1450" s="9" t="inlineStr">
        <is>
          <t>Tyler Schweitzer</t>
        </is>
      </c>
      <c r="C1450" s="9" t="inlineStr">
        <is>
          <t>CWS</t>
        </is>
      </c>
      <c r="D1450" s="9" t="n">
        <v>26</v>
      </c>
      <c r="E1450" s="17" t="inlineStr">
        <is>
          <t>L</t>
        </is>
      </c>
      <c r="F1450" s="17" t="n"/>
      <c r="G1450" s="9" t="n">
        <v>154</v>
      </c>
      <c r="H1450" s="9" t="n">
        <v>154</v>
      </c>
      <c r="I1450" s="9" t="inlineStr">
        <is>
          <t>Bullpen Depth Arm</t>
        </is>
      </c>
      <c r="J1450" s="17" t="inlineStr">
        <is>
          <t>Opening Day</t>
        </is>
      </c>
      <c r="K1450" s="11">
        <f>IFERROR(INDEX(Roles!$B$17:$B$20,MATCH(J1450,Roles!$A$17:$A$20,0)),1)</f>
        <v/>
      </c>
      <c r="L1450" s="18" t="n">
        <v>1</v>
      </c>
      <c r="M1450" s="18" t="n"/>
      <c r="N1450" s="18" t="n"/>
      <c r="O1450" s="18" t="n"/>
      <c r="P1450" s="18" t="n"/>
      <c r="Q1450" s="18" t="n"/>
      <c r="R1450" s="18" t="n"/>
      <c r="S1450" s="18" t="n"/>
      <c r="T1450" s="18" t="n"/>
      <c r="U1450" s="18" t="n"/>
      <c r="V1450" s="18" t="n"/>
      <c r="W1450" s="18" t="n"/>
      <c r="X1450" s="18" t="n"/>
      <c r="Y1450" s="13">
        <f>SUMPRODUCT(M1450:X1450,$M$2:$X$2)*$K1450*$L1450</f>
        <v/>
      </c>
      <c r="Z1450" s="14">
        <f>SUM(M1450:X1450)</f>
        <v/>
      </c>
      <c r="AA1450" s="13">
        <f>SUMPRODUCT(M1450:X1450,$M$3:$X$3)*$K1450*$L1450</f>
        <v/>
      </c>
      <c r="AB1450" s="13">
        <f>SUMPRODUCT(M1450:X1450,$M$4:$X$4)*$K1450*$L1450</f>
        <v/>
      </c>
      <c r="AC1450" s="15">
        <f>SUMPRODUCT(M1450:X1450,$M$5:$X$5)*$K1450*$L1450</f>
        <v/>
      </c>
      <c r="AD1450" s="15">
        <f>SUMPRODUCT(M1450:X1450,$M$6:$X$6)*$K1450*$L1450</f>
        <v/>
      </c>
      <c r="AE1450" s="19" t="n"/>
    </row>
    <row r="1451">
      <c r="A1451" s="9" t="n">
        <v>623168</v>
      </c>
      <c r="B1451" s="9" t="inlineStr">
        <is>
          <t>Tyler Heineman</t>
        </is>
      </c>
      <c r="C1451" s="9" t="inlineStr">
        <is>
          <t>LAA</t>
        </is>
      </c>
      <c r="D1451" s="9" t="n">
        <v>36</v>
      </c>
      <c r="E1451" s="17" t="inlineStr">
        <is>
          <t>R</t>
        </is>
      </c>
      <c r="F1451" s="17" t="n"/>
      <c r="G1451" s="9" t="n">
        <v>26</v>
      </c>
      <c r="H1451" s="9" t="n">
        <v>57</v>
      </c>
      <c r="I1451" s="9" t="inlineStr">
        <is>
          <t>Bullpen Depth Arm</t>
        </is>
      </c>
      <c r="J1451" s="17" t="inlineStr">
        <is>
          <t>Opening Day</t>
        </is>
      </c>
      <c r="K1451" s="11">
        <f>IFERROR(INDEX(Roles!$B$17:$B$20,MATCH(J1451,Roles!$A$17:$A$20,0)),1)</f>
        <v/>
      </c>
      <c r="L1451" s="18" t="n">
        <v>1</v>
      </c>
      <c r="M1451" s="18" t="n"/>
      <c r="N1451" s="18" t="n"/>
      <c r="O1451" s="18" t="n"/>
      <c r="P1451" s="18" t="n"/>
      <c r="Q1451" s="18" t="n"/>
      <c r="R1451" s="18" t="n"/>
      <c r="S1451" s="18" t="n"/>
      <c r="T1451" s="18" t="n"/>
      <c r="U1451" s="18" t="n"/>
      <c r="V1451" s="18" t="n"/>
      <c r="W1451" s="18" t="n"/>
      <c r="X1451" s="18" t="n"/>
      <c r="Y1451" s="13">
        <f>SUMPRODUCT(M1451:X1451,$M$2:$X$2)*$K1451*$L1451</f>
        <v/>
      </c>
      <c r="Z1451" s="14">
        <f>SUM(M1451:X1451)</f>
        <v/>
      </c>
      <c r="AA1451" s="13">
        <f>SUMPRODUCT(M1451:X1451,$M$3:$X$3)*$K1451*$L1451</f>
        <v/>
      </c>
      <c r="AB1451" s="13">
        <f>SUMPRODUCT(M1451:X1451,$M$4:$X$4)*$K1451*$L1451</f>
        <v/>
      </c>
      <c r="AC1451" s="15">
        <f>SUMPRODUCT(M1451:X1451,$M$5:$X$5)*$K1451*$L1451</f>
        <v/>
      </c>
      <c r="AD1451" s="15">
        <f>SUMPRODUCT(M1451:X1451,$M$6:$X$6)*$K1451*$L1451</f>
        <v/>
      </c>
      <c r="AE1451" s="19" t="n"/>
    </row>
    <row r="1452">
      <c r="A1452" s="9" t="n">
        <v>669169</v>
      </c>
      <c r="B1452" s="9" t="inlineStr">
        <is>
          <t>Jonathan Heasley</t>
        </is>
      </c>
      <c r="C1452" s="9" t="inlineStr">
        <is>
          <t>BAL</t>
        </is>
      </c>
      <c r="D1452" s="9" t="n">
        <v>30</v>
      </c>
      <c r="E1452" s="17" t="inlineStr">
        <is>
          <t>R</t>
        </is>
      </c>
      <c r="F1452" s="17" t="n"/>
      <c r="G1452" s="9" t="n">
        <v>19</v>
      </c>
      <c r="H1452" s="9" t="n">
        <v>576</v>
      </c>
      <c r="I1452" s="9" t="inlineStr">
        <is>
          <t>Depth (no MLB IP)</t>
        </is>
      </c>
      <c r="J1452" s="17" t="inlineStr">
        <is>
          <t>Opening Day</t>
        </is>
      </c>
      <c r="K1452" s="11">
        <f>IFERROR(INDEX(Roles!$B$17:$B$20,MATCH(J1452,Roles!$A$17:$A$20,0)),1)</f>
        <v/>
      </c>
      <c r="L1452" s="18" t="n">
        <v>1</v>
      </c>
      <c r="M1452" s="18" t="n"/>
      <c r="N1452" s="18" t="n"/>
      <c r="O1452" s="18" t="n"/>
      <c r="P1452" s="18" t="n"/>
      <c r="Q1452" s="18" t="n"/>
      <c r="R1452" s="18" t="n"/>
      <c r="S1452" s="18" t="n"/>
      <c r="T1452" s="18" t="n"/>
      <c r="U1452" s="18" t="n"/>
      <c r="V1452" s="18" t="n"/>
      <c r="W1452" s="18" t="n"/>
      <c r="X1452" s="18" t="n"/>
      <c r="Y1452" s="13">
        <f>SUMPRODUCT(M1452:X1452,$M$2:$X$2)*$K1452*$L1452</f>
        <v/>
      </c>
      <c r="Z1452" s="14">
        <f>SUM(M1452:X1452)</f>
        <v/>
      </c>
      <c r="AA1452" s="13">
        <f>SUMPRODUCT(M1452:X1452,$M$3:$X$3)*$K1452*$L1452</f>
        <v/>
      </c>
      <c r="AB1452" s="13">
        <f>SUMPRODUCT(M1452:X1452,$M$4:$X$4)*$K1452*$L1452</f>
        <v/>
      </c>
      <c r="AC1452" s="15">
        <f>SUMPRODUCT(M1452:X1452,$M$5:$X$5)*$K1452*$L1452</f>
        <v/>
      </c>
      <c r="AD1452" s="15">
        <f>SUMPRODUCT(M1452:X1452,$M$6:$X$6)*$K1452*$L1452</f>
        <v/>
      </c>
      <c r="AE1452" s="19" t="n"/>
    </row>
    <row r="1453">
      <c r="A1453" s="9" t="n">
        <v>675540</v>
      </c>
      <c r="B1453" s="9" t="inlineStr">
        <is>
          <t>Xzavion Curry</t>
        </is>
      </c>
      <c r="C1453" s="9" t="inlineStr">
        <is>
          <t>NYM</t>
        </is>
      </c>
      <c r="D1453" s="9" t="n">
        <v>28</v>
      </c>
      <c r="E1453" s="17" t="inlineStr">
        <is>
          <t>R</t>
        </is>
      </c>
      <c r="F1453" s="17" t="n"/>
      <c r="G1453" s="9" t="n">
        <v>94</v>
      </c>
      <c r="H1453" s="9" t="n">
        <v>733</v>
      </c>
      <c r="I1453" s="9" t="inlineStr">
        <is>
          <t>Bullpen Depth Arm</t>
        </is>
      </c>
      <c r="J1453" s="17" t="inlineStr">
        <is>
          <t>Opening Day</t>
        </is>
      </c>
      <c r="K1453" s="11">
        <f>IFERROR(INDEX(Roles!$B$17:$B$20,MATCH(J1453,Roles!$A$17:$A$20,0)),1)</f>
        <v/>
      </c>
      <c r="L1453" s="18" t="n">
        <v>1</v>
      </c>
      <c r="M1453" s="18" t="n"/>
      <c r="N1453" s="18" t="n"/>
      <c r="O1453" s="18" t="n"/>
      <c r="P1453" s="18" t="n"/>
      <c r="Q1453" s="18" t="n"/>
      <c r="R1453" s="18" t="n"/>
      <c r="S1453" s="18" t="n"/>
      <c r="T1453" s="18" t="n"/>
      <c r="U1453" s="18" t="n"/>
      <c r="V1453" s="18" t="n"/>
      <c r="W1453" s="18" t="n"/>
      <c r="X1453" s="18" t="n"/>
      <c r="Y1453" s="13">
        <f>SUMPRODUCT(M1453:X1453,$M$2:$X$2)*$K1453*$L1453</f>
        <v/>
      </c>
      <c r="Z1453" s="14">
        <f>SUM(M1453:X1453)</f>
        <v/>
      </c>
      <c r="AA1453" s="13">
        <f>SUMPRODUCT(M1453:X1453,$M$3:$X$3)*$K1453*$L1453</f>
        <v/>
      </c>
      <c r="AB1453" s="13">
        <f>SUMPRODUCT(M1453:X1453,$M$4:$X$4)*$K1453*$L1453</f>
        <v/>
      </c>
      <c r="AC1453" s="15">
        <f>SUMPRODUCT(M1453:X1453,$M$5:$X$5)*$K1453*$L1453</f>
        <v/>
      </c>
      <c r="AD1453" s="15">
        <f>SUMPRODUCT(M1453:X1453,$M$6:$X$6)*$K1453*$L1453</f>
        <v/>
      </c>
      <c r="AE1453" s="19" t="n"/>
    </row>
    <row r="1454">
      <c r="A1454" s="9" t="n">
        <v>572971</v>
      </c>
      <c r="B1454" s="9" t="inlineStr">
        <is>
          <t>Dallas Keuchel</t>
        </is>
      </c>
      <c r="C1454" s="9" t="inlineStr">
        <is>
          <t>MIL</t>
        </is>
      </c>
      <c r="D1454" s="9" t="n">
        <v>39</v>
      </c>
      <c r="E1454" s="17" t="inlineStr">
        <is>
          <t>L</t>
        </is>
      </c>
      <c r="F1454" s="17" t="n"/>
      <c r="G1454" s="9" t="n">
        <v>79</v>
      </c>
      <c r="H1454" s="9" t="n">
        <v>554</v>
      </c>
      <c r="I1454" s="9" t="inlineStr">
        <is>
          <t>Depth (no MLB IP)</t>
        </is>
      </c>
      <c r="J1454" s="17" t="inlineStr">
        <is>
          <t>Opening Day</t>
        </is>
      </c>
      <c r="K1454" s="11">
        <f>IFERROR(INDEX(Roles!$B$17:$B$20,MATCH(J1454,Roles!$A$17:$A$20,0)),1)</f>
        <v/>
      </c>
      <c r="L1454" s="18" t="n">
        <v>1</v>
      </c>
      <c r="M1454" s="18" t="n"/>
      <c r="N1454" s="18" t="n"/>
      <c r="O1454" s="18" t="n"/>
      <c r="P1454" s="18" t="n"/>
      <c r="Q1454" s="18" t="n"/>
      <c r="R1454" s="18" t="n"/>
      <c r="S1454" s="18" t="n"/>
      <c r="T1454" s="18" t="n"/>
      <c r="U1454" s="18" t="n"/>
      <c r="V1454" s="18" t="n"/>
      <c r="W1454" s="18" t="n"/>
      <c r="X1454" s="18" t="n"/>
      <c r="Y1454" s="13">
        <f>SUMPRODUCT(M1454:X1454,$M$2:$X$2)*$K1454*$L1454</f>
        <v/>
      </c>
      <c r="Z1454" s="14">
        <f>SUM(M1454:X1454)</f>
        <v/>
      </c>
      <c r="AA1454" s="13">
        <f>SUMPRODUCT(M1454:X1454,$M$3:$X$3)*$K1454*$L1454</f>
        <v/>
      </c>
      <c r="AB1454" s="13">
        <f>SUMPRODUCT(M1454:X1454,$M$4:$X$4)*$K1454*$L1454</f>
        <v/>
      </c>
      <c r="AC1454" s="15">
        <f>SUMPRODUCT(M1454:X1454,$M$5:$X$5)*$K1454*$L1454</f>
        <v/>
      </c>
      <c r="AD1454" s="15">
        <f>SUMPRODUCT(M1454:X1454,$M$6:$X$6)*$K1454*$L1454</f>
        <v/>
      </c>
      <c r="AE1454" s="19" t="n"/>
    </row>
    <row r="1455">
      <c r="A1455" s="9" t="n">
        <v>663559</v>
      </c>
      <c r="B1455" s="9" t="inlineStr">
        <is>
          <t>Bailey Falter</t>
        </is>
      </c>
      <c r="C1455" s="9" t="inlineStr">
        <is>
          <t>ATL</t>
        </is>
      </c>
      <c r="D1455" s="9" t="n">
        <v>30</v>
      </c>
      <c r="E1455" s="17" t="inlineStr">
        <is>
          <t>L</t>
        </is>
      </c>
      <c r="F1455" s="17" t="n"/>
      <c r="G1455" s="9" t="n">
        <v>69</v>
      </c>
      <c r="H1455" s="9" t="n">
        <v>1872</v>
      </c>
      <c r="I1455" s="9" t="inlineStr">
        <is>
          <t>End-of-Rotation Starter (SP4-5)</t>
        </is>
      </c>
      <c r="J1455" s="17" t="inlineStr">
        <is>
          <t>Opening Day</t>
        </is>
      </c>
      <c r="K1455" s="11">
        <f>IFERROR(INDEX(Roles!$B$17:$B$20,MATCH(J1455,Roles!$A$17:$A$20,0)),1)</f>
        <v/>
      </c>
      <c r="L1455" s="18" t="n">
        <v>1</v>
      </c>
      <c r="M1455" s="18" t="n"/>
      <c r="N1455" s="18" t="n"/>
      <c r="O1455" s="18" t="n"/>
      <c r="P1455" s="18" t="n"/>
      <c r="Q1455" s="18" t="n"/>
      <c r="R1455" s="18" t="n"/>
      <c r="S1455" s="18" t="n"/>
      <c r="T1455" s="18" t="n"/>
      <c r="U1455" s="18" t="n"/>
      <c r="V1455" s="18" t="n"/>
      <c r="W1455" s="18" t="n"/>
      <c r="X1455" s="18" t="n"/>
      <c r="Y1455" s="13">
        <f>SUMPRODUCT(M1455:X1455,$M$2:$X$2)*$K1455*$L1455</f>
        <v/>
      </c>
      <c r="Z1455" s="14">
        <f>SUM(M1455:X1455)</f>
        <v/>
      </c>
      <c r="AA1455" s="13">
        <f>SUMPRODUCT(M1455:X1455,$M$3:$X$3)*$K1455*$L1455</f>
        <v/>
      </c>
      <c r="AB1455" s="13">
        <f>SUMPRODUCT(M1455:X1455,$M$4:$X$4)*$K1455*$L1455</f>
        <v/>
      </c>
      <c r="AC1455" s="15">
        <f>SUMPRODUCT(M1455:X1455,$M$5:$X$5)*$K1455*$L1455</f>
        <v/>
      </c>
      <c r="AD1455" s="15">
        <f>SUMPRODUCT(M1455:X1455,$M$6:$X$6)*$K1455*$L1455</f>
        <v/>
      </c>
      <c r="AE1455" s="19" t="n"/>
    </row>
    <row r="1456">
      <c r="A1456" s="9" t="n">
        <v>592789</v>
      </c>
      <c r="B1456" s="9" t="inlineStr">
        <is>
          <t>Noah Syndergaard</t>
        </is>
      </c>
      <c r="C1456" s="9" t="inlineStr">
        <is>
          <t>CLE</t>
        </is>
      </c>
      <c r="D1456" s="9" t="n">
        <v>34</v>
      </c>
      <c r="E1456" s="17" t="inlineStr">
        <is>
          <t>R</t>
        </is>
      </c>
      <c r="F1456" s="17" t="n"/>
      <c r="G1456" s="9" t="n">
        <v>391</v>
      </c>
      <c r="H1456" s="9" t="n">
        <v>956</v>
      </c>
      <c r="I1456" s="9" t="inlineStr">
        <is>
          <t>Depth (no MLB IP)</t>
        </is>
      </c>
      <c r="J1456" s="17" t="inlineStr">
        <is>
          <t>Opening Day</t>
        </is>
      </c>
      <c r="K1456" s="11">
        <f>IFERROR(INDEX(Roles!$B$17:$B$20,MATCH(J1456,Roles!$A$17:$A$20,0)),1)</f>
        <v/>
      </c>
      <c r="L1456" s="18" t="n">
        <v>1</v>
      </c>
      <c r="M1456" s="18" t="n"/>
      <c r="N1456" s="18" t="n"/>
      <c r="O1456" s="18" t="n"/>
      <c r="P1456" s="18" t="n"/>
      <c r="Q1456" s="18" t="n"/>
      <c r="R1456" s="18" t="n"/>
      <c r="S1456" s="18" t="n"/>
      <c r="T1456" s="18" t="n"/>
      <c r="U1456" s="18" t="n"/>
      <c r="V1456" s="18" t="n"/>
      <c r="W1456" s="18" t="n"/>
      <c r="X1456" s="18" t="n"/>
      <c r="Y1456" s="13">
        <f>SUMPRODUCT(M1456:X1456,$M$2:$X$2)*$K1456*$L1456</f>
        <v/>
      </c>
      <c r="Z1456" s="14">
        <f>SUM(M1456:X1456)</f>
        <v/>
      </c>
      <c r="AA1456" s="13">
        <f>SUMPRODUCT(M1456:X1456,$M$3:$X$3)*$K1456*$L1456</f>
        <v/>
      </c>
      <c r="AB1456" s="13">
        <f>SUMPRODUCT(M1456:X1456,$M$4:$X$4)*$K1456*$L1456</f>
        <v/>
      </c>
      <c r="AC1456" s="15">
        <f>SUMPRODUCT(M1456:X1456,$M$5:$X$5)*$K1456*$L1456</f>
        <v/>
      </c>
      <c r="AD1456" s="15">
        <f>SUMPRODUCT(M1456:X1456,$M$6:$X$6)*$K1456*$L1456</f>
        <v/>
      </c>
      <c r="AE1456" s="19" t="n"/>
    </row>
    <row r="1457">
      <c r="A1457" s="9" t="n">
        <v>605288</v>
      </c>
      <c r="B1457" s="9" t="inlineStr">
        <is>
          <t>Adrian Houser</t>
        </is>
      </c>
      <c r="C1457" s="9" t="inlineStr">
        <is>
          <t>SF</t>
        </is>
      </c>
      <c r="D1457" s="9" t="n">
        <v>34</v>
      </c>
      <c r="E1457" s="17" t="inlineStr">
        <is>
          <t>R</t>
        </is>
      </c>
      <c r="F1457" s="17" t="n"/>
      <c r="G1457" s="9" t="n">
        <v>470</v>
      </c>
      <c r="H1457" s="9" t="n">
        <v>2233</v>
      </c>
      <c r="I1457" s="9" t="inlineStr">
        <is>
          <t>End-of-Rotation Starter (SP4-5)</t>
        </is>
      </c>
      <c r="J1457" s="17" t="inlineStr">
        <is>
          <t>Opening Day</t>
        </is>
      </c>
      <c r="K1457" s="11">
        <f>IFERROR(INDEX(Roles!$B$17:$B$20,MATCH(J1457,Roles!$A$17:$A$20,0)),1)</f>
        <v/>
      </c>
      <c r="L1457" s="18" t="n">
        <v>1</v>
      </c>
      <c r="M1457" s="18" t="n"/>
      <c r="N1457" s="18" t="n"/>
      <c r="O1457" s="18" t="n"/>
      <c r="P1457" s="18" t="n"/>
      <c r="Q1457" s="18" t="n"/>
      <c r="R1457" s="18" t="n"/>
      <c r="S1457" s="18" t="n"/>
      <c r="T1457" s="18" t="n"/>
      <c r="U1457" s="18" t="n"/>
      <c r="V1457" s="18" t="n"/>
      <c r="W1457" s="18" t="n"/>
      <c r="X1457" s="18" t="n"/>
      <c r="Y1457" s="13">
        <f>SUMPRODUCT(M1457:X1457,$M$2:$X$2)*$K1457*$L1457</f>
        <v/>
      </c>
      <c r="Z1457" s="14">
        <f>SUM(M1457:X1457)</f>
        <v/>
      </c>
      <c r="AA1457" s="13">
        <f>SUMPRODUCT(M1457:X1457,$M$3:$X$3)*$K1457*$L1457</f>
        <v/>
      </c>
      <c r="AB1457" s="13">
        <f>SUMPRODUCT(M1457:X1457,$M$4:$X$4)*$K1457*$L1457</f>
        <v/>
      </c>
      <c r="AC1457" s="15">
        <f>SUMPRODUCT(M1457:X1457,$M$5:$X$5)*$K1457*$L1457</f>
        <v/>
      </c>
      <c r="AD1457" s="15">
        <f>SUMPRODUCT(M1457:X1457,$M$6:$X$6)*$K1457*$L1457</f>
        <v/>
      </c>
      <c r="AE1457" s="19" t="n"/>
    </row>
    <row r="1458">
      <c r="A1458" s="9" t="n">
        <v>695534</v>
      </c>
      <c r="B1458" s="9" t="inlineStr">
        <is>
          <t>Chase Petty</t>
        </is>
      </c>
      <c r="C1458" s="9" t="inlineStr">
        <is>
          <t>CIN</t>
        </is>
      </c>
      <c r="D1458" s="9" t="n">
        <v>24</v>
      </c>
      <c r="E1458" s="17" t="inlineStr">
        <is>
          <t>R</t>
        </is>
      </c>
      <c r="F1458" s="17" t="n"/>
      <c r="G1458" s="9" t="n">
        <v>139</v>
      </c>
      <c r="H1458" s="9" t="n">
        <v>179</v>
      </c>
      <c r="I1458" s="9" t="inlineStr">
        <is>
          <t>Bullpen Depth Arm</t>
        </is>
      </c>
      <c r="J1458" s="17" t="inlineStr">
        <is>
          <t>Opening Day</t>
        </is>
      </c>
      <c r="K1458" s="11">
        <f>IFERROR(INDEX(Roles!$B$17:$B$20,MATCH(J1458,Roles!$A$17:$A$20,0)),1)</f>
        <v/>
      </c>
      <c r="L1458" s="18" t="n">
        <v>1</v>
      </c>
      <c r="M1458" s="18" t="n"/>
      <c r="N1458" s="18" t="n"/>
      <c r="O1458" s="18" t="n"/>
      <c r="P1458" s="18" t="n"/>
      <c r="Q1458" s="18" t="n"/>
      <c r="R1458" s="18" t="n"/>
      <c r="S1458" s="18" t="n"/>
      <c r="T1458" s="18" t="n"/>
      <c r="U1458" s="18" t="n"/>
      <c r="V1458" s="18" t="n"/>
      <c r="W1458" s="18" t="n"/>
      <c r="X1458" s="18" t="n"/>
      <c r="Y1458" s="13">
        <f>SUMPRODUCT(M1458:X1458,$M$2:$X$2)*$K1458*$L1458</f>
        <v/>
      </c>
      <c r="Z1458" s="14">
        <f>SUM(M1458:X1458)</f>
        <v/>
      </c>
      <c r="AA1458" s="13">
        <f>SUMPRODUCT(M1458:X1458,$M$3:$X$3)*$K1458*$L1458</f>
        <v/>
      </c>
      <c r="AB1458" s="13">
        <f>SUMPRODUCT(M1458:X1458,$M$4:$X$4)*$K1458*$L1458</f>
        <v/>
      </c>
      <c r="AC1458" s="15">
        <f>SUMPRODUCT(M1458:X1458,$M$5:$X$5)*$K1458*$L1458</f>
        <v/>
      </c>
      <c r="AD1458" s="15">
        <f>SUMPRODUCT(M1458:X1458,$M$6:$X$6)*$K1458*$L1458</f>
        <v/>
      </c>
      <c r="AE1458" s="19" t="n"/>
    </row>
    <row r="1459">
      <c r="A1459" s="9" t="n">
        <v>700241</v>
      </c>
      <c r="B1459" s="9" t="inlineStr">
        <is>
          <t>Michael McGreevy</t>
        </is>
      </c>
      <c r="C1459" s="9" t="inlineStr">
        <is>
          <t>STL</t>
        </is>
      </c>
      <c r="D1459" s="9" t="n">
        <v>26</v>
      </c>
      <c r="E1459" s="17" t="inlineStr">
        <is>
          <t>R</t>
        </is>
      </c>
      <c r="F1459" s="17" t="n"/>
      <c r="G1459" s="9" t="n">
        <v>658</v>
      </c>
      <c r="H1459" s="9" t="n">
        <v>1144</v>
      </c>
      <c r="I1459" s="9" t="inlineStr">
        <is>
          <t>Mid-Rotation Starter (SP2-3)</t>
        </is>
      </c>
      <c r="J1459" s="17" t="inlineStr">
        <is>
          <t>Opening Day</t>
        </is>
      </c>
      <c r="K1459" s="11">
        <f>IFERROR(INDEX(Roles!$B$17:$B$20,MATCH(J1459,Roles!$A$17:$A$20,0)),1)</f>
        <v/>
      </c>
      <c r="L1459" s="18" t="n">
        <v>1</v>
      </c>
      <c r="M1459" s="18" t="n"/>
      <c r="N1459" s="18" t="n"/>
      <c r="O1459" s="18" t="n"/>
      <c r="P1459" s="18" t="n"/>
      <c r="Q1459" s="18" t="n"/>
      <c r="R1459" s="18" t="n"/>
      <c r="S1459" s="18" t="n"/>
      <c r="T1459" s="18" t="n"/>
      <c r="U1459" s="18" t="n"/>
      <c r="V1459" s="18" t="n"/>
      <c r="W1459" s="18" t="n"/>
      <c r="X1459" s="18" t="n"/>
      <c r="Y1459" s="13">
        <f>SUMPRODUCT(M1459:X1459,$M$2:$X$2)*$K1459*$L1459</f>
        <v/>
      </c>
      <c r="Z1459" s="14">
        <f>SUM(M1459:X1459)</f>
        <v/>
      </c>
      <c r="AA1459" s="13">
        <f>SUMPRODUCT(M1459:X1459,$M$3:$X$3)*$K1459*$L1459</f>
        <v/>
      </c>
      <c r="AB1459" s="13">
        <f>SUMPRODUCT(M1459:X1459,$M$4:$X$4)*$K1459*$L1459</f>
        <v/>
      </c>
      <c r="AC1459" s="15">
        <f>SUMPRODUCT(M1459:X1459,$M$5:$X$5)*$K1459*$L1459</f>
        <v/>
      </c>
      <c r="AD1459" s="15">
        <f>SUMPRODUCT(M1459:X1459,$M$6:$X$6)*$K1459*$L1459</f>
        <v/>
      </c>
      <c r="AE1459" s="19" t="n"/>
    </row>
    <row r="1460">
      <c r="A1460" s="9" t="n">
        <v>607536</v>
      </c>
      <c r="B1460" s="9" t="inlineStr">
        <is>
          <t>Kyle Freeland</t>
        </is>
      </c>
      <c r="C1460" s="9" t="inlineStr">
        <is>
          <t>COL</t>
        </is>
      </c>
      <c r="D1460" s="9" t="n">
        <v>34</v>
      </c>
      <c r="E1460" s="17" t="inlineStr">
        <is>
          <t>L</t>
        </is>
      </c>
      <c r="F1460" s="17" t="n"/>
      <c r="G1460" s="9" t="n">
        <v>574</v>
      </c>
      <c r="H1460" s="9" t="n">
        <v>3216</v>
      </c>
      <c r="I1460" s="9" t="inlineStr">
        <is>
          <t>Mid-Rotation Starter (SP2-3)</t>
        </is>
      </c>
      <c r="J1460" s="17" t="inlineStr">
        <is>
          <t>Opening Day</t>
        </is>
      </c>
      <c r="K1460" s="11">
        <f>IFERROR(INDEX(Roles!$B$17:$B$20,MATCH(J1460,Roles!$A$17:$A$20,0)),1)</f>
        <v/>
      </c>
      <c r="L1460" s="18" t="n">
        <v>1</v>
      </c>
      <c r="M1460" s="18" t="n"/>
      <c r="N1460" s="18" t="n"/>
      <c r="O1460" s="18" t="n"/>
      <c r="P1460" s="18" t="n"/>
      <c r="Q1460" s="18" t="n"/>
      <c r="R1460" s="18" t="n"/>
      <c r="S1460" s="18" t="n"/>
      <c r="T1460" s="18" t="n"/>
      <c r="U1460" s="18" t="n"/>
      <c r="V1460" s="18" t="n"/>
      <c r="W1460" s="18" t="n"/>
      <c r="X1460" s="18" t="n"/>
      <c r="Y1460" s="13">
        <f>SUMPRODUCT(M1460:X1460,$M$2:$X$2)*$K1460*$L1460</f>
        <v/>
      </c>
      <c r="Z1460" s="14">
        <f>SUM(M1460:X1460)</f>
        <v/>
      </c>
      <c r="AA1460" s="13">
        <f>SUMPRODUCT(M1460:X1460,$M$3:$X$3)*$K1460*$L1460</f>
        <v/>
      </c>
      <c r="AB1460" s="13">
        <f>SUMPRODUCT(M1460:X1460,$M$4:$X$4)*$K1460*$L1460</f>
        <v/>
      </c>
      <c r="AC1460" s="15">
        <f>SUMPRODUCT(M1460:X1460,$M$5:$X$5)*$K1460*$L1460</f>
        <v/>
      </c>
      <c r="AD1460" s="15">
        <f>SUMPRODUCT(M1460:X1460,$M$6:$X$6)*$K1460*$L1460</f>
        <v/>
      </c>
      <c r="AE1460" s="19" t="n"/>
    </row>
    <row r="1461">
      <c r="A1461" s="9" t="n">
        <v>669724</v>
      </c>
      <c r="B1461" s="9" t="inlineStr">
        <is>
          <t>Brenan Hanifee</t>
        </is>
      </c>
      <c r="C1461" s="9" t="inlineStr">
        <is>
          <t>DET</t>
        </is>
      </c>
      <c r="D1461" s="9" t="n">
        <v>29</v>
      </c>
      <c r="E1461" s="17" t="inlineStr">
        <is>
          <t>R</t>
        </is>
      </c>
      <c r="F1461" s="17" t="n"/>
      <c r="G1461" s="9" t="n">
        <v>93</v>
      </c>
      <c r="H1461" s="9" t="n">
        <v>496</v>
      </c>
      <c r="I1461" s="9" t="inlineStr">
        <is>
          <t>Bullpen Depth Arm</t>
        </is>
      </c>
      <c r="J1461" s="17" t="inlineStr">
        <is>
          <t>Opening Day</t>
        </is>
      </c>
      <c r="K1461" s="11">
        <f>IFERROR(INDEX(Roles!$B$17:$B$20,MATCH(J1461,Roles!$A$17:$A$20,0)),1)</f>
        <v/>
      </c>
      <c r="L1461" s="18" t="n">
        <v>1</v>
      </c>
      <c r="M1461" s="18" t="n"/>
      <c r="N1461" s="18" t="n"/>
      <c r="O1461" s="18" t="n"/>
      <c r="P1461" s="18" t="n"/>
      <c r="Q1461" s="18" t="n"/>
      <c r="R1461" s="18" t="n"/>
      <c r="S1461" s="18" t="n"/>
      <c r="T1461" s="18" t="n"/>
      <c r="U1461" s="18" t="n"/>
      <c r="V1461" s="18" t="n"/>
      <c r="W1461" s="18" t="n"/>
      <c r="X1461" s="18" t="n"/>
      <c r="Y1461" s="13">
        <f>SUMPRODUCT(M1461:X1461,$M$2:$X$2)*$K1461*$L1461</f>
        <v/>
      </c>
      <c r="Z1461" s="14">
        <f>SUM(M1461:X1461)</f>
        <v/>
      </c>
      <c r="AA1461" s="13">
        <f>SUMPRODUCT(M1461:X1461,$M$3:$X$3)*$K1461*$L1461</f>
        <v/>
      </c>
      <c r="AB1461" s="13">
        <f>SUMPRODUCT(M1461:X1461,$M$4:$X$4)*$K1461*$L1461</f>
        <v/>
      </c>
      <c r="AC1461" s="15">
        <f>SUMPRODUCT(M1461:X1461,$M$5:$X$5)*$K1461*$L1461</f>
        <v/>
      </c>
      <c r="AD1461" s="15">
        <f>SUMPRODUCT(M1461:X1461,$M$6:$X$6)*$K1461*$L1461</f>
        <v/>
      </c>
      <c r="AE1461" s="19" t="n"/>
    </row>
    <row r="1462">
      <c r="A1462" s="9" t="n">
        <v>607200</v>
      </c>
      <c r="B1462" s="9" t="inlineStr">
        <is>
          <t>Erick Fedde</t>
        </is>
      </c>
      <c r="C1462" s="9" t="inlineStr">
        <is>
          <t>CWS</t>
        </is>
      </c>
      <c r="D1462" s="9" t="n">
        <v>34</v>
      </c>
      <c r="E1462" s="17" t="inlineStr">
        <is>
          <t>R</t>
        </is>
      </c>
      <c r="F1462" s="17" t="n"/>
      <c r="G1462" s="9" t="n">
        <v>572</v>
      </c>
      <c r="H1462" s="9" t="n">
        <v>2494</v>
      </c>
      <c r="I1462" s="9" t="inlineStr">
        <is>
          <t>End-of-Rotation Starter (SP4-5)</t>
        </is>
      </c>
      <c r="J1462" s="17" t="inlineStr">
        <is>
          <t>Opening Day</t>
        </is>
      </c>
      <c r="K1462" s="11">
        <f>IFERROR(INDEX(Roles!$B$17:$B$20,MATCH(J1462,Roles!$A$17:$A$20,0)),1)</f>
        <v/>
      </c>
      <c r="L1462" s="18" t="n">
        <v>1</v>
      </c>
      <c r="M1462" s="18" t="n"/>
      <c r="N1462" s="18" t="n"/>
      <c r="O1462" s="18" t="n"/>
      <c r="P1462" s="18" t="n"/>
      <c r="Q1462" s="18" t="n"/>
      <c r="R1462" s="18" t="n"/>
      <c r="S1462" s="18" t="n"/>
      <c r="T1462" s="18" t="n"/>
      <c r="U1462" s="18" t="n"/>
      <c r="V1462" s="18" t="n"/>
      <c r="W1462" s="18" t="n"/>
      <c r="X1462" s="18" t="n"/>
      <c r="Y1462" s="13">
        <f>SUMPRODUCT(M1462:X1462,$M$2:$X$2)*$K1462*$L1462</f>
        <v/>
      </c>
      <c r="Z1462" s="14">
        <f>SUM(M1462:X1462)</f>
        <v/>
      </c>
      <c r="AA1462" s="13">
        <f>SUMPRODUCT(M1462:X1462,$M$3:$X$3)*$K1462*$L1462</f>
        <v/>
      </c>
      <c r="AB1462" s="13">
        <f>SUMPRODUCT(M1462:X1462,$M$4:$X$4)*$K1462*$L1462</f>
        <v/>
      </c>
      <c r="AC1462" s="15">
        <f>SUMPRODUCT(M1462:X1462,$M$5:$X$5)*$K1462*$L1462</f>
        <v/>
      </c>
      <c r="AD1462" s="15">
        <f>SUMPRODUCT(M1462:X1462,$M$6:$X$6)*$K1462*$L1462</f>
        <v/>
      </c>
      <c r="AE1462" s="19" t="n"/>
    </row>
    <row r="1463">
      <c r="A1463" s="9" t="n">
        <v>608566</v>
      </c>
      <c r="B1463" s="9" t="inlineStr">
        <is>
          <t>Germán Márquez</t>
        </is>
      </c>
      <c r="C1463" s="9" t="inlineStr">
        <is>
          <t>SD</t>
        </is>
      </c>
      <c r="D1463" s="9" t="n">
        <v>32</v>
      </c>
      <c r="E1463" s="17" t="inlineStr">
        <is>
          <t>R</t>
        </is>
      </c>
      <c r="F1463" s="17" t="n"/>
      <c r="G1463" s="9" t="n">
        <v>236</v>
      </c>
      <c r="H1463" s="9" t="n">
        <v>1706</v>
      </c>
      <c r="I1463" s="9" t="inlineStr">
        <is>
          <t>End-of-Rotation Starter (SP4-5)</t>
        </is>
      </c>
      <c r="J1463" s="17" t="inlineStr">
        <is>
          <t>Opening Day</t>
        </is>
      </c>
      <c r="K1463" s="11">
        <f>IFERROR(INDEX(Roles!$B$17:$B$20,MATCH(J1463,Roles!$A$17:$A$20,0)),1)</f>
        <v/>
      </c>
      <c r="L1463" s="18" t="n">
        <v>1</v>
      </c>
      <c r="M1463" s="18" t="n"/>
      <c r="N1463" s="18" t="n"/>
      <c r="O1463" s="18" t="n"/>
      <c r="P1463" s="18" t="n"/>
      <c r="Q1463" s="18" t="n"/>
      <c r="R1463" s="18" t="n"/>
      <c r="S1463" s="18" t="n"/>
      <c r="T1463" s="18" t="n"/>
      <c r="U1463" s="18" t="n"/>
      <c r="V1463" s="18" t="n"/>
      <c r="W1463" s="18" t="n"/>
      <c r="X1463" s="18" t="n"/>
      <c r="Y1463" s="13">
        <f>SUMPRODUCT(M1463:X1463,$M$2:$X$2)*$K1463*$L1463</f>
        <v/>
      </c>
      <c r="Z1463" s="14">
        <f>SUM(M1463:X1463)</f>
        <v/>
      </c>
      <c r="AA1463" s="13">
        <f>SUMPRODUCT(M1463:X1463,$M$3:$X$3)*$K1463*$L1463</f>
        <v/>
      </c>
      <c r="AB1463" s="13">
        <f>SUMPRODUCT(M1463:X1463,$M$4:$X$4)*$K1463*$L1463</f>
        <v/>
      </c>
      <c r="AC1463" s="15">
        <f>SUMPRODUCT(M1463:X1463,$M$5:$X$5)*$K1463*$L1463</f>
        <v/>
      </c>
      <c r="AD1463" s="15">
        <f>SUMPRODUCT(M1463:X1463,$M$6:$X$6)*$K1463*$L1463</f>
        <v/>
      </c>
      <c r="AE1463" s="19" t="n"/>
    </row>
    <row r="1464">
      <c r="A1464" s="9" t="n">
        <v>678368</v>
      </c>
      <c r="B1464" s="9" t="inlineStr">
        <is>
          <t>Valente Bellozo</t>
        </is>
      </c>
      <c r="C1464" s="9" t="inlineStr">
        <is>
          <t>COL</t>
        </is>
      </c>
      <c r="D1464" s="9" t="n">
        <v>27</v>
      </c>
      <c r="E1464" s="17" t="inlineStr">
        <is>
          <t>R</t>
        </is>
      </c>
      <c r="F1464" s="17" t="n"/>
      <c r="G1464" s="9" t="n">
        <v>48</v>
      </c>
      <c r="H1464" s="9" t="n">
        <v>691</v>
      </c>
      <c r="I1464" s="9" t="inlineStr">
        <is>
          <t>End-of-Rotation Starter (SP4-5)</t>
        </is>
      </c>
      <c r="J1464" s="17" t="inlineStr">
        <is>
          <t>Opening Day</t>
        </is>
      </c>
      <c r="K1464" s="11">
        <f>IFERROR(INDEX(Roles!$B$17:$B$20,MATCH(J1464,Roles!$A$17:$A$20,0)),1)</f>
        <v/>
      </c>
      <c r="L1464" s="18" t="n">
        <v>1</v>
      </c>
      <c r="M1464" s="18" t="n"/>
      <c r="N1464" s="18" t="n"/>
      <c r="O1464" s="18" t="n"/>
      <c r="P1464" s="18" t="n"/>
      <c r="Q1464" s="18" t="n"/>
      <c r="R1464" s="18" t="n"/>
      <c r="S1464" s="18" t="n"/>
      <c r="T1464" s="18" t="n"/>
      <c r="U1464" s="18" t="n"/>
      <c r="V1464" s="18" t="n"/>
      <c r="W1464" s="18" t="n"/>
      <c r="X1464" s="18" t="n"/>
      <c r="Y1464" s="13">
        <f>SUMPRODUCT(M1464:X1464,$M$2:$X$2)*$K1464*$L1464</f>
        <v/>
      </c>
      <c r="Z1464" s="14">
        <f>SUM(M1464:X1464)</f>
        <v/>
      </c>
      <c r="AA1464" s="13">
        <f>SUMPRODUCT(M1464:X1464,$M$3:$X$3)*$K1464*$L1464</f>
        <v/>
      </c>
      <c r="AB1464" s="13">
        <f>SUMPRODUCT(M1464:X1464,$M$4:$X$4)*$K1464*$L1464</f>
        <v/>
      </c>
      <c r="AC1464" s="15">
        <f>SUMPRODUCT(M1464:X1464,$M$5:$X$5)*$K1464*$L1464</f>
        <v/>
      </c>
      <c r="AD1464" s="15">
        <f>SUMPRODUCT(M1464:X1464,$M$6:$X$6)*$K1464*$L1464</f>
        <v/>
      </c>
      <c r="AE1464" s="19" t="n"/>
    </row>
    <row r="1465">
      <c r="A1465" s="9" t="n">
        <v>643511</v>
      </c>
      <c r="B1465" s="9" t="inlineStr">
        <is>
          <t>Tyler Rogers</t>
        </is>
      </c>
      <c r="C1465" s="9" t="inlineStr">
        <is>
          <t>TOR</t>
        </is>
      </c>
      <c r="D1465" s="9" t="n">
        <v>36</v>
      </c>
      <c r="E1465" s="17" t="inlineStr">
        <is>
          <t>R</t>
        </is>
      </c>
      <c r="F1465" s="17" t="n"/>
      <c r="G1465" s="9" t="n">
        <v>280</v>
      </c>
      <c r="H1465" s="9" t="n">
        <v>1497</v>
      </c>
      <c r="I1465" s="9" t="inlineStr">
        <is>
          <t>Closer</t>
        </is>
      </c>
      <c r="J1465" s="17" t="inlineStr">
        <is>
          <t>Opening Day</t>
        </is>
      </c>
      <c r="K1465" s="11">
        <f>IFERROR(INDEX(Roles!$B$17:$B$20,MATCH(J1465,Roles!$A$17:$A$20,0)),1)</f>
        <v/>
      </c>
      <c r="L1465" s="18" t="n">
        <v>1</v>
      </c>
      <c r="M1465" s="18" t="n"/>
      <c r="N1465" s="18" t="n"/>
      <c r="O1465" s="18" t="n"/>
      <c r="P1465" s="18" t="n"/>
      <c r="Q1465" s="18" t="n"/>
      <c r="R1465" s="18" t="n"/>
      <c r="S1465" s="18" t="n"/>
      <c r="T1465" s="18" t="n"/>
      <c r="U1465" s="18" t="n"/>
      <c r="V1465" s="18" t="n"/>
      <c r="W1465" s="18" t="n"/>
      <c r="X1465" s="18" t="n"/>
      <c r="Y1465" s="13">
        <f>SUMPRODUCT(M1465:X1465,$M$2:$X$2)*$K1465*$L1465</f>
        <v/>
      </c>
      <c r="Z1465" s="14">
        <f>SUM(M1465:X1465)</f>
        <v/>
      </c>
      <c r="AA1465" s="13">
        <f>SUMPRODUCT(M1465:X1465,$M$3:$X$3)*$K1465*$L1465</f>
        <v/>
      </c>
      <c r="AB1465" s="13">
        <f>SUMPRODUCT(M1465:X1465,$M$4:$X$4)*$K1465*$L1465</f>
        <v/>
      </c>
      <c r="AC1465" s="15">
        <f>SUMPRODUCT(M1465:X1465,$M$5:$X$5)*$K1465*$L1465</f>
        <v/>
      </c>
      <c r="AD1465" s="15">
        <f>SUMPRODUCT(M1465:X1465,$M$6:$X$6)*$K1465*$L1465</f>
        <v/>
      </c>
      <c r="AE1465" s="19" t="n"/>
    </row>
    <row r="1466">
      <c r="A1466" s="9" t="n">
        <v>615698</v>
      </c>
      <c r="B1466" s="9" t="inlineStr">
        <is>
          <t>Cal Quantrill</t>
        </is>
      </c>
      <c r="C1466" s="9" t="inlineStr">
        <is>
          <t>TEX</t>
        </is>
      </c>
      <c r="D1466" s="9" t="n">
        <v>32</v>
      </c>
      <c r="E1466" s="17" t="inlineStr">
        <is>
          <t>R</t>
        </is>
      </c>
      <c r="F1466" s="17" t="n"/>
      <c r="G1466" s="9" t="n">
        <v>439</v>
      </c>
      <c r="H1466" s="9" t="n">
        <v>2822</v>
      </c>
      <c r="I1466" s="9" t="inlineStr">
        <is>
          <t>End-of-Rotation Starter (SP4-5)</t>
        </is>
      </c>
      <c r="J1466" s="17" t="inlineStr">
        <is>
          <t>Opening Day</t>
        </is>
      </c>
      <c r="K1466" s="11">
        <f>IFERROR(INDEX(Roles!$B$17:$B$20,MATCH(J1466,Roles!$A$17:$A$20,0)),1)</f>
        <v/>
      </c>
      <c r="L1466" s="18" t="n">
        <v>1</v>
      </c>
      <c r="M1466" s="18" t="n"/>
      <c r="N1466" s="18" t="n"/>
      <c r="O1466" s="18" t="n"/>
      <c r="P1466" s="18" t="n"/>
      <c r="Q1466" s="18" t="n"/>
      <c r="R1466" s="18" t="n"/>
      <c r="S1466" s="18" t="n"/>
      <c r="T1466" s="18" t="n"/>
      <c r="U1466" s="18" t="n"/>
      <c r="V1466" s="18" t="n"/>
      <c r="W1466" s="18" t="n"/>
      <c r="X1466" s="18" t="n"/>
      <c r="Y1466" s="13">
        <f>SUMPRODUCT(M1466:X1466,$M$2:$X$2)*$K1466*$L1466</f>
        <v/>
      </c>
      <c r="Z1466" s="14">
        <f>SUM(M1466:X1466)</f>
        <v/>
      </c>
      <c r="AA1466" s="13">
        <f>SUMPRODUCT(M1466:X1466,$M$3:$X$3)*$K1466*$L1466</f>
        <v/>
      </c>
      <c r="AB1466" s="13">
        <f>SUMPRODUCT(M1466:X1466,$M$4:$X$4)*$K1466*$L1466</f>
        <v/>
      </c>
      <c r="AC1466" s="15">
        <f>SUMPRODUCT(M1466:X1466,$M$5:$X$5)*$K1466*$L1466</f>
        <v/>
      </c>
      <c r="AD1466" s="15">
        <f>SUMPRODUCT(M1466:X1466,$M$6:$X$6)*$K1466*$L1466</f>
        <v/>
      </c>
      <c r="AE1466" s="19" t="n"/>
    </row>
    <row r="1467">
      <c r="A1467" s="9" t="n">
        <v>694363</v>
      </c>
      <c r="B1467" s="9" t="inlineStr">
        <is>
          <t>Jared Shuster</t>
        </is>
      </c>
      <c r="C1467" s="9" t="inlineStr">
        <is>
          <t>STL</t>
        </is>
      </c>
      <c r="D1467" s="9" t="n">
        <v>28</v>
      </c>
      <c r="E1467" s="17" t="inlineStr">
        <is>
          <t>L</t>
        </is>
      </c>
      <c r="F1467" s="17" t="n"/>
      <c r="G1467" s="9" t="n">
        <v>44</v>
      </c>
      <c r="H1467" s="9" t="n">
        <v>677</v>
      </c>
      <c r="I1467" s="9" t="inlineStr">
        <is>
          <t>Bullpen Depth Arm</t>
        </is>
      </c>
      <c r="J1467" s="17" t="inlineStr">
        <is>
          <t>Opening Day</t>
        </is>
      </c>
      <c r="K1467" s="11">
        <f>IFERROR(INDEX(Roles!$B$17:$B$20,MATCH(J1467,Roles!$A$17:$A$20,0)),1)</f>
        <v/>
      </c>
      <c r="L1467" s="18" t="n">
        <v>1</v>
      </c>
      <c r="M1467" s="18" t="n"/>
      <c r="N1467" s="18" t="n"/>
      <c r="O1467" s="18" t="n"/>
      <c r="P1467" s="18" t="n"/>
      <c r="Q1467" s="18" t="n"/>
      <c r="R1467" s="18" t="n"/>
      <c r="S1467" s="18" t="n"/>
      <c r="T1467" s="18" t="n"/>
      <c r="U1467" s="18" t="n"/>
      <c r="V1467" s="18" t="n"/>
      <c r="W1467" s="18" t="n"/>
      <c r="X1467" s="18" t="n"/>
      <c r="Y1467" s="13">
        <f>SUMPRODUCT(M1467:X1467,$M$2:$X$2)*$K1467*$L1467</f>
        <v/>
      </c>
      <c r="Z1467" s="14">
        <f>SUM(M1467:X1467)</f>
        <v/>
      </c>
      <c r="AA1467" s="13">
        <f>SUMPRODUCT(M1467:X1467,$M$3:$X$3)*$K1467*$L1467</f>
        <v/>
      </c>
      <c r="AB1467" s="13">
        <f>SUMPRODUCT(M1467:X1467,$M$4:$X$4)*$K1467*$L1467</f>
        <v/>
      </c>
      <c r="AC1467" s="15">
        <f>SUMPRODUCT(M1467:X1467,$M$5:$X$5)*$K1467*$L1467</f>
        <v/>
      </c>
      <c r="AD1467" s="15">
        <f>SUMPRODUCT(M1467:X1467,$M$6:$X$6)*$K1467*$L1467</f>
        <v/>
      </c>
      <c r="AE1467" s="19" t="n"/>
    </row>
    <row r="1468">
      <c r="A1468" s="9" t="n">
        <v>519008</v>
      </c>
      <c r="B1468" s="9" t="inlineStr">
        <is>
          <t>T.J. McFarland</t>
        </is>
      </c>
      <c r="C1468" s="9" t="inlineStr">
        <is>
          <t>OAK</t>
        </is>
      </c>
      <c r="D1468" s="9" t="n">
        <v>38</v>
      </c>
      <c r="E1468" s="17" t="inlineStr">
        <is>
          <t>L</t>
        </is>
      </c>
      <c r="F1468" s="17" t="n"/>
      <c r="G1468" s="9" t="n">
        <v>74</v>
      </c>
      <c r="H1468" s="9" t="n">
        <v>465</v>
      </c>
      <c r="I1468" s="9" t="inlineStr">
        <is>
          <t>Bullpen Depth Arm</t>
        </is>
      </c>
      <c r="J1468" s="17" t="inlineStr">
        <is>
          <t>Opening Day</t>
        </is>
      </c>
      <c r="K1468" s="11">
        <f>IFERROR(INDEX(Roles!$B$17:$B$20,MATCH(J1468,Roles!$A$17:$A$20,0)),1)</f>
        <v/>
      </c>
      <c r="L1468" s="18" t="n">
        <v>1</v>
      </c>
      <c r="M1468" s="18" t="n"/>
      <c r="N1468" s="18" t="n"/>
      <c r="O1468" s="18" t="n"/>
      <c r="P1468" s="18" t="n"/>
      <c r="Q1468" s="18" t="n"/>
      <c r="R1468" s="18" t="n"/>
      <c r="S1468" s="18" t="n"/>
      <c r="T1468" s="18" t="n"/>
      <c r="U1468" s="18" t="n"/>
      <c r="V1468" s="18" t="n"/>
      <c r="W1468" s="18" t="n"/>
      <c r="X1468" s="18" t="n"/>
      <c r="Y1468" s="13">
        <f>SUMPRODUCT(M1468:X1468,$M$2:$X$2)*$K1468*$L1468</f>
        <v/>
      </c>
      <c r="Z1468" s="14">
        <f>SUM(M1468:X1468)</f>
        <v/>
      </c>
      <c r="AA1468" s="13">
        <f>SUMPRODUCT(M1468:X1468,$M$3:$X$3)*$K1468*$L1468</f>
        <v/>
      </c>
      <c r="AB1468" s="13">
        <f>SUMPRODUCT(M1468:X1468,$M$4:$X$4)*$K1468*$L1468</f>
        <v/>
      </c>
      <c r="AC1468" s="15">
        <f>SUMPRODUCT(M1468:X1468,$M$5:$X$5)*$K1468*$L1468</f>
        <v/>
      </c>
      <c r="AD1468" s="15">
        <f>SUMPRODUCT(M1468:X1468,$M$6:$X$6)*$K1468*$L1468</f>
        <v/>
      </c>
      <c r="AE1468" s="19" t="n"/>
    </row>
    <row r="1469">
      <c r="A1469" s="9" t="n">
        <v>500743</v>
      </c>
      <c r="B1469" s="9" t="inlineStr">
        <is>
          <t>Miguel Rojas</t>
        </is>
      </c>
      <c r="C1469" s="9" t="inlineStr">
        <is>
          <t>LAD</t>
        </is>
      </c>
      <c r="D1469" s="9" t="n">
        <v>38</v>
      </c>
      <c r="E1469" s="17" t="inlineStr">
        <is>
          <t>R</t>
        </is>
      </c>
      <c r="F1469" s="17" t="n"/>
      <c r="G1469" s="9" t="n">
        <v>23</v>
      </c>
      <c r="H1469" s="9" t="n">
        <v>69</v>
      </c>
      <c r="I1469" s="9" t="inlineStr">
        <is>
          <t>Bullpen Depth Arm</t>
        </is>
      </c>
      <c r="J1469" s="17" t="inlineStr">
        <is>
          <t>Opening Day</t>
        </is>
      </c>
      <c r="K1469" s="11">
        <f>IFERROR(INDEX(Roles!$B$17:$B$20,MATCH(J1469,Roles!$A$17:$A$20,0)),1)</f>
        <v/>
      </c>
      <c r="L1469" s="18" t="n">
        <v>1</v>
      </c>
      <c r="M1469" s="18" t="n"/>
      <c r="N1469" s="18" t="n"/>
      <c r="O1469" s="18" t="n"/>
      <c r="P1469" s="18" t="n"/>
      <c r="Q1469" s="18" t="n"/>
      <c r="R1469" s="18" t="n"/>
      <c r="S1469" s="18" t="n"/>
      <c r="T1469" s="18" t="n"/>
      <c r="U1469" s="18" t="n"/>
      <c r="V1469" s="18" t="n"/>
      <c r="W1469" s="18" t="n"/>
      <c r="X1469" s="18" t="n"/>
      <c r="Y1469" s="13">
        <f>SUMPRODUCT(M1469:X1469,$M$2:$X$2)*$K1469*$L1469</f>
        <v/>
      </c>
      <c r="Z1469" s="14">
        <f>SUM(M1469:X1469)</f>
        <v/>
      </c>
      <c r="AA1469" s="13">
        <f>SUMPRODUCT(M1469:X1469,$M$3:$X$3)*$K1469*$L1469</f>
        <v/>
      </c>
      <c r="AB1469" s="13">
        <f>SUMPRODUCT(M1469:X1469,$M$4:$X$4)*$K1469*$L1469</f>
        <v/>
      </c>
      <c r="AC1469" s="15">
        <f>SUMPRODUCT(M1469:X1469,$M$5:$X$5)*$K1469*$L1469</f>
        <v/>
      </c>
      <c r="AD1469" s="15">
        <f>SUMPRODUCT(M1469:X1469,$M$6:$X$6)*$K1469*$L1469</f>
        <v/>
      </c>
      <c r="AE1469" s="19" t="n"/>
    </row>
    <row r="1470">
      <c r="A1470" s="9" t="n">
        <v>543294</v>
      </c>
      <c r="B1470" s="9" t="inlineStr">
        <is>
          <t>Kyle Hendricks</t>
        </is>
      </c>
      <c r="C1470" s="9" t="inlineStr">
        <is>
          <t>LAA</t>
        </is>
      </c>
      <c r="D1470" s="9" t="n">
        <v>37</v>
      </c>
      <c r="E1470" s="17" t="inlineStr">
        <is>
          <t>R</t>
        </is>
      </c>
      <c r="F1470" s="17" t="n"/>
      <c r="G1470" s="9" t="n">
        <v>695</v>
      </c>
      <c r="H1470" s="9" t="n">
        <v>2196</v>
      </c>
      <c r="I1470" s="9" t="inlineStr">
        <is>
          <t>End-of-Rotation Starter (SP4-5)</t>
        </is>
      </c>
      <c r="J1470" s="17" t="inlineStr">
        <is>
          <t>Opening Day</t>
        </is>
      </c>
      <c r="K1470" s="11">
        <f>IFERROR(INDEX(Roles!$B$17:$B$20,MATCH(J1470,Roles!$A$17:$A$20,0)),1)</f>
        <v/>
      </c>
      <c r="L1470" s="18" t="n">
        <v>1</v>
      </c>
      <c r="M1470" s="18" t="n"/>
      <c r="N1470" s="18" t="n"/>
      <c r="O1470" s="18" t="n"/>
      <c r="P1470" s="18" t="n"/>
      <c r="Q1470" s="18" t="n"/>
      <c r="R1470" s="18" t="n"/>
      <c r="S1470" s="18" t="n"/>
      <c r="T1470" s="18" t="n"/>
      <c r="U1470" s="18" t="n"/>
      <c r="V1470" s="18" t="n"/>
      <c r="W1470" s="18" t="n"/>
      <c r="X1470" s="18" t="n"/>
      <c r="Y1470" s="13">
        <f>SUMPRODUCT(M1470:X1470,$M$2:$X$2)*$K1470*$L1470</f>
        <v/>
      </c>
      <c r="Z1470" s="14">
        <f>SUM(M1470:X1470)</f>
        <v/>
      </c>
      <c r="AA1470" s="13">
        <f>SUMPRODUCT(M1470:X1470,$M$3:$X$3)*$K1470*$L1470</f>
        <v/>
      </c>
      <c r="AB1470" s="13">
        <f>SUMPRODUCT(M1470:X1470,$M$4:$X$4)*$K1470*$L1470</f>
        <v/>
      </c>
      <c r="AC1470" s="15">
        <f>SUMPRODUCT(M1470:X1470,$M$5:$X$5)*$K1470*$L1470</f>
        <v/>
      </c>
      <c r="AD1470" s="15">
        <f>SUMPRODUCT(M1470:X1470,$M$6:$X$6)*$K1470*$L1470</f>
        <v/>
      </c>
      <c r="AE1470" s="19" t="n"/>
    </row>
    <row r="1471">
      <c r="A1471" s="9" t="n">
        <v>623167</v>
      </c>
      <c r="B1471" s="9" t="inlineStr">
        <is>
          <t>Chris Flexen</t>
        </is>
      </c>
      <c r="C1471" s="9" t="inlineStr">
        <is>
          <t>CHC</t>
        </is>
      </c>
      <c r="D1471" s="9" t="n">
        <v>32</v>
      </c>
      <c r="E1471" s="17" t="inlineStr">
        <is>
          <t>R</t>
        </is>
      </c>
      <c r="F1471" s="17" t="n"/>
      <c r="G1471" s="9" t="n">
        <v>178</v>
      </c>
      <c r="H1471" s="9" t="n">
        <v>1941</v>
      </c>
      <c r="I1471" s="9" t="inlineStr">
        <is>
          <t>End-of-Rotation Starter (SP4-5)</t>
        </is>
      </c>
      <c r="J1471" s="17" t="inlineStr">
        <is>
          <t>Opening Day</t>
        </is>
      </c>
      <c r="K1471" s="11">
        <f>IFERROR(INDEX(Roles!$B$17:$B$20,MATCH(J1471,Roles!$A$17:$A$20,0)),1)</f>
        <v/>
      </c>
      <c r="L1471" s="18" t="n">
        <v>1</v>
      </c>
      <c r="M1471" s="18" t="n"/>
      <c r="N1471" s="18" t="n"/>
      <c r="O1471" s="18" t="n"/>
      <c r="P1471" s="18" t="n"/>
      <c r="Q1471" s="18" t="n"/>
      <c r="R1471" s="18" t="n"/>
      <c r="S1471" s="18" t="n"/>
      <c r="T1471" s="18" t="n"/>
      <c r="U1471" s="18" t="n"/>
      <c r="V1471" s="18" t="n"/>
      <c r="W1471" s="18" t="n"/>
      <c r="X1471" s="18" t="n"/>
      <c r="Y1471" s="13">
        <f>SUMPRODUCT(M1471:X1471,$M$2:$X$2)*$K1471*$L1471</f>
        <v/>
      </c>
      <c r="Z1471" s="14">
        <f>SUM(M1471:X1471)</f>
        <v/>
      </c>
      <c r="AA1471" s="13">
        <f>SUMPRODUCT(M1471:X1471,$M$3:$X$3)*$K1471*$L1471</f>
        <v/>
      </c>
      <c r="AB1471" s="13">
        <f>SUMPRODUCT(M1471:X1471,$M$4:$X$4)*$K1471*$L1471</f>
        <v/>
      </c>
      <c r="AC1471" s="15">
        <f>SUMPRODUCT(M1471:X1471,$M$5:$X$5)*$K1471*$L1471</f>
        <v/>
      </c>
      <c r="AD1471" s="15">
        <f>SUMPRODUCT(M1471:X1471,$M$6:$X$6)*$K1471*$L1471</f>
        <v/>
      </c>
      <c r="AE1471" s="19" t="n"/>
    </row>
    <row r="1472">
      <c r="A1472" s="9" t="n">
        <v>669467</v>
      </c>
      <c r="B1472" s="9" t="inlineStr">
        <is>
          <t>Andre Pallante</t>
        </is>
      </c>
      <c r="C1472" s="9" t="inlineStr">
        <is>
          <t>STL</t>
        </is>
      </c>
      <c r="D1472" s="9" t="n">
        <v>28</v>
      </c>
      <c r="E1472" s="17" t="inlineStr">
        <is>
          <t>R</t>
        </is>
      </c>
      <c r="F1472" s="17" t="n"/>
      <c r="G1472" s="9" t="n">
        <v>629</v>
      </c>
      <c r="H1472" s="9" t="n">
        <v>2612</v>
      </c>
      <c r="I1472" s="9" t="inlineStr">
        <is>
          <t>Mid-Rotation Starter (SP2-3)</t>
        </is>
      </c>
      <c r="J1472" s="17" t="inlineStr">
        <is>
          <t>Opening Day</t>
        </is>
      </c>
      <c r="K1472" s="11">
        <f>IFERROR(INDEX(Roles!$B$17:$B$20,MATCH(J1472,Roles!$A$17:$A$20,0)),1)</f>
        <v/>
      </c>
      <c r="L1472" s="18" t="n">
        <v>1</v>
      </c>
      <c r="M1472" s="18" t="n"/>
      <c r="N1472" s="18" t="n"/>
      <c r="O1472" s="18" t="n"/>
      <c r="P1472" s="18" t="n"/>
      <c r="Q1472" s="18" t="n"/>
      <c r="R1472" s="18" t="n"/>
      <c r="S1472" s="18" t="n"/>
      <c r="T1472" s="18" t="n"/>
      <c r="U1472" s="18" t="n"/>
      <c r="V1472" s="18" t="n"/>
      <c r="W1472" s="18" t="n"/>
      <c r="X1472" s="18" t="n"/>
      <c r="Y1472" s="13">
        <f>SUMPRODUCT(M1472:X1472,$M$2:$X$2)*$K1472*$L1472</f>
        <v/>
      </c>
      <c r="Z1472" s="14">
        <f>SUM(M1472:X1472)</f>
        <v/>
      </c>
      <c r="AA1472" s="13">
        <f>SUMPRODUCT(M1472:X1472,$M$3:$X$3)*$K1472*$L1472</f>
        <v/>
      </c>
      <c r="AB1472" s="13">
        <f>SUMPRODUCT(M1472:X1472,$M$4:$X$4)*$K1472*$L1472</f>
        <v/>
      </c>
      <c r="AC1472" s="15">
        <f>SUMPRODUCT(M1472:X1472,$M$5:$X$5)*$K1472*$L1472</f>
        <v/>
      </c>
      <c r="AD1472" s="15">
        <f>SUMPRODUCT(M1472:X1472,$M$6:$X$6)*$K1472*$L1472</f>
        <v/>
      </c>
      <c r="AE1472" s="19" t="n"/>
    </row>
    <row r="1473">
      <c r="A1473" s="9" t="n">
        <v>691594</v>
      </c>
      <c r="B1473" s="9" t="inlineStr">
        <is>
          <t>Javier Sanoja</t>
        </is>
      </c>
      <c r="C1473" s="9" t="inlineStr">
        <is>
          <t>MIA</t>
        </is>
      </c>
      <c r="D1473" s="9" t="n">
        <v>24</v>
      </c>
      <c r="E1473" s="17" t="inlineStr">
        <is>
          <t>R</t>
        </is>
      </c>
      <c r="F1473" s="17" t="n"/>
      <c r="G1473" s="9" t="n">
        <v>27</v>
      </c>
      <c r="H1473" s="9" t="n">
        <v>81</v>
      </c>
      <c r="I1473" s="9" t="inlineStr">
        <is>
          <t>Bullpen Depth Arm</t>
        </is>
      </c>
      <c r="J1473" s="17" t="inlineStr">
        <is>
          <t>Opening Day</t>
        </is>
      </c>
      <c r="K1473" s="11">
        <f>IFERROR(INDEX(Roles!$B$17:$B$20,MATCH(J1473,Roles!$A$17:$A$20,0)),1)</f>
        <v/>
      </c>
      <c r="L1473" s="18" t="n">
        <v>1</v>
      </c>
      <c r="M1473" s="18" t="n"/>
      <c r="N1473" s="18" t="n"/>
      <c r="O1473" s="18" t="n"/>
      <c r="P1473" s="18" t="n"/>
      <c r="Q1473" s="18" t="n"/>
      <c r="R1473" s="18" t="n"/>
      <c r="S1473" s="18" t="n"/>
      <c r="T1473" s="18" t="n"/>
      <c r="U1473" s="18" t="n"/>
      <c r="V1473" s="18" t="n"/>
      <c r="W1473" s="18" t="n"/>
      <c r="X1473" s="18" t="n"/>
      <c r="Y1473" s="13">
        <f>SUMPRODUCT(M1473:X1473,$M$2:$X$2)*$K1473*$L1473</f>
        <v/>
      </c>
      <c r="Z1473" s="14">
        <f>SUM(M1473:X1473)</f>
        <v/>
      </c>
      <c r="AA1473" s="13">
        <f>SUMPRODUCT(M1473:X1473,$M$3:$X$3)*$K1473*$L1473</f>
        <v/>
      </c>
      <c r="AB1473" s="13">
        <f>SUMPRODUCT(M1473:X1473,$M$4:$X$4)*$K1473*$L1473</f>
        <v/>
      </c>
      <c r="AC1473" s="15">
        <f>SUMPRODUCT(M1473:X1473,$M$5:$X$5)*$K1473*$L1473</f>
        <v/>
      </c>
      <c r="AD1473" s="15">
        <f>SUMPRODUCT(M1473:X1473,$M$6:$X$6)*$K1473*$L1473</f>
        <v/>
      </c>
      <c r="AE1473" s="19" t="n"/>
    </row>
    <row r="1474">
      <c r="A1474" s="9" t="n">
        <v>425794</v>
      </c>
      <c r="B1474" s="9" t="inlineStr">
        <is>
          <t>Adam Wainwright</t>
        </is>
      </c>
      <c r="C1474" s="9" t="inlineStr">
        <is>
          <t>STL</t>
        </is>
      </c>
      <c r="D1474" s="9" t="n">
        <v>45</v>
      </c>
      <c r="E1474" s="17" t="inlineStr">
        <is>
          <t>R</t>
        </is>
      </c>
      <c r="F1474" s="17" t="n"/>
      <c r="G1474" s="9" t="n">
        <v>484</v>
      </c>
      <c r="H1474" s="9" t="n">
        <v>1287</v>
      </c>
      <c r="I1474" s="9" t="inlineStr">
        <is>
          <t>Depth (no MLB IP)</t>
        </is>
      </c>
      <c r="J1474" s="17" t="inlineStr">
        <is>
          <t>Opening Day</t>
        </is>
      </c>
      <c r="K1474" s="11">
        <f>IFERROR(INDEX(Roles!$B$17:$B$20,MATCH(J1474,Roles!$A$17:$A$20,0)),1)</f>
        <v/>
      </c>
      <c r="L1474" s="18" t="n">
        <v>1</v>
      </c>
      <c r="M1474" s="18" t="n"/>
      <c r="N1474" s="18" t="n"/>
      <c r="O1474" s="18" t="n"/>
      <c r="P1474" s="18" t="n"/>
      <c r="Q1474" s="18" t="n"/>
      <c r="R1474" s="18" t="n"/>
      <c r="S1474" s="18" t="n"/>
      <c r="T1474" s="18" t="n"/>
      <c r="U1474" s="18" t="n"/>
      <c r="V1474" s="18" t="n"/>
      <c r="W1474" s="18" t="n"/>
      <c r="X1474" s="18" t="n"/>
      <c r="Y1474" s="13">
        <f>SUMPRODUCT(M1474:X1474,$M$2:$X$2)*$K1474*$L1474</f>
        <v/>
      </c>
      <c r="Z1474" s="14">
        <f>SUM(M1474:X1474)</f>
        <v/>
      </c>
      <c r="AA1474" s="13">
        <f>SUMPRODUCT(M1474:X1474,$M$3:$X$3)*$K1474*$L1474</f>
        <v/>
      </c>
      <c r="AB1474" s="13">
        <f>SUMPRODUCT(M1474:X1474,$M$4:$X$4)*$K1474*$L1474</f>
        <v/>
      </c>
      <c r="AC1474" s="15">
        <f>SUMPRODUCT(M1474:X1474,$M$5:$X$5)*$K1474*$L1474</f>
        <v/>
      </c>
      <c r="AD1474" s="15">
        <f>SUMPRODUCT(M1474:X1474,$M$6:$X$6)*$K1474*$L1474</f>
        <v/>
      </c>
      <c r="AE1474" s="19" t="n"/>
    </row>
    <row r="1475">
      <c r="A1475" s="9" t="n">
        <v>688642</v>
      </c>
      <c r="B1475" s="9" t="inlineStr">
        <is>
          <t>Zach Agnos</t>
        </is>
      </c>
      <c r="C1475" s="9" t="inlineStr">
        <is>
          <t>COL</t>
        </is>
      </c>
      <c r="D1475" s="9" t="n">
        <v>26</v>
      </c>
      <c r="E1475" s="17" t="inlineStr">
        <is>
          <t>R</t>
        </is>
      </c>
      <c r="F1475" s="17" t="n"/>
      <c r="G1475" s="9" t="n">
        <v>377</v>
      </c>
      <c r="H1475" s="9" t="n">
        <v>515</v>
      </c>
      <c r="I1475" s="9" t="inlineStr">
        <is>
          <t>Bullpen Depth Arm</t>
        </is>
      </c>
      <c r="J1475" s="17" t="inlineStr">
        <is>
          <t>Opening Day</t>
        </is>
      </c>
      <c r="K1475" s="11">
        <f>IFERROR(INDEX(Roles!$B$17:$B$20,MATCH(J1475,Roles!$A$17:$A$20,0)),1)</f>
        <v/>
      </c>
      <c r="L1475" s="18" t="n">
        <v>1</v>
      </c>
      <c r="M1475" s="18" t="n"/>
      <c r="N1475" s="18" t="n"/>
      <c r="O1475" s="18" t="n"/>
      <c r="P1475" s="18" t="n"/>
      <c r="Q1475" s="18" t="n"/>
      <c r="R1475" s="18" t="n"/>
      <c r="S1475" s="18" t="n"/>
      <c r="T1475" s="18" t="n"/>
      <c r="U1475" s="18" t="n"/>
      <c r="V1475" s="18" t="n"/>
      <c r="W1475" s="18" t="n"/>
      <c r="X1475" s="18" t="n"/>
      <c r="Y1475" s="13">
        <f>SUMPRODUCT(M1475:X1475,$M$2:$X$2)*$K1475*$L1475</f>
        <v/>
      </c>
      <c r="Z1475" s="14">
        <f>SUM(M1475:X1475)</f>
        <v/>
      </c>
      <c r="AA1475" s="13">
        <f>SUMPRODUCT(M1475:X1475,$M$3:$X$3)*$K1475*$L1475</f>
        <v/>
      </c>
      <c r="AB1475" s="13">
        <f>SUMPRODUCT(M1475:X1475,$M$4:$X$4)*$K1475*$L1475</f>
        <v/>
      </c>
      <c r="AC1475" s="15">
        <f>SUMPRODUCT(M1475:X1475,$M$5:$X$5)*$K1475*$L1475</f>
        <v/>
      </c>
      <c r="AD1475" s="15">
        <f>SUMPRODUCT(M1475:X1475,$M$6:$X$6)*$K1475*$L1475</f>
        <v/>
      </c>
      <c r="AE1475" s="19" t="n"/>
    </row>
    <row r="1476">
      <c r="A1476" s="9" t="n">
        <v>596295</v>
      </c>
      <c r="B1476" s="9" t="inlineStr">
        <is>
          <t>Austin Gomber</t>
        </is>
      </c>
      <c r="C1476" s="9" t="inlineStr">
        <is>
          <t>COL</t>
        </is>
      </c>
      <c r="D1476" s="9" t="n">
        <v>33</v>
      </c>
      <c r="E1476" s="17" t="inlineStr">
        <is>
          <t>L</t>
        </is>
      </c>
      <c r="F1476" s="17" t="n"/>
      <c r="G1476" s="9" t="n">
        <v>272</v>
      </c>
      <c r="H1476" s="9" t="n">
        <v>2100</v>
      </c>
      <c r="I1476" s="9" t="inlineStr">
        <is>
          <t>Mid-Rotation Starter (SP2-3)</t>
        </is>
      </c>
      <c r="J1476" s="17" t="inlineStr">
        <is>
          <t>Opening Day</t>
        </is>
      </c>
      <c r="K1476" s="11">
        <f>IFERROR(INDEX(Roles!$B$17:$B$20,MATCH(J1476,Roles!$A$17:$A$20,0)),1)</f>
        <v/>
      </c>
      <c r="L1476" s="18" t="n">
        <v>1</v>
      </c>
      <c r="M1476" s="18" t="n"/>
      <c r="N1476" s="18" t="n"/>
      <c r="O1476" s="18" t="n"/>
      <c r="P1476" s="18" t="n"/>
      <c r="Q1476" s="18" t="n"/>
      <c r="R1476" s="18" t="n"/>
      <c r="S1476" s="18" t="n"/>
      <c r="T1476" s="18" t="n"/>
      <c r="U1476" s="18" t="n"/>
      <c r="V1476" s="18" t="n"/>
      <c r="W1476" s="18" t="n"/>
      <c r="X1476" s="18" t="n"/>
      <c r="Y1476" s="13">
        <f>SUMPRODUCT(M1476:X1476,$M$2:$X$2)*$K1476*$L1476</f>
        <v/>
      </c>
      <c r="Z1476" s="14">
        <f>SUM(M1476:X1476)</f>
        <v/>
      </c>
      <c r="AA1476" s="13">
        <f>SUMPRODUCT(M1476:X1476,$M$3:$X$3)*$K1476*$L1476</f>
        <v/>
      </c>
      <c r="AB1476" s="13">
        <f>SUMPRODUCT(M1476:X1476,$M$4:$X$4)*$K1476*$L1476</f>
        <v/>
      </c>
      <c r="AC1476" s="15">
        <f>SUMPRODUCT(M1476:X1476,$M$5:$X$5)*$K1476*$L1476</f>
        <v/>
      </c>
      <c r="AD1476" s="15">
        <f>SUMPRODUCT(M1476:X1476,$M$6:$X$6)*$K1476*$L1476</f>
        <v/>
      </c>
      <c r="AE1476" s="19" t="n"/>
    </row>
    <row r="1477">
      <c r="A1477" s="9" t="n">
        <v>663765</v>
      </c>
      <c r="B1477" s="9" t="inlineStr">
        <is>
          <t>Jake Woodford</t>
        </is>
      </c>
      <c r="C1477" s="9" t="inlineStr">
        <is>
          <t>CHC</t>
        </is>
      </c>
      <c r="D1477" s="9" t="n">
        <v>30</v>
      </c>
      <c r="E1477" s="17" t="inlineStr">
        <is>
          <t>R</t>
        </is>
      </c>
      <c r="F1477" s="17" t="n"/>
      <c r="G1477" s="9" t="n">
        <v>126</v>
      </c>
      <c r="H1477" s="9" t="n">
        <v>873</v>
      </c>
      <c r="I1477" s="9" t="inlineStr">
        <is>
          <t>Bullpen Depth Arm</t>
        </is>
      </c>
      <c r="J1477" s="17" t="inlineStr">
        <is>
          <t>Opening Day</t>
        </is>
      </c>
      <c r="K1477" s="11">
        <f>IFERROR(INDEX(Roles!$B$17:$B$20,MATCH(J1477,Roles!$A$17:$A$20,0)),1)</f>
        <v/>
      </c>
      <c r="L1477" s="18" t="n">
        <v>1</v>
      </c>
      <c r="M1477" s="18" t="n"/>
      <c r="N1477" s="18" t="n"/>
      <c r="O1477" s="18" t="n"/>
      <c r="P1477" s="18" t="n"/>
      <c r="Q1477" s="18" t="n"/>
      <c r="R1477" s="18" t="n"/>
      <c r="S1477" s="18" t="n"/>
      <c r="T1477" s="18" t="n"/>
      <c r="U1477" s="18" t="n"/>
      <c r="V1477" s="18" t="n"/>
      <c r="W1477" s="18" t="n"/>
      <c r="X1477" s="18" t="n"/>
      <c r="Y1477" s="13">
        <f>SUMPRODUCT(M1477:X1477,$M$2:$X$2)*$K1477*$L1477</f>
        <v/>
      </c>
      <c r="Z1477" s="14">
        <f>SUM(M1477:X1477)</f>
        <v/>
      </c>
      <c r="AA1477" s="13">
        <f>SUMPRODUCT(M1477:X1477,$M$3:$X$3)*$K1477*$L1477</f>
        <v/>
      </c>
      <c r="AB1477" s="13">
        <f>SUMPRODUCT(M1477:X1477,$M$4:$X$4)*$K1477*$L1477</f>
        <v/>
      </c>
      <c r="AC1477" s="15">
        <f>SUMPRODUCT(M1477:X1477,$M$5:$X$5)*$K1477*$L1477</f>
        <v/>
      </c>
      <c r="AD1477" s="15">
        <f>SUMPRODUCT(M1477:X1477,$M$6:$X$6)*$K1477*$L1477</f>
        <v/>
      </c>
      <c r="AE1477" s="19" t="n"/>
    </row>
    <row r="1478">
      <c r="A1478" s="9" t="n">
        <v>425844</v>
      </c>
      <c r="B1478" s="9" t="inlineStr">
        <is>
          <t>Zack Greinke</t>
        </is>
      </c>
      <c r="C1478" s="9" t="inlineStr">
        <is>
          <t>KC</t>
        </is>
      </c>
      <c r="D1478" s="9" t="n">
        <v>43</v>
      </c>
      <c r="E1478" s="17" t="inlineStr">
        <is>
          <t>R</t>
        </is>
      </c>
      <c r="F1478" s="17" t="n"/>
      <c r="G1478" s="9" t="n">
        <v>593</v>
      </c>
      <c r="H1478" s="9" t="n">
        <v>1178</v>
      </c>
      <c r="I1478" s="9" t="inlineStr">
        <is>
          <t>Depth (no MLB IP)</t>
        </is>
      </c>
      <c r="J1478" s="17" t="inlineStr">
        <is>
          <t>Opening Day</t>
        </is>
      </c>
      <c r="K1478" s="11">
        <f>IFERROR(INDEX(Roles!$B$17:$B$20,MATCH(J1478,Roles!$A$17:$A$20,0)),1)</f>
        <v/>
      </c>
      <c r="L1478" s="18" t="n">
        <v>1</v>
      </c>
      <c r="M1478" s="18" t="n"/>
      <c r="N1478" s="18" t="n"/>
      <c r="O1478" s="18" t="n"/>
      <c r="P1478" s="18" t="n"/>
      <c r="Q1478" s="18" t="n"/>
      <c r="R1478" s="18" t="n"/>
      <c r="S1478" s="18" t="n"/>
      <c r="T1478" s="18" t="n"/>
      <c r="U1478" s="18" t="n"/>
      <c r="V1478" s="18" t="n"/>
      <c r="W1478" s="18" t="n"/>
      <c r="X1478" s="18" t="n"/>
      <c r="Y1478" s="13">
        <f>SUMPRODUCT(M1478:X1478,$M$2:$X$2)*$K1478*$L1478</f>
        <v/>
      </c>
      <c r="Z1478" s="14">
        <f>SUM(M1478:X1478)</f>
        <v/>
      </c>
      <c r="AA1478" s="13">
        <f>SUMPRODUCT(M1478:X1478,$M$3:$X$3)*$K1478*$L1478</f>
        <v/>
      </c>
      <c r="AB1478" s="13">
        <f>SUMPRODUCT(M1478:X1478,$M$4:$X$4)*$K1478*$L1478</f>
        <v/>
      </c>
      <c r="AC1478" s="15">
        <f>SUMPRODUCT(M1478:X1478,$M$5:$X$5)*$K1478*$L1478</f>
        <v/>
      </c>
      <c r="AD1478" s="15">
        <f>SUMPRODUCT(M1478:X1478,$M$6:$X$6)*$K1478*$L1478</f>
        <v/>
      </c>
      <c r="AE1478" s="19" t="n"/>
    </row>
    <row r="1479">
      <c r="A1479" s="9" t="n">
        <v>676596</v>
      </c>
      <c r="B1479" s="9" t="inlineStr">
        <is>
          <t>Josh Fleming</t>
        </is>
      </c>
      <c r="C1479" s="9" t="inlineStr">
        <is>
          <t>PIT</t>
        </is>
      </c>
      <c r="D1479" s="9" t="n">
        <v>31</v>
      </c>
      <c r="E1479" s="17" t="inlineStr">
        <is>
          <t>L</t>
        </is>
      </c>
      <c r="F1479" s="17" t="n"/>
      <c r="G1479" s="9" t="n">
        <v>18</v>
      </c>
      <c r="H1479" s="9" t="n">
        <v>546</v>
      </c>
      <c r="I1479" s="9" t="inlineStr">
        <is>
          <t>Depth (no MLB IP)</t>
        </is>
      </c>
      <c r="J1479" s="17" t="inlineStr">
        <is>
          <t>Opening Day</t>
        </is>
      </c>
      <c r="K1479" s="11">
        <f>IFERROR(INDEX(Roles!$B$17:$B$20,MATCH(J1479,Roles!$A$17:$A$20,0)),1)</f>
        <v/>
      </c>
      <c r="L1479" s="18" t="n">
        <v>1</v>
      </c>
      <c r="M1479" s="18" t="n"/>
      <c r="N1479" s="18" t="n"/>
      <c r="O1479" s="18" t="n"/>
      <c r="P1479" s="18" t="n"/>
      <c r="Q1479" s="18" t="n"/>
      <c r="R1479" s="18" t="n"/>
      <c r="S1479" s="18" t="n"/>
      <c r="T1479" s="18" t="n"/>
      <c r="U1479" s="18" t="n"/>
      <c r="V1479" s="18" t="n"/>
      <c r="W1479" s="18" t="n"/>
      <c r="X1479" s="18" t="n"/>
      <c r="Y1479" s="13">
        <f>SUMPRODUCT(M1479:X1479,$M$2:$X$2)*$K1479*$L1479</f>
        <v/>
      </c>
      <c r="Z1479" s="14">
        <f>SUM(M1479:X1479)</f>
        <v/>
      </c>
      <c r="AA1479" s="13">
        <f>SUMPRODUCT(M1479:X1479,$M$3:$X$3)*$K1479*$L1479</f>
        <v/>
      </c>
      <c r="AB1479" s="13">
        <f>SUMPRODUCT(M1479:X1479,$M$4:$X$4)*$K1479*$L1479</f>
        <v/>
      </c>
      <c r="AC1479" s="15">
        <f>SUMPRODUCT(M1479:X1479,$M$5:$X$5)*$K1479*$L1479</f>
        <v/>
      </c>
      <c r="AD1479" s="15">
        <f>SUMPRODUCT(M1479:X1479,$M$6:$X$6)*$K1479*$L1479</f>
        <v/>
      </c>
      <c r="AE1479" s="19" t="n"/>
    </row>
    <row r="1480">
      <c r="A1480" s="9" t="n">
        <v>571945</v>
      </c>
      <c r="B1480" s="9" t="inlineStr">
        <is>
          <t>Miles Mikolas</t>
        </is>
      </c>
      <c r="C1480" s="9" t="inlineStr">
        <is>
          <t>WSH</t>
        </is>
      </c>
      <c r="D1480" s="9" t="n">
        <v>38</v>
      </c>
      <c r="E1480" s="17" t="inlineStr">
        <is>
          <t>R</t>
        </is>
      </c>
      <c r="F1480" s="17" t="n"/>
      <c r="G1480" s="9" t="n">
        <v>498</v>
      </c>
      <c r="H1480" s="9" t="n">
        <v>3552</v>
      </c>
      <c r="I1480" s="9" t="inlineStr">
        <is>
          <t>Mid-Rotation Starter (SP2-3)</t>
        </is>
      </c>
      <c r="J1480" s="17" t="inlineStr">
        <is>
          <t>Opening Day</t>
        </is>
      </c>
      <c r="K1480" s="11">
        <f>IFERROR(INDEX(Roles!$B$17:$B$20,MATCH(J1480,Roles!$A$17:$A$20,0)),1)</f>
        <v/>
      </c>
      <c r="L1480" s="18" t="n">
        <v>1</v>
      </c>
      <c r="M1480" s="18" t="n"/>
      <c r="N1480" s="18" t="n"/>
      <c r="O1480" s="18" t="n"/>
      <c r="P1480" s="18" t="n"/>
      <c r="Q1480" s="18" t="n"/>
      <c r="R1480" s="18" t="n"/>
      <c r="S1480" s="18" t="n"/>
      <c r="T1480" s="18" t="n"/>
      <c r="U1480" s="18" t="n"/>
      <c r="V1480" s="18" t="n"/>
      <c r="W1480" s="18" t="n"/>
      <c r="X1480" s="18" t="n"/>
      <c r="Y1480" s="13">
        <f>SUMPRODUCT(M1480:X1480,$M$2:$X$2)*$K1480*$L1480</f>
        <v/>
      </c>
      <c r="Z1480" s="14">
        <f>SUM(M1480:X1480)</f>
        <v/>
      </c>
      <c r="AA1480" s="13">
        <f>SUMPRODUCT(M1480:X1480,$M$3:$X$3)*$K1480*$L1480</f>
        <v/>
      </c>
      <c r="AB1480" s="13">
        <f>SUMPRODUCT(M1480:X1480,$M$4:$X$4)*$K1480*$L1480</f>
        <v/>
      </c>
      <c r="AC1480" s="15">
        <f>SUMPRODUCT(M1480:X1480,$M$5:$X$5)*$K1480*$L1480</f>
        <v/>
      </c>
      <c r="AD1480" s="15">
        <f>SUMPRODUCT(M1480:X1480,$M$6:$X$6)*$K1480*$L1480</f>
        <v/>
      </c>
      <c r="AE1480" s="19" t="n"/>
    </row>
    <row r="1481">
      <c r="A1481" s="9" t="n">
        <v>667463</v>
      </c>
      <c r="B1481" s="9" t="inlineStr">
        <is>
          <t>John King</t>
        </is>
      </c>
      <c r="C1481" s="9" t="inlineStr">
        <is>
          <t>MIA</t>
        </is>
      </c>
      <c r="D1481" s="9" t="n">
        <v>32</v>
      </c>
      <c r="E1481" s="17" t="inlineStr">
        <is>
          <t>L</t>
        </is>
      </c>
      <c r="F1481" s="17" t="n"/>
      <c r="G1481" s="9" t="n">
        <v>197</v>
      </c>
      <c r="H1481" s="9" t="n">
        <v>1046</v>
      </c>
      <c r="I1481" s="9" t="inlineStr">
        <is>
          <t>Bullpen Depth Arm</t>
        </is>
      </c>
      <c r="J1481" s="17" t="inlineStr">
        <is>
          <t>Opening Day</t>
        </is>
      </c>
      <c r="K1481" s="11">
        <f>IFERROR(INDEX(Roles!$B$17:$B$20,MATCH(J1481,Roles!$A$17:$A$20,0)),1)</f>
        <v/>
      </c>
      <c r="L1481" s="18" t="n">
        <v>1</v>
      </c>
      <c r="M1481" s="18" t="n"/>
      <c r="N1481" s="18" t="n"/>
      <c r="O1481" s="18" t="n"/>
      <c r="P1481" s="18" t="n"/>
      <c r="Q1481" s="18" t="n"/>
      <c r="R1481" s="18" t="n"/>
      <c r="S1481" s="18" t="n"/>
      <c r="T1481" s="18" t="n"/>
      <c r="U1481" s="18" t="n"/>
      <c r="V1481" s="18" t="n"/>
      <c r="W1481" s="18" t="n"/>
      <c r="X1481" s="18" t="n"/>
      <c r="Y1481" s="13">
        <f>SUMPRODUCT(M1481:X1481,$M$2:$X$2)*$K1481*$L1481</f>
        <v/>
      </c>
      <c r="Z1481" s="14">
        <f>SUM(M1481:X1481)</f>
        <v/>
      </c>
      <c r="AA1481" s="13">
        <f>SUMPRODUCT(M1481:X1481,$M$3:$X$3)*$K1481*$L1481</f>
        <v/>
      </c>
      <c r="AB1481" s="13">
        <f>SUMPRODUCT(M1481:X1481,$M$4:$X$4)*$K1481*$L1481</f>
        <v/>
      </c>
      <c r="AC1481" s="15">
        <f>SUMPRODUCT(M1481:X1481,$M$5:$X$5)*$K1481*$L1481</f>
        <v/>
      </c>
      <c r="AD1481" s="15">
        <f>SUMPRODUCT(M1481:X1481,$M$6:$X$6)*$K1481*$L1481</f>
        <v/>
      </c>
      <c r="AE1481" s="19" t="n"/>
    </row>
    <row r="1482">
      <c r="A1482" s="9" t="n">
        <v>570632</v>
      </c>
      <c r="B1482" s="9" t="inlineStr">
        <is>
          <t>José Ureña</t>
        </is>
      </c>
      <c r="C1482" s="9" t="inlineStr">
        <is>
          <t>LAA</t>
        </is>
      </c>
      <c r="D1482" s="9" t="n">
        <v>35</v>
      </c>
      <c r="E1482" s="17" t="inlineStr">
        <is>
          <t>R</t>
        </is>
      </c>
      <c r="F1482" s="17" t="n"/>
      <c r="G1482" s="9" t="n">
        <v>245</v>
      </c>
      <c r="H1482" s="9" t="n">
        <v>1343</v>
      </c>
      <c r="I1482" s="9" t="inlineStr">
        <is>
          <t>Bullpen Depth Arm</t>
        </is>
      </c>
      <c r="J1482" s="17" t="inlineStr">
        <is>
          <t>Opening Day</t>
        </is>
      </c>
      <c r="K1482" s="11">
        <f>IFERROR(INDEX(Roles!$B$17:$B$20,MATCH(J1482,Roles!$A$17:$A$20,0)),1)</f>
        <v/>
      </c>
      <c r="L1482" s="18" t="n">
        <v>1</v>
      </c>
      <c r="M1482" s="18" t="n"/>
      <c r="N1482" s="18" t="n"/>
      <c r="O1482" s="18" t="n"/>
      <c r="P1482" s="18" t="n"/>
      <c r="Q1482" s="18" t="n"/>
      <c r="R1482" s="18" t="n"/>
      <c r="S1482" s="18" t="n"/>
      <c r="T1482" s="18" t="n"/>
      <c r="U1482" s="18" t="n"/>
      <c r="V1482" s="18" t="n"/>
      <c r="W1482" s="18" t="n"/>
      <c r="X1482" s="18" t="n"/>
      <c r="Y1482" s="13">
        <f>SUMPRODUCT(M1482:X1482,$M$2:$X$2)*$K1482*$L1482</f>
        <v/>
      </c>
      <c r="Z1482" s="14">
        <f>SUM(M1482:X1482)</f>
        <v/>
      </c>
      <c r="AA1482" s="13">
        <f>SUMPRODUCT(M1482:X1482,$M$3:$X$3)*$K1482*$L1482</f>
        <v/>
      </c>
      <c r="AB1482" s="13">
        <f>SUMPRODUCT(M1482:X1482,$M$4:$X$4)*$K1482*$L1482</f>
        <v/>
      </c>
      <c r="AC1482" s="15">
        <f>SUMPRODUCT(M1482:X1482,$M$5:$X$5)*$K1482*$L1482</f>
        <v/>
      </c>
      <c r="AD1482" s="15">
        <f>SUMPRODUCT(M1482:X1482,$M$6:$X$6)*$K1482*$L1482</f>
        <v/>
      </c>
      <c r="AE1482" s="19" t="n"/>
    </row>
    <row r="1483">
      <c r="A1483" s="9" t="n">
        <v>608372</v>
      </c>
      <c r="B1483" s="9" t="inlineStr">
        <is>
          <t>Tomoyuki Sugano</t>
        </is>
      </c>
      <c r="C1483" s="9" t="inlineStr">
        <is>
          <t>COL</t>
        </is>
      </c>
      <c r="D1483" s="9" t="n">
        <v>37</v>
      </c>
      <c r="E1483" s="17" t="inlineStr">
        <is>
          <t>R</t>
        </is>
      </c>
      <c r="F1483" s="17" t="n"/>
      <c r="G1483" s="9" t="n">
        <v>614</v>
      </c>
      <c r="H1483" s="9" t="n">
        <v>1289</v>
      </c>
      <c r="I1483" s="9" t="inlineStr">
        <is>
          <t>Mid-Rotation Starter (SP2-3)</t>
        </is>
      </c>
      <c r="J1483" s="17" t="inlineStr">
        <is>
          <t>Opening Day</t>
        </is>
      </c>
      <c r="K1483" s="11">
        <f>IFERROR(INDEX(Roles!$B$17:$B$20,MATCH(J1483,Roles!$A$17:$A$20,0)),1)</f>
        <v/>
      </c>
      <c r="L1483" s="18" t="n">
        <v>1</v>
      </c>
      <c r="M1483" s="18" t="n"/>
      <c r="N1483" s="18" t="n"/>
      <c r="O1483" s="18" t="n"/>
      <c r="P1483" s="18" t="n"/>
      <c r="Q1483" s="18" t="n"/>
      <c r="R1483" s="18" t="n"/>
      <c r="S1483" s="18" t="n"/>
      <c r="T1483" s="18" t="n"/>
      <c r="U1483" s="18" t="n"/>
      <c r="V1483" s="18" t="n"/>
      <c r="W1483" s="18" t="n"/>
      <c r="X1483" s="18" t="n"/>
      <c r="Y1483" s="13">
        <f>SUMPRODUCT(M1483:X1483,$M$2:$X$2)*$K1483*$L1483</f>
        <v/>
      </c>
      <c r="Z1483" s="14">
        <f>SUM(M1483:X1483)</f>
        <v/>
      </c>
      <c r="AA1483" s="13">
        <f>SUMPRODUCT(M1483:X1483,$M$3:$X$3)*$K1483*$L1483</f>
        <v/>
      </c>
      <c r="AB1483" s="13">
        <f>SUMPRODUCT(M1483:X1483,$M$4:$X$4)*$K1483*$L1483</f>
        <v/>
      </c>
      <c r="AC1483" s="15">
        <f>SUMPRODUCT(M1483:X1483,$M$5:$X$5)*$K1483*$L1483</f>
        <v/>
      </c>
      <c r="AD1483" s="15">
        <f>SUMPRODUCT(M1483:X1483,$M$6:$X$6)*$K1483*$L1483</f>
        <v/>
      </c>
      <c r="AE1483" s="19" t="n"/>
    </row>
    <row r="1484">
      <c r="A1484" s="9" t="n">
        <v>594835</v>
      </c>
      <c r="B1484" s="9" t="inlineStr">
        <is>
          <t>Marco Gonzales</t>
        </is>
      </c>
      <c r="C1484" s="9" t="inlineStr">
        <is>
          <t>TEX</t>
        </is>
      </c>
      <c r="D1484" s="9" t="n">
        <v>35</v>
      </c>
      <c r="E1484" s="17" t="inlineStr">
        <is>
          <t>L</t>
        </is>
      </c>
      <c r="F1484" s="17" t="n"/>
      <c r="G1484" s="9" t="n">
        <v>29</v>
      </c>
      <c r="H1484" s="9" t="n">
        <v>1178</v>
      </c>
      <c r="I1484" s="9" t="inlineStr">
        <is>
          <t>End-of-Rotation Starter (SP4-5)</t>
        </is>
      </c>
      <c r="J1484" s="17" t="inlineStr">
        <is>
          <t>Opening Day</t>
        </is>
      </c>
      <c r="K1484" s="11">
        <f>IFERROR(INDEX(Roles!$B$17:$B$20,MATCH(J1484,Roles!$A$17:$A$20,0)),1)</f>
        <v/>
      </c>
      <c r="L1484" s="18" t="n">
        <v>1</v>
      </c>
      <c r="M1484" s="18" t="n"/>
      <c r="N1484" s="18" t="n"/>
      <c r="O1484" s="18" t="n"/>
      <c r="P1484" s="18" t="n"/>
      <c r="Q1484" s="18" t="n"/>
      <c r="R1484" s="18" t="n"/>
      <c r="S1484" s="18" t="n"/>
      <c r="T1484" s="18" t="n"/>
      <c r="U1484" s="18" t="n"/>
      <c r="V1484" s="18" t="n"/>
      <c r="W1484" s="18" t="n"/>
      <c r="X1484" s="18" t="n"/>
      <c r="Y1484" s="13">
        <f>SUMPRODUCT(M1484:X1484,$M$2:$X$2)*$K1484*$L1484</f>
        <v/>
      </c>
      <c r="Z1484" s="14">
        <f>SUM(M1484:X1484)</f>
        <v/>
      </c>
      <c r="AA1484" s="13">
        <f>SUMPRODUCT(M1484:X1484,$M$3:$X$3)*$K1484*$L1484</f>
        <v/>
      </c>
      <c r="AB1484" s="13">
        <f>SUMPRODUCT(M1484:X1484,$M$4:$X$4)*$K1484*$L1484</f>
        <v/>
      </c>
      <c r="AC1484" s="15">
        <f>SUMPRODUCT(M1484:X1484,$M$5:$X$5)*$K1484*$L1484</f>
        <v/>
      </c>
      <c r="AD1484" s="15">
        <f>SUMPRODUCT(M1484:X1484,$M$6:$X$6)*$K1484*$L1484</f>
        <v/>
      </c>
      <c r="AE1484" s="19" t="n"/>
    </row>
    <row r="1485">
      <c r="A1485" s="9" t="n">
        <v>681190</v>
      </c>
      <c r="B1485" s="9" t="inlineStr">
        <is>
          <t>Randy Vásquez</t>
        </is>
      </c>
      <c r="C1485" s="9" t="inlineStr">
        <is>
          <t>SD</t>
        </is>
      </c>
      <c r="D1485" s="9" t="n">
        <v>28</v>
      </c>
      <c r="E1485" s="17" t="inlineStr">
        <is>
          <t>R</t>
        </is>
      </c>
      <c r="F1485" s="17" t="n"/>
      <c r="G1485" s="9" t="n">
        <v>558</v>
      </c>
      <c r="H1485" s="9" t="n">
        <v>1725</v>
      </c>
      <c r="I1485" s="9" t="inlineStr">
        <is>
          <t>End-of-Rotation Starter (SP4-5)</t>
        </is>
      </c>
      <c r="J1485" s="17" t="inlineStr">
        <is>
          <t>Opening Day</t>
        </is>
      </c>
      <c r="K1485" s="11">
        <f>IFERROR(INDEX(Roles!$B$17:$B$20,MATCH(J1485,Roles!$A$17:$A$20,0)),1)</f>
        <v/>
      </c>
      <c r="L1485" s="18" t="n">
        <v>1</v>
      </c>
      <c r="M1485" s="18" t="n"/>
      <c r="N1485" s="18" t="n"/>
      <c r="O1485" s="18" t="n"/>
      <c r="P1485" s="18" t="n"/>
      <c r="Q1485" s="18" t="n"/>
      <c r="R1485" s="18" t="n"/>
      <c r="S1485" s="18" t="n"/>
      <c r="T1485" s="18" t="n"/>
      <c r="U1485" s="18" t="n"/>
      <c r="V1485" s="18" t="n"/>
      <c r="W1485" s="18" t="n"/>
      <c r="X1485" s="18" t="n"/>
      <c r="Y1485" s="13">
        <f>SUMPRODUCT(M1485:X1485,$M$2:$X$2)*$K1485*$L1485</f>
        <v/>
      </c>
      <c r="Z1485" s="14">
        <f>SUM(M1485:X1485)</f>
        <v/>
      </c>
      <c r="AA1485" s="13">
        <f>SUMPRODUCT(M1485:X1485,$M$3:$X$3)*$K1485*$L1485</f>
        <v/>
      </c>
      <c r="AB1485" s="13">
        <f>SUMPRODUCT(M1485:X1485,$M$4:$X$4)*$K1485*$L1485</f>
        <v/>
      </c>
      <c r="AC1485" s="15">
        <f>SUMPRODUCT(M1485:X1485,$M$5:$X$5)*$K1485*$L1485</f>
        <v/>
      </c>
      <c r="AD1485" s="15">
        <f>SUMPRODUCT(M1485:X1485,$M$6:$X$6)*$K1485*$L1485</f>
        <v/>
      </c>
      <c r="AE1485" s="19" t="n"/>
    </row>
    <row r="1486">
      <c r="A1486" s="9" t="n">
        <v>622608</v>
      </c>
      <c r="B1486" s="9" t="inlineStr">
        <is>
          <t>Antonio Senzatela</t>
        </is>
      </c>
      <c r="C1486" s="9" t="inlineStr">
        <is>
          <t>MIL</t>
        </is>
      </c>
      <c r="D1486" s="9" t="n">
        <v>32</v>
      </c>
      <c r="E1486" s="17" t="inlineStr">
        <is>
          <t>R</t>
        </is>
      </c>
      <c r="F1486" s="17" t="n"/>
      <c r="G1486" s="9" t="n">
        <v>296</v>
      </c>
      <c r="H1486" s="9" t="n">
        <v>1411</v>
      </c>
      <c r="I1486" s="9" t="inlineStr">
        <is>
          <t>Bullpen Depth Arm</t>
        </is>
      </c>
      <c r="J1486" s="17" t="inlineStr">
        <is>
          <t>Opening Day</t>
        </is>
      </c>
      <c r="K1486" s="11">
        <f>IFERROR(INDEX(Roles!$B$17:$B$20,MATCH(J1486,Roles!$A$17:$A$20,0)),1)</f>
        <v/>
      </c>
      <c r="L1486" s="18" t="n">
        <v>1</v>
      </c>
      <c r="M1486" s="18" t="n"/>
      <c r="N1486" s="18" t="n"/>
      <c r="O1486" s="18" t="n"/>
      <c r="P1486" s="18" t="n"/>
      <c r="Q1486" s="18" t="n"/>
      <c r="R1486" s="18" t="n"/>
      <c r="S1486" s="18" t="n"/>
      <c r="T1486" s="18" t="n"/>
      <c r="U1486" s="18" t="n"/>
      <c r="V1486" s="18" t="n"/>
      <c r="W1486" s="18" t="n"/>
      <c r="X1486" s="18" t="n"/>
      <c r="Y1486" s="13">
        <f>SUMPRODUCT(M1486:X1486,$M$2:$X$2)*$K1486*$L1486</f>
        <v/>
      </c>
      <c r="Z1486" s="14">
        <f>SUM(M1486:X1486)</f>
        <v/>
      </c>
      <c r="AA1486" s="13">
        <f>SUMPRODUCT(M1486:X1486,$M$3:$X$3)*$K1486*$L1486</f>
        <v/>
      </c>
      <c r="AB1486" s="13">
        <f>SUMPRODUCT(M1486:X1486,$M$4:$X$4)*$K1486*$L1486</f>
        <v/>
      </c>
      <c r="AC1486" s="15">
        <f>SUMPRODUCT(M1486:X1486,$M$5:$X$5)*$K1486*$L1486</f>
        <v/>
      </c>
      <c r="AD1486" s="15">
        <f>SUMPRODUCT(M1486:X1486,$M$6:$X$6)*$K1486*$L1486</f>
        <v/>
      </c>
      <c r="AE1486" s="19" t="n"/>
    </row>
    <row r="1487">
      <c r="A1487" s="9" t="n">
        <v>621389</v>
      </c>
      <c r="B1487" s="9" t="inlineStr">
        <is>
          <t>Ty Blach</t>
        </is>
      </c>
      <c r="C1487" s="9" t="inlineStr">
        <is>
          <t>COL</t>
        </is>
      </c>
      <c r="D1487" s="9" t="n">
        <v>36</v>
      </c>
      <c r="E1487" s="17" t="inlineStr">
        <is>
          <t>L</t>
        </is>
      </c>
      <c r="F1487" s="17" t="n"/>
      <c r="G1487" s="9" t="n">
        <v>9</v>
      </c>
      <c r="H1487" s="9" t="n">
        <v>884</v>
      </c>
      <c r="I1487" s="9" t="inlineStr">
        <is>
          <t>Depth (no MLB IP)</t>
        </is>
      </c>
      <c r="J1487" s="17" t="inlineStr">
        <is>
          <t>Opening Day</t>
        </is>
      </c>
      <c r="K1487" s="11">
        <f>IFERROR(INDEX(Roles!$B$17:$B$20,MATCH(J1487,Roles!$A$17:$A$20,0)),1)</f>
        <v/>
      </c>
      <c r="L1487" s="18" t="n">
        <v>1</v>
      </c>
      <c r="M1487" s="18" t="n"/>
      <c r="N1487" s="18" t="n"/>
      <c r="O1487" s="18" t="n"/>
      <c r="P1487" s="18" t="n"/>
      <c r="Q1487" s="18" t="n"/>
      <c r="R1487" s="18" t="n"/>
      <c r="S1487" s="18" t="n"/>
      <c r="T1487" s="18" t="n"/>
      <c r="U1487" s="18" t="n"/>
      <c r="V1487" s="18" t="n"/>
      <c r="W1487" s="18" t="n"/>
      <c r="X1487" s="18" t="n"/>
      <c r="Y1487" s="13">
        <f>SUMPRODUCT(M1487:X1487,$M$2:$X$2)*$K1487*$L1487</f>
        <v/>
      </c>
      <c r="Z1487" s="14">
        <f>SUM(M1487:X1487)</f>
        <v/>
      </c>
      <c r="AA1487" s="13">
        <f>SUMPRODUCT(M1487:X1487,$M$3:$X$3)*$K1487*$L1487</f>
        <v/>
      </c>
      <c r="AB1487" s="13">
        <f>SUMPRODUCT(M1487:X1487,$M$4:$X$4)*$K1487*$L1487</f>
        <v/>
      </c>
      <c r="AC1487" s="15">
        <f>SUMPRODUCT(M1487:X1487,$M$5:$X$5)*$K1487*$L1487</f>
        <v/>
      </c>
      <c r="AD1487" s="15">
        <f>SUMPRODUCT(M1487:X1487,$M$6:$X$6)*$K1487*$L1487</f>
        <v/>
      </c>
      <c r="AE1487" s="19" t="n"/>
    </row>
    <row r="1488">
      <c r="A1488" s="9" t="n">
        <v>687134</v>
      </c>
      <c r="B1488" s="9" t="inlineStr">
        <is>
          <t>Bradley Blalock</t>
        </is>
      </c>
      <c r="C1488" s="9" t="inlineStr">
        <is>
          <t>MIA</t>
        </is>
      </c>
      <c r="D1488" s="9" t="n">
        <v>26</v>
      </c>
      <c r="E1488" s="17" t="inlineStr">
        <is>
          <t>R</t>
        </is>
      </c>
      <c r="F1488" s="17" t="n"/>
      <c r="G1488" s="9" t="n">
        <v>26</v>
      </c>
      <c r="H1488" s="9" t="n">
        <v>448</v>
      </c>
      <c r="I1488" s="9" t="inlineStr">
        <is>
          <t>End-of-Rotation Starter (SP4-5)</t>
        </is>
      </c>
      <c r="J1488" s="17" t="inlineStr">
        <is>
          <t>Opening Day</t>
        </is>
      </c>
      <c r="K1488" s="11">
        <f>IFERROR(INDEX(Roles!$B$17:$B$20,MATCH(J1488,Roles!$A$17:$A$20,0)),1)</f>
        <v/>
      </c>
      <c r="L1488" s="18" t="n">
        <v>1</v>
      </c>
      <c r="M1488" s="18" t="n"/>
      <c r="N1488" s="18" t="n"/>
      <c r="O1488" s="18" t="n"/>
      <c r="P1488" s="18" t="n"/>
      <c r="Q1488" s="18" t="n"/>
      <c r="R1488" s="18" t="n"/>
      <c r="S1488" s="18" t="n"/>
      <c r="T1488" s="18" t="n"/>
      <c r="U1488" s="18" t="n"/>
      <c r="V1488" s="18" t="n"/>
      <c r="W1488" s="18" t="n"/>
      <c r="X1488" s="18" t="n"/>
      <c r="Y1488" s="13">
        <f>SUMPRODUCT(M1488:X1488,$M$2:$X$2)*$K1488*$L1488</f>
        <v/>
      </c>
      <c r="Z1488" s="14">
        <f>SUM(M1488:X1488)</f>
        <v/>
      </c>
      <c r="AA1488" s="13">
        <f>SUMPRODUCT(M1488:X1488,$M$3:$X$3)*$K1488*$L1488</f>
        <v/>
      </c>
      <c r="AB1488" s="13">
        <f>SUMPRODUCT(M1488:X1488,$M$4:$X$4)*$K1488*$L1488</f>
        <v/>
      </c>
      <c r="AC1488" s="15">
        <f>SUMPRODUCT(M1488:X1488,$M$5:$X$5)*$K1488*$L1488</f>
        <v/>
      </c>
      <c r="AD1488" s="15">
        <f>SUMPRODUCT(M1488:X1488,$M$6:$X$6)*$K1488*$L1488</f>
        <v/>
      </c>
      <c r="AE1488" s="19" t="n"/>
    </row>
    <row r="1489">
      <c r="A1489" s="9" t="n">
        <v>686799</v>
      </c>
      <c r="B1489" s="9" t="inlineStr">
        <is>
          <t>Jack Kochanowicz</t>
        </is>
      </c>
      <c r="C1489" s="9" t="inlineStr">
        <is>
          <t>LAA</t>
        </is>
      </c>
      <c r="D1489" s="9" t="n">
        <v>26</v>
      </c>
      <c r="E1489" s="17" t="inlineStr">
        <is>
          <t>R</t>
        </is>
      </c>
      <c r="F1489" s="17" t="n"/>
      <c r="G1489" s="9" t="n">
        <v>296</v>
      </c>
      <c r="H1489" s="9" t="n">
        <v>1074</v>
      </c>
      <c r="I1489" s="9" t="inlineStr">
        <is>
          <t>Mid-Rotation Starter (SP2-3)</t>
        </is>
      </c>
      <c r="J1489" s="17" t="inlineStr">
        <is>
          <t>Opening Day</t>
        </is>
      </c>
      <c r="K1489" s="11">
        <f>IFERROR(INDEX(Roles!$B$17:$B$20,MATCH(J1489,Roles!$A$17:$A$20,0)),1)</f>
        <v/>
      </c>
      <c r="L1489" s="18" t="n">
        <v>1</v>
      </c>
      <c r="M1489" s="18" t="n"/>
      <c r="N1489" s="18" t="n"/>
      <c r="O1489" s="18" t="n"/>
      <c r="P1489" s="18" t="n"/>
      <c r="Q1489" s="18" t="n"/>
      <c r="R1489" s="18" t="n"/>
      <c r="S1489" s="18" t="n"/>
      <c r="T1489" s="18" t="n"/>
      <c r="U1489" s="18" t="n"/>
      <c r="V1489" s="18" t="n"/>
      <c r="W1489" s="18" t="n"/>
      <c r="X1489" s="18" t="n"/>
      <c r="Y1489" s="13">
        <f>SUMPRODUCT(M1489:X1489,$M$2:$X$2)*$K1489*$L1489</f>
        <v/>
      </c>
      <c r="Z1489" s="14">
        <f>SUM(M1489:X1489)</f>
        <v/>
      </c>
      <c r="AA1489" s="13">
        <f>SUMPRODUCT(M1489:X1489,$M$3:$X$3)*$K1489*$L1489</f>
        <v/>
      </c>
      <c r="AB1489" s="13">
        <f>SUMPRODUCT(M1489:X1489,$M$4:$X$4)*$K1489*$L1489</f>
        <v/>
      </c>
      <c r="AC1489" s="15">
        <f>SUMPRODUCT(M1489:X1489,$M$5:$X$5)*$K1489*$L1489</f>
        <v/>
      </c>
      <c r="AD1489" s="15">
        <f>SUMPRODUCT(M1489:X1489,$M$6:$X$6)*$K1489*$L1489</f>
        <v/>
      </c>
      <c r="AE1489" s="19" t="n"/>
    </row>
    <row r="1490">
      <c r="A1490" s="9" t="n">
        <v>641712</v>
      </c>
      <c r="B1490" s="9" t="inlineStr">
        <is>
          <t>Dakota Hudson</t>
        </is>
      </c>
      <c r="C1490" s="9" t="inlineStr">
        <is>
          <t>COL</t>
        </is>
      </c>
      <c r="D1490" s="9" t="n">
        <v>32</v>
      </c>
      <c r="E1490" s="17" t="inlineStr">
        <is>
          <t>R</t>
        </is>
      </c>
      <c r="F1490" s="17" t="n"/>
      <c r="G1490" s="9" t="n">
        <v>404</v>
      </c>
      <c r="H1490" s="9" t="n">
        <v>1354</v>
      </c>
      <c r="I1490" s="9" t="inlineStr">
        <is>
          <t>Depth (no MLB IP)</t>
        </is>
      </c>
      <c r="J1490" s="17" t="inlineStr">
        <is>
          <t>Opening Day</t>
        </is>
      </c>
      <c r="K1490" s="11">
        <f>IFERROR(INDEX(Roles!$B$17:$B$20,MATCH(J1490,Roles!$A$17:$A$20,0)),1)</f>
        <v/>
      </c>
      <c r="L1490" s="18" t="n">
        <v>1</v>
      </c>
      <c r="M1490" s="18" t="n"/>
      <c r="N1490" s="18" t="n"/>
      <c r="O1490" s="18" t="n"/>
      <c r="P1490" s="18" t="n"/>
      <c r="Q1490" s="18" t="n"/>
      <c r="R1490" s="18" t="n"/>
      <c r="S1490" s="18" t="n"/>
      <c r="T1490" s="18" t="n"/>
      <c r="U1490" s="18" t="n"/>
      <c r="V1490" s="18" t="n"/>
      <c r="W1490" s="18" t="n"/>
      <c r="X1490" s="18" t="n"/>
      <c r="Y1490" s="13">
        <f>SUMPRODUCT(M1490:X1490,$M$2:$X$2)*$K1490*$L1490</f>
        <v/>
      </c>
      <c r="Z1490" s="14">
        <f>SUM(M1490:X1490)</f>
        <v/>
      </c>
      <c r="AA1490" s="13">
        <f>SUMPRODUCT(M1490:X1490,$M$3:$X$3)*$K1490*$L1490</f>
        <v/>
      </c>
      <c r="AB1490" s="13">
        <f>SUMPRODUCT(M1490:X1490,$M$4:$X$4)*$K1490*$L1490</f>
        <v/>
      </c>
      <c r="AC1490" s="15">
        <f>SUMPRODUCT(M1490:X1490,$M$5:$X$5)*$K1490*$L1490</f>
        <v/>
      </c>
      <c r="AD1490" s="15">
        <f>SUMPRODUCT(M1490:X1490,$M$6:$X$6)*$K1490*$L1490</f>
        <v/>
      </c>
      <c r="AE1490" s="19" t="n"/>
    </row>
    <row r="1491">
      <c r="A1491" s="9" t="n">
        <v>657612</v>
      </c>
      <c r="B1491" s="9" t="inlineStr">
        <is>
          <t>Tim Hill</t>
        </is>
      </c>
      <c r="C1491" s="9" t="inlineStr">
        <is>
          <t>NYY</t>
        </is>
      </c>
      <c r="D1491" s="9" t="n">
        <v>37</v>
      </c>
      <c r="E1491" s="17" t="inlineStr">
        <is>
          <t>L</t>
        </is>
      </c>
      <c r="F1491" s="17" t="n"/>
      <c r="G1491" s="9" t="n">
        <v>232</v>
      </c>
      <c r="H1491" s="9" t="n">
        <v>1193</v>
      </c>
      <c r="I1491" s="9" t="inlineStr">
        <is>
          <t>Bullpen Depth Arm</t>
        </is>
      </c>
      <c r="J1491" s="17" t="inlineStr">
        <is>
          <t>Opening Day</t>
        </is>
      </c>
      <c r="K1491" s="11">
        <f>IFERROR(INDEX(Roles!$B$17:$B$20,MATCH(J1491,Roles!$A$17:$A$20,0)),1)</f>
        <v/>
      </c>
      <c r="L1491" s="18" t="n">
        <v>1</v>
      </c>
      <c r="M1491" s="18" t="n"/>
      <c r="N1491" s="18" t="n"/>
      <c r="O1491" s="18" t="n"/>
      <c r="P1491" s="18" t="n"/>
      <c r="Q1491" s="18" t="n"/>
      <c r="R1491" s="18" t="n"/>
      <c r="S1491" s="18" t="n"/>
      <c r="T1491" s="18" t="n"/>
      <c r="U1491" s="18" t="n"/>
      <c r="V1491" s="18" t="n"/>
      <c r="W1491" s="18" t="n"/>
      <c r="X1491" s="18" t="n"/>
      <c r="Y1491" s="13">
        <f>SUMPRODUCT(M1491:X1491,$M$2:$X$2)*$K1491*$L1491</f>
        <v/>
      </c>
      <c r="Z1491" s="14">
        <f>SUM(M1491:X1491)</f>
        <v/>
      </c>
      <c r="AA1491" s="13">
        <f>SUMPRODUCT(M1491:X1491,$M$3:$X$3)*$K1491*$L1491</f>
        <v/>
      </c>
      <c r="AB1491" s="13">
        <f>SUMPRODUCT(M1491:X1491,$M$4:$X$4)*$K1491*$L1491</f>
        <v/>
      </c>
      <c r="AC1491" s="15">
        <f>SUMPRODUCT(M1491:X1491,$M$5:$X$5)*$K1491*$L1491</f>
        <v/>
      </c>
      <c r="AD1491" s="15">
        <f>SUMPRODUCT(M1491:X1491,$M$6:$X$6)*$K1491*$L1491</f>
        <v/>
      </c>
      <c r="AE1491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0" t="n">
        <v>195</v>
      </c>
      <c r="C2" s="20" t="n">
        <v>32</v>
      </c>
      <c r="D2" s="20" t="n">
        <v>32</v>
      </c>
      <c r="E2" s="21" t="n">
        <v>0</v>
      </c>
      <c r="F2" s="21" t="n">
        <v>0</v>
      </c>
      <c r="G2" s="22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0" t="n">
        <v>170</v>
      </c>
      <c r="C3" s="20" t="n">
        <v>30</v>
      </c>
      <c r="D3" s="20" t="n">
        <v>30</v>
      </c>
      <c r="E3" s="21" t="n">
        <v>0</v>
      </c>
      <c r="F3" s="21" t="n">
        <v>0</v>
      </c>
      <c r="G3" s="22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0" t="n">
        <v>130</v>
      </c>
      <c r="C4" s="20" t="n">
        <v>25</v>
      </c>
      <c r="D4" s="20" t="n">
        <v>26</v>
      </c>
      <c r="E4" s="21" t="n">
        <v>0</v>
      </c>
      <c r="F4" s="21" t="n">
        <v>0.01</v>
      </c>
      <c r="G4" s="22" t="inlineStr">
        <is>
          <t>Shorter leash; occasional bullpen appearance.</t>
        </is>
      </c>
    </row>
    <row r="5" ht="30" customHeight="1">
      <c r="A5" s="9" t="inlineStr">
        <is>
          <t>Innings-Limited Starter</t>
        </is>
      </c>
      <c r="B5" s="20" t="n">
        <v>110</v>
      </c>
      <c r="C5" s="20" t="n">
        <v>22</v>
      </c>
      <c r="D5" s="20" t="n">
        <v>22</v>
      </c>
      <c r="E5" s="21" t="n">
        <v>0</v>
      </c>
      <c r="F5" s="21" t="n">
        <v>0</v>
      </c>
      <c r="G5" s="22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0" t="n">
        <v>95</v>
      </c>
      <c r="C6" s="20" t="n">
        <v>8</v>
      </c>
      <c r="D6" s="20" t="n">
        <v>30</v>
      </c>
      <c r="E6" s="21" t="n">
        <v>0.01</v>
      </c>
      <c r="F6" s="21" t="n">
        <v>0.04</v>
      </c>
      <c r="G6" s="22" t="inlineStr">
        <is>
          <t>Moves between rotation and bullpen.</t>
        </is>
      </c>
    </row>
    <row r="7" ht="30" customHeight="1">
      <c r="A7" s="9" t="inlineStr">
        <is>
          <t>Opener</t>
        </is>
      </c>
      <c r="B7" s="20" t="n">
        <v>55</v>
      </c>
      <c r="C7" s="20" t="n">
        <v>18</v>
      </c>
      <c r="D7" s="20" t="n">
        <v>45</v>
      </c>
      <c r="E7" s="21" t="n">
        <v>0</v>
      </c>
      <c r="F7" s="21" t="n">
        <v>0.03</v>
      </c>
      <c r="G7" s="22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0" t="n">
        <v>62</v>
      </c>
      <c r="C8" s="20" t="n">
        <v>0</v>
      </c>
      <c r="D8" s="20" t="n">
        <v>60</v>
      </c>
      <c r="E8" s="21" t="n">
        <v>0.65</v>
      </c>
      <c r="F8" s="21" t="n">
        <v>0.05</v>
      </c>
      <c r="G8" s="22" t="inlineStr">
        <is>
          <t>Takes the large majority of the team's save pool. Note IP is NEARLY FLAT across bullpen roles — what differs is save and hold context, which is why these roles are worth separating.</t>
        </is>
      </c>
    </row>
    <row r="9" ht="30" customHeight="1">
      <c r="A9" s="9" t="inlineStr">
        <is>
          <t>Late Inning RP (Setup)</t>
        </is>
      </c>
      <c r="B9" s="20" t="n">
        <v>65</v>
      </c>
      <c r="C9" s="20" t="n">
        <v>0</v>
      </c>
      <c r="D9" s="20" t="n">
        <v>65</v>
      </c>
      <c r="E9" s="21" t="n">
        <v>0.12</v>
      </c>
      <c r="F9" s="21" t="n">
        <v>0.28</v>
      </c>
      <c r="G9" s="22" t="inlineStr">
        <is>
          <t>Primary hold earner; fills in for the closer.</t>
        </is>
      </c>
    </row>
    <row r="10" ht="30" customHeight="1">
      <c r="A10" s="9" t="inlineStr">
        <is>
          <t>Middle Relief</t>
        </is>
      </c>
      <c r="B10" s="20" t="n">
        <v>60</v>
      </c>
      <c r="C10" s="20" t="n">
        <v>0</v>
      </c>
      <c r="D10" s="20" t="n">
        <v>58</v>
      </c>
      <c r="E10" s="21" t="n">
        <v>0.04</v>
      </c>
      <c r="F10" s="21" t="n">
        <v>0.14</v>
      </c>
      <c r="G10" s="22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0" t="n">
        <v>40</v>
      </c>
      <c r="C11" s="20" t="n">
        <v>0</v>
      </c>
      <c r="D11" s="20" t="n">
        <v>35</v>
      </c>
      <c r="E11" s="21" t="n">
        <v>0.01</v>
      </c>
      <c r="F11" s="21" t="n">
        <v>0.05</v>
      </c>
      <c r="G11" s="22" t="inlineStr">
        <is>
          <t>Up and down from AAA; mop-up and spot duty.</t>
        </is>
      </c>
    </row>
    <row r="12" ht="30" customHeight="1">
      <c r="A12" s="9" t="inlineStr">
        <is>
          <t>Rehab / Injury Return</t>
        </is>
      </c>
      <c r="B12" s="20" t="n">
        <v>60</v>
      </c>
      <c r="C12" s="20" t="n">
        <v>10</v>
      </c>
      <c r="D12" s="20" t="n">
        <v>14</v>
      </c>
      <c r="E12" s="21" t="n">
        <v>0.02</v>
      </c>
      <c r="F12" s="21" t="n">
        <v>0.03</v>
      </c>
      <c r="G12" s="22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0" t="n">
        <v>1</v>
      </c>
      <c r="C13" s="20" t="n">
        <v>0</v>
      </c>
      <c r="D13" s="20" t="n">
        <v>1</v>
      </c>
      <c r="E13" s="21" t="n">
        <v>0</v>
      </c>
      <c r="F13" s="21" t="n">
        <v>0</v>
      </c>
      <c r="G13" s="22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1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1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1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1" t="n">
        <v>0.2</v>
      </c>
      <c r="C20" s="9" t="inlineStr">
        <is>
          <t>September callup / late activation.</t>
        </is>
      </c>
    </row>
    <row r="22">
      <c r="A22" s="23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4" t="n">
        <v>0</v>
      </c>
      <c r="C2" s="25" t="n"/>
    </row>
    <row r="3">
      <c r="A3" s="9" t="inlineStr">
        <is>
          <t>ATL</t>
        </is>
      </c>
      <c r="B3" s="24" t="n">
        <v>0</v>
      </c>
      <c r="C3" s="25" t="n"/>
    </row>
    <row r="4">
      <c r="A4" s="9" t="inlineStr">
        <is>
          <t>BAL</t>
        </is>
      </c>
      <c r="B4" s="24" t="n">
        <v>0</v>
      </c>
      <c r="C4" s="25" t="n"/>
    </row>
    <row r="5">
      <c r="A5" s="9" t="inlineStr">
        <is>
          <t>BOS</t>
        </is>
      </c>
      <c r="B5" s="24" t="n">
        <v>0</v>
      </c>
      <c r="C5" s="25" t="n"/>
    </row>
    <row r="6">
      <c r="A6" s="9" t="inlineStr">
        <is>
          <t>CHC</t>
        </is>
      </c>
      <c r="B6" s="24" t="n">
        <v>0</v>
      </c>
      <c r="C6" s="25" t="n"/>
    </row>
    <row r="7">
      <c r="A7" s="9" t="inlineStr">
        <is>
          <t>CIN</t>
        </is>
      </c>
      <c r="B7" s="24" t="n">
        <v>0</v>
      </c>
      <c r="C7" s="25" t="n"/>
    </row>
    <row r="8">
      <c r="A8" s="9" t="inlineStr">
        <is>
          <t>CLE</t>
        </is>
      </c>
      <c r="B8" s="24" t="n">
        <v>0</v>
      </c>
      <c r="C8" s="25" t="n"/>
    </row>
    <row r="9">
      <c r="A9" s="9" t="inlineStr">
        <is>
          <t>COL</t>
        </is>
      </c>
      <c r="B9" s="24" t="n">
        <v>0</v>
      </c>
      <c r="C9" s="25" t="n"/>
    </row>
    <row r="10">
      <c r="A10" s="9" t="inlineStr">
        <is>
          <t>CWS</t>
        </is>
      </c>
      <c r="B10" s="24" t="n">
        <v>0</v>
      </c>
      <c r="C10" s="25" t="n"/>
    </row>
    <row r="11">
      <c r="A11" s="9" t="inlineStr">
        <is>
          <t>DET</t>
        </is>
      </c>
      <c r="B11" s="24" t="n">
        <v>0</v>
      </c>
      <c r="C11" s="25" t="n"/>
    </row>
    <row r="12">
      <c r="A12" s="9" t="inlineStr">
        <is>
          <t>HOU</t>
        </is>
      </c>
      <c r="B12" s="24" t="n">
        <v>0</v>
      </c>
      <c r="C12" s="25" t="n"/>
    </row>
    <row r="13">
      <c r="A13" s="9" t="inlineStr">
        <is>
          <t>KC</t>
        </is>
      </c>
      <c r="B13" s="24" t="n">
        <v>0</v>
      </c>
      <c r="C13" s="25" t="n"/>
    </row>
    <row r="14">
      <c r="A14" s="9" t="inlineStr">
        <is>
          <t>LAA</t>
        </is>
      </c>
      <c r="B14" s="24" t="n">
        <v>0</v>
      </c>
      <c r="C14" s="25" t="n"/>
    </row>
    <row r="15">
      <c r="A15" s="9" t="inlineStr">
        <is>
          <t>LAD</t>
        </is>
      </c>
      <c r="B15" s="24" t="n">
        <v>0</v>
      </c>
      <c r="C15" s="25" t="n"/>
    </row>
    <row r="16">
      <c r="A16" s="9" t="inlineStr">
        <is>
          <t>MIA</t>
        </is>
      </c>
      <c r="B16" s="24" t="n">
        <v>0</v>
      </c>
      <c r="C16" s="25" t="n"/>
    </row>
    <row r="17">
      <c r="A17" s="9" t="inlineStr">
        <is>
          <t>MIL</t>
        </is>
      </c>
      <c r="B17" s="24" t="n">
        <v>0</v>
      </c>
      <c r="C17" s="25" t="n"/>
    </row>
    <row r="18">
      <c r="A18" s="9" t="inlineStr">
        <is>
          <t>MIN</t>
        </is>
      </c>
      <c r="B18" s="24" t="n">
        <v>0</v>
      </c>
      <c r="C18" s="25" t="n"/>
    </row>
    <row r="19">
      <c r="A19" s="9" t="inlineStr">
        <is>
          <t>NYM</t>
        </is>
      </c>
      <c r="B19" s="24" t="n">
        <v>0</v>
      </c>
      <c r="C19" s="25" t="n"/>
    </row>
    <row r="20">
      <c r="A20" s="9" t="inlineStr">
        <is>
          <t>NYY</t>
        </is>
      </c>
      <c r="B20" s="24" t="n">
        <v>0</v>
      </c>
      <c r="C20" s="25" t="n"/>
    </row>
    <row r="21">
      <c r="A21" s="9" t="inlineStr">
        <is>
          <t>OAK</t>
        </is>
      </c>
      <c r="B21" s="24" t="n">
        <v>0</v>
      </c>
      <c r="C21" s="25" t="n"/>
    </row>
    <row r="22">
      <c r="A22" s="9" t="inlineStr">
        <is>
          <t>PHI</t>
        </is>
      </c>
      <c r="B22" s="24" t="n">
        <v>0</v>
      </c>
      <c r="C22" s="25" t="n"/>
    </row>
    <row r="23">
      <c r="A23" s="9" t="inlineStr">
        <is>
          <t>PIT</t>
        </is>
      </c>
      <c r="B23" s="24" t="n">
        <v>0</v>
      </c>
      <c r="C23" s="25" t="n"/>
    </row>
    <row r="24">
      <c r="A24" s="9" t="inlineStr">
        <is>
          <t>SD</t>
        </is>
      </c>
      <c r="B24" s="24" t="n">
        <v>0</v>
      </c>
      <c r="C24" s="25" t="n"/>
    </row>
    <row r="25">
      <c r="A25" s="9" t="inlineStr">
        <is>
          <t>SEA</t>
        </is>
      </c>
      <c r="B25" s="24" t="n">
        <v>0</v>
      </c>
      <c r="C25" s="25" t="n"/>
    </row>
    <row r="26">
      <c r="A26" s="9" t="inlineStr">
        <is>
          <t>SF</t>
        </is>
      </c>
      <c r="B26" s="24" t="n">
        <v>0</v>
      </c>
      <c r="C26" s="25" t="n"/>
    </row>
    <row r="27">
      <c r="A27" s="9" t="inlineStr">
        <is>
          <t>STL</t>
        </is>
      </c>
      <c r="B27" s="24" t="n">
        <v>0</v>
      </c>
      <c r="C27" s="25" t="n"/>
    </row>
    <row r="28">
      <c r="A28" s="9" t="inlineStr">
        <is>
          <t>TB</t>
        </is>
      </c>
      <c r="B28" s="24" t="n">
        <v>0</v>
      </c>
      <c r="C28" s="25" t="n"/>
    </row>
    <row r="29">
      <c r="A29" s="9" t="inlineStr">
        <is>
          <t>TEX</t>
        </is>
      </c>
      <c r="B29" s="24" t="n">
        <v>0</v>
      </c>
      <c r="C29" s="25" t="n"/>
    </row>
    <row r="30">
      <c r="A30" s="9" t="inlineStr">
        <is>
          <t>TOR</t>
        </is>
      </c>
      <c r="B30" s="24" t="n">
        <v>0</v>
      </c>
      <c r="C30" s="25" t="n"/>
    </row>
    <row r="31">
      <c r="A31" s="9" t="inlineStr">
        <is>
          <t>WSH</t>
        </is>
      </c>
      <c r="B31" s="24" t="n">
        <v>0</v>
      </c>
      <c r="C31" s="25" t="n"/>
    </row>
    <row r="33">
      <c r="A33" s="23" t="inlineStr">
        <is>
          <t>Fraction of each club's IP budget held back for a signing it has not made yet. 0 to 0.5.</t>
        </is>
      </c>
    </row>
    <row r="34">
      <c r="A34" s="23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3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3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2026-09-17T18:35:20Z</dcterms:created>
  <dcterms:modified xmlns:dcterms="http://purl.org/dc/terms/" xmlns:xsi="http://www.w3.org/2001/XMLSchema-instance" xsi:type="dcterms:W3CDTF">2026-09-17T18:35:21Z</dcterms:modified>
</cp:coreProperties>
</file>