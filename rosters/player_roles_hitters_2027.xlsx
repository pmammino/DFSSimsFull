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PA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PA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PA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PA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46" customWidth="1" min="29" max="29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Full Time</t>
        </is>
      </c>
      <c r="O1" s="3" t="inlineStr">
        <is>
          <t>Everyday DH / 1B-DH</t>
        </is>
      </c>
      <c r="P1" s="3" t="inlineStr">
        <is>
          <t>Strong Side Platoon</t>
        </is>
      </c>
      <c r="Q1" s="3" t="inlineStr">
        <is>
          <t>Weak Side Platoon</t>
        </is>
      </c>
      <c r="R1" s="3" t="inlineStr">
        <is>
          <t>Catcher - Primary</t>
        </is>
      </c>
      <c r="S1" s="3" t="inlineStr">
        <is>
          <t>Catcher - Tandem</t>
        </is>
      </c>
      <c r="T1" s="3" t="inlineStr">
        <is>
          <t>Catcher - Backup</t>
        </is>
      </c>
      <c r="U1" s="3" t="inlineStr">
        <is>
          <t>Utility IF</t>
        </is>
      </c>
      <c r="V1" s="3" t="inlineStr">
        <is>
          <t>Utility OF / 4th OF</t>
        </is>
      </c>
      <c r="W1" s="3" t="inlineStr">
        <is>
          <t>Bench Bat</t>
        </is>
      </c>
      <c r="X1" s="3" t="inlineStr">
        <is>
          <t>Injury Replacement / 26th Man</t>
        </is>
      </c>
      <c r="Y1" s="3" t="inlineStr">
        <is>
          <t>Depth (no MLB PA)</t>
        </is>
      </c>
      <c r="Z1" s="3" t="inlineStr">
        <is>
          <t>Proj PA</t>
        </is>
      </c>
      <c r="AA1" s="3" t="inlineStr">
        <is>
          <t>Role Prob Sum</t>
        </is>
      </c>
      <c r="AB1" s="3" t="inlineStr">
        <is>
          <t>Proj vL Share</t>
        </is>
      </c>
      <c r="AC1" s="3" t="inlineStr">
        <is>
          <t>Notes</t>
        </is>
      </c>
    </row>
    <row r="2">
      <c r="A2" s="4" t="inlineStr">
        <is>
          <t>ANCHORS -&gt;</t>
        </is>
      </c>
      <c r="N2" s="5" t="n">
        <v>630</v>
      </c>
      <c r="O2" s="5" t="n">
        <v>600</v>
      </c>
      <c r="P2" s="5" t="n">
        <v>480</v>
      </c>
      <c r="Q2" s="5" t="n">
        <v>230</v>
      </c>
      <c r="R2" s="5" t="n">
        <v>500</v>
      </c>
      <c r="S2" s="5" t="n">
        <v>340</v>
      </c>
      <c r="T2" s="5" t="n">
        <v>180</v>
      </c>
      <c r="U2" s="5" t="n">
        <v>290</v>
      </c>
      <c r="V2" s="5" t="n">
        <v>300</v>
      </c>
      <c r="W2" s="5" t="n">
        <v>150</v>
      </c>
      <c r="X2" s="5" t="n">
        <v>90</v>
      </c>
      <c r="Y2" s="5" t="n">
        <v>1</v>
      </c>
      <c r="Z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N3" s="8" t="n">
        <v>0.26</v>
      </c>
      <c r="O3" s="8" t="n">
        <v>0.26</v>
      </c>
      <c r="P3" s="8" t="n">
        <v>0.12</v>
      </c>
      <c r="Q3" s="8" t="n">
        <v>0.08</v>
      </c>
      <c r="R3" s="8" t="n">
        <v>0.26</v>
      </c>
      <c r="S3" s="8" t="n">
        <v>0.22</v>
      </c>
      <c r="T3" s="8" t="n">
        <v>0.24</v>
      </c>
      <c r="U3" s="8" t="n">
        <v>0.26</v>
      </c>
      <c r="V3" s="8" t="n">
        <v>0.24</v>
      </c>
      <c r="W3" s="8" t="n">
        <v>0.22</v>
      </c>
      <c r="X3" s="8" t="n">
        <v>0.26</v>
      </c>
      <c r="Y3" s="8" t="n">
        <v>0.26</v>
      </c>
    </row>
    <row r="4" hidden="1" outlineLevel="1">
      <c r="A4" s="7" t="inlineStr">
        <is>
          <t>anchor:vl_rhb</t>
        </is>
      </c>
      <c r="N4" s="8" t="n">
        <v>0.29</v>
      </c>
      <c r="O4" s="8" t="n">
        <v>0.29</v>
      </c>
      <c r="P4" s="8" t="n">
        <v>0.45</v>
      </c>
      <c r="Q4" s="8" t="n">
        <v>0.68</v>
      </c>
      <c r="R4" s="8" t="n">
        <v>0.29</v>
      </c>
      <c r="S4" s="8" t="n">
        <v>0.38</v>
      </c>
      <c r="T4" s="8" t="n">
        <v>0.33</v>
      </c>
      <c r="U4" s="8" t="n">
        <v>0.31</v>
      </c>
      <c r="V4" s="8" t="n">
        <v>0.33</v>
      </c>
      <c r="W4" s="8" t="n">
        <v>0.36</v>
      </c>
      <c r="X4" s="8" t="n">
        <v>0.29</v>
      </c>
      <c r="Y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1" t="n">
        <v>0.92</v>
      </c>
      <c r="N5" s="12" t="n">
        <v>0.6</v>
      </c>
      <c r="O5" s="12" t="n"/>
      <c r="P5" s="12" t="n">
        <v>0.3</v>
      </c>
      <c r="Q5" s="12" t="n"/>
      <c r="R5" s="12" t="n"/>
      <c r="S5" s="12" t="n"/>
      <c r="T5" s="12" t="n"/>
      <c r="U5" s="12" t="n">
        <v>0.1</v>
      </c>
      <c r="V5" s="12" t="n"/>
      <c r="W5" s="12" t="n"/>
      <c r="X5" s="12" t="n"/>
      <c r="Y5" s="12" t="n"/>
      <c r="Z5" s="13">
        <f>SUMPRODUCT(N5:Y5,$N$2:$Y$2)*$K5*$L5*$M5</f>
        <v/>
      </c>
      <c r="AA5" s="14">
        <f>SUM(N5:Y5)</f>
        <v/>
      </c>
      <c r="AB5" s="14">
        <f>IFERROR(IF(UPPER($E5)="L",SUMPRODUCT(N5:Y5,$N$3:$Y$3,$N$2:$Y$2),SUMPRODUCT(N5:Y5,$N$4:$Y$4,$N$2:$Y$2))/(Z5/($K5*$L5*$M5)),"")</f>
        <v/>
      </c>
      <c r="AC5" s="15" t="inlineStr">
        <is>
          <t>Unsigned; job battle. 60% full-time / 30% strong-side platoon / 10% utility. Missed April, and his own games-played record runs a little short of his role's.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inlineStr">
        <is>
          <t>RF</t>
        </is>
      </c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1" t="n">
        <v>0.9355525951754416</v>
      </c>
      <c r="N6" s="17" t="n">
        <v>1</v>
      </c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3">
        <f>SUMPRODUCT(N6:Y6,$N$2:$Y$2)*$K6*$L6*$M6</f>
        <v/>
      </c>
      <c r="AA6" s="14">
        <f>SUM(N6:Y6)</f>
        <v/>
      </c>
      <c r="AB6" s="14">
        <f>IFERROR(IF(UPPER($E6)="L",SUMPRODUCT(N6:Y6,$N$3:$Y$3,$N$2:$Y$2),SUMPRODUCT(N6:Y6,$N$4:$Y$4,$N$2:$Y$2))/(Z6/($K6*$L6*$M6)),"")</f>
        <v/>
      </c>
      <c r="AC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inlineStr">
        <is>
          <t>C</t>
        </is>
      </c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1" t="n">
        <v>1</v>
      </c>
      <c r="N7" s="17" t="n"/>
      <c r="O7" s="17" t="n"/>
      <c r="P7" s="17" t="n"/>
      <c r="Q7" s="17" t="n"/>
      <c r="R7" s="17" t="n"/>
      <c r="S7" s="17" t="n"/>
      <c r="T7" s="17" t="n"/>
      <c r="U7" s="17" t="n">
        <v>0.4</v>
      </c>
      <c r="V7" s="17" t="n"/>
      <c r="W7" s="17" t="n">
        <v>0.6</v>
      </c>
      <c r="X7" s="17" t="n"/>
      <c r="Y7" s="17" t="n"/>
      <c r="Z7" s="13">
        <f>SUMPRODUCT(N7:Y7,$N$2:$Y$2)*$K7*$L7*$M7</f>
        <v/>
      </c>
      <c r="AA7" s="14">
        <f>SUM(N7:Y7)</f>
        <v/>
      </c>
      <c r="AB7" s="14">
        <f>IFERROR(IF(UPPER($E7)="L",SUMPRODUCT(N7:Y7,$N$3:$Y$3,$N$2:$Y$2),SUMPRODUCT(N7:Y7,$N$4:$Y$4,$N$2:$Y$2))/(Z7/($K7*$L7*$M7)),"")</f>
        <v/>
      </c>
      <c r="AC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25</v>
      </c>
      <c r="E8" s="16" t="inlineStr">
        <is>
          <t>R</t>
        </is>
      </c>
      <c r="F8" s="16" t="inlineStr">
        <is>
          <t>1B</t>
        </is>
      </c>
      <c r="G8" s="9" t="n">
        <v>47</v>
      </c>
      <c r="H8" s="9" t="n">
        <v>47</v>
      </c>
      <c r="I8" s="9" t="inlineStr">
        <is>
          <t>Weak Side Platoon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1" t="n">
        <v>1</v>
      </c>
      <c r="N8" s="17" t="n"/>
      <c r="O8" s="17" t="n"/>
      <c r="P8" s="17" t="n"/>
      <c r="Q8" s="17" t="n">
        <v>0.6</v>
      </c>
      <c r="R8" s="17" t="n"/>
      <c r="S8" s="17" t="n"/>
      <c r="T8" s="17" t="n"/>
      <c r="U8" s="17" t="n">
        <v>0.4</v>
      </c>
      <c r="V8" s="17" t="n"/>
      <c r="W8" s="17" t="n"/>
      <c r="X8" s="17" t="n"/>
      <c r="Y8" s="17" t="n"/>
      <c r="Z8" s="13">
        <f>SUMPRODUCT(N8:Y8,$N$2:$Y$2)*$K8*$L8*$M8</f>
        <v/>
      </c>
      <c r="AA8" s="14">
        <f>SUM(N8:Y8)</f>
        <v/>
      </c>
      <c r="AB8" s="14">
        <f>IFERROR(IF(UPPER($E8)="L",SUMPRODUCT(N8:Y8,$N$3:$Y$3,$N$2:$Y$2),SUMPRODUCT(N8:Y8,$N$4:$Y$4,$N$2:$Y$2))/(Z8/($K8*$L8*$M8)),"")</f>
        <v/>
      </c>
      <c r="AC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inlineStr">
        <is>
          <t>C</t>
        </is>
      </c>
      <c r="G9" s="9" t="n">
        <v>163</v>
      </c>
      <c r="H9" s="9" t="n">
        <v>180</v>
      </c>
      <c r="I9" s="9" t="inlineStr">
        <is>
          <t>Catcher - Primary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1" t="n">
        <v>1</v>
      </c>
      <c r="N9" s="17" t="n"/>
      <c r="O9" s="17" t="n"/>
      <c r="P9" s="17" t="n"/>
      <c r="Q9" s="17" t="n"/>
      <c r="R9" s="17" t="n">
        <v>0.75</v>
      </c>
      <c r="S9" s="17" t="n">
        <v>0.25</v>
      </c>
      <c r="T9" s="17" t="n"/>
      <c r="U9" s="17" t="n"/>
      <c r="V9" s="17" t="n"/>
      <c r="W9" s="17" t="n"/>
      <c r="X9" s="17" t="n"/>
      <c r="Y9" s="17" t="n"/>
      <c r="Z9" s="13">
        <f>SUMPRODUCT(N9:Y9,$N$2:$Y$2)*$K9*$L9*$M9</f>
        <v/>
      </c>
      <c r="AA9" s="14">
        <f>SUM(N9:Y9)</f>
        <v/>
      </c>
      <c r="AB9" s="14">
        <f>IFERROR(IF(UPPER($E9)="L",SUMPRODUCT(N9:Y9,$N$3:$Y$3,$N$2:$Y$2),SUMPRODUCT(N9:Y9,$N$4:$Y$4,$N$2:$Y$2))/(Z9/($K9*$L9*$M9)),"")</f>
        <v/>
      </c>
      <c r="AC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inlineStr">
        <is>
          <t>P</t>
        </is>
      </c>
      <c r="G10" s="9" t="n">
        <v>618</v>
      </c>
      <c r="H10" s="9" t="n">
        <v>3341</v>
      </c>
      <c r="I10" s="9" t="inlineStr">
        <is>
          <t>Everyday DH / 1B-DH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1" t="n">
        <v>1.115087234671716</v>
      </c>
      <c r="N10" s="17" t="n"/>
      <c r="O10" s="17" t="n">
        <v>1</v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3">
        <f>SUMPRODUCT(N10:Y10,$N$2:$Y$2)*$K10*$L10*$M10</f>
        <v/>
      </c>
      <c r="AA10" s="14">
        <f>SUM(N10:Y10)</f>
        <v/>
      </c>
      <c r="AB10" s="14">
        <f>IFERROR(IF(UPPER($E10)="L",SUMPRODUCT(N10:Y10,$N$3:$Y$3,$N$2:$Y$2),SUMPRODUCT(N10:Y10,$N$4:$Y$4,$N$2:$Y$2))/(Z10/($K10*$L10*$M10)),"")</f>
        <v/>
      </c>
      <c r="AC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inlineStr">
        <is>
          <t>C</t>
        </is>
      </c>
      <c r="G11" s="9" t="n">
        <v>530</v>
      </c>
      <c r="H11" s="9" t="n">
        <v>2847</v>
      </c>
      <c r="I11" s="9" t="inlineStr">
        <is>
          <t>Catcher - Primary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1" t="n">
        <v>1.15</v>
      </c>
      <c r="N11" s="17" t="n"/>
      <c r="O11" s="17" t="n"/>
      <c r="P11" s="17" t="n"/>
      <c r="Q11" s="17" t="n"/>
      <c r="R11" s="17" t="n">
        <v>1</v>
      </c>
      <c r="S11" s="17" t="n"/>
      <c r="T11" s="17" t="n"/>
      <c r="U11" s="17" t="n"/>
      <c r="V11" s="17" t="n"/>
      <c r="W11" s="17" t="n"/>
      <c r="X11" s="17" t="n"/>
      <c r="Y11" s="17" t="n"/>
      <c r="Z11" s="13">
        <f>SUMPRODUCT(N11:Y11,$N$2:$Y$2)*$K11*$L11*$M11</f>
        <v/>
      </c>
      <c r="AA11" s="14">
        <f>SUM(N11:Y11)</f>
        <v/>
      </c>
      <c r="AB11" s="14">
        <f>IFERROR(IF(UPPER($E11)="L",SUMPRODUCT(N11:Y11,$N$3:$Y$3,$N$2:$Y$2),SUMPRODUCT(N11:Y11,$N$4:$Y$4,$N$2:$Y$2))/(Z11/($K11*$L11*$M11)),"")</f>
        <v/>
      </c>
      <c r="AC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inlineStr">
        <is>
          <t>RF</t>
        </is>
      </c>
      <c r="G12" s="9" t="n">
        <v>96</v>
      </c>
      <c r="H12" s="9" t="n">
        <v>1703</v>
      </c>
      <c r="I12" s="9" t="inlineStr">
        <is>
          <t>Full Time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1" t="n">
        <v>0.6406184713826646</v>
      </c>
      <c r="N12" s="17" t="n">
        <v>1</v>
      </c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3">
        <f>SUMPRODUCT(N12:Y12,$N$2:$Y$2)*$K12*$L12*$M12</f>
        <v/>
      </c>
      <c r="AA12" s="14">
        <f>SUM(N12:Y12)</f>
        <v/>
      </c>
      <c r="AB12" s="14">
        <f>IFERROR(IF(UPPER($E12)="L",SUMPRODUCT(N12:Y12,$N$3:$Y$3,$N$2:$Y$2),SUMPRODUCT(N12:Y12,$N$4:$Y$4,$N$2:$Y$2))/(Z12/($K12*$L12*$M12)),"")</f>
        <v/>
      </c>
      <c r="AC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inlineStr">
        <is>
          <t>1B</t>
        </is>
      </c>
      <c r="G13" s="9" t="n">
        <v>701</v>
      </c>
      <c r="H13" s="9" t="n">
        <v>3506</v>
      </c>
      <c r="I13" s="9" t="inlineStr">
        <is>
          <t>Everyday DH / 1B-DH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1" t="n">
        <v>1.15</v>
      </c>
      <c r="N13" s="17" t="n"/>
      <c r="O13" s="17" t="n">
        <v>1</v>
      </c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3">
        <f>SUMPRODUCT(N13:Y13,$N$2:$Y$2)*$K13*$L13*$M13</f>
        <v/>
      </c>
      <c r="AA13" s="14">
        <f>SUM(N13:Y13)</f>
        <v/>
      </c>
      <c r="AB13" s="14">
        <f>IFERROR(IF(UPPER($E13)="L",SUMPRODUCT(N13:Y13,$N$3:$Y$3,$N$2:$Y$2),SUMPRODUCT(N13:Y13,$N$4:$Y$4,$N$2:$Y$2))/(Z13/($K13*$L13*$M13)),"")</f>
        <v/>
      </c>
      <c r="AC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inlineStr">
        <is>
          <t>C</t>
        </is>
      </c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1" t="n">
        <v>1</v>
      </c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>
        <v>1</v>
      </c>
      <c r="Z14" s="13">
        <f>SUMPRODUCT(N14:Y14,$N$2:$Y$2)*$K14*$L14*$M14</f>
        <v/>
      </c>
      <c r="AA14" s="14">
        <f>SUM(N14:Y14)</f>
        <v/>
      </c>
      <c r="AB14" s="14">
        <f>IFERROR(IF(UPPER($E14)="L",SUMPRODUCT(N14:Y14,$N$3:$Y$3,$N$2:$Y$2),SUMPRODUCT(N14:Y14,$N$4:$Y$4,$N$2:$Y$2))/(Z14/($K14*$L14*$M14)),"")</f>
        <v/>
      </c>
      <c r="AC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inlineStr">
        <is>
          <t>SS</t>
        </is>
      </c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1" t="n">
        <v>1</v>
      </c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>
        <v>1</v>
      </c>
      <c r="X15" s="17" t="n"/>
      <c r="Y15" s="17" t="n"/>
      <c r="Z15" s="13">
        <f>SUMPRODUCT(N15:Y15,$N$2:$Y$2)*$K15*$L15*$M15</f>
        <v/>
      </c>
      <c r="AA15" s="14">
        <f>SUM(N15:Y15)</f>
        <v/>
      </c>
      <c r="AB15" s="14">
        <f>IFERROR(IF(UPPER($E15)="L",SUMPRODUCT(N15:Y15,$N$3:$Y$3,$N$2:$Y$2),SUMPRODUCT(N15:Y15,$N$4:$Y$4,$N$2:$Y$2))/(Z15/($K15*$L15*$M15)),"")</f>
        <v/>
      </c>
      <c r="AC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inlineStr">
        <is>
          <t>LF</t>
        </is>
      </c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1" t="n">
        <v>1.057946006778208</v>
      </c>
      <c r="N16" s="17" t="n">
        <v>1</v>
      </c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3">
        <f>SUMPRODUCT(N16:Y16,$N$2:$Y$2)*$K16*$L16*$M16</f>
        <v/>
      </c>
      <c r="AA16" s="14">
        <f>SUM(N16:Y16)</f>
        <v/>
      </c>
      <c r="AB16" s="14">
        <f>IFERROR(IF(UPPER($E16)="L",SUMPRODUCT(N16:Y16,$N$3:$Y$3,$N$2:$Y$2),SUMPRODUCT(N16:Y16,$N$4:$Y$4,$N$2:$Y$2))/(Z16/($K16*$L16*$M16)),"")</f>
        <v/>
      </c>
      <c r="AC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inlineStr">
        <is>
          <t>CF</t>
        </is>
      </c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1" t="n">
        <v>0.9083540592637156</v>
      </c>
      <c r="N17" s="17" t="n">
        <v>1</v>
      </c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3">
        <f>SUMPRODUCT(N17:Y17,$N$2:$Y$2)*$K17*$L17*$M17</f>
        <v/>
      </c>
      <c r="AA17" s="14">
        <f>SUM(N17:Y17)</f>
        <v/>
      </c>
      <c r="AB17" s="14">
        <f>IFERROR(IF(UPPER($E17)="L",SUMPRODUCT(N17:Y17,$N$3:$Y$3,$N$2:$Y$2),SUMPRODUCT(N17:Y17,$N$4:$Y$4,$N$2:$Y$2))/(Z17/($K17*$L17*$M17)),"")</f>
        <v/>
      </c>
      <c r="AC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inlineStr">
        <is>
          <t>1B</t>
        </is>
      </c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1" t="n">
        <v>0.9798688467561596</v>
      </c>
      <c r="N18" s="17" t="n">
        <v>1</v>
      </c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3">
        <f>SUMPRODUCT(N18:Y18,$N$2:$Y$2)*$K18*$L18*$M18</f>
        <v/>
      </c>
      <c r="AA18" s="14">
        <f>SUM(N18:Y18)</f>
        <v/>
      </c>
      <c r="AB18" s="14">
        <f>IFERROR(IF(UPPER($E18)="L",SUMPRODUCT(N18:Y18,$N$3:$Y$3,$N$2:$Y$2),SUMPRODUCT(N18:Y18,$N$4:$Y$4,$N$2:$Y$2))/(Z18/($K18*$L18*$M18)),"")</f>
        <v/>
      </c>
      <c r="AC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inlineStr">
        <is>
          <t>LF</t>
        </is>
      </c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1" t="n">
        <v>1</v>
      </c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>
        <v>0.85</v>
      </c>
      <c r="X19" s="17" t="n">
        <v>0.15</v>
      </c>
      <c r="Y19" s="17" t="n"/>
      <c r="Z19" s="13">
        <f>SUMPRODUCT(N19:Y19,$N$2:$Y$2)*$K19*$L19*$M19</f>
        <v/>
      </c>
      <c r="AA19" s="14">
        <f>SUM(N19:Y19)</f>
        <v/>
      </c>
      <c r="AB19" s="14">
        <f>IFERROR(IF(UPPER($E19)="L",SUMPRODUCT(N19:Y19,$N$3:$Y$3,$N$2:$Y$2),SUMPRODUCT(N19:Y19,$N$4:$Y$4,$N$2:$Y$2))/(Z19/($K19*$L19*$M19)),"")</f>
        <v/>
      </c>
      <c r="AC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inlineStr">
        <is>
          <t>1B</t>
        </is>
      </c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1" t="n">
        <v>1.15</v>
      </c>
      <c r="N20" s="17" t="n">
        <v>1</v>
      </c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3">
        <f>SUMPRODUCT(N20:Y20,$N$2:$Y$2)*$K20*$L20*$M20</f>
        <v/>
      </c>
      <c r="AA20" s="14">
        <f>SUM(N20:Y20)</f>
        <v/>
      </c>
      <c r="AB20" s="14">
        <f>IFERROR(IF(UPPER($E20)="L",SUMPRODUCT(N20:Y20,$N$3:$Y$3,$N$2:$Y$2),SUMPRODUCT(N20:Y20,$N$4:$Y$4,$N$2:$Y$2))/(Z20/($K20*$L20*$M20)),"")</f>
        <v/>
      </c>
      <c r="AC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inlineStr">
        <is>
          <t>RF</t>
        </is>
      </c>
      <c r="G21" s="9" t="n">
        <v>287</v>
      </c>
      <c r="H21" s="9" t="n">
        <v>287</v>
      </c>
      <c r="I21" s="9" t="inlineStr">
        <is>
          <t>Bench Bat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1" t="n">
        <v>1</v>
      </c>
      <c r="N21" s="17" t="n">
        <v>0.4</v>
      </c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>
        <v>0.6</v>
      </c>
      <c r="X21" s="17" t="n"/>
      <c r="Y21" s="17" t="n"/>
      <c r="Z21" s="13">
        <f>SUMPRODUCT(N21:Y21,$N$2:$Y$2)*$K21*$L21*$M21</f>
        <v/>
      </c>
      <c r="AA21" s="14">
        <f>SUM(N21:Y21)</f>
        <v/>
      </c>
      <c r="AB21" s="14">
        <f>IFERROR(IF(UPPER($E21)="L",SUMPRODUCT(N21:Y21,$N$3:$Y$3,$N$2:$Y$2),SUMPRODUCT(N21:Y21,$N$4:$Y$4,$N$2:$Y$2))/(Z21/($K21*$L21*$M21)),"")</f>
        <v/>
      </c>
      <c r="AC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inlineStr">
        <is>
          <t>3B</t>
        </is>
      </c>
      <c r="G22" s="9" t="n">
        <v>50</v>
      </c>
      <c r="H22" s="9" t="n">
        <v>1060</v>
      </c>
      <c r="I22" s="9" t="inlineStr">
        <is>
          <t>Weak Side Platoon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1" t="n">
        <v>1</v>
      </c>
      <c r="N22" s="17" t="n"/>
      <c r="O22" s="17" t="n"/>
      <c r="P22" s="17" t="n"/>
      <c r="Q22" s="17" t="n">
        <v>1</v>
      </c>
      <c r="R22" s="17" t="n"/>
      <c r="S22" s="17" t="n"/>
      <c r="T22" s="17" t="n"/>
      <c r="U22" s="17" t="n"/>
      <c r="V22" s="17" t="n"/>
      <c r="W22" s="17" t="n"/>
      <c r="X22" s="17" t="n"/>
      <c r="Y22" s="17" t="n"/>
      <c r="Z22" s="13">
        <f>SUMPRODUCT(N22:Y22,$N$2:$Y$2)*$K22*$L22*$M22</f>
        <v/>
      </c>
      <c r="AA22" s="14">
        <f>SUM(N22:Y22)</f>
        <v/>
      </c>
      <c r="AB22" s="14">
        <f>IFERROR(IF(UPPER($E22)="L",SUMPRODUCT(N22:Y22,$N$3:$Y$3,$N$2:$Y$2),SUMPRODUCT(N22:Y22,$N$4:$Y$4,$N$2:$Y$2))/(Z22/($K22*$L22*$M22)),"")</f>
        <v/>
      </c>
      <c r="AC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inlineStr">
        <is>
          <t>3B</t>
        </is>
      </c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1" t="n">
        <v>1</v>
      </c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>
        <v>1</v>
      </c>
      <c r="Z23" s="13">
        <f>SUMPRODUCT(N23:Y23,$N$2:$Y$2)*$K23*$L23*$M23</f>
        <v/>
      </c>
      <c r="AA23" s="14">
        <f>SUM(N23:Y23)</f>
        <v/>
      </c>
      <c r="AB23" s="14">
        <f>IFERROR(IF(UPPER($E23)="L",SUMPRODUCT(N23:Y23,$N$3:$Y$3,$N$2:$Y$2),SUMPRODUCT(N23:Y23,$N$4:$Y$4,$N$2:$Y$2))/(Z23/($K23*$L23*$M23)),"")</f>
        <v/>
      </c>
      <c r="AC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inlineStr">
        <is>
          <t>CF</t>
        </is>
      </c>
      <c r="G24" s="9" t="n">
        <v>63</v>
      </c>
      <c r="H24" s="9" t="n">
        <v>63</v>
      </c>
      <c r="I24" s="9" t="inlineStr">
        <is>
          <t>Full Time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1" t="n">
        <v>1</v>
      </c>
      <c r="N24" s="17" t="n">
        <v>0.6</v>
      </c>
      <c r="O24" s="17" t="n"/>
      <c r="P24" s="17" t="n"/>
      <c r="Q24" s="17" t="n"/>
      <c r="R24" s="17" t="n"/>
      <c r="S24" s="17" t="n"/>
      <c r="T24" s="17" t="n"/>
      <c r="U24" s="17" t="n"/>
      <c r="V24" s="17" t="n">
        <v>0.4</v>
      </c>
      <c r="W24" s="17" t="n"/>
      <c r="X24" s="17" t="n"/>
      <c r="Y24" s="17" t="n"/>
      <c r="Z24" s="13">
        <f>SUMPRODUCT(N24:Y24,$N$2:$Y$2)*$K24*$L24*$M24</f>
        <v/>
      </c>
      <c r="AA24" s="14">
        <f>SUM(N24:Y24)</f>
        <v/>
      </c>
      <c r="AB24" s="14">
        <f>IFERROR(IF(UPPER($E24)="L",SUMPRODUCT(N24:Y24,$N$3:$Y$3,$N$2:$Y$2),SUMPRODUCT(N24:Y24,$N$4:$Y$4,$N$2:$Y$2))/(Z24/($K24*$L24*$M24)),"")</f>
        <v/>
      </c>
      <c r="AC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inlineStr">
        <is>
          <t>SS</t>
        </is>
      </c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1" t="n">
        <v>0.91090392200544</v>
      </c>
      <c r="N25" s="17" t="n">
        <v>1</v>
      </c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3">
        <f>SUMPRODUCT(N25:Y25,$N$2:$Y$2)*$K25*$L25*$M25</f>
        <v/>
      </c>
      <c r="AA25" s="14">
        <f>SUM(N25:Y25)</f>
        <v/>
      </c>
      <c r="AB25" s="14">
        <f>IFERROR(IF(UPPER($E25)="L",SUMPRODUCT(N25:Y25,$N$3:$Y$3,$N$2:$Y$2),SUMPRODUCT(N25:Y25,$N$4:$Y$4,$N$2:$Y$2))/(Z25/($K25*$L25*$M25)),"")</f>
        <v/>
      </c>
      <c r="AC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inlineStr">
        <is>
          <t>3B</t>
        </is>
      </c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1" t="n">
        <v>1.088544359678899</v>
      </c>
      <c r="N26" s="17" t="n">
        <v>1</v>
      </c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3">
        <f>SUMPRODUCT(N26:Y26,$N$2:$Y$2)*$K26*$L26*$M26</f>
        <v/>
      </c>
      <c r="AA26" s="14">
        <f>SUM(N26:Y26)</f>
        <v/>
      </c>
      <c r="AB26" s="14">
        <f>IFERROR(IF(UPPER($E26)="L",SUMPRODUCT(N26:Y26,$N$3:$Y$3,$N$2:$Y$2),SUMPRODUCT(N26:Y26,$N$4:$Y$4,$N$2:$Y$2))/(Z26/($K26*$L26*$M26)),"")</f>
        <v/>
      </c>
      <c r="AC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inlineStr">
        <is>
          <t>LF</t>
        </is>
      </c>
      <c r="G27" s="9" t="n">
        <v>692</v>
      </c>
      <c r="H27" s="9" t="n">
        <v>2583</v>
      </c>
      <c r="I27" s="9" t="inlineStr">
        <is>
          <t>Everyday DH / 1B-DH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1" t="n">
        <v>0.9806384503195766</v>
      </c>
      <c r="N27" s="17" t="n"/>
      <c r="O27" s="17" t="n">
        <v>1</v>
      </c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3">
        <f>SUMPRODUCT(N27:Y27,$N$2:$Y$2)*$K27*$L27*$M27</f>
        <v/>
      </c>
      <c r="AA27" s="14">
        <f>SUM(N27:Y27)</f>
        <v/>
      </c>
      <c r="AB27" s="14">
        <f>IFERROR(IF(UPPER($E27)="L",SUMPRODUCT(N27:Y27,$N$3:$Y$3,$N$2:$Y$2),SUMPRODUCT(N27:Y27,$N$4:$Y$4,$N$2:$Y$2))/(Z27/($K27*$L27*$M27)),"")</f>
        <v/>
      </c>
      <c r="AC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inlineStr">
        <is>
          <t>C</t>
        </is>
      </c>
      <c r="G28" s="9" t="n">
        <v>574</v>
      </c>
      <c r="H28" s="9" t="n">
        <v>1454</v>
      </c>
      <c r="I28" s="9" t="inlineStr">
        <is>
          <t>Catcher - Primary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1" t="n">
        <v>1.099304585984614</v>
      </c>
      <c r="N28" s="17" t="n"/>
      <c r="O28" s="17" t="n"/>
      <c r="P28" s="17" t="n"/>
      <c r="Q28" s="17" t="n"/>
      <c r="R28" s="17" t="n">
        <v>1</v>
      </c>
      <c r="S28" s="17" t="n"/>
      <c r="T28" s="17" t="n"/>
      <c r="U28" s="17" t="n"/>
      <c r="V28" s="17" t="n"/>
      <c r="W28" s="17" t="n"/>
      <c r="X28" s="17" t="n"/>
      <c r="Y28" s="17" t="n"/>
      <c r="Z28" s="13">
        <f>SUMPRODUCT(N28:Y28,$N$2:$Y$2)*$K28*$L28*$M28</f>
        <v/>
      </c>
      <c r="AA28" s="14">
        <f>SUM(N28:Y28)</f>
        <v/>
      </c>
      <c r="AB28" s="14">
        <f>IFERROR(IF(UPPER($E28)="L",SUMPRODUCT(N28:Y28,$N$3:$Y$3,$N$2:$Y$2),SUMPRODUCT(N28:Y28,$N$4:$Y$4,$N$2:$Y$2))/(Z28/($K28*$L28*$M28)),"")</f>
        <v/>
      </c>
      <c r="AC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inlineStr">
        <is>
          <t>RF</t>
        </is>
      </c>
      <c r="G29" s="9" t="n">
        <v>259</v>
      </c>
      <c r="H29" s="9" t="n">
        <v>1591</v>
      </c>
      <c r="I29" s="9" t="inlineStr">
        <is>
          <t>Bench Bat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1" t="n">
        <v>1.032838053830421</v>
      </c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>
        <v>0.85</v>
      </c>
      <c r="X29" s="17" t="n">
        <v>0.15</v>
      </c>
      <c r="Y29" s="17" t="n"/>
      <c r="Z29" s="13">
        <f>SUMPRODUCT(N29:Y29,$N$2:$Y$2)*$K29*$L29*$M29</f>
        <v/>
      </c>
      <c r="AA29" s="14">
        <f>SUM(N29:Y29)</f>
        <v/>
      </c>
      <c r="AB29" s="14">
        <f>IFERROR(IF(UPPER($E29)="L",SUMPRODUCT(N29:Y29,$N$3:$Y$3,$N$2:$Y$2),SUMPRODUCT(N29:Y29,$N$4:$Y$4,$N$2:$Y$2))/(Z29/($K29*$L29*$M29)),"")</f>
        <v/>
      </c>
      <c r="AC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inlineStr">
        <is>
          <t>SS</t>
        </is>
      </c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1" t="n">
        <v>1.004762108566274</v>
      </c>
      <c r="N30" s="17" t="n">
        <v>1</v>
      </c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3">
        <f>SUMPRODUCT(N30:Y30,$N$2:$Y$2)*$K30*$L30*$M30</f>
        <v/>
      </c>
      <c r="AA30" s="14">
        <f>SUM(N30:Y30)</f>
        <v/>
      </c>
      <c r="AB30" s="14">
        <f>IFERROR(IF(UPPER($E30)="L",SUMPRODUCT(N30:Y30,$N$3:$Y$3,$N$2:$Y$2),SUMPRODUCT(N30:Y30,$N$4:$Y$4,$N$2:$Y$2))/(Z30/($K30*$L30*$M30)),"")</f>
        <v/>
      </c>
      <c r="AC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inlineStr">
        <is>
          <t>1B</t>
        </is>
      </c>
      <c r="G31" s="9" t="n">
        <v>667</v>
      </c>
      <c r="H31" s="9" t="n">
        <v>1375</v>
      </c>
      <c r="I31" s="9" t="inlineStr">
        <is>
          <t>Everyday DH / 1B-DH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1" t="n">
        <v>1.02545471177029</v>
      </c>
      <c r="N31" s="17" t="n"/>
      <c r="O31" s="17" t="n">
        <v>1</v>
      </c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3">
        <f>SUMPRODUCT(N31:Y31,$N$2:$Y$2)*$K31*$L31*$M31</f>
        <v/>
      </c>
      <c r="AA31" s="14">
        <f>SUM(N31:Y31)</f>
        <v/>
      </c>
      <c r="AB31" s="14">
        <f>IFERROR(IF(UPPER($E31)="L",SUMPRODUCT(N31:Y31,$N$3:$Y$3,$N$2:$Y$2),SUMPRODUCT(N31:Y31,$N$4:$Y$4,$N$2:$Y$2))/(Z31/($K31*$L31*$M31)),"")</f>
        <v/>
      </c>
      <c r="AC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inlineStr">
        <is>
          <t>LF</t>
        </is>
      </c>
      <c r="G32" s="9" t="n">
        <v>36</v>
      </c>
      <c r="H32" s="9" t="n">
        <v>36</v>
      </c>
      <c r="I32" s="9" t="inlineStr">
        <is>
          <t>Injury Replacement / 26th Man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1" t="n">
        <v>1</v>
      </c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>
        <v>1</v>
      </c>
      <c r="Y32" s="17" t="n"/>
      <c r="Z32" s="13">
        <f>SUMPRODUCT(N32:Y32,$N$2:$Y$2)*$K32*$L32*$M32</f>
        <v/>
      </c>
      <c r="AA32" s="14">
        <f>SUM(N32:Y32)</f>
        <v/>
      </c>
      <c r="AB32" s="14">
        <f>IFERROR(IF(UPPER($E32)="L",SUMPRODUCT(N32:Y32,$N$3:$Y$3,$N$2:$Y$2),SUMPRODUCT(N32:Y32,$N$4:$Y$4,$N$2:$Y$2))/(Z32/($K32*$L32*$M32)),"")</f>
        <v/>
      </c>
      <c r="AC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inlineStr">
        <is>
          <t>LF</t>
        </is>
      </c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1" t="n">
        <v>1</v>
      </c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>
        <v>1</v>
      </c>
      <c r="X33" s="17" t="n"/>
      <c r="Y33" s="17" t="n"/>
      <c r="Z33" s="13">
        <f>SUMPRODUCT(N33:Y33,$N$2:$Y$2)*$K33*$L33*$M33</f>
        <v/>
      </c>
      <c r="AA33" s="14">
        <f>SUM(N33:Y33)</f>
        <v/>
      </c>
      <c r="AB33" s="14">
        <f>IFERROR(IF(UPPER($E33)="L",SUMPRODUCT(N33:Y33,$N$3:$Y$3,$N$2:$Y$2),SUMPRODUCT(N33:Y33,$N$4:$Y$4,$N$2:$Y$2))/(Z33/($K33*$L33*$M33)),"")</f>
        <v/>
      </c>
      <c r="AC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inlineStr">
        <is>
          <t>3B</t>
        </is>
      </c>
      <c r="G34" s="9" t="n">
        <v>498</v>
      </c>
      <c r="H34" s="9" t="n">
        <v>3118</v>
      </c>
      <c r="I34" s="9" t="inlineStr">
        <is>
          <t>Everyday DH / 1B-DH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1" t="n">
        <v>1.093947488704399</v>
      </c>
      <c r="N34" s="17" t="n"/>
      <c r="O34" s="17" t="n">
        <v>1</v>
      </c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3">
        <f>SUMPRODUCT(N34:Y34,$N$2:$Y$2)*$K34*$L34*$M34</f>
        <v/>
      </c>
      <c r="AA34" s="14">
        <f>SUM(N34:Y34)</f>
        <v/>
      </c>
      <c r="AB34" s="14">
        <f>IFERROR(IF(UPPER($E34)="L",SUMPRODUCT(N34:Y34,$N$3:$Y$3,$N$2:$Y$2),SUMPRODUCT(N34:Y34,$N$4:$Y$4,$N$2:$Y$2))/(Z34/($K34*$L34*$M34)),"")</f>
        <v/>
      </c>
      <c r="AC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inlineStr">
        <is>
          <t>CF</t>
        </is>
      </c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1" t="n">
        <v>1.15</v>
      </c>
      <c r="N35" s="17" t="n">
        <v>1</v>
      </c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3">
        <f>SUMPRODUCT(N35:Y35,$N$2:$Y$2)*$K35*$L35*$M35</f>
        <v/>
      </c>
      <c r="AA35" s="14">
        <f>SUM(N35:Y35)</f>
        <v/>
      </c>
      <c r="AB35" s="14">
        <f>IFERROR(IF(UPPER($E35)="L",SUMPRODUCT(N35:Y35,$N$3:$Y$3,$N$2:$Y$2),SUMPRODUCT(N35:Y35,$N$4:$Y$4,$N$2:$Y$2))/(Z35/($K35*$L35*$M35)),"")</f>
        <v/>
      </c>
      <c r="AC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inlineStr">
        <is>
          <t>2B</t>
        </is>
      </c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1" t="n">
        <v>1</v>
      </c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>
        <v>1</v>
      </c>
      <c r="Z36" s="13">
        <f>SUMPRODUCT(N36:Y36,$N$2:$Y$2)*$K36*$L36*$M36</f>
        <v/>
      </c>
      <c r="AA36" s="14">
        <f>SUM(N36:Y36)</f>
        <v/>
      </c>
      <c r="AB36" s="14">
        <f>IFERROR(IF(UPPER($E36)="L",SUMPRODUCT(N36:Y36,$N$3:$Y$3,$N$2:$Y$2),SUMPRODUCT(N36:Y36,$N$4:$Y$4,$N$2:$Y$2))/(Z36/($K36*$L36*$M36)),"")</f>
        <v/>
      </c>
      <c r="AC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inlineStr">
        <is>
          <t>LF</t>
        </is>
      </c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1" t="n">
        <v>1</v>
      </c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>
        <v>1</v>
      </c>
      <c r="Z37" s="13">
        <f>SUMPRODUCT(N37:Y37,$N$2:$Y$2)*$K37*$L37*$M37</f>
        <v/>
      </c>
      <c r="AA37" s="14">
        <f>SUM(N37:Y37)</f>
        <v/>
      </c>
      <c r="AB37" s="14">
        <f>IFERROR(IF(UPPER($E37)="L",SUMPRODUCT(N37:Y37,$N$3:$Y$3,$N$2:$Y$2),SUMPRODUCT(N37:Y37,$N$4:$Y$4,$N$2:$Y$2))/(Z37/($K37*$L37*$M37)),"")</f>
        <v/>
      </c>
      <c r="AC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inlineStr">
        <is>
          <t>3B</t>
        </is>
      </c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1" t="n">
        <v>1</v>
      </c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>
        <v>1</v>
      </c>
      <c r="X38" s="17" t="n"/>
      <c r="Y38" s="17" t="n"/>
      <c r="Z38" s="13">
        <f>SUMPRODUCT(N38:Y38,$N$2:$Y$2)*$K38*$L38*$M38</f>
        <v/>
      </c>
      <c r="AA38" s="14">
        <f>SUM(N38:Y38)</f>
        <v/>
      </c>
      <c r="AB38" s="14">
        <f>IFERROR(IF(UPPER($E38)="L",SUMPRODUCT(N38:Y38,$N$3:$Y$3,$N$2:$Y$2),SUMPRODUCT(N38:Y38,$N$4:$Y$4,$N$2:$Y$2))/(Z38/($K38*$L38*$M38)),"")</f>
        <v/>
      </c>
      <c r="AC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inlineStr">
        <is>
          <t>3B</t>
        </is>
      </c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1" t="n">
        <v>1.079030175600993</v>
      </c>
      <c r="N39" s="17" t="n">
        <v>1</v>
      </c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3">
        <f>SUMPRODUCT(N39:Y39,$N$2:$Y$2)*$K39*$L39*$M39</f>
        <v/>
      </c>
      <c r="AA39" s="14">
        <f>SUM(N39:Y39)</f>
        <v/>
      </c>
      <c r="AB39" s="14">
        <f>IFERROR(IF(UPPER($E39)="L",SUMPRODUCT(N39:Y39,$N$3:$Y$3,$N$2:$Y$2),SUMPRODUCT(N39:Y39,$N$4:$Y$4,$N$2:$Y$2))/(Z39/($K39*$L39*$M39)),"")</f>
        <v/>
      </c>
      <c r="AC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inlineStr">
        <is>
          <t>LF</t>
        </is>
      </c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1" t="n">
        <v>1</v>
      </c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>
        <v>1</v>
      </c>
      <c r="Z40" s="13">
        <f>SUMPRODUCT(N40:Y40,$N$2:$Y$2)*$K40*$L40*$M40</f>
        <v/>
      </c>
      <c r="AA40" s="14">
        <f>SUM(N40:Y40)</f>
        <v/>
      </c>
      <c r="AB40" s="14">
        <f>IFERROR(IF(UPPER($E40)="L",SUMPRODUCT(N40:Y40,$N$3:$Y$3,$N$2:$Y$2),SUMPRODUCT(N40:Y40,$N$4:$Y$4,$N$2:$Y$2))/(Z40/($K40*$L40*$M40)),"")</f>
        <v/>
      </c>
      <c r="AC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inlineStr">
        <is>
          <t>1B</t>
        </is>
      </c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1" t="n">
        <v>0.915516912605924</v>
      </c>
      <c r="N41" s="17" t="n">
        <v>1</v>
      </c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3">
        <f>SUMPRODUCT(N41:Y41,$N$2:$Y$2)*$K41*$L41*$M41</f>
        <v/>
      </c>
      <c r="AA41" s="14">
        <f>SUM(N41:Y41)</f>
        <v/>
      </c>
      <c r="AB41" s="14">
        <f>IFERROR(IF(UPPER($E41)="L",SUMPRODUCT(N41:Y41,$N$3:$Y$3,$N$2:$Y$2),SUMPRODUCT(N41:Y41,$N$4:$Y$4,$N$2:$Y$2))/(Z41/($K41*$L41*$M41)),"")</f>
        <v/>
      </c>
      <c r="AC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inlineStr">
        <is>
          <t>LF</t>
        </is>
      </c>
      <c r="G42" s="9" t="n">
        <v>15</v>
      </c>
      <c r="H42" s="9" t="n">
        <v>85</v>
      </c>
      <c r="I42" s="9" t="inlineStr">
        <is>
          <t>Utility OF / 4th OF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1" t="n">
        <v>1</v>
      </c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>
        <v>0.7</v>
      </c>
      <c r="W42" s="17" t="n">
        <v>0.3</v>
      </c>
      <c r="X42" s="17" t="n"/>
      <c r="Y42" s="17" t="n"/>
      <c r="Z42" s="13">
        <f>SUMPRODUCT(N42:Y42,$N$2:$Y$2)*$K42*$L42*$M42</f>
        <v/>
      </c>
      <c r="AA42" s="14">
        <f>SUM(N42:Y42)</f>
        <v/>
      </c>
      <c r="AB42" s="14">
        <f>IFERROR(IF(UPPER($E42)="L",SUMPRODUCT(N42:Y42,$N$3:$Y$3,$N$2:$Y$2),SUMPRODUCT(N42:Y42,$N$4:$Y$4,$N$2:$Y$2))/(Z42/($K42*$L42*$M42)),"")</f>
        <v/>
      </c>
      <c r="AC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inlineStr">
        <is>
          <t>LF</t>
        </is>
      </c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1" t="n">
        <v>1</v>
      </c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>
        <v>1</v>
      </c>
      <c r="X43" s="17" t="n"/>
      <c r="Y43" s="17" t="n"/>
      <c r="Z43" s="13">
        <f>SUMPRODUCT(N43:Y43,$N$2:$Y$2)*$K43*$L43*$M43</f>
        <v/>
      </c>
      <c r="AA43" s="14">
        <f>SUM(N43:Y43)</f>
        <v/>
      </c>
      <c r="AB43" s="14">
        <f>IFERROR(IF(UPPER($E43)="L",SUMPRODUCT(N43:Y43,$N$3:$Y$3,$N$2:$Y$2),SUMPRODUCT(N43:Y43,$N$4:$Y$4,$N$2:$Y$2))/(Z43/($K43*$L43*$M43)),"")</f>
        <v/>
      </c>
      <c r="AC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inlineStr">
        <is>
          <t>1B</t>
        </is>
      </c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1" t="n">
        <v>1</v>
      </c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>
        <v>1</v>
      </c>
      <c r="X44" s="17" t="n"/>
      <c r="Y44" s="17" t="n"/>
      <c r="Z44" s="13">
        <f>SUMPRODUCT(N44:Y44,$N$2:$Y$2)*$K44*$L44*$M44</f>
        <v/>
      </c>
      <c r="AA44" s="14">
        <f>SUM(N44:Y44)</f>
        <v/>
      </c>
      <c r="AB44" s="14">
        <f>IFERROR(IF(UPPER($E44)="L",SUMPRODUCT(N44:Y44,$N$3:$Y$3,$N$2:$Y$2),SUMPRODUCT(N44:Y44,$N$4:$Y$4,$N$2:$Y$2))/(Z44/($K44*$L44*$M44)),"")</f>
        <v/>
      </c>
      <c r="AC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inlineStr">
        <is>
          <t>1B</t>
        </is>
      </c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1" t="n">
        <v>1.145491294244075</v>
      </c>
      <c r="N45" s="17" t="n">
        <v>1</v>
      </c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3">
        <f>SUMPRODUCT(N45:Y45,$N$2:$Y$2)*$K45*$L45*$M45</f>
        <v/>
      </c>
      <c r="AA45" s="14">
        <f>SUM(N45:Y45)</f>
        <v/>
      </c>
      <c r="AB45" s="14">
        <f>IFERROR(IF(UPPER($E45)="L",SUMPRODUCT(N45:Y45,$N$3:$Y$3,$N$2:$Y$2),SUMPRODUCT(N45:Y45,$N$4:$Y$4,$N$2:$Y$2))/(Z45/($K45*$L45*$M45)),"")</f>
        <v/>
      </c>
      <c r="AC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inlineStr">
        <is>
          <t>RF</t>
        </is>
      </c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1" t="n">
        <v>0.8505571704512983</v>
      </c>
      <c r="N46" s="17" t="n">
        <v>1</v>
      </c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3">
        <f>SUMPRODUCT(N46:Y46,$N$2:$Y$2)*$K46*$L46*$M46</f>
        <v/>
      </c>
      <c r="AA46" s="14">
        <f>SUM(N46:Y46)</f>
        <v/>
      </c>
      <c r="AB46" s="14">
        <f>IFERROR(IF(UPPER($E46)="L",SUMPRODUCT(N46:Y46,$N$3:$Y$3,$N$2:$Y$2),SUMPRODUCT(N46:Y46,$N$4:$Y$4,$N$2:$Y$2))/(Z46/($K46*$L46*$M46)),"")</f>
        <v/>
      </c>
      <c r="AC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inlineStr">
        <is>
          <t>1B</t>
        </is>
      </c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1" t="n">
        <v>1</v>
      </c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>
        <v>1</v>
      </c>
      <c r="X47" s="17" t="n"/>
      <c r="Y47" s="17" t="n"/>
      <c r="Z47" s="13">
        <f>SUMPRODUCT(N47:Y47,$N$2:$Y$2)*$K47*$L47*$M47</f>
        <v/>
      </c>
      <c r="AA47" s="14">
        <f>SUM(N47:Y47)</f>
        <v/>
      </c>
      <c r="AB47" s="14">
        <f>IFERROR(IF(UPPER($E47)="L",SUMPRODUCT(N47:Y47,$N$3:$Y$3,$N$2:$Y$2),SUMPRODUCT(N47:Y47,$N$4:$Y$4,$N$2:$Y$2))/(Z47/($K47*$L47*$M47)),"")</f>
        <v/>
      </c>
      <c r="AC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inlineStr">
        <is>
          <t>1B</t>
        </is>
      </c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1" t="n">
        <v>1</v>
      </c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>
        <v>1</v>
      </c>
      <c r="X48" s="17" t="n"/>
      <c r="Y48" s="17" t="n"/>
      <c r="Z48" s="13">
        <f>SUMPRODUCT(N48:Y48,$N$2:$Y$2)*$K48*$L48*$M48</f>
        <v/>
      </c>
      <c r="AA48" s="14">
        <f>SUM(N48:Y48)</f>
        <v/>
      </c>
      <c r="AB48" s="14">
        <f>IFERROR(IF(UPPER($E48)="L",SUMPRODUCT(N48:Y48,$N$3:$Y$3,$N$2:$Y$2),SUMPRODUCT(N48:Y48,$N$4:$Y$4,$N$2:$Y$2))/(Z48/($K48*$L48*$M48)),"")</f>
        <v/>
      </c>
      <c r="AC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inlineStr">
        <is>
          <t>RF</t>
        </is>
      </c>
      <c r="G49" s="9" t="n">
        <v>260</v>
      </c>
      <c r="H49" s="9" t="n">
        <v>1591</v>
      </c>
      <c r="I49" s="9" t="inlineStr">
        <is>
          <t>Injury Replacement / 26th Man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1" t="n">
        <v>0.9822328655607154</v>
      </c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>
        <v>1</v>
      </c>
      <c r="Y49" s="17" t="n"/>
      <c r="Z49" s="13">
        <f>SUMPRODUCT(N49:Y49,$N$2:$Y$2)*$K49*$L49*$M49</f>
        <v/>
      </c>
      <c r="AA49" s="14">
        <f>SUM(N49:Y49)</f>
        <v/>
      </c>
      <c r="AB49" s="14">
        <f>IFERROR(IF(UPPER($E49)="L",SUMPRODUCT(N49:Y49,$N$3:$Y$3,$N$2:$Y$2),SUMPRODUCT(N49:Y49,$N$4:$Y$4,$N$2:$Y$2))/(Z49/($K49*$L49*$M49)),"")</f>
        <v/>
      </c>
      <c r="AC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inlineStr">
        <is>
          <t>3B</t>
        </is>
      </c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1" t="n">
        <v>1</v>
      </c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>
        <v>1</v>
      </c>
      <c r="Z50" s="13">
        <f>SUMPRODUCT(N50:Y50,$N$2:$Y$2)*$K50*$L50*$M50</f>
        <v/>
      </c>
      <c r="AA50" s="14">
        <f>SUM(N50:Y50)</f>
        <v/>
      </c>
      <c r="AB50" s="14">
        <f>IFERROR(IF(UPPER($E50)="L",SUMPRODUCT(N50:Y50,$N$3:$Y$3,$N$2:$Y$2),SUMPRODUCT(N50:Y50,$N$4:$Y$4,$N$2:$Y$2))/(Z50/($K50*$L50*$M50)),"")</f>
        <v/>
      </c>
      <c r="AC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inlineStr">
        <is>
          <t>RF</t>
        </is>
      </c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1" t="n">
        <v>0.891354974318887</v>
      </c>
      <c r="N51" s="17" t="n">
        <v>1</v>
      </c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3">
        <f>SUMPRODUCT(N51:Y51,$N$2:$Y$2)*$K51*$L51*$M51</f>
        <v/>
      </c>
      <c r="AA51" s="14">
        <f>SUM(N51:Y51)</f>
        <v/>
      </c>
      <c r="AB51" s="14">
        <f>IFERROR(IF(UPPER($E51)="L",SUMPRODUCT(N51:Y51,$N$3:$Y$3,$N$2:$Y$2),SUMPRODUCT(N51:Y51,$N$4:$Y$4,$N$2:$Y$2))/(Z51/($K51*$L51*$M51)),"")</f>
        <v/>
      </c>
      <c r="AC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inlineStr">
        <is>
          <t>LF</t>
        </is>
      </c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1" t="n">
        <v>1.134441889029937</v>
      </c>
      <c r="N52" s="17" t="n">
        <v>1</v>
      </c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3">
        <f>SUMPRODUCT(N52:Y52,$N$2:$Y$2)*$K52*$L52*$M52</f>
        <v/>
      </c>
      <c r="AA52" s="14">
        <f>SUM(N52:Y52)</f>
        <v/>
      </c>
      <c r="AB52" s="14">
        <f>IFERROR(IF(UPPER($E52)="L",SUMPRODUCT(N52:Y52,$N$3:$Y$3,$N$2:$Y$2),SUMPRODUCT(N52:Y52,$N$4:$Y$4,$N$2:$Y$2))/(Z52/($K52*$L52*$M52)),"")</f>
        <v/>
      </c>
      <c r="AC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inlineStr">
        <is>
          <t>1B</t>
        </is>
      </c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1" t="n">
        <v>1</v>
      </c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>
        <v>1</v>
      </c>
      <c r="X53" s="17" t="n"/>
      <c r="Y53" s="17" t="n"/>
      <c r="Z53" s="13">
        <f>SUMPRODUCT(N53:Y53,$N$2:$Y$2)*$K53*$L53*$M53</f>
        <v/>
      </c>
      <c r="AA53" s="14">
        <f>SUM(N53:Y53)</f>
        <v/>
      </c>
      <c r="AB53" s="14">
        <f>IFERROR(IF(UPPER($E53)="L",SUMPRODUCT(N53:Y53,$N$3:$Y$3,$N$2:$Y$2),SUMPRODUCT(N53:Y53,$N$4:$Y$4,$N$2:$Y$2))/(Z53/($K53*$L53*$M53)),"")</f>
        <v/>
      </c>
      <c r="AC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inlineStr">
        <is>
          <t>3B</t>
        </is>
      </c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1" t="n">
        <v>0.9763503990430302</v>
      </c>
      <c r="N54" s="17" t="n">
        <v>0.7</v>
      </c>
      <c r="O54" s="17" t="n"/>
      <c r="P54" s="17" t="n">
        <v>0.3</v>
      </c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3">
        <f>SUMPRODUCT(N54:Y54,$N$2:$Y$2)*$K54*$L54*$M54</f>
        <v/>
      </c>
      <c r="AA54" s="14">
        <f>SUM(N54:Y54)</f>
        <v/>
      </c>
      <c r="AB54" s="14">
        <f>IFERROR(IF(UPPER($E54)="L",SUMPRODUCT(N54:Y54,$N$3:$Y$3,$N$2:$Y$2),SUMPRODUCT(N54:Y54,$N$4:$Y$4,$N$2:$Y$2))/(Z54/($K54*$L54*$M54)),"")</f>
        <v/>
      </c>
      <c r="AC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inlineStr">
        <is>
          <t>2B</t>
        </is>
      </c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1" t="n">
        <v>1.073245183228553</v>
      </c>
      <c r="N55" s="17" t="n">
        <v>1</v>
      </c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3">
        <f>SUMPRODUCT(N55:Y55,$N$2:$Y$2)*$K55*$L55*$M55</f>
        <v/>
      </c>
      <c r="AA55" s="14">
        <f>SUM(N55:Y55)</f>
        <v/>
      </c>
      <c r="AB55" s="14">
        <f>IFERROR(IF(UPPER($E55)="L",SUMPRODUCT(N55:Y55,$N$3:$Y$3,$N$2:$Y$2),SUMPRODUCT(N55:Y55,$N$4:$Y$4,$N$2:$Y$2))/(Z55/($K55*$L55*$M55)),"")</f>
        <v/>
      </c>
      <c r="AC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inlineStr">
        <is>
          <t>LF</t>
        </is>
      </c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1" t="n">
        <v>1</v>
      </c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>
        <v>0.85</v>
      </c>
      <c r="X56" s="17" t="n">
        <v>0.15</v>
      </c>
      <c r="Y56" s="17" t="n"/>
      <c r="Z56" s="13">
        <f>SUMPRODUCT(N56:Y56,$N$2:$Y$2)*$K56*$L56*$M56</f>
        <v/>
      </c>
      <c r="AA56" s="14">
        <f>SUM(N56:Y56)</f>
        <v/>
      </c>
      <c r="AB56" s="14">
        <f>IFERROR(IF(UPPER($E56)="L",SUMPRODUCT(N56:Y56,$N$3:$Y$3,$N$2:$Y$2),SUMPRODUCT(N56:Y56,$N$4:$Y$4,$N$2:$Y$2))/(Z56/($K56*$L56*$M56)),"")</f>
        <v/>
      </c>
      <c r="AC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inlineStr">
        <is>
          <t>3B</t>
        </is>
      </c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1" t="n">
        <v>1</v>
      </c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>
        <v>0.85</v>
      </c>
      <c r="X57" s="17" t="n">
        <v>0.15</v>
      </c>
      <c r="Y57" s="17" t="n"/>
      <c r="Z57" s="13">
        <f>SUMPRODUCT(N57:Y57,$N$2:$Y$2)*$K57*$L57*$M57</f>
        <v/>
      </c>
      <c r="AA57" s="14">
        <f>SUM(N57:Y57)</f>
        <v/>
      </c>
      <c r="AB57" s="14">
        <f>IFERROR(IF(UPPER($E57)="L",SUMPRODUCT(N57:Y57,$N$3:$Y$3,$N$2:$Y$2),SUMPRODUCT(N57:Y57,$N$4:$Y$4,$N$2:$Y$2))/(Z57/($K57*$L57*$M57)),"")</f>
        <v/>
      </c>
      <c r="AC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inlineStr">
        <is>
          <t>C</t>
        </is>
      </c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1" t="n">
        <v>1</v>
      </c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>
        <v>1</v>
      </c>
      <c r="Z58" s="13">
        <f>SUMPRODUCT(N58:Y58,$N$2:$Y$2)*$K58*$L58*$M58</f>
        <v/>
      </c>
      <c r="AA58" s="14">
        <f>SUM(N58:Y58)</f>
        <v/>
      </c>
      <c r="AB58" s="14">
        <f>IFERROR(IF(UPPER($E58)="L",SUMPRODUCT(N58:Y58,$N$3:$Y$3,$N$2:$Y$2),SUMPRODUCT(N58:Y58,$N$4:$Y$4,$N$2:$Y$2))/(Z58/($K58*$L58*$M58)),"")</f>
        <v/>
      </c>
      <c r="AC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inlineStr">
        <is>
          <t>CF</t>
        </is>
      </c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1" t="n">
        <v>1</v>
      </c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>
        <v>1</v>
      </c>
      <c r="Z59" s="13">
        <f>SUMPRODUCT(N59:Y59,$N$2:$Y$2)*$K59*$L59*$M59</f>
        <v/>
      </c>
      <c r="AA59" s="14">
        <f>SUM(N59:Y59)</f>
        <v/>
      </c>
      <c r="AB59" s="14">
        <f>IFERROR(IF(UPPER($E59)="L",SUMPRODUCT(N59:Y59,$N$3:$Y$3,$N$2:$Y$2),SUMPRODUCT(N59:Y59,$N$4:$Y$4,$N$2:$Y$2))/(Z59/($K59*$L59*$M59)),"")</f>
        <v/>
      </c>
      <c r="AC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inlineStr">
        <is>
          <t>RF</t>
        </is>
      </c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1" t="n">
        <v>1</v>
      </c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>
        <v>1</v>
      </c>
      <c r="Z60" s="13">
        <f>SUMPRODUCT(N60:Y60,$N$2:$Y$2)*$K60*$L60*$M60</f>
        <v/>
      </c>
      <c r="AA60" s="14">
        <f>SUM(N60:Y60)</f>
        <v/>
      </c>
      <c r="AB60" s="14">
        <f>IFERROR(IF(UPPER($E60)="L",SUMPRODUCT(N60:Y60,$N$3:$Y$3,$N$2:$Y$2),SUMPRODUCT(N60:Y60,$N$4:$Y$4,$N$2:$Y$2))/(Z60/($K60*$L60*$M60)),"")</f>
        <v/>
      </c>
      <c r="AC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inlineStr">
        <is>
          <t>C</t>
        </is>
      </c>
      <c r="G61" s="9" t="n">
        <v>149</v>
      </c>
      <c r="H61" s="9" t="n">
        <v>1428</v>
      </c>
      <c r="I61" s="9" t="inlineStr">
        <is>
          <t>Catcher - Tandem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1" t="n">
        <v>1</v>
      </c>
      <c r="N61" s="17" t="n"/>
      <c r="O61" s="17" t="n"/>
      <c r="P61" s="17" t="n"/>
      <c r="Q61" s="17" t="n"/>
      <c r="R61" s="17" t="n"/>
      <c r="S61" s="17" t="n">
        <v>1</v>
      </c>
      <c r="T61" s="17" t="n"/>
      <c r="U61" s="17" t="n"/>
      <c r="V61" s="17" t="n"/>
      <c r="W61" s="17" t="n"/>
      <c r="X61" s="17" t="n"/>
      <c r="Y61" s="17" t="n"/>
      <c r="Z61" s="13">
        <f>SUMPRODUCT(N61:Y61,$N$2:$Y$2)*$K61*$L61*$M61</f>
        <v/>
      </c>
      <c r="AA61" s="14">
        <f>SUM(N61:Y61)</f>
        <v/>
      </c>
      <c r="AB61" s="14">
        <f>IFERROR(IF(UPPER($E61)="L",SUMPRODUCT(N61:Y61,$N$3:$Y$3,$N$2:$Y$2),SUMPRODUCT(N61:Y61,$N$4:$Y$4,$N$2:$Y$2))/(Z61/($K61*$L61*$M61)),"")</f>
        <v/>
      </c>
      <c r="AC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inlineStr">
        <is>
          <t>3B</t>
        </is>
      </c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1" t="n">
        <v>1</v>
      </c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>
        <v>1</v>
      </c>
      <c r="Z62" s="13">
        <f>SUMPRODUCT(N62:Y62,$N$2:$Y$2)*$K62*$L62*$M62</f>
        <v/>
      </c>
      <c r="AA62" s="14">
        <f>SUM(N62:Y62)</f>
        <v/>
      </c>
      <c r="AB62" s="14">
        <f>IFERROR(IF(UPPER($E62)="L",SUMPRODUCT(N62:Y62,$N$3:$Y$3,$N$2:$Y$2),SUMPRODUCT(N62:Y62,$N$4:$Y$4,$N$2:$Y$2))/(Z62/($K62*$L62*$M62)),"")</f>
        <v/>
      </c>
      <c r="AC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inlineStr">
        <is>
          <t>C</t>
        </is>
      </c>
      <c r="G63" s="9" t="n">
        <v>91</v>
      </c>
      <c r="H63" s="9" t="n">
        <v>91</v>
      </c>
      <c r="I63" s="9" t="inlineStr">
        <is>
          <t>Injury Replacement / 26th Man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1" t="n">
        <v>1</v>
      </c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>
        <v>1</v>
      </c>
      <c r="Y63" s="17" t="n"/>
      <c r="Z63" s="13">
        <f>SUMPRODUCT(N63:Y63,$N$2:$Y$2)*$K63*$L63*$M63</f>
        <v/>
      </c>
      <c r="AA63" s="14">
        <f>SUM(N63:Y63)</f>
        <v/>
      </c>
      <c r="AB63" s="14">
        <f>IFERROR(IF(UPPER($E63)="L",SUMPRODUCT(N63:Y63,$N$3:$Y$3,$N$2:$Y$2),SUMPRODUCT(N63:Y63,$N$4:$Y$4,$N$2:$Y$2))/(Z63/($K63*$L63*$M63)),"")</f>
        <v/>
      </c>
      <c r="AC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inlineStr">
        <is>
          <t>RF</t>
        </is>
      </c>
      <c r="G64" s="9" t="n">
        <v>660</v>
      </c>
      <c r="H64" s="9" t="n">
        <v>2031</v>
      </c>
      <c r="I64" s="9" t="inlineStr">
        <is>
          <t>Everyday DH / 1B-DH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1" t="n">
        <v>1.15</v>
      </c>
      <c r="N64" s="17" t="n"/>
      <c r="O64" s="17" t="n">
        <v>1</v>
      </c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3">
        <f>SUMPRODUCT(N64:Y64,$N$2:$Y$2)*$K64*$L64*$M64</f>
        <v/>
      </c>
      <c r="AA64" s="14">
        <f>SUM(N64:Y64)</f>
        <v/>
      </c>
      <c r="AB64" s="14">
        <f>IFERROR(IF(UPPER($E64)="L",SUMPRODUCT(N64:Y64,$N$3:$Y$3,$N$2:$Y$2),SUMPRODUCT(N64:Y64,$N$4:$Y$4,$N$2:$Y$2))/(Z64/($K64*$L64*$M64)),"")</f>
        <v/>
      </c>
      <c r="AC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inlineStr">
        <is>
          <t>1B</t>
        </is>
      </c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1" t="n">
        <v>1.15</v>
      </c>
      <c r="N65" s="17" t="n">
        <v>1</v>
      </c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3">
        <f>SUMPRODUCT(N65:Y65,$N$2:$Y$2)*$K65*$L65*$M65</f>
        <v/>
      </c>
      <c r="AA65" s="14">
        <f>SUM(N65:Y65)</f>
        <v/>
      </c>
      <c r="AB65" s="14">
        <f>IFERROR(IF(UPPER($E65)="L",SUMPRODUCT(N65:Y65,$N$3:$Y$3,$N$2:$Y$2),SUMPRODUCT(N65:Y65,$N$4:$Y$4,$N$2:$Y$2))/(Z65/($K65*$L65*$M65)),"")</f>
        <v/>
      </c>
      <c r="AC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inlineStr">
        <is>
          <t>LF</t>
        </is>
      </c>
      <c r="G66" s="9" t="n">
        <v>33</v>
      </c>
      <c r="H66" s="9" t="n">
        <v>33</v>
      </c>
      <c r="I66" s="9" t="inlineStr">
        <is>
          <t>Utility IF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1" t="n">
        <v>1</v>
      </c>
      <c r="N66" s="17" t="n"/>
      <c r="O66" s="17" t="n"/>
      <c r="P66" s="17" t="n"/>
      <c r="Q66" s="17" t="n"/>
      <c r="R66" s="17" t="n"/>
      <c r="S66" s="17" t="n"/>
      <c r="T66" s="17" t="n"/>
      <c r="U66" s="17" t="n">
        <v>0.7</v>
      </c>
      <c r="V66" s="17" t="n"/>
      <c r="W66" s="17" t="n">
        <v>0.3</v>
      </c>
      <c r="X66" s="17" t="n"/>
      <c r="Y66" s="17" t="n"/>
      <c r="Z66" s="13">
        <f>SUMPRODUCT(N66:Y66,$N$2:$Y$2)*$K66*$L66*$M66</f>
        <v/>
      </c>
      <c r="AA66" s="14">
        <f>SUM(N66:Y66)</f>
        <v/>
      </c>
      <c r="AB66" s="14">
        <f>IFERROR(IF(UPPER($E66)="L",SUMPRODUCT(N66:Y66,$N$3:$Y$3,$N$2:$Y$2),SUMPRODUCT(N66:Y66,$N$4:$Y$4,$N$2:$Y$2))/(Z66/($K66*$L66*$M66)),"")</f>
        <v/>
      </c>
      <c r="AC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inlineStr">
        <is>
          <t>SS</t>
        </is>
      </c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1" t="n">
        <v>1.117442804085108</v>
      </c>
      <c r="N67" s="17" t="n">
        <v>1</v>
      </c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3">
        <f>SUMPRODUCT(N67:Y67,$N$2:$Y$2)*$K67*$L67*$M67</f>
        <v/>
      </c>
      <c r="AA67" s="14">
        <f>SUM(N67:Y67)</f>
        <v/>
      </c>
      <c r="AB67" s="14">
        <f>IFERROR(IF(UPPER($E67)="L",SUMPRODUCT(N67:Y67,$N$3:$Y$3,$N$2:$Y$2),SUMPRODUCT(N67:Y67,$N$4:$Y$4,$N$2:$Y$2))/(Z67/($K67*$L67*$M67)),"")</f>
        <v/>
      </c>
      <c r="AC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inlineStr">
        <is>
          <t>C</t>
        </is>
      </c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1" t="n">
        <v>1</v>
      </c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>
        <v>1</v>
      </c>
      <c r="Z68" s="13">
        <f>SUMPRODUCT(N68:Y68,$N$2:$Y$2)*$K68*$L68*$M68</f>
        <v/>
      </c>
      <c r="AA68" s="14">
        <f>SUM(N68:Y68)</f>
        <v/>
      </c>
      <c r="AB68" s="14">
        <f>IFERROR(IF(UPPER($E68)="L",SUMPRODUCT(N68:Y68,$N$3:$Y$3,$N$2:$Y$2),SUMPRODUCT(N68:Y68,$N$4:$Y$4,$N$2:$Y$2))/(Z68/($K68*$L68*$M68)),"")</f>
        <v/>
      </c>
      <c r="AC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inlineStr">
        <is>
          <t>LF</t>
        </is>
      </c>
      <c r="G69" s="9" t="n">
        <v>181</v>
      </c>
      <c r="H69" s="9" t="n">
        <v>389</v>
      </c>
      <c r="I69" s="9" t="inlineStr">
        <is>
          <t>Weak Side Platoon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1" t="n">
        <v>1</v>
      </c>
      <c r="N69" s="17" t="n"/>
      <c r="O69" s="17" t="n"/>
      <c r="P69" s="17" t="n"/>
      <c r="Q69" s="17" t="n">
        <v>0.6</v>
      </c>
      <c r="R69" s="17" t="n"/>
      <c r="S69" s="17" t="n"/>
      <c r="T69" s="17" t="n"/>
      <c r="U69" s="17" t="n"/>
      <c r="V69" s="17" t="n"/>
      <c r="W69" s="17" t="n">
        <v>0.4</v>
      </c>
      <c r="X69" s="17" t="n"/>
      <c r="Y69" s="17" t="n"/>
      <c r="Z69" s="13">
        <f>SUMPRODUCT(N69:Y69,$N$2:$Y$2)*$K69*$L69*$M69</f>
        <v/>
      </c>
      <c r="AA69" s="14">
        <f>SUM(N69:Y69)</f>
        <v/>
      </c>
      <c r="AB69" s="14">
        <f>IFERROR(IF(UPPER($E69)="L",SUMPRODUCT(N69:Y69,$N$3:$Y$3,$N$2:$Y$2),SUMPRODUCT(N69:Y69,$N$4:$Y$4,$N$2:$Y$2))/(Z69/($K69*$L69*$M69)),"")</f>
        <v/>
      </c>
      <c r="AC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inlineStr">
        <is>
          <t>C</t>
        </is>
      </c>
      <c r="G70" s="9" t="n">
        <v>121</v>
      </c>
      <c r="H70" s="9" t="n">
        <v>1772</v>
      </c>
      <c r="I70" s="9" t="inlineStr">
        <is>
          <t>Strong Side Platoon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1" t="n">
        <v>1</v>
      </c>
      <c r="N70" s="17" t="n"/>
      <c r="O70" s="17" t="n"/>
      <c r="P70" s="17" t="n">
        <v>0.6</v>
      </c>
      <c r="Q70" s="17" t="n"/>
      <c r="R70" s="17" t="n">
        <v>0.4</v>
      </c>
      <c r="S70" s="17" t="n"/>
      <c r="T70" s="17" t="n"/>
      <c r="U70" s="17" t="n"/>
      <c r="V70" s="17" t="n"/>
      <c r="W70" s="17" t="n"/>
      <c r="X70" s="17" t="n"/>
      <c r="Y70" s="17" t="n"/>
      <c r="Z70" s="13">
        <f>SUMPRODUCT(N70:Y70,$N$2:$Y$2)*$K70*$L70*$M70</f>
        <v/>
      </c>
      <c r="AA70" s="14">
        <f>SUM(N70:Y70)</f>
        <v/>
      </c>
      <c r="AB70" s="14">
        <f>IFERROR(IF(UPPER($E70)="L",SUMPRODUCT(N70:Y70,$N$3:$Y$3,$N$2:$Y$2),SUMPRODUCT(N70:Y70,$N$4:$Y$4,$N$2:$Y$2))/(Z70/($K70*$L70*$M70)),"")</f>
        <v/>
      </c>
      <c r="AC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inlineStr">
        <is>
          <t>3B</t>
        </is>
      </c>
      <c r="G71" s="9" t="n">
        <v>454</v>
      </c>
      <c r="H71" s="9" t="n">
        <v>794</v>
      </c>
      <c r="I71" s="9" t="inlineStr">
        <is>
          <t>Everyday DH / 1B-DH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1" t="n">
        <v>0.8605646932252133</v>
      </c>
      <c r="N71" s="17" t="n"/>
      <c r="O71" s="17" t="n">
        <v>0.85</v>
      </c>
      <c r="P71" s="17" t="n"/>
      <c r="Q71" s="17" t="n"/>
      <c r="R71" s="17" t="n"/>
      <c r="S71" s="17" t="n"/>
      <c r="T71" s="17" t="n"/>
      <c r="U71" s="17" t="n"/>
      <c r="V71" s="17" t="n"/>
      <c r="W71" s="17" t="n">
        <v>0.15</v>
      </c>
      <c r="X71" s="17" t="n"/>
      <c r="Y71" s="17" t="n"/>
      <c r="Z71" s="13">
        <f>SUMPRODUCT(N71:Y71,$N$2:$Y$2)*$K71*$L71*$M71</f>
        <v/>
      </c>
      <c r="AA71" s="14">
        <f>SUM(N71:Y71)</f>
        <v/>
      </c>
      <c r="AB71" s="14">
        <f>IFERROR(IF(UPPER($E71)="L",SUMPRODUCT(N71:Y71,$N$3:$Y$3,$N$2:$Y$2),SUMPRODUCT(N71:Y71,$N$4:$Y$4,$N$2:$Y$2))/(Z71/($K71*$L71*$M71)),"")</f>
        <v/>
      </c>
      <c r="AC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inlineStr">
        <is>
          <t>RF</t>
        </is>
      </c>
      <c r="G72" s="9" t="n">
        <v>135</v>
      </c>
      <c r="H72" s="9" t="n">
        <v>1107</v>
      </c>
      <c r="I72" s="9" t="inlineStr">
        <is>
          <t>Full Time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1" t="n">
        <v>0.6899158177226676</v>
      </c>
      <c r="N72" s="17" t="n">
        <v>1</v>
      </c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3">
        <f>SUMPRODUCT(N72:Y72,$N$2:$Y$2)*$K72*$L72*$M72</f>
        <v/>
      </c>
      <c r="AA72" s="14">
        <f>SUM(N72:Y72)</f>
        <v/>
      </c>
      <c r="AB72" s="14">
        <f>IFERROR(IF(UPPER($E72)="L",SUMPRODUCT(N72:Y72,$N$3:$Y$3,$N$2:$Y$2),SUMPRODUCT(N72:Y72,$N$4:$Y$4,$N$2:$Y$2))/(Z72/($K72*$L72*$M72)),"")</f>
        <v/>
      </c>
      <c r="AC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inlineStr">
        <is>
          <t>1B</t>
        </is>
      </c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1" t="n">
        <v>1.117442804085108</v>
      </c>
      <c r="N73" s="17" t="n">
        <v>1</v>
      </c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3">
        <f>SUMPRODUCT(N73:Y73,$N$2:$Y$2)*$K73*$L73*$M73</f>
        <v/>
      </c>
      <c r="AA73" s="14">
        <f>SUM(N73:Y73)</f>
        <v/>
      </c>
      <c r="AB73" s="14">
        <f>IFERROR(IF(UPPER($E73)="L",SUMPRODUCT(N73:Y73,$N$3:$Y$3,$N$2:$Y$2),SUMPRODUCT(N73:Y73,$N$4:$Y$4,$N$2:$Y$2))/(Z73/($K73*$L73*$M73)),"")</f>
        <v/>
      </c>
      <c r="AC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inlineStr">
        <is>
          <t>CF</t>
        </is>
      </c>
      <c r="G74" s="9" t="n">
        <v>634</v>
      </c>
      <c r="H74" s="9" t="n">
        <v>2177</v>
      </c>
      <c r="I74" s="9" t="inlineStr">
        <is>
          <t>Everyday DH / 1B-DH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1" t="n">
        <v>0.9747193214487276</v>
      </c>
      <c r="N74" s="17" t="n"/>
      <c r="O74" s="17" t="n">
        <v>1</v>
      </c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3">
        <f>SUMPRODUCT(N74:Y74,$N$2:$Y$2)*$K74*$L74*$M74</f>
        <v/>
      </c>
      <c r="AA74" s="14">
        <f>SUM(N74:Y74)</f>
        <v/>
      </c>
      <c r="AB74" s="14">
        <f>IFERROR(IF(UPPER($E74)="L",SUMPRODUCT(N74:Y74,$N$3:$Y$3,$N$2:$Y$2),SUMPRODUCT(N74:Y74,$N$4:$Y$4,$N$2:$Y$2))/(Z74/($K74*$L74*$M74)),"")</f>
        <v/>
      </c>
      <c r="AC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inlineStr">
        <is>
          <t>1B</t>
        </is>
      </c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1" t="n">
        <v>1.007798706190963</v>
      </c>
      <c r="N75" s="17" t="n">
        <v>1</v>
      </c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3">
        <f>SUMPRODUCT(N75:Y75,$N$2:$Y$2)*$K75*$L75*$M75</f>
        <v/>
      </c>
      <c r="AA75" s="14">
        <f>SUM(N75:Y75)</f>
        <v/>
      </c>
      <c r="AB75" s="14">
        <f>IFERROR(IF(UPPER($E75)="L",SUMPRODUCT(N75:Y75,$N$3:$Y$3,$N$2:$Y$2),SUMPRODUCT(N75:Y75,$N$4:$Y$4,$N$2:$Y$2))/(Z75/($K75*$L75*$M75)),"")</f>
        <v/>
      </c>
      <c r="AC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inlineStr">
        <is>
          <t>CF</t>
        </is>
      </c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1" t="n">
        <v>1</v>
      </c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>
        <v>1</v>
      </c>
      <c r="X76" s="17" t="n"/>
      <c r="Y76" s="17" t="n"/>
      <c r="Z76" s="13">
        <f>SUMPRODUCT(N76:Y76,$N$2:$Y$2)*$K76*$L76*$M76</f>
        <v/>
      </c>
      <c r="AA76" s="14">
        <f>SUM(N76:Y76)</f>
        <v/>
      </c>
      <c r="AB76" s="14">
        <f>IFERROR(IF(UPPER($E76)="L",SUMPRODUCT(N76:Y76,$N$3:$Y$3,$N$2:$Y$2),SUMPRODUCT(N76:Y76,$N$4:$Y$4,$N$2:$Y$2))/(Z76/($K76*$L76*$M76)),"")</f>
        <v/>
      </c>
      <c r="AC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inlineStr">
        <is>
          <t>1B</t>
        </is>
      </c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1" t="n">
        <v>0.9112671413697168</v>
      </c>
      <c r="N77" s="17" t="n">
        <v>1</v>
      </c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3">
        <f>SUMPRODUCT(N77:Y77,$N$2:$Y$2)*$K77*$L77*$M77</f>
        <v/>
      </c>
      <c r="AA77" s="14">
        <f>SUM(N77:Y77)</f>
        <v/>
      </c>
      <c r="AB77" s="14">
        <f>IFERROR(IF(UPPER($E77)="L",SUMPRODUCT(N77:Y77,$N$3:$Y$3,$N$2:$Y$2),SUMPRODUCT(N77:Y77,$N$4:$Y$4,$N$2:$Y$2))/(Z77/($K77*$L77*$M77)),"")</f>
        <v/>
      </c>
      <c r="AC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inlineStr">
        <is>
          <t>LF</t>
        </is>
      </c>
      <c r="G78" s="9" t="n">
        <v>468</v>
      </c>
      <c r="H78" s="9" t="n">
        <v>2602</v>
      </c>
      <c r="I78" s="9" t="inlineStr">
        <is>
          <t>Everyday DH / 1B-DH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1" t="n">
        <v>1.009388504835128</v>
      </c>
      <c r="N78" s="17" t="n"/>
      <c r="O78" s="17" t="n">
        <v>1</v>
      </c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3">
        <f>SUMPRODUCT(N78:Y78,$N$2:$Y$2)*$K78*$L78*$M78</f>
        <v/>
      </c>
      <c r="AA78" s="14">
        <f>SUM(N78:Y78)</f>
        <v/>
      </c>
      <c r="AB78" s="14">
        <f>IFERROR(IF(UPPER($E78)="L",SUMPRODUCT(N78:Y78,$N$3:$Y$3,$N$2:$Y$2),SUMPRODUCT(N78:Y78,$N$4:$Y$4,$N$2:$Y$2))/(Z78/($K78*$L78*$M78)),"")</f>
        <v/>
      </c>
      <c r="AC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inlineStr">
        <is>
          <t>1B</t>
        </is>
      </c>
      <c r="G79" s="9" t="n">
        <v>11</v>
      </c>
      <c r="H79" s="9" t="n">
        <v>1694</v>
      </c>
      <c r="I79" s="9" t="inlineStr">
        <is>
          <t>Bench Bat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1" t="n">
        <v>0.797157693238937</v>
      </c>
      <c r="N79" s="17" t="n"/>
      <c r="O79" s="17" t="n"/>
      <c r="P79" s="17" t="n"/>
      <c r="Q79" s="17" t="n"/>
      <c r="R79" s="17" t="n"/>
      <c r="S79" s="17" t="n"/>
      <c r="T79" s="17" t="n"/>
      <c r="U79" s="17" t="n">
        <v>0.4</v>
      </c>
      <c r="V79" s="17" t="n"/>
      <c r="W79" s="17" t="n">
        <v>0.6</v>
      </c>
      <c r="X79" s="17" t="n"/>
      <c r="Y79" s="17" t="n"/>
      <c r="Z79" s="13">
        <f>SUMPRODUCT(N79:Y79,$N$2:$Y$2)*$K79*$L79*$M79</f>
        <v/>
      </c>
      <c r="AA79" s="14">
        <f>SUM(N79:Y79)</f>
        <v/>
      </c>
      <c r="AB79" s="14">
        <f>IFERROR(IF(UPPER($E79)="L",SUMPRODUCT(N79:Y79,$N$3:$Y$3,$N$2:$Y$2),SUMPRODUCT(N79:Y79,$N$4:$Y$4,$N$2:$Y$2))/(Z79/($K79*$L79*$M79)),"")</f>
        <v/>
      </c>
      <c r="AC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inlineStr">
        <is>
          <t>C</t>
        </is>
      </c>
      <c r="G80" s="9" t="n">
        <v>467</v>
      </c>
      <c r="H80" s="9" t="n">
        <v>2167</v>
      </c>
      <c r="I80" s="9" t="inlineStr">
        <is>
          <t>Everyday DH / 1B-DH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1" t="n">
        <v>0.9704913722552642</v>
      </c>
      <c r="N80" s="17" t="n"/>
      <c r="O80" s="17" t="n">
        <v>1</v>
      </c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3">
        <f>SUMPRODUCT(N80:Y80,$N$2:$Y$2)*$K80*$L80*$M80</f>
        <v/>
      </c>
      <c r="AA80" s="14">
        <f>SUM(N80:Y80)</f>
        <v/>
      </c>
      <c r="AB80" s="14">
        <f>IFERROR(IF(UPPER($E80)="L",SUMPRODUCT(N80:Y80,$N$3:$Y$3,$N$2:$Y$2),SUMPRODUCT(N80:Y80,$N$4:$Y$4,$N$2:$Y$2))/(Z80/($K80*$L80*$M80)),"")</f>
        <v/>
      </c>
      <c r="AC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inlineStr">
        <is>
          <t>1B</t>
        </is>
      </c>
      <c r="G81" s="9" t="n">
        <v>317</v>
      </c>
      <c r="H81" s="9" t="n">
        <v>1834</v>
      </c>
      <c r="I81" s="9" t="inlineStr">
        <is>
          <t>Full Time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1" t="n">
        <v>0.853956987440264</v>
      </c>
      <c r="N81" s="17" t="n">
        <v>1</v>
      </c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3">
        <f>SUMPRODUCT(N81:Y81,$N$2:$Y$2)*$K81*$L81*$M81</f>
        <v/>
      </c>
      <c r="AA81" s="14">
        <f>SUM(N81:Y81)</f>
        <v/>
      </c>
      <c r="AB81" s="14">
        <f>IFERROR(IF(UPPER($E81)="L",SUMPRODUCT(N81:Y81,$N$3:$Y$3,$N$2:$Y$2),SUMPRODUCT(N81:Y81,$N$4:$Y$4,$N$2:$Y$2))/(Z81/($K81*$L81*$M81)),"")</f>
        <v/>
      </c>
      <c r="AC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inlineStr">
        <is>
          <t>RF</t>
        </is>
      </c>
      <c r="G82" s="9" t="n">
        <v>623</v>
      </c>
      <c r="H82" s="9" t="n">
        <v>1648</v>
      </c>
      <c r="I82" s="9" t="inlineStr">
        <is>
          <t>Everyday DH / 1B-DH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1" t="n">
        <v>1.06942538338231</v>
      </c>
      <c r="N82" s="17" t="n"/>
      <c r="O82" s="17" t="n">
        <v>1</v>
      </c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3">
        <f>SUMPRODUCT(N82:Y82,$N$2:$Y$2)*$K82*$L82*$M82</f>
        <v/>
      </c>
      <c r="AA82" s="14">
        <f>SUM(N82:Y82)</f>
        <v/>
      </c>
      <c r="AB82" s="14">
        <f>IFERROR(IF(UPPER($E82)="L",SUMPRODUCT(N82:Y82,$N$3:$Y$3,$N$2:$Y$2),SUMPRODUCT(N82:Y82,$N$4:$Y$4,$N$2:$Y$2))/(Z82/($K82*$L82*$M82)),"")</f>
        <v/>
      </c>
      <c r="AC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inlineStr">
        <is>
          <t>3B</t>
        </is>
      </c>
      <c r="G83" s="9" t="n">
        <v>130</v>
      </c>
      <c r="H83" s="9" t="n">
        <v>1254</v>
      </c>
      <c r="I83" s="9" t="inlineStr">
        <is>
          <t>Bench Bat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1" t="n">
        <v>1</v>
      </c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>
        <v>0.7</v>
      </c>
      <c r="X83" s="17" t="n">
        <v>0.3</v>
      </c>
      <c r="Y83" s="17" t="n"/>
      <c r="Z83" s="13">
        <f>SUMPRODUCT(N83:Y83,$N$2:$Y$2)*$K83*$L83*$M83</f>
        <v/>
      </c>
      <c r="AA83" s="14">
        <f>SUM(N83:Y83)</f>
        <v/>
      </c>
      <c r="AB83" s="14">
        <f>IFERROR(IF(UPPER($E83)="L",SUMPRODUCT(N83:Y83,$N$3:$Y$3,$N$2:$Y$2),SUMPRODUCT(N83:Y83,$N$4:$Y$4,$N$2:$Y$2))/(Z83/($K83*$L83*$M83)),"")</f>
        <v/>
      </c>
      <c r="AC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inlineStr">
        <is>
          <t>2B</t>
        </is>
      </c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1" t="n">
        <v>1.050296418553035</v>
      </c>
      <c r="N84" s="17" t="n">
        <v>0.85</v>
      </c>
      <c r="O84" s="17" t="n"/>
      <c r="P84" s="17" t="n">
        <v>0.15</v>
      </c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3">
        <f>SUMPRODUCT(N84:Y84,$N$2:$Y$2)*$K84*$L84*$M84</f>
        <v/>
      </c>
      <c r="AA84" s="14">
        <f>SUM(N84:Y84)</f>
        <v/>
      </c>
      <c r="AB84" s="14">
        <f>IFERROR(IF(UPPER($E84)="L",SUMPRODUCT(N84:Y84,$N$3:$Y$3,$N$2:$Y$2),SUMPRODUCT(N84:Y84,$N$4:$Y$4,$N$2:$Y$2))/(Z84/($K84*$L84*$M84)),"")</f>
        <v/>
      </c>
      <c r="AC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inlineStr">
        <is>
          <t>1B</t>
        </is>
      </c>
      <c r="G85" s="9" t="n">
        <v>512</v>
      </c>
      <c r="H85" s="9" t="n">
        <v>1309</v>
      </c>
      <c r="I85" s="9" t="inlineStr">
        <is>
          <t>Everyday DH / 1B-DH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1" t="n">
        <v>0.999241426770816</v>
      </c>
      <c r="N85" s="17" t="n"/>
      <c r="O85" s="17" t="n">
        <v>1</v>
      </c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3">
        <f>SUMPRODUCT(N85:Y85,$N$2:$Y$2)*$K85*$L85*$M85</f>
        <v/>
      </c>
      <c r="AA85" s="14">
        <f>SUM(N85:Y85)</f>
        <v/>
      </c>
      <c r="AB85" s="14">
        <f>IFERROR(IF(UPPER($E85)="L",SUMPRODUCT(N85:Y85,$N$3:$Y$3,$N$2:$Y$2),SUMPRODUCT(N85:Y85,$N$4:$Y$4,$N$2:$Y$2))/(Z85/($K85*$L85*$M85)),"")</f>
        <v/>
      </c>
      <c r="AC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inlineStr">
        <is>
          <t>SS</t>
        </is>
      </c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1" t="n">
        <v>1</v>
      </c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>
        <v>1</v>
      </c>
      <c r="X86" s="17" t="n"/>
      <c r="Y86" s="17" t="n"/>
      <c r="Z86" s="13">
        <f>SUMPRODUCT(N86:Y86,$N$2:$Y$2)*$K86*$L86*$M86</f>
        <v/>
      </c>
      <c r="AA86" s="14">
        <f>SUM(N86:Y86)</f>
        <v/>
      </c>
      <c r="AB86" s="14">
        <f>IFERROR(IF(UPPER($E86)="L",SUMPRODUCT(N86:Y86,$N$3:$Y$3,$N$2:$Y$2),SUMPRODUCT(N86:Y86,$N$4:$Y$4,$N$2:$Y$2))/(Z86/($K86*$L86*$M86)),"")</f>
        <v/>
      </c>
      <c r="AC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inlineStr">
        <is>
          <t>LF</t>
        </is>
      </c>
      <c r="G87" s="9" t="n">
        <v>206</v>
      </c>
      <c r="H87" s="9" t="n">
        <v>1790</v>
      </c>
      <c r="I87" s="9" t="inlineStr">
        <is>
          <t>Bench Bat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1" t="n">
        <v>1.014552508612116</v>
      </c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>
        <v>0.85</v>
      </c>
      <c r="X87" s="17" t="n">
        <v>0.15</v>
      </c>
      <c r="Y87" s="17" t="n"/>
      <c r="Z87" s="13">
        <f>SUMPRODUCT(N87:Y87,$N$2:$Y$2)*$K87*$L87*$M87</f>
        <v/>
      </c>
      <c r="AA87" s="14">
        <f>SUM(N87:Y87)</f>
        <v/>
      </c>
      <c r="AB87" s="14">
        <f>IFERROR(IF(UPPER($E87)="L",SUMPRODUCT(N87:Y87,$N$3:$Y$3,$N$2:$Y$2),SUMPRODUCT(N87:Y87,$N$4:$Y$4,$N$2:$Y$2))/(Z87/($K87*$L87*$M87)),"")</f>
        <v/>
      </c>
      <c r="AC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inlineStr">
        <is>
          <t>SS</t>
        </is>
      </c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1" t="n">
        <v>1.044346738822345</v>
      </c>
      <c r="N88" s="17" t="n">
        <v>1</v>
      </c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3">
        <f>SUMPRODUCT(N88:Y88,$N$2:$Y$2)*$K88*$L88*$M88</f>
        <v/>
      </c>
      <c r="AA88" s="14">
        <f>SUM(N88:Y88)</f>
        <v/>
      </c>
      <c r="AB88" s="14">
        <f>IFERROR(IF(UPPER($E88)="L",SUMPRODUCT(N88:Y88,$N$3:$Y$3,$N$2:$Y$2),SUMPRODUCT(N88:Y88,$N$4:$Y$4,$N$2:$Y$2))/(Z88/($K88*$L88*$M88)),"")</f>
        <v/>
      </c>
      <c r="AC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inlineStr">
        <is>
          <t>3B</t>
        </is>
      </c>
      <c r="G89" s="9" t="n">
        <v>213</v>
      </c>
      <c r="H89" s="9" t="n">
        <v>714</v>
      </c>
      <c r="I89" s="9" t="inlineStr">
        <is>
          <t>Full Time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1" t="n">
        <v>1</v>
      </c>
      <c r="N89" s="17" t="n">
        <v>0.85</v>
      </c>
      <c r="O89" s="17" t="n"/>
      <c r="P89" s="17" t="n">
        <v>0.15</v>
      </c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3">
        <f>SUMPRODUCT(N89:Y89,$N$2:$Y$2)*$K89*$L89*$M89</f>
        <v/>
      </c>
      <c r="AA89" s="14">
        <f>SUM(N89:Y89)</f>
        <v/>
      </c>
      <c r="AB89" s="14">
        <f>IFERROR(IF(UPPER($E89)="L",SUMPRODUCT(N89:Y89,$N$3:$Y$3,$N$2:$Y$2),SUMPRODUCT(N89:Y89,$N$4:$Y$4,$N$2:$Y$2))/(Z89/($K89*$L89*$M89)),"")</f>
        <v/>
      </c>
      <c r="AC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inlineStr">
        <is>
          <t>1B</t>
        </is>
      </c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1" t="n">
        <v>1</v>
      </c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>
        <v>1</v>
      </c>
      <c r="Z90" s="13">
        <f>SUMPRODUCT(N90:Y90,$N$2:$Y$2)*$K90*$L90*$M90</f>
        <v/>
      </c>
      <c r="AA90" s="14">
        <f>SUM(N90:Y90)</f>
        <v/>
      </c>
      <c r="AB90" s="14">
        <f>IFERROR(IF(UPPER($E90)="L",SUMPRODUCT(N90:Y90,$N$3:$Y$3,$N$2:$Y$2),SUMPRODUCT(N90:Y90,$N$4:$Y$4,$N$2:$Y$2))/(Z90/($K90*$L90*$M90)),"")</f>
        <v/>
      </c>
      <c r="AC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inlineStr">
        <is>
          <t>CF</t>
        </is>
      </c>
      <c r="G91" s="9" t="n">
        <v>289</v>
      </c>
      <c r="H91" s="9" t="n">
        <v>289</v>
      </c>
      <c r="I91" s="9" t="inlineStr">
        <is>
          <t>Full Time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1" t="n">
        <v>1</v>
      </c>
      <c r="N91" s="17" t="n">
        <v>0.7</v>
      </c>
      <c r="O91" s="17" t="n"/>
      <c r="P91" s="17" t="n">
        <v>0.3</v>
      </c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3">
        <f>SUMPRODUCT(N91:Y91,$N$2:$Y$2)*$K91*$L91*$M91</f>
        <v/>
      </c>
      <c r="AA91" s="14">
        <f>SUM(N91:Y91)</f>
        <v/>
      </c>
      <c r="AB91" s="14">
        <f>IFERROR(IF(UPPER($E91)="L",SUMPRODUCT(N91:Y91,$N$3:$Y$3,$N$2:$Y$2),SUMPRODUCT(N91:Y91,$N$4:$Y$4,$N$2:$Y$2))/(Z91/($K91*$L91*$M91)),"")</f>
        <v/>
      </c>
      <c r="AC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inlineStr">
        <is>
          <t>1B</t>
        </is>
      </c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1" t="n">
        <v>1</v>
      </c>
      <c r="N92" s="17" t="n"/>
      <c r="O92" s="17" t="n"/>
      <c r="P92" s="17" t="n"/>
      <c r="Q92" s="17" t="n"/>
      <c r="R92" s="17" t="n"/>
      <c r="S92" s="17" t="n"/>
      <c r="T92" s="17" t="n"/>
      <c r="U92" s="17" t="n">
        <v>0.4</v>
      </c>
      <c r="V92" s="17" t="n"/>
      <c r="W92" s="17" t="n">
        <v>0.6</v>
      </c>
      <c r="X92" s="17" t="n"/>
      <c r="Y92" s="17" t="n"/>
      <c r="Z92" s="13">
        <f>SUMPRODUCT(N92:Y92,$N$2:$Y$2)*$K92*$L92*$M92</f>
        <v/>
      </c>
      <c r="AA92" s="14">
        <f>SUM(N92:Y92)</f>
        <v/>
      </c>
      <c r="AB92" s="14">
        <f>IFERROR(IF(UPPER($E92)="L",SUMPRODUCT(N92:Y92,$N$3:$Y$3,$N$2:$Y$2),SUMPRODUCT(N92:Y92,$N$4:$Y$4,$N$2:$Y$2))/(Z92/($K92*$L92*$M92)),"")</f>
        <v/>
      </c>
      <c r="AC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inlineStr">
        <is>
          <t>LF</t>
        </is>
      </c>
      <c r="G93" s="9" t="n">
        <v>116</v>
      </c>
      <c r="H93" s="9" t="n">
        <v>116</v>
      </c>
      <c r="I93" s="9" t="inlineStr">
        <is>
          <t>Weak Side Platoon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1" t="n">
        <v>1</v>
      </c>
      <c r="N93" s="17" t="n"/>
      <c r="O93" s="17" t="n"/>
      <c r="P93" s="17" t="n"/>
      <c r="Q93" s="17" t="n">
        <v>0.6</v>
      </c>
      <c r="R93" s="17" t="n"/>
      <c r="S93" s="17" t="n"/>
      <c r="T93" s="17" t="n"/>
      <c r="U93" s="17" t="n">
        <v>0.4</v>
      </c>
      <c r="V93" s="17" t="n"/>
      <c r="W93" s="17" t="n"/>
      <c r="X93" s="17" t="n"/>
      <c r="Y93" s="17" t="n"/>
      <c r="Z93" s="13">
        <f>SUMPRODUCT(N93:Y93,$N$2:$Y$2)*$K93*$L93*$M93</f>
        <v/>
      </c>
      <c r="AA93" s="14">
        <f>SUM(N93:Y93)</f>
        <v/>
      </c>
      <c r="AB93" s="14">
        <f>IFERROR(IF(UPPER($E93)="L",SUMPRODUCT(N93:Y93,$N$3:$Y$3,$N$2:$Y$2),SUMPRODUCT(N93:Y93,$N$4:$Y$4,$N$2:$Y$2))/(Z93/($K93*$L93*$M93)),"")</f>
        <v/>
      </c>
      <c r="AC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inlineStr">
        <is>
          <t>C</t>
        </is>
      </c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1" t="n">
        <v>1</v>
      </c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>
        <v>1</v>
      </c>
      <c r="Z94" s="13">
        <f>SUMPRODUCT(N94:Y94,$N$2:$Y$2)*$K94*$L94*$M94</f>
        <v/>
      </c>
      <c r="AA94" s="14">
        <f>SUM(N94:Y94)</f>
        <v/>
      </c>
      <c r="AB94" s="14">
        <f>IFERROR(IF(UPPER($E94)="L",SUMPRODUCT(N94:Y94,$N$3:$Y$3,$N$2:$Y$2),SUMPRODUCT(N94:Y94,$N$4:$Y$4,$N$2:$Y$2))/(Z94/($K94*$L94*$M94)),"")</f>
        <v/>
      </c>
      <c r="AC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inlineStr">
        <is>
          <t>1B</t>
        </is>
      </c>
      <c r="G95" s="9" t="n">
        <v>356</v>
      </c>
      <c r="H95" s="9" t="n">
        <v>1043</v>
      </c>
      <c r="I95" s="9" t="inlineStr">
        <is>
          <t>Everyday DH / 1B-DH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1" t="n">
        <v>0.8977706461276921</v>
      </c>
      <c r="N95" s="17" t="n"/>
      <c r="O95" s="17" t="n">
        <v>1</v>
      </c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3">
        <f>SUMPRODUCT(N95:Y95,$N$2:$Y$2)*$K95*$L95*$M95</f>
        <v/>
      </c>
      <c r="AA95" s="14">
        <f>SUM(N95:Y95)</f>
        <v/>
      </c>
      <c r="AB95" s="14">
        <f>IFERROR(IF(UPPER($E95)="L",SUMPRODUCT(N95:Y95,$N$3:$Y$3,$N$2:$Y$2),SUMPRODUCT(N95:Y95,$N$4:$Y$4,$N$2:$Y$2))/(Z95/($K95*$L95*$M95)),"")</f>
        <v/>
      </c>
      <c r="AC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inlineStr">
        <is>
          <t>LF</t>
        </is>
      </c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1" t="n">
        <v>0.9779814181755064</v>
      </c>
      <c r="N96" s="17" t="n"/>
      <c r="O96" s="17" t="n"/>
      <c r="P96" s="17" t="n"/>
      <c r="Q96" s="17" t="n"/>
      <c r="R96" s="17" t="n"/>
      <c r="S96" s="17" t="n"/>
      <c r="T96" s="17" t="n"/>
      <c r="U96" s="17" t="n">
        <v>0.4</v>
      </c>
      <c r="V96" s="17" t="n"/>
      <c r="W96" s="17" t="n">
        <v>0.6</v>
      </c>
      <c r="X96" s="17" t="n"/>
      <c r="Y96" s="17" t="n"/>
      <c r="Z96" s="13">
        <f>SUMPRODUCT(N96:Y96,$N$2:$Y$2)*$K96*$L96*$M96</f>
        <v/>
      </c>
      <c r="AA96" s="14">
        <f>SUM(N96:Y96)</f>
        <v/>
      </c>
      <c r="AB96" s="14">
        <f>IFERROR(IF(UPPER($E96)="L",SUMPRODUCT(N96:Y96,$N$3:$Y$3,$N$2:$Y$2),SUMPRODUCT(N96:Y96,$N$4:$Y$4,$N$2:$Y$2))/(Z96/($K96*$L96*$M96)),"")</f>
        <v/>
      </c>
      <c r="AC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inlineStr">
        <is>
          <t>LF</t>
        </is>
      </c>
      <c r="G97" s="9" t="n">
        <v>48</v>
      </c>
      <c r="H97" s="9" t="n">
        <v>48</v>
      </c>
      <c r="I97" s="9" t="inlineStr">
        <is>
          <t>Full Time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1" t="n">
        <v>1</v>
      </c>
      <c r="N97" s="17" t="n">
        <v>0.62</v>
      </c>
      <c r="O97" s="17" t="n"/>
      <c r="P97" s="17" t="n">
        <v>0.38</v>
      </c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3">
        <f>SUMPRODUCT(N97:Y97,$N$2:$Y$2)*$K97*$L97*$M97</f>
        <v/>
      </c>
      <c r="AA97" s="14">
        <f>SUM(N97:Y97)</f>
        <v/>
      </c>
      <c r="AB97" s="14">
        <f>IFERROR(IF(UPPER($E97)="L",SUMPRODUCT(N97:Y97,$N$3:$Y$3,$N$2:$Y$2),SUMPRODUCT(N97:Y97,$N$4:$Y$4,$N$2:$Y$2))/(Z97/($K97*$L97*$M97)),"")</f>
        <v/>
      </c>
      <c r="AC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inlineStr">
        <is>
          <t>2B</t>
        </is>
      </c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1" t="n">
        <v>1.073245183228553</v>
      </c>
      <c r="N98" s="17" t="n">
        <v>0.7</v>
      </c>
      <c r="O98" s="17" t="n"/>
      <c r="P98" s="17" t="n">
        <v>0.3</v>
      </c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3">
        <f>SUMPRODUCT(N98:Y98,$N$2:$Y$2)*$K98*$L98*$M98</f>
        <v/>
      </c>
      <c r="AA98" s="14">
        <f>SUM(N98:Y98)</f>
        <v/>
      </c>
      <c r="AB98" s="14">
        <f>IFERROR(IF(UPPER($E98)="L",SUMPRODUCT(N98:Y98,$N$3:$Y$3,$N$2:$Y$2),SUMPRODUCT(N98:Y98,$N$4:$Y$4,$N$2:$Y$2))/(Z98/($K98*$L98*$M98)),"")</f>
        <v/>
      </c>
      <c r="AC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inlineStr">
        <is>
          <t>2B</t>
        </is>
      </c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1" t="n">
        <v>1</v>
      </c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>
        <v>1</v>
      </c>
      <c r="Z99" s="13">
        <f>SUMPRODUCT(N99:Y99,$N$2:$Y$2)*$K99*$L99*$M99</f>
        <v/>
      </c>
      <c r="AA99" s="14">
        <f>SUM(N99:Y99)</f>
        <v/>
      </c>
      <c r="AB99" s="14">
        <f>IFERROR(IF(UPPER($E99)="L",SUMPRODUCT(N99:Y99,$N$3:$Y$3,$N$2:$Y$2),SUMPRODUCT(N99:Y99,$N$4:$Y$4,$N$2:$Y$2))/(Z99/($K99*$L99*$M99)),"")</f>
        <v/>
      </c>
      <c r="AC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inlineStr">
        <is>
          <t>1B</t>
        </is>
      </c>
      <c r="G100" s="9" t="n">
        <v>295</v>
      </c>
      <c r="H100" s="9" t="n">
        <v>1486</v>
      </c>
      <c r="I100" s="9" t="inlineStr">
        <is>
          <t>Everyday DH / 1B-DH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1" t="n">
        <v>0.8833956188699161</v>
      </c>
      <c r="N100" s="17" t="n"/>
      <c r="O100" s="17" t="n">
        <v>0.7</v>
      </c>
      <c r="P100" s="17" t="n"/>
      <c r="Q100" s="17" t="n"/>
      <c r="R100" s="17" t="n"/>
      <c r="S100" s="17" t="n"/>
      <c r="T100" s="17" t="n"/>
      <c r="U100" s="17" t="n"/>
      <c r="V100" s="17" t="n"/>
      <c r="W100" s="17" t="n">
        <v>0.3</v>
      </c>
      <c r="X100" s="17" t="n"/>
      <c r="Y100" s="17" t="n"/>
      <c r="Z100" s="13">
        <f>SUMPRODUCT(N100:Y100,$N$2:$Y$2)*$K100*$L100*$M100</f>
        <v/>
      </c>
      <c r="AA100" s="14">
        <f>SUM(N100:Y100)</f>
        <v/>
      </c>
      <c r="AB100" s="14">
        <f>IFERROR(IF(UPPER($E100)="L",SUMPRODUCT(N100:Y100,$N$3:$Y$3,$N$2:$Y$2),SUMPRODUCT(N100:Y100,$N$4:$Y$4,$N$2:$Y$2))/(Z100/($K100*$L100*$M100)),"")</f>
        <v/>
      </c>
      <c r="AC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inlineStr">
        <is>
          <t>LF</t>
        </is>
      </c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1" t="n">
        <v>0.9486651282483398</v>
      </c>
      <c r="N101" s="17" t="n">
        <v>0.9</v>
      </c>
      <c r="O101" s="17" t="n"/>
      <c r="P101" s="17" t="n">
        <v>0.1</v>
      </c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3">
        <f>SUMPRODUCT(N101:Y101,$N$2:$Y$2)*$K101*$L101*$M101</f>
        <v/>
      </c>
      <c r="AA101" s="14">
        <f>SUM(N101:Y101)</f>
        <v/>
      </c>
      <c r="AB101" s="14">
        <f>IFERROR(IF(UPPER($E101)="L",SUMPRODUCT(N101:Y101,$N$3:$Y$3,$N$2:$Y$2),SUMPRODUCT(N101:Y101,$N$4:$Y$4,$N$2:$Y$2))/(Z101/($K101*$L101*$M101)),"")</f>
        <v/>
      </c>
      <c r="AC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inlineStr">
        <is>
          <t>RF</t>
        </is>
      </c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1" t="n">
        <v>1</v>
      </c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>
        <v>0.4</v>
      </c>
      <c r="W102" s="17" t="n">
        <v>0.6</v>
      </c>
      <c r="X102" s="17" t="n"/>
      <c r="Y102" s="17" t="n"/>
      <c r="Z102" s="13">
        <f>SUMPRODUCT(N102:Y102,$N$2:$Y$2)*$K102*$L102*$M102</f>
        <v/>
      </c>
      <c r="AA102" s="14">
        <f>SUM(N102:Y102)</f>
        <v/>
      </c>
      <c r="AB102" s="14">
        <f>IFERROR(IF(UPPER($E102)="L",SUMPRODUCT(N102:Y102,$N$3:$Y$3,$N$2:$Y$2),SUMPRODUCT(N102:Y102,$N$4:$Y$4,$N$2:$Y$2))/(Z102/($K102*$L102*$M102)),"")</f>
        <v/>
      </c>
      <c r="AC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inlineStr">
        <is>
          <t>LF</t>
        </is>
      </c>
      <c r="G103" s="9" t="n">
        <v>214</v>
      </c>
      <c r="H103" s="9" t="n">
        <v>876</v>
      </c>
      <c r="I103" s="9" t="inlineStr">
        <is>
          <t>Weak Side Platoon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1" t="n">
        <v>0.9072640354346196</v>
      </c>
      <c r="N103" s="17" t="n"/>
      <c r="O103" s="17" t="n"/>
      <c r="P103" s="17" t="n"/>
      <c r="Q103" s="17" t="n">
        <v>0.6</v>
      </c>
      <c r="R103" s="17" t="n"/>
      <c r="S103" s="17" t="n"/>
      <c r="T103" s="17" t="n"/>
      <c r="U103" s="17" t="n">
        <v>0.4</v>
      </c>
      <c r="V103" s="17" t="n"/>
      <c r="W103" s="17" t="n"/>
      <c r="X103" s="17" t="n"/>
      <c r="Y103" s="17" t="n"/>
      <c r="Z103" s="13">
        <f>SUMPRODUCT(N103:Y103,$N$2:$Y$2)*$K103*$L103*$M103</f>
        <v/>
      </c>
      <c r="AA103" s="14">
        <f>SUM(N103:Y103)</f>
        <v/>
      </c>
      <c r="AB103" s="14">
        <f>IFERROR(IF(UPPER($E103)="L",SUMPRODUCT(N103:Y103,$N$3:$Y$3,$N$2:$Y$2),SUMPRODUCT(N103:Y103,$N$4:$Y$4,$N$2:$Y$2))/(Z103/($K103*$L103*$M103)),"")</f>
        <v/>
      </c>
      <c r="AC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inlineStr">
        <is>
          <t>LF</t>
        </is>
      </c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1" t="n">
        <v>0.9143037389944058</v>
      </c>
      <c r="N104" s="17" t="n">
        <v>1</v>
      </c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3">
        <f>SUMPRODUCT(N104:Y104,$N$2:$Y$2)*$K104*$L104*$M104</f>
        <v/>
      </c>
      <c r="AA104" s="14">
        <f>SUM(N104:Y104)</f>
        <v/>
      </c>
      <c r="AB104" s="14">
        <f>IFERROR(IF(UPPER($E104)="L",SUMPRODUCT(N104:Y104,$N$3:$Y$3,$N$2:$Y$2),SUMPRODUCT(N104:Y104,$N$4:$Y$4,$N$2:$Y$2))/(Z104/($K104*$L104*$M104)),"")</f>
        <v/>
      </c>
      <c r="AC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inlineStr">
        <is>
          <t>RF</t>
        </is>
      </c>
      <c r="G105" s="9" t="n">
        <v>129</v>
      </c>
      <c r="H105" s="9" t="n">
        <v>1065</v>
      </c>
      <c r="I105" s="9" t="inlineStr">
        <is>
          <t>Weak Side Platoon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1" t="n">
        <v>1</v>
      </c>
      <c r="N105" s="17" t="n"/>
      <c r="O105" s="17" t="n"/>
      <c r="P105" s="17" t="n"/>
      <c r="Q105" s="17" t="n">
        <v>1</v>
      </c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3">
        <f>SUMPRODUCT(N105:Y105,$N$2:$Y$2)*$K105*$L105*$M105</f>
        <v/>
      </c>
      <c r="AA105" s="14">
        <f>SUM(N105:Y105)</f>
        <v/>
      </c>
      <c r="AB105" s="14">
        <f>IFERROR(IF(UPPER($E105)="L",SUMPRODUCT(N105:Y105,$N$3:$Y$3,$N$2:$Y$2),SUMPRODUCT(N105:Y105,$N$4:$Y$4,$N$2:$Y$2))/(Z105/($K105*$L105*$M105)),"")</f>
        <v/>
      </c>
      <c r="AC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inlineStr">
        <is>
          <t>3B</t>
        </is>
      </c>
      <c r="G106" s="9" t="n">
        <v>20</v>
      </c>
      <c r="H106" s="9" t="n">
        <v>1617</v>
      </c>
      <c r="I106" s="9" t="inlineStr">
        <is>
          <t>Full Time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1" t="n">
        <v>0.55</v>
      </c>
      <c r="N106" s="17" t="n">
        <v>1</v>
      </c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3">
        <f>SUMPRODUCT(N106:Y106,$N$2:$Y$2)*$K106*$L106*$M106</f>
        <v/>
      </c>
      <c r="AA106" s="14">
        <f>SUM(N106:Y106)</f>
        <v/>
      </c>
      <c r="AB106" s="14">
        <f>IFERROR(IF(UPPER($E106)="L",SUMPRODUCT(N106:Y106,$N$3:$Y$3,$N$2:$Y$2),SUMPRODUCT(N106:Y106,$N$4:$Y$4,$N$2:$Y$2))/(Z106/($K106*$L106*$M106)),"")</f>
        <v/>
      </c>
      <c r="AC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inlineStr">
        <is>
          <t>1B</t>
        </is>
      </c>
      <c r="G107" s="9" t="n">
        <v>432</v>
      </c>
      <c r="H107" s="9" t="n">
        <v>2045</v>
      </c>
      <c r="I107" s="9" t="inlineStr">
        <is>
          <t>Bench Bat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1" t="n">
        <v>1.137472007024053</v>
      </c>
      <c r="N107" s="17" t="n"/>
      <c r="O107" s="17" t="n">
        <v>0.4</v>
      </c>
      <c r="P107" s="17" t="n"/>
      <c r="Q107" s="17" t="n"/>
      <c r="R107" s="17" t="n"/>
      <c r="S107" s="17" t="n"/>
      <c r="T107" s="17" t="n"/>
      <c r="U107" s="17" t="n"/>
      <c r="V107" s="17" t="n"/>
      <c r="W107" s="17" t="n">
        <v>0.6</v>
      </c>
      <c r="X107" s="17" t="n"/>
      <c r="Y107" s="17" t="n"/>
      <c r="Z107" s="13">
        <f>SUMPRODUCT(N107:Y107,$N$2:$Y$2)*$K107*$L107*$M107</f>
        <v/>
      </c>
      <c r="AA107" s="14">
        <f>SUM(N107:Y107)</f>
        <v/>
      </c>
      <c r="AB107" s="14">
        <f>IFERROR(IF(UPPER($E107)="L",SUMPRODUCT(N107:Y107,$N$3:$Y$3,$N$2:$Y$2),SUMPRODUCT(N107:Y107,$N$4:$Y$4,$N$2:$Y$2))/(Z107/($K107*$L107*$M107)),"")</f>
        <v/>
      </c>
      <c r="AC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inlineStr">
        <is>
          <t>1B</t>
        </is>
      </c>
      <c r="G108" s="9" t="n">
        <v>112</v>
      </c>
      <c r="H108" s="9" t="n">
        <v>952</v>
      </c>
      <c r="I108" s="9" t="inlineStr">
        <is>
          <t>Full Time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1" t="n">
        <v>1</v>
      </c>
      <c r="N108" s="17" t="n">
        <v>1</v>
      </c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3">
        <f>SUMPRODUCT(N108:Y108,$N$2:$Y$2)*$K108*$L108*$M108</f>
        <v/>
      </c>
      <c r="AA108" s="14">
        <f>SUM(N108:Y108)</f>
        <v/>
      </c>
      <c r="AB108" s="14">
        <f>IFERROR(IF(UPPER($E108)="L",SUMPRODUCT(N108:Y108,$N$3:$Y$3,$N$2:$Y$2),SUMPRODUCT(N108:Y108,$N$4:$Y$4,$N$2:$Y$2))/(Z108/($K108*$L108*$M108)),"")</f>
        <v/>
      </c>
      <c r="AC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inlineStr">
        <is>
          <t>LF</t>
        </is>
      </c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1" t="n">
        <v>1</v>
      </c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>
        <v>1</v>
      </c>
      <c r="Z109" s="13">
        <f>SUMPRODUCT(N109:Y109,$N$2:$Y$2)*$K109*$L109*$M109</f>
        <v/>
      </c>
      <c r="AA109" s="14">
        <f>SUM(N109:Y109)</f>
        <v/>
      </c>
      <c r="AB109" s="14">
        <f>IFERROR(IF(UPPER($E109)="L",SUMPRODUCT(N109:Y109,$N$3:$Y$3,$N$2:$Y$2),SUMPRODUCT(N109:Y109,$N$4:$Y$4,$N$2:$Y$2))/(Z109/($K109*$L109*$M109)),"")</f>
        <v/>
      </c>
      <c r="AC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inlineStr">
        <is>
          <t>CF</t>
        </is>
      </c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1" t="n">
        <v>1</v>
      </c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>
        <v>0.85</v>
      </c>
      <c r="X110" s="17" t="n">
        <v>0.15</v>
      </c>
      <c r="Y110" s="17" t="n"/>
      <c r="Z110" s="13">
        <f>SUMPRODUCT(N110:Y110,$N$2:$Y$2)*$K110*$L110*$M110</f>
        <v/>
      </c>
      <c r="AA110" s="14">
        <f>SUM(N110:Y110)</f>
        <v/>
      </c>
      <c r="AB110" s="14">
        <f>IFERROR(IF(UPPER($E110)="L",SUMPRODUCT(N110:Y110,$N$3:$Y$3,$N$2:$Y$2),SUMPRODUCT(N110:Y110,$N$4:$Y$4,$N$2:$Y$2))/(Z110/($K110*$L110*$M110)),"")</f>
        <v/>
      </c>
      <c r="AC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inlineStr">
        <is>
          <t>C</t>
        </is>
      </c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1" t="n">
        <v>1</v>
      </c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>
        <v>1</v>
      </c>
      <c r="Z111" s="13">
        <f>SUMPRODUCT(N111:Y111,$N$2:$Y$2)*$K111*$L111*$M111</f>
        <v/>
      </c>
      <c r="AA111" s="14">
        <f>SUM(N111:Y111)</f>
        <v/>
      </c>
      <c r="AB111" s="14">
        <f>IFERROR(IF(UPPER($E111)="L",SUMPRODUCT(N111:Y111,$N$3:$Y$3,$N$2:$Y$2),SUMPRODUCT(N111:Y111,$N$4:$Y$4,$N$2:$Y$2))/(Z111/($K111*$L111*$M111)),"")</f>
        <v/>
      </c>
      <c r="AC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inlineStr">
        <is>
          <t>1B</t>
        </is>
      </c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1" t="n">
        <v>1</v>
      </c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>
        <v>1</v>
      </c>
      <c r="X112" s="17" t="n"/>
      <c r="Y112" s="17" t="n"/>
      <c r="Z112" s="13">
        <f>SUMPRODUCT(N112:Y112,$N$2:$Y$2)*$K112*$L112*$M112</f>
        <v/>
      </c>
      <c r="AA112" s="14">
        <f>SUM(N112:Y112)</f>
        <v/>
      </c>
      <c r="AB112" s="14">
        <f>IFERROR(IF(UPPER($E112)="L",SUMPRODUCT(N112:Y112,$N$3:$Y$3,$N$2:$Y$2),SUMPRODUCT(N112:Y112,$N$4:$Y$4,$N$2:$Y$2))/(Z112/($K112*$L112*$M112)),"")</f>
        <v/>
      </c>
      <c r="AC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inlineStr">
        <is>
          <t>C</t>
        </is>
      </c>
      <c r="G113" s="9" t="n">
        <v>603</v>
      </c>
      <c r="H113" s="9" t="n">
        <v>672</v>
      </c>
      <c r="I113" s="9" t="inlineStr">
        <is>
          <t>Catcher - Primary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1" t="n">
        <v>0.936658523151368</v>
      </c>
      <c r="N113" s="17" t="n"/>
      <c r="O113" s="17" t="n"/>
      <c r="P113" s="17" t="n"/>
      <c r="Q113" s="17" t="n"/>
      <c r="R113" s="17" t="n">
        <v>1</v>
      </c>
      <c r="S113" s="17" t="n"/>
      <c r="T113" s="17" t="n"/>
      <c r="U113" s="17" t="n"/>
      <c r="V113" s="17" t="n"/>
      <c r="W113" s="17" t="n"/>
      <c r="X113" s="17" t="n"/>
      <c r="Y113" s="17" t="n"/>
      <c r="Z113" s="13">
        <f>SUMPRODUCT(N113:Y113,$N$2:$Y$2)*$K113*$L113*$M113</f>
        <v/>
      </c>
      <c r="AA113" s="14">
        <f>SUM(N113:Y113)</f>
        <v/>
      </c>
      <c r="AB113" s="14">
        <f>IFERROR(IF(UPPER($E113)="L",SUMPRODUCT(N113:Y113,$N$3:$Y$3,$N$2:$Y$2),SUMPRODUCT(N113:Y113,$N$4:$Y$4,$N$2:$Y$2))/(Z113/($K113*$L113*$M113)),"")</f>
        <v/>
      </c>
      <c r="AC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inlineStr">
        <is>
          <t>RF</t>
        </is>
      </c>
      <c r="G114" s="9" t="n">
        <v>114</v>
      </c>
      <c r="H114" s="9" t="n">
        <v>1145</v>
      </c>
      <c r="I114" s="9" t="inlineStr">
        <is>
          <t>Strong Side Platoon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1" t="n">
        <v>0.7949783278270838</v>
      </c>
      <c r="N114" s="17" t="n"/>
      <c r="O114" s="17" t="n"/>
      <c r="P114" s="17" t="n">
        <v>1</v>
      </c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3">
        <f>SUMPRODUCT(N114:Y114,$N$2:$Y$2)*$K114*$L114*$M114</f>
        <v/>
      </c>
      <c r="AA114" s="14">
        <f>SUM(N114:Y114)</f>
        <v/>
      </c>
      <c r="AB114" s="14">
        <f>IFERROR(IF(UPPER($E114)="L",SUMPRODUCT(N114:Y114,$N$3:$Y$3,$N$2:$Y$2),SUMPRODUCT(N114:Y114,$N$4:$Y$4,$N$2:$Y$2))/(Z114/($K114*$L114*$M114)),"")</f>
        <v/>
      </c>
      <c r="AC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inlineStr">
        <is>
          <t>1B</t>
        </is>
      </c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1" t="n">
        <v>1</v>
      </c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>
        <v>1</v>
      </c>
      <c r="Z115" s="13">
        <f>SUMPRODUCT(N115:Y115,$N$2:$Y$2)*$K115*$L115*$M115</f>
        <v/>
      </c>
      <c r="AA115" s="14">
        <f>SUM(N115:Y115)</f>
        <v/>
      </c>
      <c r="AB115" s="14">
        <f>IFERROR(IF(UPPER($E115)="L",SUMPRODUCT(N115:Y115,$N$3:$Y$3,$N$2:$Y$2),SUMPRODUCT(N115:Y115,$N$4:$Y$4,$N$2:$Y$2))/(Z115/($K115*$L115*$M115)),"")</f>
        <v/>
      </c>
      <c r="AC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inlineStr">
        <is>
          <t>LF</t>
        </is>
      </c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1" t="n">
        <v>1</v>
      </c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>
        <v>1</v>
      </c>
      <c r="X116" s="17" t="n"/>
      <c r="Y116" s="17" t="n"/>
      <c r="Z116" s="13">
        <f>SUMPRODUCT(N116:Y116,$N$2:$Y$2)*$K116*$L116*$M116</f>
        <v/>
      </c>
      <c r="AA116" s="14">
        <f>SUM(N116:Y116)</f>
        <v/>
      </c>
      <c r="AB116" s="14">
        <f>IFERROR(IF(UPPER($E116)="L",SUMPRODUCT(N116:Y116,$N$3:$Y$3,$N$2:$Y$2),SUMPRODUCT(N116:Y116,$N$4:$Y$4,$N$2:$Y$2))/(Z116/($K116*$L116*$M116)),"")</f>
        <v/>
      </c>
      <c r="AC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inlineStr">
        <is>
          <t>RF</t>
        </is>
      </c>
      <c r="G117" s="9" t="n">
        <v>287</v>
      </c>
      <c r="H117" s="9" t="n">
        <v>1439</v>
      </c>
      <c r="I117" s="9" t="inlineStr">
        <is>
          <t>Bench Bat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1" t="n">
        <v>1.047060144555769</v>
      </c>
      <c r="N117" s="17" t="n"/>
      <c r="O117" s="17" t="n"/>
      <c r="P117" s="17" t="n"/>
      <c r="Q117" s="17" t="n"/>
      <c r="R117" s="17" t="n"/>
      <c r="S117" s="17" t="n"/>
      <c r="T117" s="17" t="n"/>
      <c r="U117" s="17" t="n">
        <v>0.4</v>
      </c>
      <c r="V117" s="17" t="n"/>
      <c r="W117" s="17" t="n">
        <v>0.6</v>
      </c>
      <c r="X117" s="17" t="n"/>
      <c r="Y117" s="17" t="n"/>
      <c r="Z117" s="13">
        <f>SUMPRODUCT(N117:Y117,$N$2:$Y$2)*$K117*$L117*$M117</f>
        <v/>
      </c>
      <c r="AA117" s="14">
        <f>SUM(N117:Y117)</f>
        <v/>
      </c>
      <c r="AB117" s="14">
        <f>IFERROR(IF(UPPER($E117)="L",SUMPRODUCT(N117:Y117,$N$3:$Y$3,$N$2:$Y$2),SUMPRODUCT(N117:Y117,$N$4:$Y$4,$N$2:$Y$2))/(Z117/($K117*$L117*$M117)),"")</f>
        <v/>
      </c>
      <c r="AC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inlineStr">
        <is>
          <t>CF</t>
        </is>
      </c>
      <c r="G118" s="9" t="n">
        <v>93</v>
      </c>
      <c r="H118" s="9" t="n">
        <v>93</v>
      </c>
      <c r="I118" s="9" t="inlineStr">
        <is>
          <t>Strong Side Platoon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1" t="n">
        <v>1</v>
      </c>
      <c r="N118" s="17" t="n">
        <v>0.4</v>
      </c>
      <c r="O118" s="17" t="n"/>
      <c r="P118" s="17" t="n">
        <v>0.6</v>
      </c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3">
        <f>SUMPRODUCT(N118:Y118,$N$2:$Y$2)*$K118*$L118*$M118</f>
        <v/>
      </c>
      <c r="AA118" s="14">
        <f>SUM(N118:Y118)</f>
        <v/>
      </c>
      <c r="AB118" s="14">
        <f>IFERROR(IF(UPPER($E118)="L",SUMPRODUCT(N118:Y118,$N$3:$Y$3,$N$2:$Y$2),SUMPRODUCT(N118:Y118,$N$4:$Y$4,$N$2:$Y$2))/(Z118/($K118*$L118*$M118)),"")</f>
        <v/>
      </c>
      <c r="AC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inlineStr">
        <is>
          <t>C</t>
        </is>
      </c>
      <c r="G119" s="9" t="n">
        <v>627</v>
      </c>
      <c r="H119" s="9" t="n">
        <v>2973</v>
      </c>
      <c r="I119" s="9" t="inlineStr">
        <is>
          <t>Everyday DH / 1B-DH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1" t="n">
        <v>1.15</v>
      </c>
      <c r="N119" s="17" t="n"/>
      <c r="O119" s="17" t="n">
        <v>1</v>
      </c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3">
        <f>SUMPRODUCT(N119:Y119,$N$2:$Y$2)*$K119*$L119*$M119</f>
        <v/>
      </c>
      <c r="AA119" s="14">
        <f>SUM(N119:Y119)</f>
        <v/>
      </c>
      <c r="AB119" s="14">
        <f>IFERROR(IF(UPPER($E119)="L",SUMPRODUCT(N119:Y119,$N$3:$Y$3,$N$2:$Y$2),SUMPRODUCT(N119:Y119,$N$4:$Y$4,$N$2:$Y$2))/(Z119/($K119*$L119*$M119)),"")</f>
        <v/>
      </c>
      <c r="AC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inlineStr">
        <is>
          <t>3B</t>
        </is>
      </c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1" t="n">
        <v>1.097043902151314</v>
      </c>
      <c r="N120" s="17" t="n">
        <v>1</v>
      </c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3">
        <f>SUMPRODUCT(N120:Y120,$N$2:$Y$2)*$K120*$L120*$M120</f>
        <v/>
      </c>
      <c r="AA120" s="14">
        <f>SUM(N120:Y120)</f>
        <v/>
      </c>
      <c r="AB120" s="14">
        <f>IFERROR(IF(UPPER($E120)="L",SUMPRODUCT(N120:Y120,$N$3:$Y$3,$N$2:$Y$2),SUMPRODUCT(N120:Y120,$N$4:$Y$4,$N$2:$Y$2))/(Z120/($K120*$L120*$M120)),"")</f>
        <v/>
      </c>
      <c r="AC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inlineStr">
        <is>
          <t>1B</t>
        </is>
      </c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1" t="n">
        <v>1.144641339996834</v>
      </c>
      <c r="N121" s="17" t="n">
        <v>1</v>
      </c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3">
        <f>SUMPRODUCT(N121:Y121,$N$2:$Y$2)*$K121*$L121*$M121</f>
        <v/>
      </c>
      <c r="AA121" s="14">
        <f>SUM(N121:Y121)</f>
        <v/>
      </c>
      <c r="AB121" s="14">
        <f>IFERROR(IF(UPPER($E121)="L",SUMPRODUCT(N121:Y121,$N$3:$Y$3,$N$2:$Y$2),SUMPRODUCT(N121:Y121,$N$4:$Y$4,$N$2:$Y$2))/(Z121/($K121*$L121*$M121)),"")</f>
        <v/>
      </c>
      <c r="AC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1" t="n">
        <v>1</v>
      </c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>
        <v>1</v>
      </c>
      <c r="Z122" s="13">
        <f>SUMPRODUCT(N122:Y122,$N$2:$Y$2)*$K122*$L122*$M122</f>
        <v/>
      </c>
      <c r="AA122" s="14">
        <f>SUM(N122:Y122)</f>
        <v/>
      </c>
      <c r="AB122" s="14">
        <f>IFERROR(IF(UPPER($E122)="L",SUMPRODUCT(N122:Y122,$N$3:$Y$3,$N$2:$Y$2),SUMPRODUCT(N122:Y122,$N$4:$Y$4,$N$2:$Y$2))/(Z122/($K122*$L122*$M122)),"")</f>
        <v/>
      </c>
      <c r="AC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inlineStr">
        <is>
          <t>C</t>
        </is>
      </c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1" t="n">
        <v>1</v>
      </c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>
        <v>0.7</v>
      </c>
      <c r="X123" s="17" t="n">
        <v>0.3</v>
      </c>
      <c r="Y123" s="17" t="n"/>
      <c r="Z123" s="13">
        <f>SUMPRODUCT(N123:Y123,$N$2:$Y$2)*$K123*$L123*$M123</f>
        <v/>
      </c>
      <c r="AA123" s="14">
        <f>SUM(N123:Y123)</f>
        <v/>
      </c>
      <c r="AB123" s="14">
        <f>IFERROR(IF(UPPER($E123)="L",SUMPRODUCT(N123:Y123,$N$3:$Y$3,$N$2:$Y$2),SUMPRODUCT(N123:Y123,$N$4:$Y$4,$N$2:$Y$2))/(Z123/($K123*$L123*$M123)),"")</f>
        <v/>
      </c>
      <c r="AC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inlineStr">
        <is>
          <t>RF</t>
        </is>
      </c>
      <c r="G124" s="9" t="n">
        <v>323</v>
      </c>
      <c r="H124" s="9" t="n">
        <v>498</v>
      </c>
      <c r="I124" s="9" t="inlineStr">
        <is>
          <t>Strong Side Platoon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1" t="n">
        <v>1</v>
      </c>
      <c r="N124" s="17" t="n">
        <v>0.4</v>
      </c>
      <c r="O124" s="17" t="n"/>
      <c r="P124" s="17" t="n">
        <v>0.6</v>
      </c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3">
        <f>SUMPRODUCT(N124:Y124,$N$2:$Y$2)*$K124*$L124*$M124</f>
        <v/>
      </c>
      <c r="AA124" s="14">
        <f>SUM(N124:Y124)</f>
        <v/>
      </c>
      <c r="AB124" s="14">
        <f>IFERROR(IF(UPPER($E124)="L",SUMPRODUCT(N124:Y124,$N$3:$Y$3,$N$2:$Y$2),SUMPRODUCT(N124:Y124,$N$4:$Y$4,$N$2:$Y$2))/(Z124/($K124*$L124*$M124)),"")</f>
        <v/>
      </c>
      <c r="AC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inlineStr">
        <is>
          <t>RF</t>
        </is>
      </c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1" t="n">
        <v>1.071545274734071</v>
      </c>
      <c r="N125" s="17" t="n">
        <v>1</v>
      </c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3">
        <f>SUMPRODUCT(N125:Y125,$N$2:$Y$2)*$K125*$L125*$M125</f>
        <v/>
      </c>
      <c r="AA125" s="14">
        <f>SUM(N125:Y125)</f>
        <v/>
      </c>
      <c r="AB125" s="14">
        <f>IFERROR(IF(UPPER($E125)="L",SUMPRODUCT(N125:Y125,$N$3:$Y$3,$N$2:$Y$2),SUMPRODUCT(N125:Y125,$N$4:$Y$4,$N$2:$Y$2))/(Z125/($K125*$L125*$M125)),"")</f>
        <v/>
      </c>
      <c r="AC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inlineStr">
        <is>
          <t>3B</t>
        </is>
      </c>
      <c r="G126" s="9" t="n">
        <v>352</v>
      </c>
      <c r="H126" s="9" t="n">
        <v>1027</v>
      </c>
      <c r="I126" s="9" t="inlineStr">
        <is>
          <t>Full Time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1" t="n">
        <v>0.8843519235404048</v>
      </c>
      <c r="N126" s="17" t="n">
        <v>1</v>
      </c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3">
        <f>SUMPRODUCT(N126:Y126,$N$2:$Y$2)*$K126*$L126*$M126</f>
        <v/>
      </c>
      <c r="AA126" s="14">
        <f>SUM(N126:Y126)</f>
        <v/>
      </c>
      <c r="AB126" s="14">
        <f>IFERROR(IF(UPPER($E126)="L",SUMPRODUCT(N126:Y126,$N$3:$Y$3,$N$2:$Y$2),SUMPRODUCT(N126:Y126,$N$4:$Y$4,$N$2:$Y$2))/(Z126/($K126*$L126*$M126)),"")</f>
        <v/>
      </c>
      <c r="AC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25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Depth (no MLB PA)</t>
        </is>
      </c>
      <c r="J127" s="16" t="inlineStr">
        <is>
          <t>Mid Season (~July)</t>
        </is>
      </c>
      <c r="K127" s="11">
        <f>IFERROR(INDEX(Roles!$B$17:$B$20,MATCH(J127,Roles!$A$17:$A$20,0)),1)</f>
        <v/>
      </c>
      <c r="L127" s="17" t="n">
        <v>1</v>
      </c>
      <c r="M127" s="11" t="n">
        <v>1</v>
      </c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>
        <v>1</v>
      </c>
      <c r="Z127" s="13">
        <f>SUMPRODUCT(N127:Y127,$N$2:$Y$2)*$K127*$L127*$M127</f>
        <v/>
      </c>
      <c r="AA127" s="14">
        <f>SUM(N127:Y127)</f>
        <v/>
      </c>
      <c r="AB127" s="14">
        <f>IFERROR(IF(UPPER($E127)="L",SUMPRODUCT(N127:Y127,$N$3:$Y$3,$N$2:$Y$2),SUMPRODUCT(N127:Y127,$N$4:$Y$4,$N$2:$Y$2))/(Z127/($K127*$L127*$M127)),"")</f>
        <v/>
      </c>
      <c r="AC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inlineStr">
        <is>
          <t>1B</t>
        </is>
      </c>
      <c r="G128" s="9" t="n">
        <v>228</v>
      </c>
      <c r="H128" s="9" t="n">
        <v>433</v>
      </c>
      <c r="I128" s="9" t="inlineStr">
        <is>
          <t>Weak Side Platoon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1" t="n">
        <v>1</v>
      </c>
      <c r="N128" s="17" t="n"/>
      <c r="O128" s="17" t="n"/>
      <c r="P128" s="17" t="n"/>
      <c r="Q128" s="17" t="n">
        <v>0.6</v>
      </c>
      <c r="R128" s="17" t="n"/>
      <c r="S128" s="17" t="n"/>
      <c r="T128" s="17" t="n"/>
      <c r="U128" s="17" t="n">
        <v>0.4</v>
      </c>
      <c r="V128" s="17" t="n"/>
      <c r="W128" s="17" t="n"/>
      <c r="X128" s="17" t="n"/>
      <c r="Y128" s="17" t="n"/>
      <c r="Z128" s="13">
        <f>SUMPRODUCT(N128:Y128,$N$2:$Y$2)*$K128*$L128*$M128</f>
        <v/>
      </c>
      <c r="AA128" s="14">
        <f>SUM(N128:Y128)</f>
        <v/>
      </c>
      <c r="AB128" s="14">
        <f>IFERROR(IF(UPPER($E128)="L",SUMPRODUCT(N128:Y128,$N$3:$Y$3,$N$2:$Y$2),SUMPRODUCT(N128:Y128,$N$4:$Y$4,$N$2:$Y$2))/(Z128/($K128*$L128*$M128)),"")</f>
        <v/>
      </c>
      <c r="AC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25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Mid Season (~July)</t>
        </is>
      </c>
      <c r="K129" s="11">
        <f>IFERROR(INDEX(Roles!$B$17:$B$20,MATCH(J129,Roles!$A$17:$A$20,0)),1)</f>
        <v/>
      </c>
      <c r="L129" s="17" t="n">
        <v>1</v>
      </c>
      <c r="M129" s="11" t="n">
        <v>1</v>
      </c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>
        <v>1</v>
      </c>
      <c r="Z129" s="13">
        <f>SUMPRODUCT(N129:Y129,$N$2:$Y$2)*$K129*$L129*$M129</f>
        <v/>
      </c>
      <c r="AA129" s="14">
        <f>SUM(N129:Y129)</f>
        <v/>
      </c>
      <c r="AB129" s="14">
        <f>IFERROR(IF(UPPER($E129)="L",SUMPRODUCT(N129:Y129,$N$3:$Y$3,$N$2:$Y$2),SUMPRODUCT(N129:Y129,$N$4:$Y$4,$N$2:$Y$2))/(Z129/($K129*$L129*$M129)),"")</f>
        <v/>
      </c>
      <c r="AC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inlineStr">
        <is>
          <t>1B</t>
        </is>
      </c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1" t="n">
        <v>1.041796876080621</v>
      </c>
      <c r="N130" s="17" t="n">
        <v>1</v>
      </c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3">
        <f>SUMPRODUCT(N130:Y130,$N$2:$Y$2)*$K130*$L130*$M130</f>
        <v/>
      </c>
      <c r="AA130" s="14">
        <f>SUM(N130:Y130)</f>
        <v/>
      </c>
      <c r="AB130" s="14">
        <f>IFERROR(IF(UPPER($E130)="L",SUMPRODUCT(N130:Y130,$N$3:$Y$3,$N$2:$Y$2),SUMPRODUCT(N130:Y130,$N$4:$Y$4,$N$2:$Y$2))/(Z130/($K130*$L130*$M130)),"")</f>
        <v/>
      </c>
      <c r="AC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inlineStr">
        <is>
          <t>RF</t>
        </is>
      </c>
      <c r="G131" s="9" t="n">
        <v>262</v>
      </c>
      <c r="H131" s="9" t="n">
        <v>300</v>
      </c>
      <c r="I131" s="9" t="inlineStr">
        <is>
          <t>Strong Side Platoon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1" t="n">
        <v>1</v>
      </c>
      <c r="N131" s="17" t="n">
        <v>0.4</v>
      </c>
      <c r="O131" s="17" t="n"/>
      <c r="P131" s="17" t="n">
        <v>0.6</v>
      </c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3">
        <f>SUMPRODUCT(N131:Y131,$N$2:$Y$2)*$K131*$L131*$M131</f>
        <v/>
      </c>
      <c r="AA131" s="14">
        <f>SUM(N131:Y131)</f>
        <v/>
      </c>
      <c r="AB131" s="14">
        <f>IFERROR(IF(UPPER($E131)="L",SUMPRODUCT(N131:Y131,$N$3:$Y$3,$N$2:$Y$2),SUMPRODUCT(N131:Y131,$N$4:$Y$4,$N$2:$Y$2))/(Z131/($K131*$L131*$M131)),"")</f>
        <v/>
      </c>
      <c r="AC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inlineStr">
        <is>
          <t>1B</t>
        </is>
      </c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1" t="n">
        <v>1.073245183228553</v>
      </c>
      <c r="N132" s="17" t="n">
        <v>1</v>
      </c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3">
        <f>SUMPRODUCT(N132:Y132,$N$2:$Y$2)*$K132*$L132*$M132</f>
        <v/>
      </c>
      <c r="AA132" s="14">
        <f>SUM(N132:Y132)</f>
        <v/>
      </c>
      <c r="AB132" s="14">
        <f>IFERROR(IF(UPPER($E132)="L",SUMPRODUCT(N132:Y132,$N$3:$Y$3,$N$2:$Y$2),SUMPRODUCT(N132:Y132,$N$4:$Y$4,$N$2:$Y$2))/(Z132/($K132*$L132*$M132)),"")</f>
        <v/>
      </c>
      <c r="AC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inlineStr">
        <is>
          <t>RF</t>
        </is>
      </c>
      <c r="G133" s="9" t="n">
        <v>533</v>
      </c>
      <c r="H133" s="9" t="n">
        <v>1172</v>
      </c>
      <c r="I133" s="9" t="inlineStr">
        <is>
          <t>Everyday DH / 1B-DH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1" t="n">
        <v>0.9155280327402388</v>
      </c>
      <c r="N133" s="17" t="n"/>
      <c r="O133" s="17" t="n">
        <v>0.9</v>
      </c>
      <c r="P133" s="17" t="n"/>
      <c r="Q133" s="17" t="n"/>
      <c r="R133" s="17" t="n"/>
      <c r="S133" s="17" t="n"/>
      <c r="T133" s="17" t="n"/>
      <c r="U133" s="17" t="n"/>
      <c r="V133" s="17" t="n"/>
      <c r="W133" s="17" t="n">
        <v>0.1</v>
      </c>
      <c r="X133" s="17" t="n"/>
      <c r="Y133" s="17" t="n"/>
      <c r="Z133" s="13">
        <f>SUMPRODUCT(N133:Y133,$N$2:$Y$2)*$K133*$L133*$M133</f>
        <v/>
      </c>
      <c r="AA133" s="14">
        <f>SUM(N133:Y133)</f>
        <v/>
      </c>
      <c r="AB133" s="14">
        <f>IFERROR(IF(UPPER($E133)="L",SUMPRODUCT(N133:Y133,$N$3:$Y$3,$N$2:$Y$2),SUMPRODUCT(N133:Y133,$N$4:$Y$4,$N$2:$Y$2))/(Z133/($K133*$L133*$M133)),"")</f>
        <v/>
      </c>
      <c r="AC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inlineStr">
        <is>
          <t>CF</t>
        </is>
      </c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1" t="n">
        <v>0.9706272494580096</v>
      </c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>
        <v>1</v>
      </c>
      <c r="X134" s="17" t="n"/>
      <c r="Y134" s="17" t="n"/>
      <c r="Z134" s="13">
        <f>SUMPRODUCT(N134:Y134,$N$2:$Y$2)*$K134*$L134*$M134</f>
        <v/>
      </c>
      <c r="AA134" s="14">
        <f>SUM(N134:Y134)</f>
        <v/>
      </c>
      <c r="AB134" s="14">
        <f>IFERROR(IF(UPPER($E134)="L",SUMPRODUCT(N134:Y134,$N$3:$Y$3,$N$2:$Y$2),SUMPRODUCT(N134:Y134,$N$4:$Y$4,$N$2:$Y$2))/(Z134/($K134*$L134*$M134)),"")</f>
        <v/>
      </c>
      <c r="AC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inlineStr">
        <is>
          <t>LF</t>
        </is>
      </c>
      <c r="G135" s="9" t="n">
        <v>436</v>
      </c>
      <c r="H135" s="9" t="n">
        <v>1750</v>
      </c>
      <c r="I135" s="9" t="inlineStr">
        <is>
          <t>Strong Side Platoon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1" t="n">
        <v>1.084722910813167</v>
      </c>
      <c r="N135" s="17" t="n">
        <v>0.4</v>
      </c>
      <c r="O135" s="17" t="n"/>
      <c r="P135" s="17" t="n">
        <v>0.6</v>
      </c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3">
        <f>SUMPRODUCT(N135:Y135,$N$2:$Y$2)*$K135*$L135*$M135</f>
        <v/>
      </c>
      <c r="AA135" s="14">
        <f>SUM(N135:Y135)</f>
        <v/>
      </c>
      <c r="AB135" s="14">
        <f>IFERROR(IF(UPPER($E135)="L",SUMPRODUCT(N135:Y135,$N$3:$Y$3,$N$2:$Y$2),SUMPRODUCT(N135:Y135,$N$4:$Y$4,$N$2:$Y$2))/(Z135/($K135*$L135*$M135)),"")</f>
        <v/>
      </c>
      <c r="AC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inlineStr">
        <is>
          <t>C</t>
        </is>
      </c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1" t="n">
        <v>1</v>
      </c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>
        <v>1</v>
      </c>
      <c r="Z136" s="13">
        <f>SUMPRODUCT(N136:Y136,$N$2:$Y$2)*$K136*$L136*$M136</f>
        <v/>
      </c>
      <c r="AA136" s="14">
        <f>SUM(N136:Y136)</f>
        <v/>
      </c>
      <c r="AB136" s="14">
        <f>IFERROR(IF(UPPER($E136)="L",SUMPRODUCT(N136:Y136,$N$3:$Y$3,$N$2:$Y$2),SUMPRODUCT(N136:Y136,$N$4:$Y$4,$N$2:$Y$2))/(Z136/($K136*$L136*$M136)),"")</f>
        <v/>
      </c>
      <c r="AC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inlineStr">
        <is>
          <t>C</t>
        </is>
      </c>
      <c r="G137" s="9" t="n">
        <v>275</v>
      </c>
      <c r="H137" s="9" t="n">
        <v>1394</v>
      </c>
      <c r="I137" s="9" t="inlineStr">
        <is>
          <t>Weak Side Platoon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1" t="n">
        <v>1</v>
      </c>
      <c r="N137" s="17" t="n"/>
      <c r="O137" s="17" t="n"/>
      <c r="P137" s="17" t="n"/>
      <c r="Q137" s="17" t="n">
        <v>0.6</v>
      </c>
      <c r="R137" s="17" t="n"/>
      <c r="S137" s="17" t="n"/>
      <c r="T137" s="17" t="n">
        <v>0.4</v>
      </c>
      <c r="U137" s="17" t="n"/>
      <c r="V137" s="17" t="n"/>
      <c r="W137" s="17" t="n"/>
      <c r="X137" s="17" t="n"/>
      <c r="Y137" s="17" t="n"/>
      <c r="Z137" s="13">
        <f>SUMPRODUCT(N137:Y137,$N$2:$Y$2)*$K137*$L137*$M137</f>
        <v/>
      </c>
      <c r="AA137" s="14">
        <f>SUM(N137:Y137)</f>
        <v/>
      </c>
      <c r="AB137" s="14">
        <f>IFERROR(IF(UPPER($E137)="L",SUMPRODUCT(N137:Y137,$N$3:$Y$3,$N$2:$Y$2),SUMPRODUCT(N137:Y137,$N$4:$Y$4,$N$2:$Y$2))/(Z137/($K137*$L137*$M137)),"")</f>
        <v/>
      </c>
      <c r="AC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inlineStr">
        <is>
          <t>CF</t>
        </is>
      </c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1" t="n">
        <v>0.983999987268203</v>
      </c>
      <c r="N138" s="17" t="n">
        <v>1</v>
      </c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3">
        <f>SUMPRODUCT(N138:Y138,$N$2:$Y$2)*$K138*$L138*$M138</f>
        <v/>
      </c>
      <c r="AA138" s="14">
        <f>SUM(N138:Y138)</f>
        <v/>
      </c>
      <c r="AB138" s="14">
        <f>IFERROR(IF(UPPER($E138)="L",SUMPRODUCT(N138:Y138,$N$3:$Y$3,$N$2:$Y$2),SUMPRODUCT(N138:Y138,$N$4:$Y$4,$N$2:$Y$2))/(Z138/($K138*$L138*$M138)),"")</f>
        <v/>
      </c>
      <c r="AC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inlineStr">
        <is>
          <t>LF</t>
        </is>
      </c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1" t="n">
        <v>1</v>
      </c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>
        <v>1</v>
      </c>
      <c r="X139" s="17" t="n"/>
      <c r="Y139" s="17" t="n"/>
      <c r="Z139" s="13">
        <f>SUMPRODUCT(N139:Y139,$N$2:$Y$2)*$K139*$L139*$M139</f>
        <v/>
      </c>
      <c r="AA139" s="14">
        <f>SUM(N139:Y139)</f>
        <v/>
      </c>
      <c r="AB139" s="14">
        <f>IFERROR(IF(UPPER($E139)="L",SUMPRODUCT(N139:Y139,$N$3:$Y$3,$N$2:$Y$2),SUMPRODUCT(N139:Y139,$N$4:$Y$4,$N$2:$Y$2))/(Z139/($K139*$L139*$M139)),"")</f>
        <v/>
      </c>
      <c r="AC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inlineStr">
        <is>
          <t>C</t>
        </is>
      </c>
      <c r="G140" s="9" t="n">
        <v>227</v>
      </c>
      <c r="H140" s="9" t="n">
        <v>1437</v>
      </c>
      <c r="I140" s="9" t="inlineStr">
        <is>
          <t>Catcher - Primary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1" t="n">
        <v>1</v>
      </c>
      <c r="N140" s="17" t="n"/>
      <c r="O140" s="17" t="n"/>
      <c r="P140" s="17" t="n"/>
      <c r="Q140" s="17" t="n"/>
      <c r="R140" s="17" t="n">
        <v>0.62</v>
      </c>
      <c r="S140" s="17" t="n">
        <v>0.38</v>
      </c>
      <c r="T140" s="17" t="n"/>
      <c r="U140" s="17" t="n"/>
      <c r="V140" s="17" t="n"/>
      <c r="W140" s="17" t="n"/>
      <c r="X140" s="17" t="n"/>
      <c r="Y140" s="17" t="n"/>
      <c r="Z140" s="13">
        <f>SUMPRODUCT(N140:Y140,$N$2:$Y$2)*$K140*$L140*$M140</f>
        <v/>
      </c>
      <c r="AA140" s="14">
        <f>SUM(N140:Y140)</f>
        <v/>
      </c>
      <c r="AB140" s="14">
        <f>IFERROR(IF(UPPER($E140)="L",SUMPRODUCT(N140:Y140,$N$3:$Y$3,$N$2:$Y$2),SUMPRODUCT(N140:Y140,$N$4:$Y$4,$N$2:$Y$2))/(Z140/($K140*$L140*$M140)),"")</f>
        <v/>
      </c>
      <c r="AC140" s="18" t="n"/>
    </row>
    <row r="141">
      <c r="A141" s="9" t="n">
        <v>642715</v>
      </c>
      <c r="B141" s="9" t="inlineStr">
        <is>
          <t>Willy Adames</t>
        </is>
      </c>
      <c r="C141" s="9" t="inlineStr">
        <is>
          <t>SF</t>
        </is>
      </c>
      <c r="D141" s="9" t="n">
        <v>31</v>
      </c>
      <c r="E141" s="16" t="inlineStr">
        <is>
          <t>R</t>
        </is>
      </c>
      <c r="F141" s="16" t="inlineStr">
        <is>
          <t>SS</t>
        </is>
      </c>
      <c r="G141" s="9" t="n">
        <v>505</v>
      </c>
      <c r="H141" s="9" t="n">
        <v>3134</v>
      </c>
      <c r="I141" s="9" t="inlineStr">
        <is>
          <t>Bench Bat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1" t="n">
        <v>1.15</v>
      </c>
      <c r="N141" s="17" t="n">
        <v>0.4</v>
      </c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>
        <v>0.6</v>
      </c>
      <c r="X141" s="17" t="n"/>
      <c r="Y141" s="17" t="n"/>
      <c r="Z141" s="13">
        <f>SUMPRODUCT(N141:Y141,$N$2:$Y$2)*$K141*$L141*$M141</f>
        <v/>
      </c>
      <c r="AA141" s="14">
        <f>SUM(N141:Y141)</f>
        <v/>
      </c>
      <c r="AB141" s="14">
        <f>IFERROR(IF(UPPER($E141)="L",SUMPRODUCT(N141:Y141,$N$3:$Y$3,$N$2:$Y$2),SUMPRODUCT(N141:Y141,$N$4:$Y$4,$N$2:$Y$2))/(Z141/($K141*$L141*$M141)),"")</f>
        <v/>
      </c>
      <c r="AC141" s="18" t="n"/>
    </row>
    <row r="142">
      <c r="A142" s="9" t="n">
        <v>699024</v>
      </c>
      <c r="B142" s="9" t="inlineStr">
        <is>
          <t>Leo Bernal</t>
        </is>
      </c>
      <c r="C142" s="9" t="inlineStr">
        <is>
          <t>STL</t>
        </is>
      </c>
      <c r="D142" s="9" t="n">
        <v>23</v>
      </c>
      <c r="E142" s="16" t="inlineStr">
        <is>
          <t>S</t>
        </is>
      </c>
      <c r="F142" s="16" t="inlineStr">
        <is>
          <t>C</t>
        </is>
      </c>
      <c r="G142" s="9" t="n">
        <v>102</v>
      </c>
      <c r="H142" s="9" t="n">
        <v>102</v>
      </c>
      <c r="I142" s="9" t="inlineStr">
        <is>
          <t>Catcher - Primary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1" t="n">
        <v>1</v>
      </c>
      <c r="N142" s="17" t="n"/>
      <c r="O142" s="17" t="n"/>
      <c r="P142" s="17" t="n"/>
      <c r="Q142" s="17" t="n"/>
      <c r="R142" s="17" t="n">
        <v>0.75</v>
      </c>
      <c r="S142" s="17" t="n">
        <v>0.25</v>
      </c>
      <c r="T142" s="17" t="n"/>
      <c r="U142" s="17" t="n"/>
      <c r="V142" s="17" t="n"/>
      <c r="W142" s="17" t="n"/>
      <c r="X142" s="17" t="n"/>
      <c r="Y142" s="17" t="n"/>
      <c r="Z142" s="13">
        <f>SUMPRODUCT(N142:Y142,$N$2:$Y$2)*$K142*$L142*$M142</f>
        <v/>
      </c>
      <c r="AA142" s="14">
        <f>SUM(N142:Y142)</f>
        <v/>
      </c>
      <c r="AB142" s="14">
        <f>IFERROR(IF(UPPER($E142)="L",SUMPRODUCT(N142:Y142,$N$3:$Y$3,$N$2:$Y$2),SUMPRODUCT(N142:Y142,$N$4:$Y$4,$N$2:$Y$2))/(Z142/($K142*$L142*$M142)),"")</f>
        <v/>
      </c>
      <c r="AC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inlineStr">
        <is>
          <t>LF</t>
        </is>
      </c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1" t="n">
        <v>1.15</v>
      </c>
      <c r="N143" s="17" t="n">
        <v>1</v>
      </c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3">
        <f>SUMPRODUCT(N143:Y143,$N$2:$Y$2)*$K143*$L143*$M143</f>
        <v/>
      </c>
      <c r="AA143" s="14">
        <f>SUM(N143:Y143)</f>
        <v/>
      </c>
      <c r="AB143" s="14">
        <f>IFERROR(IF(UPPER($E143)="L",SUMPRODUCT(N143:Y143,$N$3:$Y$3,$N$2:$Y$2),SUMPRODUCT(N143:Y143,$N$4:$Y$4,$N$2:$Y$2))/(Z143/($K143*$L143*$M143)),"")</f>
        <v/>
      </c>
      <c r="AC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inlineStr">
        <is>
          <t>C</t>
        </is>
      </c>
      <c r="G144" s="9" t="n">
        <v>89</v>
      </c>
      <c r="H144" s="9" t="n">
        <v>541</v>
      </c>
      <c r="I144" s="9" t="inlineStr">
        <is>
          <t>Catcher - Backup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1" t="n">
        <v>1</v>
      </c>
      <c r="N144" s="17" t="n"/>
      <c r="O144" s="17" t="n"/>
      <c r="P144" s="17" t="n"/>
      <c r="Q144" s="17" t="n"/>
      <c r="R144" s="17" t="n"/>
      <c r="S144" s="17" t="n"/>
      <c r="T144" s="17" t="n">
        <v>1</v>
      </c>
      <c r="U144" s="17" t="n"/>
      <c r="V144" s="17" t="n"/>
      <c r="W144" s="17" t="n"/>
      <c r="X144" s="17" t="n"/>
      <c r="Y144" s="17" t="n"/>
      <c r="Z144" s="13">
        <f>SUMPRODUCT(N144:Y144,$N$2:$Y$2)*$K144*$L144*$M144</f>
        <v/>
      </c>
      <c r="AA144" s="14">
        <f>SUM(N144:Y144)</f>
        <v/>
      </c>
      <c r="AB144" s="14">
        <f>IFERROR(IF(UPPER($E144)="L",SUMPRODUCT(N144:Y144,$N$3:$Y$3,$N$2:$Y$2),SUMPRODUCT(N144:Y144,$N$4:$Y$4,$N$2:$Y$2))/(Z144/($K144*$L144*$M144)),"")</f>
        <v/>
      </c>
      <c r="AC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inlineStr">
        <is>
          <t>1B</t>
        </is>
      </c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1" t="n">
        <v>1.15</v>
      </c>
      <c r="N145" s="17" t="n">
        <v>1</v>
      </c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3">
        <f>SUMPRODUCT(N145:Y145,$N$2:$Y$2)*$K145*$L145*$M145</f>
        <v/>
      </c>
      <c r="AA145" s="14">
        <f>SUM(N145:Y145)</f>
        <v/>
      </c>
      <c r="AB145" s="14">
        <f>IFERROR(IF(UPPER($E145)="L",SUMPRODUCT(N145:Y145,$N$3:$Y$3,$N$2:$Y$2),SUMPRODUCT(N145:Y145,$N$4:$Y$4,$N$2:$Y$2))/(Z145/($K145*$L145*$M145)),"")</f>
        <v/>
      </c>
      <c r="AC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inlineStr">
        <is>
          <t>LF</t>
        </is>
      </c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1" t="n">
        <v>1.052846281294759</v>
      </c>
      <c r="N146" s="17" t="n">
        <v>0.85</v>
      </c>
      <c r="O146" s="17" t="n"/>
      <c r="P146" s="17" t="n">
        <v>0.15</v>
      </c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3">
        <f>SUMPRODUCT(N146:Y146,$N$2:$Y$2)*$K146*$L146*$M146</f>
        <v/>
      </c>
      <c r="AA146" s="14">
        <f>SUM(N146:Y146)</f>
        <v/>
      </c>
      <c r="AB146" s="14">
        <f>IFERROR(IF(UPPER($E146)="L",SUMPRODUCT(N146:Y146,$N$3:$Y$3,$N$2:$Y$2),SUMPRODUCT(N146:Y146,$N$4:$Y$4,$N$2:$Y$2))/(Z146/($K146*$L146*$M146)),"")</f>
        <v/>
      </c>
      <c r="AC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inlineStr">
        <is>
          <t>LF</t>
        </is>
      </c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1" t="n">
        <v>1.034997242102689</v>
      </c>
      <c r="N147" s="17" t="n">
        <v>0.75</v>
      </c>
      <c r="O147" s="17" t="n"/>
      <c r="P147" s="17" t="n">
        <v>0.25</v>
      </c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3">
        <f>SUMPRODUCT(N147:Y147,$N$2:$Y$2)*$K147*$L147*$M147</f>
        <v/>
      </c>
      <c r="AA147" s="14">
        <f>SUM(N147:Y147)</f>
        <v/>
      </c>
      <c r="AB147" s="14">
        <f>IFERROR(IF(UPPER($E147)="L",SUMPRODUCT(N147:Y147,$N$3:$Y$3,$N$2:$Y$2),SUMPRODUCT(N147:Y147,$N$4:$Y$4,$N$2:$Y$2))/(Z147/($K147*$L147*$M147)),"")</f>
        <v/>
      </c>
      <c r="AC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inlineStr">
        <is>
          <t>1B</t>
        </is>
      </c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1" t="n">
        <v>1.135291843277178</v>
      </c>
      <c r="N148" s="17" t="n">
        <v>1</v>
      </c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3">
        <f>SUMPRODUCT(N148:Y148,$N$2:$Y$2)*$K148*$L148*$M148</f>
        <v/>
      </c>
      <c r="AA148" s="14">
        <f>SUM(N148:Y148)</f>
        <v/>
      </c>
      <c r="AB148" s="14">
        <f>IFERROR(IF(UPPER($E148)="L",SUMPRODUCT(N148:Y148,$N$3:$Y$3,$N$2:$Y$2),SUMPRODUCT(N148:Y148,$N$4:$Y$4,$N$2:$Y$2))/(Z148/($K148*$L148*$M148)),"")</f>
        <v/>
      </c>
      <c r="AC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inlineStr">
        <is>
          <t>1B</t>
        </is>
      </c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1" t="n">
        <v>1.078344908712002</v>
      </c>
      <c r="N149" s="17" t="n">
        <v>0.7</v>
      </c>
      <c r="O149" s="17" t="n"/>
      <c r="P149" s="17" t="n">
        <v>0.3</v>
      </c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3">
        <f>SUMPRODUCT(N149:Y149,$N$2:$Y$2)*$K149*$L149*$M149</f>
        <v/>
      </c>
      <c r="AA149" s="14">
        <f>SUM(N149:Y149)</f>
        <v/>
      </c>
      <c r="AB149" s="14">
        <f>IFERROR(IF(UPPER($E149)="L",SUMPRODUCT(N149:Y149,$N$3:$Y$3,$N$2:$Y$2),SUMPRODUCT(N149:Y149,$N$4:$Y$4,$N$2:$Y$2))/(Z149/($K149*$L149*$M149)),"")</f>
        <v/>
      </c>
      <c r="AC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inlineStr">
        <is>
          <t>LF</t>
        </is>
      </c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1" t="n">
        <v>1</v>
      </c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>
        <v>1</v>
      </c>
      <c r="Z150" s="13">
        <f>SUMPRODUCT(N150:Y150,$N$2:$Y$2)*$K150*$L150*$M150</f>
        <v/>
      </c>
      <c r="AA150" s="14">
        <f>SUM(N150:Y150)</f>
        <v/>
      </c>
      <c r="AB150" s="14">
        <f>IFERROR(IF(UPPER($E150)="L",SUMPRODUCT(N150:Y150,$N$3:$Y$3,$N$2:$Y$2),SUMPRODUCT(N150:Y150,$N$4:$Y$4,$N$2:$Y$2))/(Z150/($K150*$L150*$M150)),"")</f>
        <v/>
      </c>
      <c r="AC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inlineStr">
        <is>
          <t>C</t>
        </is>
      </c>
      <c r="G151" s="9" t="n">
        <v>149</v>
      </c>
      <c r="H151" s="9" t="n">
        <v>195</v>
      </c>
      <c r="I151" s="9" t="inlineStr">
        <is>
          <t>Catcher - Backup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1" t="n">
        <v>1</v>
      </c>
      <c r="N151" s="17" t="n"/>
      <c r="O151" s="17" t="n"/>
      <c r="P151" s="17" t="n"/>
      <c r="Q151" s="17" t="n"/>
      <c r="R151" s="17" t="n"/>
      <c r="S151" s="17" t="n"/>
      <c r="T151" s="17" t="n">
        <v>1</v>
      </c>
      <c r="U151" s="17" t="n"/>
      <c r="V151" s="17" t="n"/>
      <c r="W151" s="17" t="n"/>
      <c r="X151" s="17" t="n"/>
      <c r="Y151" s="17" t="n"/>
      <c r="Z151" s="13">
        <f>SUMPRODUCT(N151:Y151,$N$2:$Y$2)*$K151*$L151*$M151</f>
        <v/>
      </c>
      <c r="AA151" s="14">
        <f>SUM(N151:Y151)</f>
        <v/>
      </c>
      <c r="AB151" s="14">
        <f>IFERROR(IF(UPPER($E151)="L",SUMPRODUCT(N151:Y151,$N$3:$Y$3,$N$2:$Y$2),SUMPRODUCT(N151:Y151,$N$4:$Y$4,$N$2:$Y$2))/(Z151/($K151*$L151*$M151)),"")</f>
        <v/>
      </c>
      <c r="AC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inlineStr">
        <is>
          <t>3B</t>
        </is>
      </c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1" t="n">
        <v>1</v>
      </c>
      <c r="N152" s="17" t="n"/>
      <c r="O152" s="17" t="n"/>
      <c r="P152" s="17" t="n"/>
      <c r="Q152" s="17" t="n"/>
      <c r="R152" s="17" t="n"/>
      <c r="S152" s="17" t="n"/>
      <c r="T152" s="17" t="n"/>
      <c r="U152" s="17" t="n">
        <v>0.4</v>
      </c>
      <c r="V152" s="17" t="n"/>
      <c r="W152" s="17" t="n">
        <v>0.6</v>
      </c>
      <c r="X152" s="17" t="n"/>
      <c r="Y152" s="17" t="n"/>
      <c r="Z152" s="13">
        <f>SUMPRODUCT(N152:Y152,$N$2:$Y$2)*$K152*$L152*$M152</f>
        <v/>
      </c>
      <c r="AA152" s="14">
        <f>SUM(N152:Y152)</f>
        <v/>
      </c>
      <c r="AB152" s="14">
        <f>IFERROR(IF(UPPER($E152)="L",SUMPRODUCT(N152:Y152,$N$3:$Y$3,$N$2:$Y$2),SUMPRODUCT(N152:Y152,$N$4:$Y$4,$N$2:$Y$2))/(Z152/($K152*$L152*$M152)),"")</f>
        <v/>
      </c>
      <c r="AC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inlineStr">
        <is>
          <t>C</t>
        </is>
      </c>
      <c r="G153" s="9" t="n">
        <v>98</v>
      </c>
      <c r="H153" s="9" t="n">
        <v>1139</v>
      </c>
      <c r="I153" s="9" t="inlineStr">
        <is>
          <t>Bench Bat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1" t="n">
        <v>0.9028075100558092</v>
      </c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>
        <v>0.85</v>
      </c>
      <c r="X153" s="17" t="n">
        <v>0.15</v>
      </c>
      <c r="Y153" s="17" t="n"/>
      <c r="Z153" s="13">
        <f>SUMPRODUCT(N153:Y153,$N$2:$Y$2)*$K153*$L153*$M153</f>
        <v/>
      </c>
      <c r="AA153" s="14">
        <f>SUM(N153:Y153)</f>
        <v/>
      </c>
      <c r="AB153" s="14">
        <f>IFERROR(IF(UPPER($E153)="L",SUMPRODUCT(N153:Y153,$N$3:$Y$3,$N$2:$Y$2),SUMPRODUCT(N153:Y153,$N$4:$Y$4,$N$2:$Y$2))/(Z153/($K153*$L153*$M153)),"")</f>
        <v/>
      </c>
      <c r="AC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inlineStr">
        <is>
          <t>C</t>
        </is>
      </c>
      <c r="G154" s="9" t="n">
        <v>615</v>
      </c>
      <c r="H154" s="9" t="n">
        <v>1061</v>
      </c>
      <c r="I154" s="9" t="inlineStr">
        <is>
          <t>Everyday DH / 1B-DH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1" t="n">
        <v>1.031735194919496</v>
      </c>
      <c r="N154" s="17" t="n"/>
      <c r="O154" s="17" t="n">
        <v>1</v>
      </c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3">
        <f>SUMPRODUCT(N154:Y154,$N$2:$Y$2)*$K154*$L154*$M154</f>
        <v/>
      </c>
      <c r="AA154" s="14">
        <f>SUM(N154:Y154)</f>
        <v/>
      </c>
      <c r="AB154" s="14">
        <f>IFERROR(IF(UPPER($E154)="L",SUMPRODUCT(N154:Y154,$N$3:$Y$3,$N$2:$Y$2),SUMPRODUCT(N154:Y154,$N$4:$Y$4,$N$2:$Y$2))/(Z154/($K154*$L154*$M154)),"")</f>
        <v/>
      </c>
      <c r="AC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inlineStr">
        <is>
          <t>1B</t>
        </is>
      </c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1" t="n">
        <v>1.003548934954756</v>
      </c>
      <c r="N155" s="17" t="n">
        <v>0.85</v>
      </c>
      <c r="O155" s="17" t="n"/>
      <c r="P155" s="17" t="n">
        <v>0.15</v>
      </c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3">
        <f>SUMPRODUCT(N155:Y155,$N$2:$Y$2)*$K155*$L155*$M155</f>
        <v/>
      </c>
      <c r="AA155" s="14">
        <f>SUM(N155:Y155)</f>
        <v/>
      </c>
      <c r="AB155" s="14">
        <f>IFERROR(IF(UPPER($E155)="L",SUMPRODUCT(N155:Y155,$N$3:$Y$3,$N$2:$Y$2),SUMPRODUCT(N155:Y155,$N$4:$Y$4,$N$2:$Y$2))/(Z155/($K155*$L155*$M155)),"")</f>
        <v/>
      </c>
      <c r="AC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inlineStr">
        <is>
          <t>1B</t>
        </is>
      </c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1" t="n">
        <v>1.15</v>
      </c>
      <c r="N156" s="17" t="n">
        <v>1</v>
      </c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3">
        <f>SUMPRODUCT(N156:Y156,$N$2:$Y$2)*$K156*$L156*$M156</f>
        <v/>
      </c>
      <c r="AA156" s="14">
        <f>SUM(N156:Y156)</f>
        <v/>
      </c>
      <c r="AB156" s="14">
        <f>IFERROR(IF(UPPER($E156)="L",SUMPRODUCT(N156:Y156,$N$3:$Y$3,$N$2:$Y$2),SUMPRODUCT(N156:Y156,$N$4:$Y$4,$N$2:$Y$2))/(Z156/($K156*$L156*$M156)),"")</f>
        <v/>
      </c>
      <c r="AC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inlineStr">
        <is>
          <t>RF</t>
        </is>
      </c>
      <c r="G157" s="9" t="n">
        <v>255</v>
      </c>
      <c r="H157" s="9" t="n">
        <v>876</v>
      </c>
      <c r="I157" s="9" t="inlineStr">
        <is>
          <t>Weak Side Platoon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1" t="n">
        <v>0.8516786486778083</v>
      </c>
      <c r="N157" s="17" t="n"/>
      <c r="O157" s="17" t="n"/>
      <c r="P157" s="17" t="n"/>
      <c r="Q157" s="17" t="n">
        <v>0.6</v>
      </c>
      <c r="R157" s="17" t="n"/>
      <c r="S157" s="17" t="n"/>
      <c r="T157" s="17" t="n"/>
      <c r="U157" s="17" t="n"/>
      <c r="V157" s="17" t="n">
        <v>0.4</v>
      </c>
      <c r="W157" s="17" t="n"/>
      <c r="X157" s="17" t="n"/>
      <c r="Y157" s="17" t="n"/>
      <c r="Z157" s="13">
        <f>SUMPRODUCT(N157:Y157,$N$2:$Y$2)*$K157*$L157*$M157</f>
        <v/>
      </c>
      <c r="AA157" s="14">
        <f>SUM(N157:Y157)</f>
        <v/>
      </c>
      <c r="AB157" s="14">
        <f>IFERROR(IF(UPPER($E157)="L",SUMPRODUCT(N157:Y157,$N$3:$Y$3,$N$2:$Y$2),SUMPRODUCT(N157:Y157,$N$4:$Y$4,$N$2:$Y$2))/(Z157/($K157*$L157*$M157)),"")</f>
        <v/>
      </c>
      <c r="AC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inlineStr">
        <is>
          <t>C</t>
        </is>
      </c>
      <c r="G158" s="9" t="n">
        <v>186</v>
      </c>
      <c r="H158" s="9" t="n">
        <v>1284</v>
      </c>
      <c r="I158" s="9" t="inlineStr">
        <is>
          <t>Bench Bat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1" t="n">
        <v>1</v>
      </c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>
        <v>0.85</v>
      </c>
      <c r="X158" s="17" t="n">
        <v>0.15</v>
      </c>
      <c r="Y158" s="17" t="n"/>
      <c r="Z158" s="13">
        <f>SUMPRODUCT(N158:Y158,$N$2:$Y$2)*$K158*$L158*$M158</f>
        <v/>
      </c>
      <c r="AA158" s="14">
        <f>SUM(N158:Y158)</f>
        <v/>
      </c>
      <c r="AB158" s="14">
        <f>IFERROR(IF(UPPER($E158)="L",SUMPRODUCT(N158:Y158,$N$3:$Y$3,$N$2:$Y$2),SUMPRODUCT(N158:Y158,$N$4:$Y$4,$N$2:$Y$2))/(Z158/($K158*$L158*$M158)),"")</f>
        <v/>
      </c>
      <c r="AC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inlineStr">
        <is>
          <t>RF</t>
        </is>
      </c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1" t="n">
        <v>1</v>
      </c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>
        <v>1</v>
      </c>
      <c r="X159" s="17" t="n"/>
      <c r="Y159" s="17" t="n"/>
      <c r="Z159" s="13">
        <f>SUMPRODUCT(N159:Y159,$N$2:$Y$2)*$K159*$L159*$M159</f>
        <v/>
      </c>
      <c r="AA159" s="14">
        <f>SUM(N159:Y159)</f>
        <v/>
      </c>
      <c r="AB159" s="14">
        <f>IFERROR(IF(UPPER($E159)="L",SUMPRODUCT(N159:Y159,$N$3:$Y$3,$N$2:$Y$2),SUMPRODUCT(N159:Y159,$N$4:$Y$4,$N$2:$Y$2))/(Z159/($K159*$L159*$M159)),"")</f>
        <v/>
      </c>
      <c r="AC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inlineStr">
        <is>
          <t>3B</t>
        </is>
      </c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1" t="n">
        <v>1.093644085162348</v>
      </c>
      <c r="N160" s="17" t="n">
        <v>1</v>
      </c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3">
        <f>SUMPRODUCT(N160:Y160,$N$2:$Y$2)*$K160*$L160*$M160</f>
        <v/>
      </c>
      <c r="AA160" s="14">
        <f>SUM(N160:Y160)</f>
        <v/>
      </c>
      <c r="AB160" s="14">
        <f>IFERROR(IF(UPPER($E160)="L",SUMPRODUCT(N160:Y160,$N$3:$Y$3,$N$2:$Y$2),SUMPRODUCT(N160:Y160,$N$4:$Y$4,$N$2:$Y$2))/(Z160/($K160*$L160*$M160)),"")</f>
        <v/>
      </c>
      <c r="AC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inlineStr">
        <is>
          <t>LF</t>
        </is>
      </c>
      <c r="G161" s="9" t="n">
        <v>409</v>
      </c>
      <c r="H161" s="9" t="n">
        <v>1147</v>
      </c>
      <c r="I161" s="9" t="inlineStr">
        <is>
          <t>Bench Bat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1" t="n">
        <v>1.015568372235355</v>
      </c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>
        <v>0.85</v>
      </c>
      <c r="X161" s="17" t="n">
        <v>0.15</v>
      </c>
      <c r="Y161" s="17" t="n"/>
      <c r="Z161" s="13">
        <f>SUMPRODUCT(N161:Y161,$N$2:$Y$2)*$K161*$L161*$M161</f>
        <v/>
      </c>
      <c r="AA161" s="14">
        <f>SUM(N161:Y161)</f>
        <v/>
      </c>
      <c r="AB161" s="14">
        <f>IFERROR(IF(UPPER($E161)="L",SUMPRODUCT(N161:Y161,$N$3:$Y$3,$N$2:$Y$2),SUMPRODUCT(N161:Y161,$N$4:$Y$4,$N$2:$Y$2))/(Z161/($K161*$L161*$M161)),"")</f>
        <v/>
      </c>
      <c r="AC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inlineStr">
        <is>
          <t>C</t>
        </is>
      </c>
      <c r="G162" s="9" t="n">
        <v>420</v>
      </c>
      <c r="H162" s="9" t="n">
        <v>1476</v>
      </c>
      <c r="I162" s="9" t="inlineStr">
        <is>
          <t>Catcher - Primary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1" t="n">
        <v>0.9299312875485936</v>
      </c>
      <c r="N162" s="17" t="n"/>
      <c r="O162" s="17" t="n"/>
      <c r="P162" s="17" t="n"/>
      <c r="Q162" s="17" t="n"/>
      <c r="R162" s="17" t="n">
        <v>0.7</v>
      </c>
      <c r="S162" s="17" t="n">
        <v>0.3</v>
      </c>
      <c r="T162" s="17" t="n"/>
      <c r="U162" s="17" t="n"/>
      <c r="V162" s="17" t="n"/>
      <c r="W162" s="17" t="n"/>
      <c r="X162" s="17" t="n"/>
      <c r="Y162" s="17" t="n"/>
      <c r="Z162" s="13">
        <f>SUMPRODUCT(N162:Y162,$N$2:$Y$2)*$K162*$L162*$M162</f>
        <v/>
      </c>
      <c r="AA162" s="14">
        <f>SUM(N162:Y162)</f>
        <v/>
      </c>
      <c r="AB162" s="14">
        <f>IFERROR(IF(UPPER($E162)="L",SUMPRODUCT(N162:Y162,$N$3:$Y$3,$N$2:$Y$2),SUMPRODUCT(N162:Y162,$N$4:$Y$4,$N$2:$Y$2))/(Z162/($K162*$L162*$M162)),"")</f>
        <v/>
      </c>
      <c r="AC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inlineStr">
        <is>
          <t>RF</t>
        </is>
      </c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1" t="n">
        <v>1</v>
      </c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>
        <v>1</v>
      </c>
      <c r="Z163" s="13">
        <f>SUMPRODUCT(N163:Y163,$N$2:$Y$2)*$K163*$L163*$M163</f>
        <v/>
      </c>
      <c r="AA163" s="14">
        <f>SUM(N163:Y163)</f>
        <v/>
      </c>
      <c r="AB163" s="14">
        <f>IFERROR(IF(UPPER($E163)="L",SUMPRODUCT(N163:Y163,$N$3:$Y$3,$N$2:$Y$2),SUMPRODUCT(N163:Y163,$N$4:$Y$4,$N$2:$Y$2))/(Z163/($K163*$L163*$M163)),"")</f>
        <v/>
      </c>
      <c r="AC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inlineStr">
        <is>
          <t>LF</t>
        </is>
      </c>
      <c r="G164" s="9" t="n">
        <v>517</v>
      </c>
      <c r="H164" s="9" t="n">
        <v>2983</v>
      </c>
      <c r="I164" s="9" t="inlineStr">
        <is>
          <t>Everyday DH / 1B-DH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1" t="n">
        <v>1.051667996769764</v>
      </c>
      <c r="N164" s="17" t="n"/>
      <c r="O164" s="17" t="n">
        <v>1</v>
      </c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3">
        <f>SUMPRODUCT(N164:Y164,$N$2:$Y$2)*$K164*$L164*$M164</f>
        <v/>
      </c>
      <c r="AA164" s="14">
        <f>SUM(N164:Y164)</f>
        <v/>
      </c>
      <c r="AB164" s="14">
        <f>IFERROR(IF(UPPER($E164)="L",SUMPRODUCT(N164:Y164,$N$3:$Y$3,$N$2:$Y$2),SUMPRODUCT(N164:Y164,$N$4:$Y$4,$N$2:$Y$2))/(Z164/($K164*$L164*$M164)),"")</f>
        <v/>
      </c>
      <c r="AC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1" t="n">
        <v>1</v>
      </c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>
        <v>1</v>
      </c>
      <c r="Z165" s="13">
        <f>SUMPRODUCT(N165:Y165,$N$2:$Y$2)*$K165*$L165*$M165</f>
        <v/>
      </c>
      <c r="AA165" s="14">
        <f>SUM(N165:Y165)</f>
        <v/>
      </c>
      <c r="AB165" s="14">
        <f>IFERROR(IF(UPPER($E165)="L",SUMPRODUCT(N165:Y165,$N$3:$Y$3,$N$2:$Y$2),SUMPRODUCT(N165:Y165,$N$4:$Y$4,$N$2:$Y$2))/(Z165/($K165*$L165*$M165)),"")</f>
        <v/>
      </c>
      <c r="AC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inlineStr">
        <is>
          <t>C</t>
        </is>
      </c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1" t="n">
        <v>1</v>
      </c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>
        <v>1</v>
      </c>
      <c r="Z166" s="13">
        <f>SUMPRODUCT(N166:Y166,$N$2:$Y$2)*$K166*$L166*$M166</f>
        <v/>
      </c>
      <c r="AA166" s="14">
        <f>SUM(N166:Y166)</f>
        <v/>
      </c>
      <c r="AB166" s="14">
        <f>IFERROR(IF(UPPER($E166)="L",SUMPRODUCT(N166:Y166,$N$3:$Y$3,$N$2:$Y$2),SUMPRODUCT(N166:Y166,$N$4:$Y$4,$N$2:$Y$2))/(Z166/($K166*$L166*$M166)),"")</f>
        <v/>
      </c>
      <c r="AC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inlineStr">
        <is>
          <t>3B</t>
        </is>
      </c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1" t="n">
        <v>0.8701061181378513</v>
      </c>
      <c r="N167" s="17" t="n">
        <v>0.85</v>
      </c>
      <c r="O167" s="17" t="n"/>
      <c r="P167" s="17" t="n">
        <v>0.15</v>
      </c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3">
        <f>SUMPRODUCT(N167:Y167,$N$2:$Y$2)*$K167*$L167*$M167</f>
        <v/>
      </c>
      <c r="AA167" s="14">
        <f>SUM(N167:Y167)</f>
        <v/>
      </c>
      <c r="AB167" s="14">
        <f>IFERROR(IF(UPPER($E167)="L",SUMPRODUCT(N167:Y167,$N$3:$Y$3,$N$2:$Y$2),SUMPRODUCT(N167:Y167,$N$4:$Y$4,$N$2:$Y$2))/(Z167/($K167*$L167*$M167)),"")</f>
        <v/>
      </c>
      <c r="AC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inlineStr">
        <is>
          <t>C</t>
        </is>
      </c>
      <c r="G168" s="9" t="n">
        <v>276</v>
      </c>
      <c r="H168" s="9" t="n">
        <v>2388</v>
      </c>
      <c r="I168" s="9" t="inlineStr">
        <is>
          <t>Catcher - Primary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1" t="n">
        <v>0.8873615280486314</v>
      </c>
      <c r="N168" s="17" t="n"/>
      <c r="O168" s="17" t="n"/>
      <c r="P168" s="17" t="n"/>
      <c r="Q168" s="17" t="n"/>
      <c r="R168" s="17" t="n">
        <v>1</v>
      </c>
      <c r="S168" s="17" t="n"/>
      <c r="T168" s="17" t="n"/>
      <c r="U168" s="17" t="n"/>
      <c r="V168" s="17" t="n"/>
      <c r="W168" s="17" t="n"/>
      <c r="X168" s="17" t="n"/>
      <c r="Y168" s="17" t="n"/>
      <c r="Z168" s="13">
        <f>SUMPRODUCT(N168:Y168,$N$2:$Y$2)*$K168*$L168*$M168</f>
        <v/>
      </c>
      <c r="AA168" s="14">
        <f>SUM(N168:Y168)</f>
        <v/>
      </c>
      <c r="AB168" s="14">
        <f>IFERROR(IF(UPPER($E168)="L",SUMPRODUCT(N168:Y168,$N$3:$Y$3,$N$2:$Y$2),SUMPRODUCT(N168:Y168,$N$4:$Y$4,$N$2:$Y$2))/(Z168/($K168*$L168*$M168)),"")</f>
        <v/>
      </c>
      <c r="AC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inlineStr">
        <is>
          <t>RF</t>
        </is>
      </c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1" t="n">
        <v>1.102143627634762</v>
      </c>
      <c r="N169" s="17" t="n">
        <v>1</v>
      </c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3">
        <f>SUMPRODUCT(N169:Y169,$N$2:$Y$2)*$K169*$L169*$M169</f>
        <v/>
      </c>
      <c r="AA169" s="14">
        <f>SUM(N169:Y169)</f>
        <v/>
      </c>
      <c r="AB169" s="14">
        <f>IFERROR(IF(UPPER($E169)="L",SUMPRODUCT(N169:Y169,$N$3:$Y$3,$N$2:$Y$2),SUMPRODUCT(N169:Y169,$N$4:$Y$4,$N$2:$Y$2))/(Z169/($K169*$L169*$M169)),"")</f>
        <v/>
      </c>
      <c r="AC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inlineStr">
        <is>
          <t>C</t>
        </is>
      </c>
      <c r="G170" s="9" t="n">
        <v>607</v>
      </c>
      <c r="H170" s="9" t="n">
        <v>1163</v>
      </c>
      <c r="I170" s="9" t="inlineStr">
        <is>
          <t>Catcher - Primary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1" t="n">
        <v>1.037714295644243</v>
      </c>
      <c r="N170" s="17" t="n"/>
      <c r="O170" s="17" t="n"/>
      <c r="P170" s="17" t="n"/>
      <c r="Q170" s="17" t="n"/>
      <c r="R170" s="17" t="n">
        <v>1</v>
      </c>
      <c r="S170" s="17" t="n"/>
      <c r="T170" s="17" t="n"/>
      <c r="U170" s="17" t="n"/>
      <c r="V170" s="17" t="n"/>
      <c r="W170" s="17" t="n"/>
      <c r="X170" s="17" t="n"/>
      <c r="Y170" s="17" t="n"/>
      <c r="Z170" s="13">
        <f>SUMPRODUCT(N170:Y170,$N$2:$Y$2)*$K170*$L170*$M170</f>
        <v/>
      </c>
      <c r="AA170" s="14">
        <f>SUM(N170:Y170)</f>
        <v/>
      </c>
      <c r="AB170" s="14">
        <f>IFERROR(IF(UPPER($E170)="L",SUMPRODUCT(N170:Y170,$N$3:$Y$3,$N$2:$Y$2),SUMPRODUCT(N170:Y170,$N$4:$Y$4,$N$2:$Y$2))/(Z170/($K170*$L170*$M170)),"")</f>
        <v/>
      </c>
      <c r="AC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inlineStr">
        <is>
          <t>1B</t>
        </is>
      </c>
      <c r="G171" s="9" t="n">
        <v>384</v>
      </c>
      <c r="H171" s="9" t="n">
        <v>2381</v>
      </c>
      <c r="I171" s="9" t="inlineStr">
        <is>
          <t>Bench Bat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1" t="n">
        <v>1.15</v>
      </c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>
        <v>0.85</v>
      </c>
      <c r="X171" s="17" t="n">
        <v>0.15</v>
      </c>
      <c r="Y171" s="17" t="n"/>
      <c r="Z171" s="13">
        <f>SUMPRODUCT(N171:Y171,$N$2:$Y$2)*$K171*$L171*$M171</f>
        <v/>
      </c>
      <c r="AA171" s="14">
        <f>SUM(N171:Y171)</f>
        <v/>
      </c>
      <c r="AB171" s="14">
        <f>IFERROR(IF(UPPER($E171)="L",SUMPRODUCT(N171:Y171,$N$3:$Y$3,$N$2:$Y$2),SUMPRODUCT(N171:Y171,$N$4:$Y$4,$N$2:$Y$2))/(Z171/($K171*$L171*$M171)),"")</f>
        <v/>
      </c>
      <c r="AC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inlineStr">
        <is>
          <t>3B</t>
        </is>
      </c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1" t="n">
        <v>1</v>
      </c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>
        <v>1</v>
      </c>
      <c r="X172" s="17" t="n"/>
      <c r="Y172" s="17" t="n"/>
      <c r="Z172" s="13">
        <f>SUMPRODUCT(N172:Y172,$N$2:$Y$2)*$K172*$L172*$M172</f>
        <v/>
      </c>
      <c r="AA172" s="14">
        <f>SUM(N172:Y172)</f>
        <v/>
      </c>
      <c r="AB172" s="14">
        <f>IFERROR(IF(UPPER($E172)="L",SUMPRODUCT(N172:Y172,$N$3:$Y$3,$N$2:$Y$2),SUMPRODUCT(N172:Y172,$N$4:$Y$4,$N$2:$Y$2))/(Z172/($K172*$L172*$M172)),"")</f>
        <v/>
      </c>
      <c r="AC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inlineStr">
        <is>
          <t>LF</t>
        </is>
      </c>
      <c r="G173" s="9" t="n">
        <v>280</v>
      </c>
      <c r="H173" s="9" t="n">
        <v>1861</v>
      </c>
      <c r="I173" s="9" t="inlineStr">
        <is>
          <t>Bench Bat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1" t="n">
        <v>1.074488462383226</v>
      </c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>
        <v>1</v>
      </c>
      <c r="X173" s="17" t="n"/>
      <c r="Y173" s="17" t="n"/>
      <c r="Z173" s="13">
        <f>SUMPRODUCT(N173:Y173,$N$2:$Y$2)*$K173*$L173*$M173</f>
        <v/>
      </c>
      <c r="AA173" s="14">
        <f>SUM(N173:Y173)</f>
        <v/>
      </c>
      <c r="AB173" s="14">
        <f>IFERROR(IF(UPPER($E173)="L",SUMPRODUCT(N173:Y173,$N$3:$Y$3,$N$2:$Y$2),SUMPRODUCT(N173:Y173,$N$4:$Y$4,$N$2:$Y$2))/(Z173/($K173*$L173*$M173)),"")</f>
        <v/>
      </c>
      <c r="AC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1" t="n">
        <v>1</v>
      </c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>
        <v>1</v>
      </c>
      <c r="Z174" s="13">
        <f>SUMPRODUCT(N174:Y174,$N$2:$Y$2)*$K174*$L174*$M174</f>
        <v/>
      </c>
      <c r="AA174" s="14">
        <f>SUM(N174:Y174)</f>
        <v/>
      </c>
      <c r="AB174" s="14">
        <f>IFERROR(IF(UPPER($E174)="L",SUMPRODUCT(N174:Y174,$N$3:$Y$3,$N$2:$Y$2),SUMPRODUCT(N174:Y174,$N$4:$Y$4,$N$2:$Y$2))/(Z174/($K174*$L174*$M174)),"")</f>
        <v/>
      </c>
      <c r="AC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25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Full Time</t>
        </is>
      </c>
      <c r="J175" s="16" t="inlineStr">
        <is>
          <t>Early Season (~May)</t>
        </is>
      </c>
      <c r="K175" s="11">
        <f>IFERROR(INDEX(Roles!$B$17:$B$20,MATCH(J175,Roles!$A$17:$A$20,0)),1)</f>
        <v/>
      </c>
      <c r="L175" s="17" t="n">
        <v>1</v>
      </c>
      <c r="M175" s="11" t="n">
        <v>1</v>
      </c>
      <c r="N175" s="17" t="n">
        <v>0.4</v>
      </c>
      <c r="O175" s="17" t="n"/>
      <c r="P175" s="17" t="n">
        <v>0.25</v>
      </c>
      <c r="Q175" s="17" t="n"/>
      <c r="R175" s="17" t="n"/>
      <c r="S175" s="17" t="n"/>
      <c r="T175" s="17" t="n"/>
      <c r="U175" s="17" t="n"/>
      <c r="V175" s="17" t="n"/>
      <c r="W175" s="17" t="n">
        <v>0.35</v>
      </c>
      <c r="X175" s="17" t="n"/>
      <c r="Y175" s="17" t="n"/>
      <c r="Z175" s="13">
        <f>SUMPRODUCT(N175:Y175,$N$2:$Y$2)*$K175*$L175*$M175</f>
        <v/>
      </c>
      <c r="AA175" s="14">
        <f>SUM(N175:Y175)</f>
        <v/>
      </c>
      <c r="AB175" s="14">
        <f>IFERROR(IF(UPPER($E175)="L",SUMPRODUCT(N175:Y175,$N$3:$Y$3,$N$2:$Y$2),SUMPRODUCT(N175:Y175,$N$4:$Y$4,$N$2:$Y$2))/(Z175/($K175*$L175*$M175)),"")</f>
        <v/>
      </c>
      <c r="AC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inlineStr">
        <is>
          <t>2B</t>
        </is>
      </c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1" t="n">
        <v>1.060495869519932</v>
      </c>
      <c r="N176" s="17" t="n">
        <v>1</v>
      </c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3">
        <f>SUMPRODUCT(N176:Y176,$N$2:$Y$2)*$K176*$L176*$M176</f>
        <v/>
      </c>
      <c r="AA176" s="14">
        <f>SUM(N176:Y176)</f>
        <v/>
      </c>
      <c r="AB176" s="14">
        <f>IFERROR(IF(UPPER($E176)="L",SUMPRODUCT(N176:Y176,$N$3:$Y$3,$N$2:$Y$2),SUMPRODUCT(N176:Y176,$N$4:$Y$4,$N$2:$Y$2))/(Z176/($K176*$L176*$M176)),"")</f>
        <v/>
      </c>
      <c r="AC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inlineStr">
        <is>
          <t>RF</t>
        </is>
      </c>
      <c r="G177" s="9" t="n">
        <v>59</v>
      </c>
      <c r="H177" s="9" t="n">
        <v>59</v>
      </c>
      <c r="I177" s="9" t="inlineStr">
        <is>
          <t>Strong Side Platoon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1" t="n">
        <v>1</v>
      </c>
      <c r="N177" s="17" t="n">
        <v>0.4</v>
      </c>
      <c r="O177" s="17" t="n"/>
      <c r="P177" s="17" t="n">
        <v>0.6</v>
      </c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3">
        <f>SUMPRODUCT(N177:Y177,$N$2:$Y$2)*$K177*$L177*$M177</f>
        <v/>
      </c>
      <c r="AA177" s="14">
        <f>SUM(N177:Y177)</f>
        <v/>
      </c>
      <c r="AB177" s="14">
        <f>IFERROR(IF(UPPER($E177)="L",SUMPRODUCT(N177:Y177,$N$3:$Y$3,$N$2:$Y$2),SUMPRODUCT(N177:Y177,$N$4:$Y$4,$N$2:$Y$2))/(Z177/($K177*$L177*$M177)),"")</f>
        <v/>
      </c>
      <c r="AC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inlineStr">
        <is>
          <t>CF</t>
        </is>
      </c>
      <c r="G178" s="9" t="n">
        <v>230</v>
      </c>
      <c r="H178" s="9" t="n">
        <v>2082</v>
      </c>
      <c r="I178" s="9" t="inlineStr">
        <is>
          <t>Bench Bat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1" t="n">
        <v>0.948521373101571</v>
      </c>
      <c r="N178" s="17" t="n">
        <v>0.4</v>
      </c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>
        <v>0.6</v>
      </c>
      <c r="X178" s="17" t="n"/>
      <c r="Y178" s="17" t="n"/>
      <c r="Z178" s="13">
        <f>SUMPRODUCT(N178:Y178,$N$2:$Y$2)*$K178*$L178*$M178</f>
        <v/>
      </c>
      <c r="AA178" s="14">
        <f>SUM(N178:Y178)</f>
        <v/>
      </c>
      <c r="AB178" s="14">
        <f>IFERROR(IF(UPPER($E178)="L",SUMPRODUCT(N178:Y178,$N$3:$Y$3,$N$2:$Y$2),SUMPRODUCT(N178:Y178,$N$4:$Y$4,$N$2:$Y$2))/(Z178/($K178*$L178*$M178)),"")</f>
        <v/>
      </c>
      <c r="AC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inlineStr">
        <is>
          <t>RF</t>
        </is>
      </c>
      <c r="G179" s="9" t="n">
        <v>314</v>
      </c>
      <c r="H179" s="9" t="n">
        <v>1758</v>
      </c>
      <c r="I179" s="9" t="inlineStr">
        <is>
          <t>Everyday DH / 1B-DH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1" t="n">
        <v>0.9527339856427176</v>
      </c>
      <c r="N179" s="17" t="n"/>
      <c r="O179" s="17" t="n">
        <v>0.7</v>
      </c>
      <c r="P179" s="17" t="n"/>
      <c r="Q179" s="17" t="n"/>
      <c r="R179" s="17" t="n"/>
      <c r="S179" s="17" t="n"/>
      <c r="T179" s="17" t="n"/>
      <c r="U179" s="17" t="n"/>
      <c r="V179" s="17" t="n"/>
      <c r="W179" s="17" t="n">
        <v>0.3</v>
      </c>
      <c r="X179" s="17" t="n"/>
      <c r="Y179" s="17" t="n"/>
      <c r="Z179" s="13">
        <f>SUMPRODUCT(N179:Y179,$N$2:$Y$2)*$K179*$L179*$M179</f>
        <v/>
      </c>
      <c r="AA179" s="14">
        <f>SUM(N179:Y179)</f>
        <v/>
      </c>
      <c r="AB179" s="14">
        <f>IFERROR(IF(UPPER($E179)="L",SUMPRODUCT(N179:Y179,$N$3:$Y$3,$N$2:$Y$2),SUMPRODUCT(N179:Y179,$N$4:$Y$4,$N$2:$Y$2))/(Z179/($K179*$L179*$M179)),"")</f>
        <v/>
      </c>
      <c r="AC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inlineStr">
        <is>
          <t>RF</t>
        </is>
      </c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1" t="n">
        <v>1</v>
      </c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>
        <v>1</v>
      </c>
      <c r="Z180" s="13">
        <f>SUMPRODUCT(N180:Y180,$N$2:$Y$2)*$K180*$L180*$M180</f>
        <v/>
      </c>
      <c r="AA180" s="14">
        <f>SUM(N180:Y180)</f>
        <v/>
      </c>
      <c r="AB180" s="14">
        <f>IFERROR(IF(UPPER($E180)="L",SUMPRODUCT(N180:Y180,$N$3:$Y$3,$N$2:$Y$2),SUMPRODUCT(N180:Y180,$N$4:$Y$4,$N$2:$Y$2))/(Z180/($K180*$L180*$M180)),"")</f>
        <v/>
      </c>
      <c r="AC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inlineStr">
        <is>
          <t>RF</t>
        </is>
      </c>
      <c r="G181" s="9" t="n">
        <v>121</v>
      </c>
      <c r="H181" s="9" t="n">
        <v>253</v>
      </c>
      <c r="I181" s="9" t="inlineStr">
        <is>
          <t>Weak Side Platoon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1" t="n">
        <v>1</v>
      </c>
      <c r="N181" s="17" t="n"/>
      <c r="O181" s="17" t="n"/>
      <c r="P181" s="17" t="n"/>
      <c r="Q181" s="17" t="n">
        <v>1</v>
      </c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3">
        <f>SUMPRODUCT(N181:Y181,$N$2:$Y$2)*$K181*$L181*$M181</f>
        <v/>
      </c>
      <c r="AA181" s="14">
        <f>SUM(N181:Y181)</f>
        <v/>
      </c>
      <c r="AB181" s="14">
        <f>IFERROR(IF(UPPER($E181)="L",SUMPRODUCT(N181:Y181,$N$3:$Y$3,$N$2:$Y$2),SUMPRODUCT(N181:Y181,$N$4:$Y$4,$N$2:$Y$2))/(Z181/($K181*$L181*$M181)),"")</f>
        <v/>
      </c>
      <c r="AC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inlineStr">
        <is>
          <t>RF</t>
        </is>
      </c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1" t="n">
        <v>0.7229996487424789</v>
      </c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>
        <v>1</v>
      </c>
      <c r="X182" s="17" t="n"/>
      <c r="Y182" s="17" t="n"/>
      <c r="Z182" s="13">
        <f>SUMPRODUCT(N182:Y182,$N$2:$Y$2)*$K182*$L182*$M182</f>
        <v/>
      </c>
      <c r="AA182" s="14">
        <f>SUM(N182:Y182)</f>
        <v/>
      </c>
      <c r="AB182" s="14">
        <f>IFERROR(IF(UPPER($E182)="L",SUMPRODUCT(N182:Y182,$N$3:$Y$3,$N$2:$Y$2),SUMPRODUCT(N182:Y182,$N$4:$Y$4,$N$2:$Y$2))/(Z182/($K182*$L182*$M182)),"")</f>
        <v/>
      </c>
      <c r="AC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inlineStr">
        <is>
          <t>CF</t>
        </is>
      </c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1" t="n">
        <v>1.101293673387521</v>
      </c>
      <c r="N183" s="17" t="n">
        <v>1</v>
      </c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3">
        <f>SUMPRODUCT(N183:Y183,$N$2:$Y$2)*$K183*$L183*$M183</f>
        <v/>
      </c>
      <c r="AA183" s="14">
        <f>SUM(N183:Y183)</f>
        <v/>
      </c>
      <c r="AB183" s="14">
        <f>IFERROR(IF(UPPER($E183)="L",SUMPRODUCT(N183:Y183,$N$3:$Y$3,$N$2:$Y$2),SUMPRODUCT(N183:Y183,$N$4:$Y$4,$N$2:$Y$2))/(Z183/($K183*$L183*$M183)),"")</f>
        <v/>
      </c>
      <c r="AC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inlineStr">
        <is>
          <t>C</t>
        </is>
      </c>
      <c r="G184" s="9" t="n">
        <v>388</v>
      </c>
      <c r="H184" s="9" t="n">
        <v>1325</v>
      </c>
      <c r="I184" s="9" t="inlineStr">
        <is>
          <t>Catcher - Primary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1" t="n">
        <v>1.055829086920822</v>
      </c>
      <c r="N184" s="17" t="n"/>
      <c r="O184" s="17" t="n"/>
      <c r="P184" s="17" t="n"/>
      <c r="Q184" s="17" t="n"/>
      <c r="R184" s="17" t="n">
        <v>0.7</v>
      </c>
      <c r="S184" s="17" t="n">
        <v>0.3</v>
      </c>
      <c r="T184" s="17" t="n"/>
      <c r="U184" s="17" t="n"/>
      <c r="V184" s="17" t="n"/>
      <c r="W184" s="17" t="n"/>
      <c r="X184" s="17" t="n"/>
      <c r="Y184" s="17" t="n"/>
      <c r="Z184" s="13">
        <f>SUMPRODUCT(N184:Y184,$N$2:$Y$2)*$K184*$L184*$M184</f>
        <v/>
      </c>
      <c r="AA184" s="14">
        <f>SUM(N184:Y184)</f>
        <v/>
      </c>
      <c r="AB184" s="14">
        <f>IFERROR(IF(UPPER($E184)="L",SUMPRODUCT(N184:Y184,$N$3:$Y$3,$N$2:$Y$2),SUMPRODUCT(N184:Y184,$N$4:$Y$4,$N$2:$Y$2))/(Z184/($K184*$L184*$M184)),"")</f>
        <v/>
      </c>
      <c r="AC184" s="18" t="n"/>
    </row>
    <row r="185">
      <c r="A185" s="9" t="n">
        <v>677943</v>
      </c>
      <c r="B185" s="9" t="inlineStr">
        <is>
          <t>Will Banfield</t>
        </is>
      </c>
      <c r="C185" s="9" t="inlineStr">
        <is>
          <t>CIN</t>
        </is>
      </c>
      <c r="D185" s="9" t="n">
        <v>27</v>
      </c>
      <c r="E185" s="16" t="inlineStr">
        <is>
          <t>R</t>
        </is>
      </c>
      <c r="F185" s="16" t="inlineStr">
        <is>
          <t>C</t>
        </is>
      </c>
      <c r="G185" s="9" t="n">
        <v>21</v>
      </c>
      <c r="H185" s="9" t="n">
        <v>31</v>
      </c>
      <c r="I185" s="9" t="inlineStr">
        <is>
          <t>Bench Bat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1" t="n">
        <v>1</v>
      </c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>
        <v>0.85</v>
      </c>
      <c r="X185" s="17" t="n">
        <v>0.15</v>
      </c>
      <c r="Y185" s="17" t="n"/>
      <c r="Z185" s="13">
        <f>SUMPRODUCT(N185:Y185,$N$2:$Y$2)*$K185*$L185*$M185</f>
        <v/>
      </c>
      <c r="AA185" s="14">
        <f>SUM(N185:Y185)</f>
        <v/>
      </c>
      <c r="AB185" s="14">
        <f>IFERROR(IF(UPPER($E185)="L",SUMPRODUCT(N185:Y185,$N$3:$Y$3,$N$2:$Y$2),SUMPRODUCT(N185:Y185,$N$4:$Y$4,$N$2:$Y$2))/(Z185/($K185*$L185*$M185)),"")</f>
        <v/>
      </c>
      <c r="AC185" s="18" t="n"/>
    </row>
    <row r="186">
      <c r="A186" s="9" t="n">
        <v>642350</v>
      </c>
      <c r="B186" s="9" t="inlineStr">
        <is>
          <t>Jose Siri</t>
        </is>
      </c>
      <c r="C186" s="9" t="inlineStr">
        <is>
          <t>LAA</t>
        </is>
      </c>
      <c r="D186" s="9" t="n">
        <v>31</v>
      </c>
      <c r="E186" s="16" t="inlineStr">
        <is>
          <t>R</t>
        </is>
      </c>
      <c r="F186" s="16" t="inlineStr">
        <is>
          <t>LF</t>
        </is>
      </c>
      <c r="G186" s="9" t="n">
        <v>251</v>
      </c>
      <c r="H186" s="9" t="n">
        <v>1424</v>
      </c>
      <c r="I186" s="9" t="inlineStr">
        <is>
          <t>Full Time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1" t="n">
        <v>0.7689615627161208</v>
      </c>
      <c r="N186" s="17" t="n">
        <v>0.7</v>
      </c>
      <c r="O186" s="17" t="n"/>
      <c r="P186" s="17" t="n">
        <v>0.3</v>
      </c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3">
        <f>SUMPRODUCT(N186:Y186,$N$2:$Y$2)*$K186*$L186*$M186</f>
        <v/>
      </c>
      <c r="AA186" s="14">
        <f>SUM(N186:Y186)</f>
        <v/>
      </c>
      <c r="AB186" s="14">
        <f>IFERROR(IF(UPPER($E186)="L",SUMPRODUCT(N186:Y186,$N$3:$Y$3,$N$2:$Y$2),SUMPRODUCT(N186:Y186,$N$4:$Y$4,$N$2:$Y$2))/(Z186/($K186*$L186*$M186)),"")</f>
        <v/>
      </c>
      <c r="AC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inlineStr">
        <is>
          <t>1B</t>
        </is>
      </c>
      <c r="G187" s="9" t="n">
        <v>631</v>
      </c>
      <c r="H187" s="9" t="n">
        <v>3031</v>
      </c>
      <c r="I187" s="9" t="inlineStr">
        <is>
          <t>Everyday DH / 1B-DH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1" t="n">
        <v>1.093101898865706</v>
      </c>
      <c r="N187" s="17" t="n"/>
      <c r="O187" s="17" t="n">
        <v>1</v>
      </c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3">
        <f>SUMPRODUCT(N187:Y187,$N$2:$Y$2)*$K187*$L187*$M187</f>
        <v/>
      </c>
      <c r="AA187" s="14">
        <f>SUM(N187:Y187)</f>
        <v/>
      </c>
      <c r="AB187" s="14">
        <f>IFERROR(IF(UPPER($E187)="L",SUMPRODUCT(N187:Y187,$N$3:$Y$3,$N$2:$Y$2),SUMPRODUCT(N187:Y187,$N$4:$Y$4,$N$2:$Y$2))/(Z187/($K187*$L187*$M187)),"")</f>
        <v/>
      </c>
      <c r="AC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inlineStr">
        <is>
          <t>LF</t>
        </is>
      </c>
      <c r="G188" s="9" t="n">
        <v>18</v>
      </c>
      <c r="H188" s="9" t="n">
        <v>263</v>
      </c>
      <c r="I188" s="9" t="inlineStr">
        <is>
          <t>Utility OF / 4th OF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1" t="n">
        <v>1</v>
      </c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>
        <v>0.7</v>
      </c>
      <c r="W188" s="17" t="n">
        <v>0.3</v>
      </c>
      <c r="X188" s="17" t="n"/>
      <c r="Y188" s="17" t="n"/>
      <c r="Z188" s="13">
        <f>SUMPRODUCT(N188:Y188,$N$2:$Y$2)*$K188*$L188*$M188</f>
        <v/>
      </c>
      <c r="AA188" s="14">
        <f>SUM(N188:Y188)</f>
        <v/>
      </c>
      <c r="AB188" s="14">
        <f>IFERROR(IF(UPPER($E188)="L",SUMPRODUCT(N188:Y188,$N$3:$Y$3,$N$2:$Y$2),SUMPRODUCT(N188:Y188,$N$4:$Y$4,$N$2:$Y$2))/(Z188/($K188*$L188*$M188)),"")</f>
        <v/>
      </c>
      <c r="AC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inlineStr">
        <is>
          <t>RF</t>
        </is>
      </c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1" t="n">
        <v>0.9588645792152372</v>
      </c>
      <c r="N189" s="17" t="n">
        <v>0.9</v>
      </c>
      <c r="O189" s="17" t="n"/>
      <c r="P189" s="17" t="n">
        <v>0.1</v>
      </c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3">
        <f>SUMPRODUCT(N189:Y189,$N$2:$Y$2)*$K189*$L189*$M189</f>
        <v/>
      </c>
      <c r="AA189" s="14">
        <f>SUM(N189:Y189)</f>
        <v/>
      </c>
      <c r="AB189" s="14">
        <f>IFERROR(IF(UPPER($E189)="L",SUMPRODUCT(N189:Y189,$N$3:$Y$3,$N$2:$Y$2),SUMPRODUCT(N189:Y189,$N$4:$Y$4,$N$2:$Y$2))/(Z189/($K189*$L189*$M189)),"")</f>
        <v/>
      </c>
      <c r="AC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inlineStr">
        <is>
          <t>LF</t>
        </is>
      </c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1" t="n">
        <v>1.063045732261656</v>
      </c>
      <c r="N190" s="17" t="n">
        <v>1</v>
      </c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3">
        <f>SUMPRODUCT(N190:Y190,$N$2:$Y$2)*$K190*$L190*$M190</f>
        <v/>
      </c>
      <c r="AA190" s="14">
        <f>SUM(N190:Y190)</f>
        <v/>
      </c>
      <c r="AB190" s="14">
        <f>IFERROR(IF(UPPER($E190)="L",SUMPRODUCT(N190:Y190,$N$3:$Y$3,$N$2:$Y$2),SUMPRODUCT(N190:Y190,$N$4:$Y$4,$N$2:$Y$2))/(Z190/($K190*$L190*$M190)),"")</f>
        <v/>
      </c>
      <c r="AC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inlineStr">
        <is>
          <t>3B</t>
        </is>
      </c>
      <c r="G191" s="9" t="n">
        <v>302</v>
      </c>
      <c r="H191" s="9" t="n">
        <v>1883</v>
      </c>
      <c r="I191" s="9" t="inlineStr">
        <is>
          <t>Weak Side Platoon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1" t="n">
        <v>1.033594459881918</v>
      </c>
      <c r="N191" s="17" t="n"/>
      <c r="O191" s="17" t="n"/>
      <c r="P191" s="17" t="n"/>
      <c r="Q191" s="17" t="n">
        <v>0.6</v>
      </c>
      <c r="R191" s="17" t="n"/>
      <c r="S191" s="17" t="n"/>
      <c r="T191" s="17" t="n"/>
      <c r="U191" s="17" t="n">
        <v>0.4</v>
      </c>
      <c r="V191" s="17" t="n"/>
      <c r="W191" s="17" t="n"/>
      <c r="X191" s="17" t="n"/>
      <c r="Y191" s="17" t="n"/>
      <c r="Z191" s="13">
        <f>SUMPRODUCT(N191:Y191,$N$2:$Y$2)*$K191*$L191*$M191</f>
        <v/>
      </c>
      <c r="AA191" s="14">
        <f>SUM(N191:Y191)</f>
        <v/>
      </c>
      <c r="AB191" s="14">
        <f>IFERROR(IF(UPPER($E191)="L",SUMPRODUCT(N191:Y191,$N$3:$Y$3,$N$2:$Y$2),SUMPRODUCT(N191:Y191,$N$4:$Y$4,$N$2:$Y$2))/(Z191/($K191*$L191*$M191)),"")</f>
        <v/>
      </c>
      <c r="AC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inlineStr">
        <is>
          <t>RF</t>
        </is>
      </c>
      <c r="G192" s="9" t="n">
        <v>28</v>
      </c>
      <c r="H192" s="9" t="n">
        <v>755</v>
      </c>
      <c r="I192" s="9" t="inlineStr">
        <is>
          <t>Injury Replacement / 26th Man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1" t="n">
        <v>0.8976784305785787</v>
      </c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>
        <v>1</v>
      </c>
      <c r="Y192" s="17" t="n"/>
      <c r="Z192" s="13">
        <f>SUMPRODUCT(N192:Y192,$N$2:$Y$2)*$K192*$L192*$M192</f>
        <v/>
      </c>
      <c r="AA192" s="14">
        <f>SUM(N192:Y192)</f>
        <v/>
      </c>
      <c r="AB192" s="14">
        <f>IFERROR(IF(UPPER($E192)="L",SUMPRODUCT(N192:Y192,$N$3:$Y$3,$N$2:$Y$2),SUMPRODUCT(N192:Y192,$N$4:$Y$4,$N$2:$Y$2))/(Z192/($K192*$L192*$M192)),"")</f>
        <v/>
      </c>
      <c r="AC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inlineStr">
        <is>
          <t>1B</t>
        </is>
      </c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1" t="n">
        <v>1</v>
      </c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>
        <v>1</v>
      </c>
      <c r="Z193" s="13">
        <f>SUMPRODUCT(N193:Y193,$N$2:$Y$2)*$K193*$L193*$M193</f>
        <v/>
      </c>
      <c r="AA193" s="14">
        <f>SUM(N193:Y193)</f>
        <v/>
      </c>
      <c r="AB193" s="14">
        <f>IFERROR(IF(UPPER($E193)="L",SUMPRODUCT(N193:Y193,$N$3:$Y$3,$N$2:$Y$2),SUMPRODUCT(N193:Y193,$N$4:$Y$4,$N$2:$Y$2))/(Z193/($K193*$L193*$M193)),"")</f>
        <v/>
      </c>
      <c r="AC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Mid Season (~July)</t>
        </is>
      </c>
      <c r="K194" s="11">
        <f>IFERROR(INDEX(Roles!$B$17:$B$20,MATCH(J194,Roles!$A$17:$A$20,0)),1)</f>
        <v/>
      </c>
      <c r="L194" s="17" t="n">
        <v>1</v>
      </c>
      <c r="M194" s="11" t="n">
        <v>1</v>
      </c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>
        <v>1</v>
      </c>
      <c r="Z194" s="13">
        <f>SUMPRODUCT(N194:Y194,$N$2:$Y$2)*$K194*$L194*$M194</f>
        <v/>
      </c>
      <c r="AA194" s="14">
        <f>SUM(N194:Y194)</f>
        <v/>
      </c>
      <c r="AB194" s="14">
        <f>IFERROR(IF(UPPER($E194)="L",SUMPRODUCT(N194:Y194,$N$3:$Y$3,$N$2:$Y$2),SUMPRODUCT(N194:Y194,$N$4:$Y$4,$N$2:$Y$2))/(Z194/($K194*$L194*$M194)),"")</f>
        <v/>
      </c>
      <c r="AC194" s="18" t="n"/>
    </row>
    <row r="195">
      <c r="A195" s="9" t="n">
        <v>682928</v>
      </c>
      <c r="B195" s="9" t="inlineStr">
        <is>
          <t>CJ Abrams</t>
        </is>
      </c>
      <c r="C195" s="9" t="inlineStr">
        <is>
          <t>WSH</t>
        </is>
      </c>
      <c r="D195" s="9" t="n">
        <v>26</v>
      </c>
      <c r="E195" s="16" t="inlineStr">
        <is>
          <t>L</t>
        </is>
      </c>
      <c r="F195" s="16" t="inlineStr">
        <is>
          <t>SS</t>
        </is>
      </c>
      <c r="G195" s="9" t="n">
        <v>654</v>
      </c>
      <c r="H195" s="9" t="n">
        <v>2807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1" t="n">
        <v>1.134441889029937</v>
      </c>
      <c r="N195" s="17" t="n">
        <v>1</v>
      </c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3">
        <f>SUMPRODUCT(N195:Y195,$N$2:$Y$2)*$K195*$L195*$M195</f>
        <v/>
      </c>
      <c r="AA195" s="14">
        <f>SUM(N195:Y195)</f>
        <v/>
      </c>
      <c r="AB195" s="14">
        <f>IFERROR(IF(UPPER($E195)="L",SUMPRODUCT(N195:Y195,$N$3:$Y$3,$N$2:$Y$2),SUMPRODUCT(N195:Y195,$N$4:$Y$4,$N$2:$Y$2))/(Z195/($K195*$L195*$M195)),"")</f>
        <v/>
      </c>
      <c r="AC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inlineStr">
        <is>
          <t>LF</t>
        </is>
      </c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1" t="n">
        <v>1</v>
      </c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>
        <v>1</v>
      </c>
      <c r="X196" s="17" t="n"/>
      <c r="Y196" s="17" t="n"/>
      <c r="Z196" s="13">
        <f>SUMPRODUCT(N196:Y196,$N$2:$Y$2)*$K196*$L196*$M196</f>
        <v/>
      </c>
      <c r="AA196" s="14">
        <f>SUM(N196:Y196)</f>
        <v/>
      </c>
      <c r="AB196" s="14">
        <f>IFERROR(IF(UPPER($E196)="L",SUMPRODUCT(N196:Y196,$N$3:$Y$3,$N$2:$Y$2),SUMPRODUCT(N196:Y196,$N$4:$Y$4,$N$2:$Y$2))/(Z196/($K196*$L196*$M196)),"")</f>
        <v/>
      </c>
      <c r="AC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inlineStr">
        <is>
          <t>LF</t>
        </is>
      </c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1" t="n">
        <v>1</v>
      </c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>
        <v>1</v>
      </c>
      <c r="Z197" s="13">
        <f>SUMPRODUCT(N197:Y197,$N$2:$Y$2)*$K197*$L197*$M197</f>
        <v/>
      </c>
      <c r="AA197" s="14">
        <f>SUM(N197:Y197)</f>
        <v/>
      </c>
      <c r="AB197" s="14">
        <f>IFERROR(IF(UPPER($E197)="L",SUMPRODUCT(N197:Y197,$N$3:$Y$3,$N$2:$Y$2),SUMPRODUCT(N197:Y197,$N$4:$Y$4,$N$2:$Y$2))/(Z197/($K197*$L197*$M197)),"")</f>
        <v/>
      </c>
      <c r="AC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inlineStr">
        <is>
          <t>SS</t>
        </is>
      </c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1" t="n">
        <v>1</v>
      </c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>
        <v>1</v>
      </c>
      <c r="X198" s="17" t="n"/>
      <c r="Y198" s="17" t="n"/>
      <c r="Z198" s="13">
        <f>SUMPRODUCT(N198:Y198,$N$2:$Y$2)*$K198*$L198*$M198</f>
        <v/>
      </c>
      <c r="AA198" s="14">
        <f>SUM(N198:Y198)</f>
        <v/>
      </c>
      <c r="AB198" s="14">
        <f>IFERROR(IF(UPPER($E198)="L",SUMPRODUCT(N198:Y198,$N$3:$Y$3,$N$2:$Y$2),SUMPRODUCT(N198:Y198,$N$4:$Y$4,$N$2:$Y$2))/(Z198/($K198*$L198*$M198)),"")</f>
        <v/>
      </c>
      <c r="AC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inlineStr">
        <is>
          <t>LF</t>
        </is>
      </c>
      <c r="G199" s="9" t="n">
        <v>328</v>
      </c>
      <c r="H199" s="9" t="n">
        <v>449</v>
      </c>
      <c r="I199" s="9" t="inlineStr">
        <is>
          <t>Bench Bat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1" t="n">
        <v>1.016341112503771</v>
      </c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>
        <v>1</v>
      </c>
      <c r="X199" s="17" t="n"/>
      <c r="Y199" s="17" t="n"/>
      <c r="Z199" s="13">
        <f>SUMPRODUCT(N199:Y199,$N$2:$Y$2)*$K199*$L199*$M199</f>
        <v/>
      </c>
      <c r="AA199" s="14">
        <f>SUM(N199:Y199)</f>
        <v/>
      </c>
      <c r="AB199" s="14">
        <f>IFERROR(IF(UPPER($E199)="L",SUMPRODUCT(N199:Y199,$N$3:$Y$3,$N$2:$Y$2),SUMPRODUCT(N199:Y199,$N$4:$Y$4,$N$2:$Y$2))/(Z199/($K199*$L199*$M199)),"")</f>
        <v/>
      </c>
      <c r="AC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inlineStr">
        <is>
          <t>1B</t>
        </is>
      </c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1" t="n">
        <v>1</v>
      </c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>
        <v>1</v>
      </c>
      <c r="X200" s="17" t="n"/>
      <c r="Y200" s="17" t="n"/>
      <c r="Z200" s="13">
        <f>SUMPRODUCT(N200:Y200,$N$2:$Y$2)*$K200*$L200*$M200</f>
        <v/>
      </c>
      <c r="AA200" s="14">
        <f>SUM(N200:Y200)</f>
        <v/>
      </c>
      <c r="AB200" s="14">
        <f>IFERROR(IF(UPPER($E200)="L",SUMPRODUCT(N200:Y200,$N$3:$Y$3,$N$2:$Y$2),SUMPRODUCT(N200:Y200,$N$4:$Y$4,$N$2:$Y$2))/(Z200/($K200*$L200*$M200)),"")</f>
        <v/>
      </c>
      <c r="AC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inlineStr">
        <is>
          <t>3B</t>
        </is>
      </c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1" t="n">
        <v>1.044346738822345</v>
      </c>
      <c r="N201" s="17" t="n">
        <v>1</v>
      </c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3">
        <f>SUMPRODUCT(N201:Y201,$N$2:$Y$2)*$K201*$L201*$M201</f>
        <v/>
      </c>
      <c r="AA201" s="14">
        <f>SUM(N201:Y201)</f>
        <v/>
      </c>
      <c r="AB201" s="14">
        <f>IFERROR(IF(UPPER($E201)="L",SUMPRODUCT(N201:Y201,$N$3:$Y$3,$N$2:$Y$2),SUMPRODUCT(N201:Y201,$N$4:$Y$4,$N$2:$Y$2))/(Z201/($K201*$L201*$M201)),"")</f>
        <v/>
      </c>
      <c r="AC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inlineStr">
        <is>
          <t>LF</t>
        </is>
      </c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1" t="n">
        <v>1</v>
      </c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>
        <v>1</v>
      </c>
      <c r="X202" s="17" t="n"/>
      <c r="Y202" s="17" t="n"/>
      <c r="Z202" s="13">
        <f>SUMPRODUCT(N202:Y202,$N$2:$Y$2)*$K202*$L202*$M202</f>
        <v/>
      </c>
      <c r="AA202" s="14">
        <f>SUM(N202:Y202)</f>
        <v/>
      </c>
      <c r="AB202" s="14">
        <f>IFERROR(IF(UPPER($E202)="L",SUMPRODUCT(N202:Y202,$N$3:$Y$3,$N$2:$Y$2),SUMPRODUCT(N202:Y202,$N$4:$Y$4,$N$2:$Y$2))/(Z202/($K202*$L202*$M202)),"")</f>
        <v/>
      </c>
      <c r="AC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inlineStr">
        <is>
          <t>RF</t>
        </is>
      </c>
      <c r="G203" s="9" t="n">
        <v>361</v>
      </c>
      <c r="H203" s="9" t="n">
        <v>2136</v>
      </c>
      <c r="I203" s="9" t="inlineStr">
        <is>
          <t>Full Time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1" t="n">
        <v>0.8403577194844012</v>
      </c>
      <c r="N203" s="17" t="n">
        <v>1</v>
      </c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3">
        <f>SUMPRODUCT(N203:Y203,$N$2:$Y$2)*$K203*$L203*$M203</f>
        <v/>
      </c>
      <c r="AA203" s="14">
        <f>SUM(N203:Y203)</f>
        <v/>
      </c>
      <c r="AB203" s="14">
        <f>IFERROR(IF(UPPER($E203)="L",SUMPRODUCT(N203:Y203,$N$3:$Y$3,$N$2:$Y$2),SUMPRODUCT(N203:Y203,$N$4:$Y$4,$N$2:$Y$2))/(Z203/($K203*$L203*$M203)),"")</f>
        <v/>
      </c>
      <c r="AC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inlineStr">
        <is>
          <t>C</t>
        </is>
      </c>
      <c r="G204" s="9" t="n">
        <v>468</v>
      </c>
      <c r="H204" s="9" t="n">
        <v>2025</v>
      </c>
      <c r="I204" s="9" t="inlineStr">
        <is>
          <t>Catcher - Primary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1" t="n">
        <v>1.026845420878295</v>
      </c>
      <c r="N204" s="17" t="n"/>
      <c r="O204" s="17" t="n"/>
      <c r="P204" s="17" t="n"/>
      <c r="Q204" s="17" t="n"/>
      <c r="R204" s="17" t="n">
        <v>0.85</v>
      </c>
      <c r="S204" s="17" t="n">
        <v>0.15</v>
      </c>
      <c r="T204" s="17" t="n"/>
      <c r="U204" s="17" t="n"/>
      <c r="V204" s="17" t="n"/>
      <c r="W204" s="17" t="n"/>
      <c r="X204" s="17" t="n"/>
      <c r="Y204" s="17" t="n"/>
      <c r="Z204" s="13">
        <f>SUMPRODUCT(N204:Y204,$N$2:$Y$2)*$K204*$L204*$M204</f>
        <v/>
      </c>
      <c r="AA204" s="14">
        <f>SUM(N204:Y204)</f>
        <v/>
      </c>
      <c r="AB204" s="14">
        <f>IFERROR(IF(UPPER($E204)="L",SUMPRODUCT(N204:Y204,$N$3:$Y$3,$N$2:$Y$2),SUMPRODUCT(N204:Y204,$N$4:$Y$4,$N$2:$Y$2))/(Z204/($K204*$L204*$M204)),"")</f>
        <v/>
      </c>
      <c r="AC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inlineStr">
        <is>
          <t>RF</t>
        </is>
      </c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1" t="n">
        <v>1.15</v>
      </c>
      <c r="N205" s="17" t="n">
        <v>1</v>
      </c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3">
        <f>SUMPRODUCT(N205:Y205,$N$2:$Y$2)*$K205*$L205*$M205</f>
        <v/>
      </c>
      <c r="AA205" s="14">
        <f>SUM(N205:Y205)</f>
        <v/>
      </c>
      <c r="AB205" s="14">
        <f>IFERROR(IF(UPPER($E205)="L",SUMPRODUCT(N205:Y205,$N$3:$Y$3,$N$2:$Y$2),SUMPRODUCT(N205:Y205,$N$4:$Y$4,$N$2:$Y$2))/(Z205/($K205*$L205*$M205)),"")</f>
        <v/>
      </c>
      <c r="AC205" s="18" t="n"/>
    </row>
    <row r="206">
      <c r="A206" s="9" t="n">
        <v>683610</v>
      </c>
      <c r="B206" s="9" t="inlineStr">
        <is>
          <t>Leandro Pineda</t>
        </is>
      </c>
      <c r="C206" s="9" t="inlineStr">
        <is>
          <t>WSH</t>
        </is>
      </c>
      <c r="D206" s="9" t="n">
        <v>25</v>
      </c>
      <c r="E206" s="16" t="inlineStr">
        <is>
          <t>L</t>
        </is>
      </c>
      <c r="F206" s="16" t="n"/>
      <c r="G206" s="9" t="n">
        <v>99.84615384615384</v>
      </c>
      <c r="H206" s="9" t="n">
        <v>99.84615384615384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1" t="n">
        <v>1</v>
      </c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>
        <v>1</v>
      </c>
      <c r="Z206" s="13">
        <f>SUMPRODUCT(N206:Y206,$N$2:$Y$2)*$K206*$L206*$M206</f>
        <v/>
      </c>
      <c r="AA206" s="14">
        <f>SUM(N206:Y206)</f>
        <v/>
      </c>
      <c r="AB206" s="14">
        <f>IFERROR(IF(UPPER($E206)="L",SUMPRODUCT(N206:Y206,$N$3:$Y$3,$N$2:$Y$2),SUMPRODUCT(N206:Y206,$N$4:$Y$4,$N$2:$Y$2))/(Z206/($K206*$L206*$M206)),"")</f>
        <v/>
      </c>
      <c r="AC206" s="18" t="n"/>
    </row>
    <row r="207">
      <c r="A207" s="9" t="n">
        <v>605612</v>
      </c>
      <c r="B207" s="9" t="inlineStr">
        <is>
          <t>Harold Castro</t>
        </is>
      </c>
      <c r="C207" s="9" t="inlineStr">
        <is>
          <t>COL</t>
        </is>
      </c>
      <c r="D207" s="9" t="n">
        <v>33</v>
      </c>
      <c r="E207" s="16" t="inlineStr">
        <is>
          <t>L</t>
        </is>
      </c>
      <c r="F207" s="16" t="inlineStr">
        <is>
          <t>2B</t>
        </is>
      </c>
      <c r="G207" s="9" t="n">
        <v>270</v>
      </c>
      <c r="H207" s="9" t="n">
        <v>713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1" t="n">
        <v>1</v>
      </c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>
        <v>1</v>
      </c>
      <c r="Z207" s="13">
        <f>SUMPRODUCT(N207:Y207,$N$2:$Y$2)*$K207*$L207*$M207</f>
        <v/>
      </c>
      <c r="AA207" s="14">
        <f>SUM(N207:Y207)</f>
        <v/>
      </c>
      <c r="AB207" s="14">
        <f>IFERROR(IF(UPPER($E207)="L",SUMPRODUCT(N207:Y207,$N$3:$Y$3,$N$2:$Y$2),SUMPRODUCT(N207:Y207,$N$4:$Y$4,$N$2:$Y$2))/(Z207/($K207*$L207*$M207)),"")</f>
        <v/>
      </c>
      <c r="AC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1" t="n">
        <v>1</v>
      </c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>
        <v>1</v>
      </c>
      <c r="Z208" s="13">
        <f>SUMPRODUCT(N208:Y208,$N$2:$Y$2)*$K208*$L208*$M208</f>
        <v/>
      </c>
      <c r="AA208" s="14">
        <f>SUM(N208:Y208)</f>
        <v/>
      </c>
      <c r="AB208" s="14">
        <f>IFERROR(IF(UPPER($E208)="L",SUMPRODUCT(N208:Y208,$N$3:$Y$3,$N$2:$Y$2),SUMPRODUCT(N208:Y208,$N$4:$Y$4,$N$2:$Y$2))/(Z208/($K208*$L208*$M208)),"")</f>
        <v/>
      </c>
      <c r="AC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inlineStr">
        <is>
          <t>LF</t>
        </is>
      </c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1" t="n">
        <v>1</v>
      </c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>
        <v>0.7</v>
      </c>
      <c r="X209" s="17" t="n">
        <v>0.3</v>
      </c>
      <c r="Y209" s="17" t="n"/>
      <c r="Z209" s="13">
        <f>SUMPRODUCT(N209:Y209,$N$2:$Y$2)*$K209*$L209*$M209</f>
        <v/>
      </c>
      <c r="AA209" s="14">
        <f>SUM(N209:Y209)</f>
        <v/>
      </c>
      <c r="AB209" s="14">
        <f>IFERROR(IF(UPPER($E209)="L",SUMPRODUCT(N209:Y209,$N$3:$Y$3,$N$2:$Y$2),SUMPRODUCT(N209:Y209,$N$4:$Y$4,$N$2:$Y$2))/(Z209/($K209*$L209*$M209)),"")</f>
        <v/>
      </c>
      <c r="AC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inlineStr">
        <is>
          <t>CF</t>
        </is>
      </c>
      <c r="G210" s="9" t="n">
        <v>111</v>
      </c>
      <c r="H210" s="9" t="n">
        <v>1706</v>
      </c>
      <c r="I210" s="9" t="inlineStr">
        <is>
          <t>Injury Replacement / 26th Man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1" t="n">
        <v>1.053943588899996</v>
      </c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>
        <v>1</v>
      </c>
      <c r="Y210" s="17" t="n"/>
      <c r="Z210" s="13">
        <f>SUMPRODUCT(N210:Y210,$N$2:$Y$2)*$K210*$L210*$M210</f>
        <v/>
      </c>
      <c r="AA210" s="14">
        <f>SUM(N210:Y210)</f>
        <v/>
      </c>
      <c r="AB210" s="14">
        <f>IFERROR(IF(UPPER($E210)="L",SUMPRODUCT(N210:Y210,$N$3:$Y$3,$N$2:$Y$2),SUMPRODUCT(N210:Y210,$N$4:$Y$4,$N$2:$Y$2))/(Z210/($K210*$L210*$M210)),"")</f>
        <v/>
      </c>
      <c r="AC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inlineStr">
        <is>
          <t>RF</t>
        </is>
      </c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1" t="n">
        <v>1.136991751771661</v>
      </c>
      <c r="N211" s="17" t="n">
        <v>1</v>
      </c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3">
        <f>SUMPRODUCT(N211:Y211,$N$2:$Y$2)*$K211*$L211*$M211</f>
        <v/>
      </c>
      <c r="AA211" s="14">
        <f>SUM(N211:Y211)</f>
        <v/>
      </c>
      <c r="AB211" s="14">
        <f>IFERROR(IF(UPPER($E211)="L",SUMPRODUCT(N211:Y211,$N$3:$Y$3,$N$2:$Y$2),SUMPRODUCT(N211:Y211,$N$4:$Y$4,$N$2:$Y$2))/(Z211/($K211*$L211*$M211)),"")</f>
        <v/>
      </c>
      <c r="AC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inlineStr">
        <is>
          <t>SS</t>
        </is>
      </c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1" t="n">
        <v>1.15</v>
      </c>
      <c r="N212" s="17" t="n">
        <v>1</v>
      </c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3">
        <f>SUMPRODUCT(N212:Y212,$N$2:$Y$2)*$K212*$L212*$M212</f>
        <v/>
      </c>
      <c r="AA212" s="14">
        <f>SUM(N212:Y212)</f>
        <v/>
      </c>
      <c r="AB212" s="14">
        <f>IFERROR(IF(UPPER($E212)="L",SUMPRODUCT(N212:Y212,$N$3:$Y$3,$N$2:$Y$2),SUMPRODUCT(N212:Y212,$N$4:$Y$4,$N$2:$Y$2))/(Z212/($K212*$L212*$M212)),"")</f>
        <v/>
      </c>
      <c r="AC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inlineStr">
        <is>
          <t>3B</t>
        </is>
      </c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1" t="n">
        <v>1.15</v>
      </c>
      <c r="N213" s="17" t="n">
        <v>1</v>
      </c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3">
        <f>SUMPRODUCT(N213:Y213,$N$2:$Y$2)*$K213*$L213*$M213</f>
        <v/>
      </c>
      <c r="AA213" s="14">
        <f>SUM(N213:Y213)</f>
        <v/>
      </c>
      <c r="AB213" s="14">
        <f>IFERROR(IF(UPPER($E213)="L",SUMPRODUCT(N213:Y213,$N$3:$Y$3,$N$2:$Y$2),SUMPRODUCT(N213:Y213,$N$4:$Y$4,$N$2:$Y$2))/(Z213/($K213*$L213*$M213)),"")</f>
        <v/>
      </c>
      <c r="AC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1" t="n">
        <v>1</v>
      </c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>
        <v>1</v>
      </c>
      <c r="Z214" s="13">
        <f>SUMPRODUCT(N214:Y214,$N$2:$Y$2)*$K214*$L214*$M214</f>
        <v/>
      </c>
      <c r="AA214" s="14">
        <f>SUM(N214:Y214)</f>
        <v/>
      </c>
      <c r="AB214" s="14">
        <f>IFERROR(IF(UPPER($E214)="L",SUMPRODUCT(N214:Y214,$N$3:$Y$3,$N$2:$Y$2),SUMPRODUCT(N214:Y214,$N$4:$Y$4,$N$2:$Y$2))/(Z214/($K214*$L214*$M214)),"")</f>
        <v/>
      </c>
      <c r="AC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inlineStr">
        <is>
          <t>2B</t>
        </is>
      </c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1" t="n">
        <v>1</v>
      </c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>
        <v>1</v>
      </c>
      <c r="Z215" s="13">
        <f>SUMPRODUCT(N215:Y215,$N$2:$Y$2)*$K215*$L215*$M215</f>
        <v/>
      </c>
      <c r="AA215" s="14">
        <f>SUM(N215:Y215)</f>
        <v/>
      </c>
      <c r="AB215" s="14">
        <f>IFERROR(IF(UPPER($E215)="L",SUMPRODUCT(N215:Y215,$N$3:$Y$3,$N$2:$Y$2),SUMPRODUCT(N215:Y215,$N$4:$Y$4,$N$2:$Y$2))/(Z215/($K215*$L215*$M215)),"")</f>
        <v/>
      </c>
      <c r="AC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inlineStr">
        <is>
          <t>1B</t>
        </is>
      </c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1" t="n">
        <v>0.9772003532902716</v>
      </c>
      <c r="N216" s="17" t="n">
        <v>1</v>
      </c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3">
        <f>SUMPRODUCT(N216:Y216,$N$2:$Y$2)*$K216*$L216*$M216</f>
        <v/>
      </c>
      <c r="AA216" s="14">
        <f>SUM(N216:Y216)</f>
        <v/>
      </c>
      <c r="AB216" s="14">
        <f>IFERROR(IF(UPPER($E216)="L",SUMPRODUCT(N216:Y216,$N$3:$Y$3,$N$2:$Y$2),SUMPRODUCT(N216:Y216,$N$4:$Y$4,$N$2:$Y$2))/(Z216/($K216*$L216*$M216)),"")</f>
        <v/>
      </c>
      <c r="AC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1" t="n">
        <v>1</v>
      </c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>
        <v>1</v>
      </c>
      <c r="Z217" s="13">
        <f>SUMPRODUCT(N217:Y217,$N$2:$Y$2)*$K217*$L217*$M217</f>
        <v/>
      </c>
      <c r="AA217" s="14">
        <f>SUM(N217:Y217)</f>
        <v/>
      </c>
      <c r="AB217" s="14">
        <f>IFERROR(IF(UPPER($E217)="L",SUMPRODUCT(N217:Y217,$N$3:$Y$3,$N$2:$Y$2),SUMPRODUCT(N217:Y217,$N$4:$Y$4,$N$2:$Y$2))/(Z217/($K217*$L217*$M217)),"")</f>
        <v/>
      </c>
      <c r="AC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inlineStr">
        <is>
          <t>CF</t>
        </is>
      </c>
      <c r="G218" s="9" t="n">
        <v>392</v>
      </c>
      <c r="H218" s="9" t="n">
        <v>1390</v>
      </c>
      <c r="I218" s="9" t="inlineStr">
        <is>
          <t>Strong Side Platoon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1" t="n">
        <v>1.05886877879287</v>
      </c>
      <c r="N218" s="17" t="n">
        <v>0.4</v>
      </c>
      <c r="O218" s="17" t="n"/>
      <c r="P218" s="17" t="n">
        <v>0.6</v>
      </c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3">
        <f>SUMPRODUCT(N218:Y218,$N$2:$Y$2)*$K218*$L218*$M218</f>
        <v/>
      </c>
      <c r="AA218" s="14">
        <f>SUM(N218:Y218)</f>
        <v/>
      </c>
      <c r="AB218" s="14">
        <f>IFERROR(IF(UPPER($E218)="L",SUMPRODUCT(N218:Y218,$N$3:$Y$3,$N$2:$Y$2),SUMPRODUCT(N218:Y218,$N$4:$Y$4,$N$2:$Y$2))/(Z218/($K218*$L218*$M218)),"")</f>
        <v/>
      </c>
      <c r="AC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inlineStr">
        <is>
          <t>P</t>
        </is>
      </c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1" t="n">
        <v>1</v>
      </c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>
        <v>1</v>
      </c>
      <c r="Z219" s="13">
        <f>SUMPRODUCT(N219:Y219,$N$2:$Y$2)*$K219*$L219*$M219</f>
        <v/>
      </c>
      <c r="AA219" s="14">
        <f>SUM(N219:Y219)</f>
        <v/>
      </c>
      <c r="AB219" s="14">
        <f>IFERROR(IF(UPPER($E219)="L",SUMPRODUCT(N219:Y219,$N$3:$Y$3,$N$2:$Y$2),SUMPRODUCT(N219:Y219,$N$4:$Y$4,$N$2:$Y$2))/(Z219/($K219*$L219*$M219)),"")</f>
        <v/>
      </c>
      <c r="AC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inlineStr">
        <is>
          <t>C</t>
        </is>
      </c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1" t="n">
        <v>1</v>
      </c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>
        <v>1</v>
      </c>
      <c r="Z220" s="13">
        <f>SUMPRODUCT(N220:Y220,$N$2:$Y$2)*$K220*$L220*$M220</f>
        <v/>
      </c>
      <c r="AA220" s="14">
        <f>SUM(N220:Y220)</f>
        <v/>
      </c>
      <c r="AB220" s="14">
        <f>IFERROR(IF(UPPER($E220)="L",SUMPRODUCT(N220:Y220,$N$3:$Y$3,$N$2:$Y$2),SUMPRODUCT(N220:Y220,$N$4:$Y$4,$N$2:$Y$2))/(Z220/($K220*$L220*$M220)),"")</f>
        <v/>
      </c>
      <c r="AC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inlineStr">
        <is>
          <t>RF</t>
        </is>
      </c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1" t="n">
        <v>0.8471573534623327</v>
      </c>
      <c r="N221" s="17" t="n">
        <v>1</v>
      </c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3">
        <f>SUMPRODUCT(N221:Y221,$N$2:$Y$2)*$K221*$L221*$M221</f>
        <v/>
      </c>
      <c r="AA221" s="14">
        <f>SUM(N221:Y221)</f>
        <v/>
      </c>
      <c r="AB221" s="14">
        <f>IFERROR(IF(UPPER($E221)="L",SUMPRODUCT(N221:Y221,$N$3:$Y$3,$N$2:$Y$2),SUMPRODUCT(N221:Y221,$N$4:$Y$4,$N$2:$Y$2))/(Z221/($K221*$L221*$M221)),"")</f>
        <v/>
      </c>
      <c r="AC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inlineStr">
        <is>
          <t>1B</t>
        </is>
      </c>
      <c r="G222" s="9" t="n">
        <v>122</v>
      </c>
      <c r="H222" s="9" t="n">
        <v>1073</v>
      </c>
      <c r="I222" s="9" t="inlineStr">
        <is>
          <t>Full Time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1" t="n">
        <v>1</v>
      </c>
      <c r="N222" s="17" t="n">
        <v>0.7</v>
      </c>
      <c r="O222" s="17" t="n"/>
      <c r="P222" s="17" t="n">
        <v>0.3</v>
      </c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3">
        <f>SUMPRODUCT(N222:Y222,$N$2:$Y$2)*$K222*$L222*$M222</f>
        <v/>
      </c>
      <c r="AA222" s="14">
        <f>SUM(N222:Y222)</f>
        <v/>
      </c>
      <c r="AB222" s="14">
        <f>IFERROR(IF(UPPER($E222)="L",SUMPRODUCT(N222:Y222,$N$3:$Y$3,$N$2:$Y$2),SUMPRODUCT(N222:Y222,$N$4:$Y$4,$N$2:$Y$2))/(Z222/($K222*$L222*$M222)),"")</f>
        <v/>
      </c>
      <c r="AC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inlineStr">
        <is>
          <t>C</t>
        </is>
      </c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1" t="n">
        <v>1</v>
      </c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>
        <v>1</v>
      </c>
      <c r="Z223" s="13">
        <f>SUMPRODUCT(N223:Y223,$N$2:$Y$2)*$K223*$L223*$M223</f>
        <v/>
      </c>
      <c r="AA223" s="14">
        <f>SUM(N223:Y223)</f>
        <v/>
      </c>
      <c r="AB223" s="14">
        <f>IFERROR(IF(UPPER($E223)="L",SUMPRODUCT(N223:Y223,$N$3:$Y$3,$N$2:$Y$2),SUMPRODUCT(N223:Y223,$N$4:$Y$4,$N$2:$Y$2))/(Z223/($K223*$L223*$M223)),"")</f>
        <v/>
      </c>
      <c r="AC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inlineStr">
        <is>
          <t>3B</t>
        </is>
      </c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1" t="n">
        <v>1.073245183228553</v>
      </c>
      <c r="N224" s="17" t="n">
        <v>1</v>
      </c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3">
        <f>SUMPRODUCT(N224:Y224,$N$2:$Y$2)*$K224*$L224*$M224</f>
        <v/>
      </c>
      <c r="AA224" s="14">
        <f>SUM(N224:Y224)</f>
        <v/>
      </c>
      <c r="AB224" s="14">
        <f>IFERROR(IF(UPPER($E224)="L",SUMPRODUCT(N224:Y224,$N$3:$Y$3,$N$2:$Y$2),SUMPRODUCT(N224:Y224,$N$4:$Y$4,$N$2:$Y$2))/(Z224/($K224*$L224*$M224)),"")</f>
        <v/>
      </c>
      <c r="AC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inlineStr">
        <is>
          <t>C</t>
        </is>
      </c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1" t="n">
        <v>1</v>
      </c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>
        <v>1</v>
      </c>
      <c r="Z225" s="13">
        <f>SUMPRODUCT(N225:Y225,$N$2:$Y$2)*$K225*$L225*$M225</f>
        <v/>
      </c>
      <c r="AA225" s="14">
        <f>SUM(N225:Y225)</f>
        <v/>
      </c>
      <c r="AB225" s="14">
        <f>IFERROR(IF(UPPER($E225)="L",SUMPRODUCT(N225:Y225,$N$3:$Y$3,$N$2:$Y$2),SUMPRODUCT(N225:Y225,$N$4:$Y$4,$N$2:$Y$2))/(Z225/($K225*$L225*$M225)),"")</f>
        <v/>
      </c>
      <c r="AC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inlineStr">
        <is>
          <t>1B</t>
        </is>
      </c>
      <c r="G226" s="9" t="n">
        <v>380</v>
      </c>
      <c r="H226" s="9" t="n">
        <v>2906</v>
      </c>
      <c r="I226" s="9" t="inlineStr">
        <is>
          <t>Utility IF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1" t="n">
        <v>1.132109284446978</v>
      </c>
      <c r="N226" s="17" t="n"/>
      <c r="O226" s="17" t="n"/>
      <c r="P226" s="17" t="n"/>
      <c r="Q226" s="17" t="n"/>
      <c r="R226" s="17" t="n"/>
      <c r="S226" s="17" t="n"/>
      <c r="T226" s="17" t="n"/>
      <c r="U226" s="17" t="n">
        <v>0.7</v>
      </c>
      <c r="V226" s="17" t="n"/>
      <c r="W226" s="17" t="n">
        <v>0.3</v>
      </c>
      <c r="X226" s="17" t="n"/>
      <c r="Y226" s="17" t="n"/>
      <c r="Z226" s="13">
        <f>SUMPRODUCT(N226:Y226,$N$2:$Y$2)*$K226*$L226*$M226</f>
        <v/>
      </c>
      <c r="AA226" s="14">
        <f>SUM(N226:Y226)</f>
        <v/>
      </c>
      <c r="AB226" s="14">
        <f>IFERROR(IF(UPPER($E226)="L",SUMPRODUCT(N226:Y226,$N$3:$Y$3,$N$2:$Y$2),SUMPRODUCT(N226:Y226,$N$4:$Y$4,$N$2:$Y$2))/(Z226/($K226*$L226*$M226)),"")</f>
        <v/>
      </c>
      <c r="AC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inlineStr">
        <is>
          <t>1B</t>
        </is>
      </c>
      <c r="G227" s="9" t="n">
        <v>28</v>
      </c>
      <c r="H227" s="9" t="n">
        <v>1095</v>
      </c>
      <c r="I227" s="9" t="inlineStr">
        <is>
          <t>Bench Bat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1" t="n">
        <v>0.7859831933833065</v>
      </c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>
        <v>0.85</v>
      </c>
      <c r="X227" s="17" t="n">
        <v>0.15</v>
      </c>
      <c r="Y227" s="17" t="n"/>
      <c r="Z227" s="13">
        <f>SUMPRODUCT(N227:Y227,$N$2:$Y$2)*$K227*$L227*$M227</f>
        <v/>
      </c>
      <c r="AA227" s="14">
        <f>SUM(N227:Y227)</f>
        <v/>
      </c>
      <c r="AB227" s="14">
        <f>IFERROR(IF(UPPER($E227)="L",SUMPRODUCT(N227:Y227,$N$3:$Y$3,$N$2:$Y$2),SUMPRODUCT(N227:Y227,$N$4:$Y$4,$N$2:$Y$2))/(Z227/($K227*$L227*$M227)),"")</f>
        <v/>
      </c>
      <c r="AC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inlineStr">
        <is>
          <t>LF</t>
        </is>
      </c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1" t="n">
        <v>1.116592849837867</v>
      </c>
      <c r="N228" s="17" t="n">
        <v>1</v>
      </c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3">
        <f>SUMPRODUCT(N228:Y228,$N$2:$Y$2)*$K228*$L228*$M228</f>
        <v/>
      </c>
      <c r="AA228" s="14">
        <f>SUM(N228:Y228)</f>
        <v/>
      </c>
      <c r="AB228" s="14">
        <f>IFERROR(IF(UPPER($E228)="L",SUMPRODUCT(N228:Y228,$N$3:$Y$3,$N$2:$Y$2),SUMPRODUCT(N228:Y228,$N$4:$Y$4,$N$2:$Y$2))/(Z228/($K228*$L228*$M228)),"")</f>
        <v/>
      </c>
      <c r="AC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inlineStr">
        <is>
          <t>LF</t>
        </is>
      </c>
      <c r="G229" s="9" t="n">
        <v>363</v>
      </c>
      <c r="H229" s="9" t="n">
        <v>500</v>
      </c>
      <c r="I229" s="9" t="inlineStr">
        <is>
          <t>Strong Side Platoon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1" t="n">
        <v>0.843501487527993</v>
      </c>
      <c r="N229" s="17" t="n">
        <v>0.4</v>
      </c>
      <c r="O229" s="17" t="n"/>
      <c r="P229" s="17" t="n">
        <v>0.6</v>
      </c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3">
        <f>SUMPRODUCT(N229:Y229,$N$2:$Y$2)*$K229*$L229*$M229</f>
        <v/>
      </c>
      <c r="AA229" s="14">
        <f>SUM(N229:Y229)</f>
        <v/>
      </c>
      <c r="AB229" s="14">
        <f>IFERROR(IF(UPPER($E229)="L",SUMPRODUCT(N229:Y229,$N$3:$Y$3,$N$2:$Y$2),SUMPRODUCT(N229:Y229,$N$4:$Y$4,$N$2:$Y$2))/(Z229/($K229*$L229*$M229)),"")</f>
        <v/>
      </c>
      <c r="AC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inlineStr">
        <is>
          <t>P</t>
        </is>
      </c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1" t="n">
        <v>1</v>
      </c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>
        <v>1</v>
      </c>
      <c r="Z230" s="13">
        <f>SUMPRODUCT(N230:Y230,$N$2:$Y$2)*$K230*$L230*$M230</f>
        <v/>
      </c>
      <c r="AA230" s="14">
        <f>SUM(N230:Y230)</f>
        <v/>
      </c>
      <c r="AB230" s="14">
        <f>IFERROR(IF(UPPER($E230)="L",SUMPRODUCT(N230:Y230,$N$3:$Y$3,$N$2:$Y$2),SUMPRODUCT(N230:Y230,$N$4:$Y$4,$N$2:$Y$2))/(Z230/($K230*$L230*$M230)),"")</f>
        <v/>
      </c>
      <c r="AC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inlineStr">
        <is>
          <t>RF</t>
        </is>
      </c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1" t="n">
        <v>1.057096052530967</v>
      </c>
      <c r="N231" s="17" t="n">
        <v>1</v>
      </c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3">
        <f>SUMPRODUCT(N231:Y231,$N$2:$Y$2)*$K231*$L231*$M231</f>
        <v/>
      </c>
      <c r="AA231" s="14">
        <f>SUM(N231:Y231)</f>
        <v/>
      </c>
      <c r="AB231" s="14">
        <f>IFERROR(IF(UPPER($E231)="L",SUMPRODUCT(N231:Y231,$N$3:$Y$3,$N$2:$Y$2),SUMPRODUCT(N231:Y231,$N$4:$Y$4,$N$2:$Y$2))/(Z231/($K231*$L231*$M231)),"")</f>
        <v/>
      </c>
      <c r="AC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inlineStr">
        <is>
          <t>C</t>
        </is>
      </c>
      <c r="G232" s="9" t="n">
        <v>399</v>
      </c>
      <c r="H232" s="9" t="n">
        <v>517</v>
      </c>
      <c r="I232" s="9" t="inlineStr">
        <is>
          <t>Bench Bat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1" t="n">
        <v>0.9560665375249148</v>
      </c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>
        <v>0.85</v>
      </c>
      <c r="X232" s="17" t="n">
        <v>0.15</v>
      </c>
      <c r="Y232" s="17" t="n"/>
      <c r="Z232" s="13">
        <f>SUMPRODUCT(N232:Y232,$N$2:$Y$2)*$K232*$L232*$M232</f>
        <v/>
      </c>
      <c r="AA232" s="14">
        <f>SUM(N232:Y232)</f>
        <v/>
      </c>
      <c r="AB232" s="14">
        <f>IFERROR(IF(UPPER($E232)="L",SUMPRODUCT(N232:Y232,$N$3:$Y$3,$N$2:$Y$2),SUMPRODUCT(N232:Y232,$N$4:$Y$4,$N$2:$Y$2))/(Z232/($K232*$L232*$M232)),"")</f>
        <v/>
      </c>
      <c r="AC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inlineStr">
        <is>
          <t>LF</t>
        </is>
      </c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1" t="n">
        <v>1</v>
      </c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>
        <v>1</v>
      </c>
      <c r="Z233" s="13">
        <f>SUMPRODUCT(N233:Y233,$N$2:$Y$2)*$K233*$L233*$M233</f>
        <v/>
      </c>
      <c r="AA233" s="14">
        <f>SUM(N233:Y233)</f>
        <v/>
      </c>
      <c r="AB233" s="14">
        <f>IFERROR(IF(UPPER($E233)="L",SUMPRODUCT(N233:Y233,$N$3:$Y$3,$N$2:$Y$2),SUMPRODUCT(N233:Y233,$N$4:$Y$4,$N$2:$Y$2))/(Z233/($K233*$L233*$M233)),"")</f>
        <v/>
      </c>
      <c r="AC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inlineStr">
        <is>
          <t>SS</t>
        </is>
      </c>
      <c r="G234" s="9" t="n">
        <v>62</v>
      </c>
      <c r="H234" s="9" t="n">
        <v>354</v>
      </c>
      <c r="I234" s="9" t="inlineStr">
        <is>
          <t>Utility IF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1" t="n">
        <v>1</v>
      </c>
      <c r="N234" s="17" t="n"/>
      <c r="O234" s="17" t="n"/>
      <c r="P234" s="17" t="n"/>
      <c r="Q234" s="17" t="n"/>
      <c r="R234" s="17" t="n"/>
      <c r="S234" s="17" t="n"/>
      <c r="T234" s="17" t="n"/>
      <c r="U234" s="17" t="n">
        <v>0.7</v>
      </c>
      <c r="V234" s="17" t="n"/>
      <c r="W234" s="17" t="n">
        <v>0.3</v>
      </c>
      <c r="X234" s="17" t="n"/>
      <c r="Y234" s="17" t="n"/>
      <c r="Z234" s="13">
        <f>SUMPRODUCT(N234:Y234,$N$2:$Y$2)*$K234*$L234*$M234</f>
        <v/>
      </c>
      <c r="AA234" s="14">
        <f>SUM(N234:Y234)</f>
        <v/>
      </c>
      <c r="AB234" s="14">
        <f>IFERROR(IF(UPPER($E234)="L",SUMPRODUCT(N234:Y234,$N$3:$Y$3,$N$2:$Y$2),SUMPRODUCT(N234:Y234,$N$4:$Y$4,$N$2:$Y$2))/(Z234/($K234*$L234*$M234)),"")</f>
        <v/>
      </c>
      <c r="AC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inlineStr">
        <is>
          <t>C</t>
        </is>
      </c>
      <c r="G235" s="9" t="n">
        <v>17</v>
      </c>
      <c r="H235" s="9" t="n">
        <v>95</v>
      </c>
      <c r="I235" s="9" t="inlineStr">
        <is>
          <t>Catcher - Backup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1" t="n">
        <v>1</v>
      </c>
      <c r="N235" s="17" t="n"/>
      <c r="O235" s="17" t="n"/>
      <c r="P235" s="17" t="n"/>
      <c r="Q235" s="17" t="n"/>
      <c r="R235" s="17" t="n"/>
      <c r="S235" s="17" t="n"/>
      <c r="T235" s="17" t="n">
        <v>1</v>
      </c>
      <c r="U235" s="17" t="n"/>
      <c r="V235" s="17" t="n"/>
      <c r="W235" s="17" t="n"/>
      <c r="X235" s="17" t="n"/>
      <c r="Y235" s="17" t="n"/>
      <c r="Z235" s="13">
        <f>SUMPRODUCT(N235:Y235,$N$2:$Y$2)*$K235*$L235*$M235</f>
        <v/>
      </c>
      <c r="AA235" s="14">
        <f>SUM(N235:Y235)</f>
        <v/>
      </c>
      <c r="AB235" s="14">
        <f>IFERROR(IF(UPPER($E235)="L",SUMPRODUCT(N235:Y235,$N$3:$Y$3,$N$2:$Y$2),SUMPRODUCT(N235:Y235,$N$4:$Y$4,$N$2:$Y$2))/(Z235/($K235*$L235*$M235)),"")</f>
        <v/>
      </c>
      <c r="AC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inlineStr">
        <is>
          <t>CF</t>
        </is>
      </c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1" t="n">
        <v>1.149741065480282</v>
      </c>
      <c r="N236" s="17" t="n">
        <v>1</v>
      </c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3">
        <f>SUMPRODUCT(N236:Y236,$N$2:$Y$2)*$K236*$L236*$M236</f>
        <v/>
      </c>
      <c r="AA236" s="14">
        <f>SUM(N236:Y236)</f>
        <v/>
      </c>
      <c r="AB236" s="14">
        <f>IFERROR(IF(UPPER($E236)="L",SUMPRODUCT(N236:Y236,$N$3:$Y$3,$N$2:$Y$2),SUMPRODUCT(N236:Y236,$N$4:$Y$4,$N$2:$Y$2))/(Z236/($K236*$L236*$M236)),"")</f>
        <v/>
      </c>
      <c r="AC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inlineStr">
        <is>
          <t>CF</t>
        </is>
      </c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1" t="n">
        <v>0.955951497109236</v>
      </c>
      <c r="N237" s="17" t="n">
        <v>1</v>
      </c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3">
        <f>SUMPRODUCT(N237:Y237,$N$2:$Y$2)*$K237*$L237*$M237</f>
        <v/>
      </c>
      <c r="AA237" s="14">
        <f>SUM(N237:Y237)</f>
        <v/>
      </c>
      <c r="AB237" s="14">
        <f>IFERROR(IF(UPPER($E237)="L",SUMPRODUCT(N237:Y237,$N$3:$Y$3,$N$2:$Y$2),SUMPRODUCT(N237:Y237,$N$4:$Y$4,$N$2:$Y$2))/(Z237/($K237*$L237*$M237)),"")</f>
        <v/>
      </c>
      <c r="AC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inlineStr">
        <is>
          <t>RF</t>
        </is>
      </c>
      <c r="G238" s="9" t="n">
        <v>221</v>
      </c>
      <c r="H238" s="9" t="n">
        <v>2189</v>
      </c>
      <c r="I238" s="9" t="inlineStr">
        <is>
          <t>Full Time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1" t="n">
        <v>0.8461039824145403</v>
      </c>
      <c r="N238" s="17" t="n">
        <v>1</v>
      </c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3">
        <f>SUMPRODUCT(N238:Y238,$N$2:$Y$2)*$K238*$L238*$M238</f>
        <v/>
      </c>
      <c r="AA238" s="14">
        <f>SUM(N238:Y238)</f>
        <v/>
      </c>
      <c r="AB238" s="14">
        <f>IFERROR(IF(UPPER($E238)="L",SUMPRODUCT(N238:Y238,$N$3:$Y$3,$N$2:$Y$2),SUMPRODUCT(N238:Y238,$N$4:$Y$4,$N$2:$Y$2))/(Z238/($K238*$L238*$M238)),"")</f>
        <v/>
      </c>
      <c r="AC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inlineStr">
        <is>
          <t>2B</t>
        </is>
      </c>
      <c r="G239" s="9" t="n">
        <v>247</v>
      </c>
      <c r="H239" s="9" t="n">
        <v>300</v>
      </c>
      <c r="I239" s="9" t="inlineStr">
        <is>
          <t>Weak Side Platoon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1" t="n">
        <v>1</v>
      </c>
      <c r="N239" s="17" t="n"/>
      <c r="O239" s="17" t="n"/>
      <c r="P239" s="17" t="n"/>
      <c r="Q239" s="17" t="n">
        <v>0.6</v>
      </c>
      <c r="R239" s="17" t="n"/>
      <c r="S239" s="17" t="n"/>
      <c r="T239" s="17" t="n"/>
      <c r="U239" s="17" t="n">
        <v>0.4</v>
      </c>
      <c r="V239" s="17" t="n"/>
      <c r="W239" s="17" t="n"/>
      <c r="X239" s="17" t="n"/>
      <c r="Y239" s="17" t="n"/>
      <c r="Z239" s="13">
        <f>SUMPRODUCT(N239:Y239,$N$2:$Y$2)*$K239*$L239*$M239</f>
        <v/>
      </c>
      <c r="AA239" s="14">
        <f>SUM(N239:Y239)</f>
        <v/>
      </c>
      <c r="AB239" s="14">
        <f>IFERROR(IF(UPPER($E239)="L",SUMPRODUCT(N239:Y239,$N$3:$Y$3,$N$2:$Y$2),SUMPRODUCT(N239:Y239,$N$4:$Y$4,$N$2:$Y$2))/(Z239/($K239*$L239*$M239)),"")</f>
        <v/>
      </c>
      <c r="AC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inlineStr">
        <is>
          <t>C</t>
        </is>
      </c>
      <c r="G240" s="9" t="n">
        <v>166</v>
      </c>
      <c r="H240" s="9" t="n">
        <v>953</v>
      </c>
      <c r="I240" s="9" t="inlineStr">
        <is>
          <t>Catcher - Backup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1" t="n">
        <v>1</v>
      </c>
      <c r="N240" s="17" t="n"/>
      <c r="O240" s="17" t="n"/>
      <c r="P240" s="17" t="n"/>
      <c r="Q240" s="17" t="n"/>
      <c r="R240" s="17" t="n"/>
      <c r="S240" s="17" t="n"/>
      <c r="T240" s="17" t="n">
        <v>0.7</v>
      </c>
      <c r="U240" s="17" t="n"/>
      <c r="V240" s="17" t="n"/>
      <c r="W240" s="17" t="n">
        <v>0.3</v>
      </c>
      <c r="X240" s="17" t="n"/>
      <c r="Y240" s="17" t="n"/>
      <c r="Z240" s="13">
        <f>SUMPRODUCT(N240:Y240,$N$2:$Y$2)*$K240*$L240*$M240</f>
        <v/>
      </c>
      <c r="AA240" s="14">
        <f>SUM(N240:Y240)</f>
        <v/>
      </c>
      <c r="AB240" s="14">
        <f>IFERROR(IF(UPPER($E240)="L",SUMPRODUCT(N240:Y240,$N$3:$Y$3,$N$2:$Y$2),SUMPRODUCT(N240:Y240,$N$4:$Y$4,$N$2:$Y$2))/(Z240/($K240*$L240*$M240)),"")</f>
        <v/>
      </c>
      <c r="AC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1" t="n">
        <v>1</v>
      </c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>
        <v>1</v>
      </c>
      <c r="Z241" s="13">
        <f>SUMPRODUCT(N241:Y241,$N$2:$Y$2)*$K241*$L241*$M241</f>
        <v/>
      </c>
      <c r="AA241" s="14">
        <f>SUM(N241:Y241)</f>
        <v/>
      </c>
      <c r="AB241" s="14">
        <f>IFERROR(IF(UPPER($E241)="L",SUMPRODUCT(N241:Y241,$N$3:$Y$3,$N$2:$Y$2),SUMPRODUCT(N241:Y241,$N$4:$Y$4,$N$2:$Y$2))/(Z241/($K241*$L241*$M241)),"")</f>
        <v/>
      </c>
      <c r="AC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1" t="n">
        <v>1</v>
      </c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>
        <v>1</v>
      </c>
      <c r="Z242" s="13">
        <f>SUMPRODUCT(N242:Y242,$N$2:$Y$2)*$K242*$L242*$M242</f>
        <v/>
      </c>
      <c r="AA242" s="14">
        <f>SUM(N242:Y242)</f>
        <v/>
      </c>
      <c r="AB242" s="14">
        <f>IFERROR(IF(UPPER($E242)="L",SUMPRODUCT(N242:Y242,$N$3:$Y$3,$N$2:$Y$2),SUMPRODUCT(N242:Y242,$N$4:$Y$4,$N$2:$Y$2))/(Z242/($K242*$L242*$M242)),"")</f>
        <v/>
      </c>
      <c r="AC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inlineStr">
        <is>
          <t>C</t>
        </is>
      </c>
      <c r="G243" s="9" t="n">
        <v>361</v>
      </c>
      <c r="H243" s="9" t="n">
        <v>1933</v>
      </c>
      <c r="I243" s="9" t="inlineStr">
        <is>
          <t>Catcher - Primary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1" t="n">
        <v>1.052206128665506</v>
      </c>
      <c r="N243" s="17" t="n"/>
      <c r="O243" s="17" t="n"/>
      <c r="P243" s="17" t="n"/>
      <c r="Q243" s="17" t="n"/>
      <c r="R243" s="17" t="n">
        <v>1</v>
      </c>
      <c r="S243" s="17" t="n"/>
      <c r="T243" s="17" t="n"/>
      <c r="U243" s="17" t="n"/>
      <c r="V243" s="17" t="n"/>
      <c r="W243" s="17" t="n"/>
      <c r="X243" s="17" t="n"/>
      <c r="Y243" s="17" t="n"/>
      <c r="Z243" s="13">
        <f>SUMPRODUCT(N243:Y243,$N$2:$Y$2)*$K243*$L243*$M243</f>
        <v/>
      </c>
      <c r="AA243" s="14">
        <f>SUM(N243:Y243)</f>
        <v/>
      </c>
      <c r="AB243" s="14">
        <f>IFERROR(IF(UPPER($E243)="L",SUMPRODUCT(N243:Y243,$N$3:$Y$3,$N$2:$Y$2),SUMPRODUCT(N243:Y243,$N$4:$Y$4,$N$2:$Y$2))/(Z243/($K243*$L243*$M243)),"")</f>
        <v/>
      </c>
      <c r="AC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inlineStr">
        <is>
          <t>C</t>
        </is>
      </c>
      <c r="G244" s="9" t="n">
        <v>84</v>
      </c>
      <c r="H244" s="9" t="n">
        <v>874</v>
      </c>
      <c r="I244" s="9" t="inlineStr">
        <is>
          <t>Catcher - Backup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1" t="n">
        <v>1</v>
      </c>
      <c r="N244" s="17" t="n"/>
      <c r="O244" s="17" t="n"/>
      <c r="P244" s="17" t="n"/>
      <c r="Q244" s="17" t="n"/>
      <c r="R244" s="17" t="n"/>
      <c r="S244" s="17" t="n"/>
      <c r="T244" s="17" t="n">
        <v>1</v>
      </c>
      <c r="U244" s="17" t="n"/>
      <c r="V244" s="17" t="n"/>
      <c r="W244" s="17" t="n"/>
      <c r="X244" s="17" t="n"/>
      <c r="Y244" s="17" t="n"/>
      <c r="Z244" s="13">
        <f>SUMPRODUCT(N244:Y244,$N$2:$Y$2)*$K244*$L244*$M244</f>
        <v/>
      </c>
      <c r="AA244" s="14">
        <f>SUM(N244:Y244)</f>
        <v/>
      </c>
      <c r="AB244" s="14">
        <f>IFERROR(IF(UPPER($E244)="L",SUMPRODUCT(N244:Y244,$N$3:$Y$3,$N$2:$Y$2),SUMPRODUCT(N244:Y244,$N$4:$Y$4,$N$2:$Y$2))/(Z244/($K244*$L244*$M244)),"")</f>
        <v/>
      </c>
      <c r="AC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inlineStr">
        <is>
          <t>RF</t>
        </is>
      </c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1" t="n">
        <v>1</v>
      </c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>
        <v>1</v>
      </c>
      <c r="X245" s="17" t="n"/>
      <c r="Y245" s="17" t="n"/>
      <c r="Z245" s="13">
        <f>SUMPRODUCT(N245:Y245,$N$2:$Y$2)*$K245*$L245*$M245</f>
        <v/>
      </c>
      <c r="AA245" s="14">
        <f>SUM(N245:Y245)</f>
        <v/>
      </c>
      <c r="AB245" s="14">
        <f>IFERROR(IF(UPPER($E245)="L",SUMPRODUCT(N245:Y245,$N$3:$Y$3,$N$2:$Y$2),SUMPRODUCT(N245:Y245,$N$4:$Y$4,$N$2:$Y$2))/(Z245/($K245*$L245*$M245)),"")</f>
        <v/>
      </c>
      <c r="AC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inlineStr">
        <is>
          <t>RF</t>
        </is>
      </c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1" t="n">
        <v>1</v>
      </c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>
        <v>1</v>
      </c>
      <c r="Z246" s="13">
        <f>SUMPRODUCT(N246:Y246,$N$2:$Y$2)*$K246*$L246*$M246</f>
        <v/>
      </c>
      <c r="AA246" s="14">
        <f>SUM(N246:Y246)</f>
        <v/>
      </c>
      <c r="AB246" s="14">
        <f>IFERROR(IF(UPPER($E246)="L",SUMPRODUCT(N246:Y246,$N$3:$Y$3,$N$2:$Y$2),SUMPRODUCT(N246:Y246,$N$4:$Y$4,$N$2:$Y$2))/(Z246/($K246*$L246*$M246)),"")</f>
        <v/>
      </c>
      <c r="AC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1" t="n">
        <v>1</v>
      </c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>
        <v>1</v>
      </c>
      <c r="Z247" s="13">
        <f>SUMPRODUCT(N247:Y247,$N$2:$Y$2)*$K247*$L247*$M247</f>
        <v/>
      </c>
      <c r="AA247" s="14">
        <f>SUM(N247:Y247)</f>
        <v/>
      </c>
      <c r="AB247" s="14">
        <f>IFERROR(IF(UPPER($E247)="L",SUMPRODUCT(N247:Y247,$N$3:$Y$3,$N$2:$Y$2),SUMPRODUCT(N247:Y247,$N$4:$Y$4,$N$2:$Y$2))/(Z247/($K247*$L247*$M247)),"")</f>
        <v/>
      </c>
      <c r="AC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Mid Season (~July)</t>
        </is>
      </c>
      <c r="K248" s="11">
        <f>IFERROR(INDEX(Roles!$B$17:$B$20,MATCH(J248,Roles!$A$17:$A$20,0)),1)</f>
        <v/>
      </c>
      <c r="L248" s="17" t="n">
        <v>1</v>
      </c>
      <c r="M248" s="11" t="n">
        <v>1</v>
      </c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>
        <v>1</v>
      </c>
      <c r="Z248" s="13">
        <f>SUMPRODUCT(N248:Y248,$N$2:$Y$2)*$K248*$L248*$M248</f>
        <v/>
      </c>
      <c r="AA248" s="14">
        <f>SUM(N248:Y248)</f>
        <v/>
      </c>
      <c r="AB248" s="14">
        <f>IFERROR(IF(UPPER($E248)="L",SUMPRODUCT(N248:Y248,$N$3:$Y$3,$N$2:$Y$2),SUMPRODUCT(N248:Y248,$N$4:$Y$4,$N$2:$Y$2))/(Z248/($K248*$L248*$M248)),"")</f>
        <v/>
      </c>
      <c r="AC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1" t="n">
        <v>1</v>
      </c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>
        <v>1</v>
      </c>
      <c r="Z249" s="13">
        <f>SUMPRODUCT(N249:Y249,$N$2:$Y$2)*$K249*$L249*$M249</f>
        <v/>
      </c>
      <c r="AA249" s="14">
        <f>SUM(N249:Y249)</f>
        <v/>
      </c>
      <c r="AB249" s="14">
        <f>IFERROR(IF(UPPER($E249)="L",SUMPRODUCT(N249:Y249,$N$3:$Y$3,$N$2:$Y$2),SUMPRODUCT(N249:Y249,$N$4:$Y$4,$N$2:$Y$2))/(Z249/($K249*$L249*$M249)),"")</f>
        <v/>
      </c>
      <c r="AC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inlineStr">
        <is>
          <t>LF</t>
        </is>
      </c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1" t="n">
        <v>1.15</v>
      </c>
      <c r="N250" s="17" t="n">
        <v>1</v>
      </c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3">
        <f>SUMPRODUCT(N250:Y250,$N$2:$Y$2)*$K250*$L250*$M250</f>
        <v/>
      </c>
      <c r="AA250" s="14">
        <f>SUM(N250:Y250)</f>
        <v/>
      </c>
      <c r="AB250" s="14">
        <f>IFERROR(IF(UPPER($E250)="L",SUMPRODUCT(N250:Y250,$N$3:$Y$3,$N$2:$Y$2),SUMPRODUCT(N250:Y250,$N$4:$Y$4,$N$2:$Y$2))/(Z250/($K250*$L250*$M250)),"")</f>
        <v/>
      </c>
      <c r="AC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inlineStr">
        <is>
          <t>3B</t>
        </is>
      </c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1" t="n">
        <v>1.085994496937175</v>
      </c>
      <c r="N251" s="17" t="n">
        <v>0.7</v>
      </c>
      <c r="O251" s="17" t="n"/>
      <c r="P251" s="17" t="n">
        <v>0.3</v>
      </c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3">
        <f>SUMPRODUCT(N251:Y251,$N$2:$Y$2)*$K251*$L251*$M251</f>
        <v/>
      </c>
      <c r="AA251" s="14">
        <f>SUM(N251:Y251)</f>
        <v/>
      </c>
      <c r="AB251" s="14">
        <f>IFERROR(IF(UPPER($E251)="L",SUMPRODUCT(N251:Y251,$N$3:$Y$3,$N$2:$Y$2),SUMPRODUCT(N251:Y251,$N$4:$Y$4,$N$2:$Y$2))/(Z251/($K251*$L251*$M251)),"")</f>
        <v/>
      </c>
      <c r="AC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inlineStr">
        <is>
          <t>P</t>
        </is>
      </c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1" t="n">
        <v>1</v>
      </c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>
        <v>1</v>
      </c>
      <c r="Z252" s="13">
        <f>SUMPRODUCT(N252:Y252,$N$2:$Y$2)*$K252*$L252*$M252</f>
        <v/>
      </c>
      <c r="AA252" s="14">
        <f>SUM(N252:Y252)</f>
        <v/>
      </c>
      <c r="AB252" s="14">
        <f>IFERROR(IF(UPPER($E252)="L",SUMPRODUCT(N252:Y252,$N$3:$Y$3,$N$2:$Y$2),SUMPRODUCT(N252:Y252,$N$4:$Y$4,$N$2:$Y$2))/(Z252/($K252*$L252*$M252)),"")</f>
        <v/>
      </c>
      <c r="AC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inlineStr">
        <is>
          <t>CF</t>
        </is>
      </c>
      <c r="G253" s="9" t="n">
        <v>136</v>
      </c>
      <c r="H253" s="9" t="n">
        <v>244</v>
      </c>
      <c r="I253" s="9" t="inlineStr">
        <is>
          <t>Utility OF / 4th OF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1" t="n">
        <v>1</v>
      </c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>
        <v>0.7</v>
      </c>
      <c r="W253" s="17" t="n">
        <v>0.3</v>
      </c>
      <c r="X253" s="17" t="n"/>
      <c r="Y253" s="17" t="n"/>
      <c r="Z253" s="13">
        <f>SUMPRODUCT(N253:Y253,$N$2:$Y$2)*$K253*$L253*$M253</f>
        <v/>
      </c>
      <c r="AA253" s="14">
        <f>SUM(N253:Y253)</f>
        <v/>
      </c>
      <c r="AB253" s="14">
        <f>IFERROR(IF(UPPER($E253)="L",SUMPRODUCT(N253:Y253,$N$3:$Y$3,$N$2:$Y$2),SUMPRODUCT(N253:Y253,$N$4:$Y$4,$N$2:$Y$2))/(Z253/($K253*$L253*$M253)),"")</f>
        <v/>
      </c>
      <c r="AC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inlineStr">
        <is>
          <t>SS</t>
        </is>
      </c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1" t="n">
        <v>1.00609879769648</v>
      </c>
      <c r="N254" s="17" t="n">
        <v>1</v>
      </c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3">
        <f>SUMPRODUCT(N254:Y254,$N$2:$Y$2)*$K254*$L254*$M254</f>
        <v/>
      </c>
      <c r="AA254" s="14">
        <f>SUM(N254:Y254)</f>
        <v/>
      </c>
      <c r="AB254" s="14">
        <f>IFERROR(IF(UPPER($E254)="L",SUMPRODUCT(N254:Y254,$N$3:$Y$3,$N$2:$Y$2),SUMPRODUCT(N254:Y254,$N$4:$Y$4,$N$2:$Y$2))/(Z254/($K254*$L254*$M254)),"")</f>
        <v/>
      </c>
      <c r="AC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inlineStr">
        <is>
          <t>CF</t>
        </is>
      </c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1" t="n">
        <v>1.123392483815798</v>
      </c>
      <c r="N255" s="17" t="n">
        <v>1</v>
      </c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3">
        <f>SUMPRODUCT(N255:Y255,$N$2:$Y$2)*$K255*$L255*$M255</f>
        <v/>
      </c>
      <c r="AA255" s="14">
        <f>SUM(N255:Y255)</f>
        <v/>
      </c>
      <c r="AB255" s="14">
        <f>IFERROR(IF(UPPER($E255)="L",SUMPRODUCT(N255:Y255,$N$3:$Y$3,$N$2:$Y$2),SUMPRODUCT(N255:Y255,$N$4:$Y$4,$N$2:$Y$2))/(Z255/($K255*$L255*$M255)),"")</f>
        <v/>
      </c>
      <c r="AC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inlineStr">
        <is>
          <t>CF</t>
        </is>
      </c>
      <c r="G256" s="9" t="n">
        <v>27</v>
      </c>
      <c r="H256" s="9" t="n">
        <v>680</v>
      </c>
      <c r="I256" s="9" t="inlineStr">
        <is>
          <t>Weak Side Platoon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1" t="n">
        <v>1</v>
      </c>
      <c r="N256" s="17" t="n"/>
      <c r="O256" s="17" t="n"/>
      <c r="P256" s="17" t="n"/>
      <c r="Q256" s="17" t="n">
        <v>1</v>
      </c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3">
        <f>SUMPRODUCT(N256:Y256,$N$2:$Y$2)*$K256*$L256*$M256</f>
        <v/>
      </c>
      <c r="AA256" s="14">
        <f>SUM(N256:Y256)</f>
        <v/>
      </c>
      <c r="AB256" s="14">
        <f>IFERROR(IF(UPPER($E256)="L",SUMPRODUCT(N256:Y256,$N$3:$Y$3,$N$2:$Y$2),SUMPRODUCT(N256:Y256,$N$4:$Y$4,$N$2:$Y$2))/(Z256/($K256*$L256*$M256)),"")</f>
        <v/>
      </c>
      <c r="AC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inlineStr">
        <is>
          <t>3B</t>
        </is>
      </c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1" t="n">
        <v>1.055396144036483</v>
      </c>
      <c r="N257" s="17" t="n">
        <v>0.7</v>
      </c>
      <c r="O257" s="17" t="n"/>
      <c r="P257" s="17" t="n">
        <v>0.3</v>
      </c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3">
        <f>SUMPRODUCT(N257:Y257,$N$2:$Y$2)*$K257*$L257*$M257</f>
        <v/>
      </c>
      <c r="AA257" s="14">
        <f>SUM(N257:Y257)</f>
        <v/>
      </c>
      <c r="AB257" s="14">
        <f>IFERROR(IF(UPPER($E257)="L",SUMPRODUCT(N257:Y257,$N$3:$Y$3,$N$2:$Y$2),SUMPRODUCT(N257:Y257,$N$4:$Y$4,$N$2:$Y$2))/(Z257/($K257*$L257*$M257)),"")</f>
        <v/>
      </c>
      <c r="AC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inlineStr">
        <is>
          <t>SS</t>
        </is>
      </c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1" t="n">
        <v>1.090244268173382</v>
      </c>
      <c r="N258" s="17" t="n">
        <v>1</v>
      </c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3">
        <f>SUMPRODUCT(N258:Y258,$N$2:$Y$2)*$K258*$L258*$M258</f>
        <v/>
      </c>
      <c r="AA258" s="14">
        <f>SUM(N258:Y258)</f>
        <v/>
      </c>
      <c r="AB258" s="14">
        <f>IFERROR(IF(UPPER($E258)="L",SUMPRODUCT(N258:Y258,$N$3:$Y$3,$N$2:$Y$2),SUMPRODUCT(N258:Y258,$N$4:$Y$4,$N$2:$Y$2))/(Z258/($K258*$L258*$M258)),"")</f>
        <v/>
      </c>
      <c r="AC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inlineStr">
        <is>
          <t>LF</t>
        </is>
      </c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1" t="n">
        <v>1</v>
      </c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>
        <v>1</v>
      </c>
      <c r="Z259" s="13">
        <f>SUMPRODUCT(N259:Y259,$N$2:$Y$2)*$K259*$L259*$M259</f>
        <v/>
      </c>
      <c r="AA259" s="14">
        <f>SUM(N259:Y259)</f>
        <v/>
      </c>
      <c r="AB259" s="14">
        <f>IFERROR(IF(UPPER($E259)="L",SUMPRODUCT(N259:Y259,$N$3:$Y$3,$N$2:$Y$2),SUMPRODUCT(N259:Y259,$N$4:$Y$4,$N$2:$Y$2))/(Z259/($K259*$L259*$M259)),"")</f>
        <v/>
      </c>
      <c r="AC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inlineStr">
        <is>
          <t>1B</t>
        </is>
      </c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1" t="n">
        <v>1</v>
      </c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>
        <v>1</v>
      </c>
      <c r="Z260" s="13">
        <f>SUMPRODUCT(N260:Y260,$N$2:$Y$2)*$K260*$L260*$M260</f>
        <v/>
      </c>
      <c r="AA260" s="14">
        <f>SUM(N260:Y260)</f>
        <v/>
      </c>
      <c r="AB260" s="14">
        <f>IFERROR(IF(UPPER($E260)="L",SUMPRODUCT(N260:Y260,$N$3:$Y$3,$N$2:$Y$2),SUMPRODUCT(N260:Y260,$N$4:$Y$4,$N$2:$Y$2))/(Z260/($K260*$L260*$M260)),"")</f>
        <v/>
      </c>
      <c r="AC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inlineStr">
        <is>
          <t>LF</t>
        </is>
      </c>
      <c r="G261" s="9" t="n">
        <v>371</v>
      </c>
      <c r="H261" s="9" t="n">
        <v>2218</v>
      </c>
      <c r="I261" s="9" t="inlineStr">
        <is>
          <t>Full Time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1" t="n">
        <v>0.9197666838421312</v>
      </c>
      <c r="N261" s="17" t="n">
        <v>1</v>
      </c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3">
        <f>SUMPRODUCT(N261:Y261,$N$2:$Y$2)*$K261*$L261*$M261</f>
        <v/>
      </c>
      <c r="AA261" s="14">
        <f>SUM(N261:Y261)</f>
        <v/>
      </c>
      <c r="AB261" s="14">
        <f>IFERROR(IF(UPPER($E261)="L",SUMPRODUCT(N261:Y261,$N$3:$Y$3,$N$2:$Y$2),SUMPRODUCT(N261:Y261,$N$4:$Y$4,$N$2:$Y$2))/(Z261/($K261*$L261*$M261)),"")</f>
        <v/>
      </c>
      <c r="AC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inlineStr">
        <is>
          <t>LF</t>
        </is>
      </c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1" t="n">
        <v>1</v>
      </c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>
        <v>1</v>
      </c>
      <c r="Z262" s="13">
        <f>SUMPRODUCT(N262:Y262,$N$2:$Y$2)*$K262*$L262*$M262</f>
        <v/>
      </c>
      <c r="AA262" s="14">
        <f>SUM(N262:Y262)</f>
        <v/>
      </c>
      <c r="AB262" s="14">
        <f>IFERROR(IF(UPPER($E262)="L",SUMPRODUCT(N262:Y262,$N$3:$Y$3,$N$2:$Y$2),SUMPRODUCT(N262:Y262,$N$4:$Y$4,$N$2:$Y$2))/(Z262/($K262*$L262*$M262)),"")</f>
        <v/>
      </c>
      <c r="AC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inlineStr">
        <is>
          <t>C</t>
        </is>
      </c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1" t="n">
        <v>1</v>
      </c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>
        <v>0.85</v>
      </c>
      <c r="X263" s="17" t="n">
        <v>0.15</v>
      </c>
      <c r="Y263" s="17" t="n"/>
      <c r="Z263" s="13">
        <f>SUMPRODUCT(N263:Y263,$N$2:$Y$2)*$K263*$L263*$M263</f>
        <v/>
      </c>
      <c r="AA263" s="14">
        <f>SUM(N263:Y263)</f>
        <v/>
      </c>
      <c r="AB263" s="14">
        <f>IFERROR(IF(UPPER($E263)="L",SUMPRODUCT(N263:Y263,$N$3:$Y$3,$N$2:$Y$2),SUMPRODUCT(N263:Y263,$N$4:$Y$4,$N$2:$Y$2))/(Z263/($K263*$L263*$M263)),"")</f>
        <v/>
      </c>
      <c r="AC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1" t="n">
        <v>1</v>
      </c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>
        <v>1</v>
      </c>
      <c r="Z264" s="13">
        <f>SUMPRODUCT(N264:Y264,$N$2:$Y$2)*$K264*$L264*$M264</f>
        <v/>
      </c>
      <c r="AA264" s="14">
        <f>SUM(N264:Y264)</f>
        <v/>
      </c>
      <c r="AB264" s="14">
        <f>IFERROR(IF(UPPER($E264)="L",SUMPRODUCT(N264:Y264,$N$3:$Y$3,$N$2:$Y$2),SUMPRODUCT(N264:Y264,$N$4:$Y$4,$N$2:$Y$2))/(Z264/($K264*$L264*$M264)),"")</f>
        <v/>
      </c>
      <c r="AC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inlineStr">
        <is>
          <t>SS</t>
        </is>
      </c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1" t="n">
        <v>1.145491294244075</v>
      </c>
      <c r="N265" s="17" t="n">
        <v>1</v>
      </c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3">
        <f>SUMPRODUCT(N265:Y265,$N$2:$Y$2)*$K265*$L265*$M265</f>
        <v/>
      </c>
      <c r="AA265" s="14">
        <f>SUM(N265:Y265)</f>
        <v/>
      </c>
      <c r="AB265" s="14">
        <f>IFERROR(IF(UPPER($E265)="L",SUMPRODUCT(N265:Y265,$N$3:$Y$3,$N$2:$Y$2),SUMPRODUCT(N265:Y265,$N$4:$Y$4,$N$2:$Y$2))/(Z265/($K265*$L265*$M265)),"")</f>
        <v/>
      </c>
      <c r="AC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1" t="n">
        <v>1</v>
      </c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>
        <v>1</v>
      </c>
      <c r="Z266" s="13">
        <f>SUMPRODUCT(N266:Y266,$N$2:$Y$2)*$K266*$L266*$M266</f>
        <v/>
      </c>
      <c r="AA266" s="14">
        <f>SUM(N266:Y266)</f>
        <v/>
      </c>
      <c r="AB266" s="14">
        <f>IFERROR(IF(UPPER($E266)="L",SUMPRODUCT(N266:Y266,$N$3:$Y$3,$N$2:$Y$2),SUMPRODUCT(N266:Y266,$N$4:$Y$4,$N$2:$Y$2))/(Z266/($K266*$L266*$M266)),"")</f>
        <v/>
      </c>
      <c r="AC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25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Mid Season (~July)</t>
        </is>
      </c>
      <c r="K267" s="11">
        <f>IFERROR(INDEX(Roles!$B$17:$B$20,MATCH(J267,Roles!$A$17:$A$20,0)),1)</f>
        <v/>
      </c>
      <c r="L267" s="17" t="n">
        <v>1</v>
      </c>
      <c r="M267" s="11" t="n">
        <v>1</v>
      </c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>
        <v>1</v>
      </c>
      <c r="Z267" s="13">
        <f>SUMPRODUCT(N267:Y267,$N$2:$Y$2)*$K267*$L267*$M267</f>
        <v/>
      </c>
      <c r="AA267" s="14">
        <f>SUM(N267:Y267)</f>
        <v/>
      </c>
      <c r="AB267" s="14">
        <f>IFERROR(IF(UPPER($E267)="L",SUMPRODUCT(N267:Y267,$N$3:$Y$3,$N$2:$Y$2),SUMPRODUCT(N267:Y267,$N$4:$Y$4,$N$2:$Y$2))/(Z267/($K267*$L267*$M267)),"")</f>
        <v/>
      </c>
      <c r="AC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inlineStr">
        <is>
          <t>RF</t>
        </is>
      </c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1" t="n">
        <v>0.903254333780267</v>
      </c>
      <c r="N268" s="17" t="n">
        <v>1</v>
      </c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3">
        <f>SUMPRODUCT(N268:Y268,$N$2:$Y$2)*$K268*$L268*$M268</f>
        <v/>
      </c>
      <c r="AA268" s="14">
        <f>SUM(N268:Y268)</f>
        <v/>
      </c>
      <c r="AB268" s="14">
        <f>IFERROR(IF(UPPER($E268)="L",SUMPRODUCT(N268:Y268,$N$3:$Y$3,$N$2:$Y$2),SUMPRODUCT(N268:Y268,$N$4:$Y$4,$N$2:$Y$2))/(Z268/($K268*$L268*$M268)),"")</f>
        <v/>
      </c>
      <c r="AC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inlineStr">
        <is>
          <t>2B</t>
        </is>
      </c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1" t="n">
        <v>1</v>
      </c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>
        <v>1</v>
      </c>
      <c r="Z269" s="13">
        <f>SUMPRODUCT(N269:Y269,$N$2:$Y$2)*$K269*$L269*$M269</f>
        <v/>
      </c>
      <c r="AA269" s="14">
        <f>SUM(N269:Y269)</f>
        <v/>
      </c>
      <c r="AB269" s="14">
        <f>IFERROR(IF(UPPER($E269)="L",SUMPRODUCT(N269:Y269,$N$3:$Y$3,$N$2:$Y$2),SUMPRODUCT(N269:Y269,$N$4:$Y$4,$N$2:$Y$2))/(Z269/($K269*$L269*$M269)),"")</f>
        <v/>
      </c>
      <c r="AC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Mid Season (~July)</t>
        </is>
      </c>
      <c r="K270" s="11">
        <f>IFERROR(INDEX(Roles!$B$17:$B$20,MATCH(J270,Roles!$A$17:$A$20,0)),1)</f>
        <v/>
      </c>
      <c r="L270" s="17" t="n">
        <v>1</v>
      </c>
      <c r="M270" s="11" t="n">
        <v>1</v>
      </c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>
        <v>1</v>
      </c>
      <c r="Z270" s="13">
        <f>SUMPRODUCT(N270:Y270,$N$2:$Y$2)*$K270*$L270*$M270</f>
        <v/>
      </c>
      <c r="AA270" s="14">
        <f>SUM(N270:Y270)</f>
        <v/>
      </c>
      <c r="AB270" s="14">
        <f>IFERROR(IF(UPPER($E270)="L",SUMPRODUCT(N270:Y270,$N$3:$Y$3,$N$2:$Y$2),SUMPRODUCT(N270:Y270,$N$4:$Y$4,$N$2:$Y$2))/(Z270/($K270*$L270*$M270)),"")</f>
        <v/>
      </c>
      <c r="AC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inlineStr">
        <is>
          <t>RF</t>
        </is>
      </c>
      <c r="G271" s="9" t="n">
        <v>330</v>
      </c>
      <c r="H271" s="9" t="n">
        <v>357</v>
      </c>
      <c r="I271" s="9" t="inlineStr">
        <is>
          <t>Bench Bat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1" t="n">
        <v>0.8930829928840874</v>
      </c>
      <c r="N271" s="17" t="n">
        <v>0.4</v>
      </c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>
        <v>0.6</v>
      </c>
      <c r="X271" s="17" t="n"/>
      <c r="Y271" s="17" t="n"/>
      <c r="Z271" s="13">
        <f>SUMPRODUCT(N271:Y271,$N$2:$Y$2)*$K271*$L271*$M271</f>
        <v/>
      </c>
      <c r="AA271" s="14">
        <f>SUM(N271:Y271)</f>
        <v/>
      </c>
      <c r="AB271" s="14">
        <f>IFERROR(IF(UPPER($E271)="L",SUMPRODUCT(N271:Y271,$N$3:$Y$3,$N$2:$Y$2),SUMPRODUCT(N271:Y271,$N$4:$Y$4,$N$2:$Y$2))/(Z271/($K271*$L271*$M271)),"")</f>
        <v/>
      </c>
      <c r="AC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inlineStr">
        <is>
          <t>1B</t>
        </is>
      </c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1" t="n">
        <v>1</v>
      </c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>
        <v>1</v>
      </c>
      <c r="Z272" s="13">
        <f>SUMPRODUCT(N272:Y272,$N$2:$Y$2)*$K272*$L272*$M272</f>
        <v/>
      </c>
      <c r="AA272" s="14">
        <f>SUM(N272:Y272)</f>
        <v/>
      </c>
      <c r="AB272" s="14">
        <f>IFERROR(IF(UPPER($E272)="L",SUMPRODUCT(N272:Y272,$N$3:$Y$3,$N$2:$Y$2),SUMPRODUCT(N272:Y272,$N$4:$Y$4,$N$2:$Y$2))/(Z272/($K272*$L272*$M272)),"")</f>
        <v/>
      </c>
      <c r="AC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25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Mid Season (~July)</t>
        </is>
      </c>
      <c r="K273" s="11">
        <f>IFERROR(INDEX(Roles!$B$17:$B$20,MATCH(J273,Roles!$A$17:$A$20,0)),1)</f>
        <v/>
      </c>
      <c r="L273" s="17" t="n">
        <v>1</v>
      </c>
      <c r="M273" s="11" t="n">
        <v>1</v>
      </c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>
        <v>1</v>
      </c>
      <c r="Z273" s="13">
        <f>SUMPRODUCT(N273:Y273,$N$2:$Y$2)*$K273*$L273*$M273</f>
        <v/>
      </c>
      <c r="AA273" s="14">
        <f>SUM(N273:Y273)</f>
        <v/>
      </c>
      <c r="AB273" s="14">
        <f>IFERROR(IF(UPPER($E273)="L",SUMPRODUCT(N273:Y273,$N$3:$Y$3,$N$2:$Y$2),SUMPRODUCT(N273:Y273,$N$4:$Y$4,$N$2:$Y$2))/(Z273/($K273*$L273*$M273)),"")</f>
        <v/>
      </c>
      <c r="AC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Bench Bat</t>
        </is>
      </c>
      <c r="J274" s="16" t="inlineStr">
        <is>
          <t>Mid Season (~July)</t>
        </is>
      </c>
      <c r="K274" s="11">
        <f>IFERROR(INDEX(Roles!$B$17:$B$20,MATCH(J274,Roles!$A$17:$A$20,0)),1)</f>
        <v/>
      </c>
      <c r="L274" s="17" t="n">
        <v>1</v>
      </c>
      <c r="M274" s="11" t="n">
        <v>1</v>
      </c>
      <c r="N274" s="17" t="n"/>
      <c r="O274" s="17" t="n"/>
      <c r="P274" s="17" t="n">
        <v>0.3</v>
      </c>
      <c r="Q274" s="17" t="n"/>
      <c r="R274" s="17" t="n"/>
      <c r="S274" s="17" t="n"/>
      <c r="T274" s="17" t="n"/>
      <c r="U274" s="17" t="n"/>
      <c r="V274" s="17" t="n"/>
      <c r="W274" s="17" t="n">
        <v>0.45</v>
      </c>
      <c r="X274" s="17" t="n">
        <v>0.25</v>
      </c>
      <c r="Y274" s="17" t="n"/>
      <c r="Z274" s="13">
        <f>SUMPRODUCT(N274:Y274,$N$2:$Y$2)*$K274*$L274*$M274</f>
        <v/>
      </c>
      <c r="AA274" s="14">
        <f>SUM(N274:Y274)</f>
        <v/>
      </c>
      <c r="AB274" s="14">
        <f>IFERROR(IF(UPPER($E274)="L",SUMPRODUCT(N274:Y274,$N$3:$Y$3,$N$2:$Y$2),SUMPRODUCT(N274:Y274,$N$4:$Y$4,$N$2:$Y$2))/(Z274/($K274*$L274*$M274)),"")</f>
        <v/>
      </c>
      <c r="AC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inlineStr">
        <is>
          <t>LF</t>
        </is>
      </c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1" t="n">
        <v>1.15</v>
      </c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>
        <v>1</v>
      </c>
      <c r="Z275" s="13">
        <f>SUMPRODUCT(N275:Y275,$N$2:$Y$2)*$K275*$L275*$M275</f>
        <v/>
      </c>
      <c r="AA275" s="14">
        <f>SUM(N275:Y275)</f>
        <v/>
      </c>
      <c r="AB275" s="14">
        <f>IFERROR(IF(UPPER($E275)="L",SUMPRODUCT(N275:Y275,$N$3:$Y$3,$N$2:$Y$2),SUMPRODUCT(N275:Y275,$N$4:$Y$4,$N$2:$Y$2))/(Z275/($K275*$L275*$M275)),"")</f>
        <v/>
      </c>
      <c r="AC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inlineStr">
        <is>
          <t>CF</t>
        </is>
      </c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1" t="n">
        <v>1.102993581882004</v>
      </c>
      <c r="N276" s="17" t="n">
        <v>0.7</v>
      </c>
      <c r="O276" s="17" t="n"/>
      <c r="P276" s="17" t="n">
        <v>0.3</v>
      </c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3">
        <f>SUMPRODUCT(N276:Y276,$N$2:$Y$2)*$K276*$L276*$M276</f>
        <v/>
      </c>
      <c r="AA276" s="14">
        <f>SUM(N276:Y276)</f>
        <v/>
      </c>
      <c r="AB276" s="14">
        <f>IFERROR(IF(UPPER($E276)="L",SUMPRODUCT(N276:Y276,$N$3:$Y$3,$N$2:$Y$2),SUMPRODUCT(N276:Y276,$N$4:$Y$4,$N$2:$Y$2))/(Z276/($K276*$L276*$M276)),"")</f>
        <v/>
      </c>
      <c r="AC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inlineStr">
        <is>
          <t>CF</t>
        </is>
      </c>
      <c r="G277" s="9" t="n">
        <v>526</v>
      </c>
      <c r="H277" s="9" t="n">
        <v>2483</v>
      </c>
      <c r="I277" s="9" t="inlineStr">
        <is>
          <t>Bench Bat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1" t="n">
        <v>1.15</v>
      </c>
      <c r="N277" s="17" t="n">
        <v>0.4</v>
      </c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>
        <v>0.6</v>
      </c>
      <c r="X277" s="17" t="n"/>
      <c r="Y277" s="17" t="n"/>
      <c r="Z277" s="13">
        <f>SUMPRODUCT(N277:Y277,$N$2:$Y$2)*$K277*$L277*$M277</f>
        <v/>
      </c>
      <c r="AA277" s="14">
        <f>SUM(N277:Y277)</f>
        <v/>
      </c>
      <c r="AB277" s="14">
        <f>IFERROR(IF(UPPER($E277)="L",SUMPRODUCT(N277:Y277,$N$3:$Y$3,$N$2:$Y$2),SUMPRODUCT(N277:Y277,$N$4:$Y$4,$N$2:$Y$2))/(Z277/($K277*$L277*$M277)),"")</f>
        <v/>
      </c>
      <c r="AC277" s="18" t="n"/>
    </row>
    <row r="278">
      <c r="A278" s="9" t="n">
        <v>687221</v>
      </c>
      <c r="B278" s="9" t="inlineStr">
        <is>
          <t>Dalton Rushing</t>
        </is>
      </c>
      <c r="C278" s="9" t="inlineStr">
        <is>
          <t>LAD</t>
        </is>
      </c>
      <c r="D278" s="9" t="n">
        <v>26</v>
      </c>
      <c r="E278" s="16" t="inlineStr">
        <is>
          <t>L</t>
        </is>
      </c>
      <c r="F278" s="16" t="inlineStr">
        <is>
          <t>C</t>
        </is>
      </c>
      <c r="G278" s="9" t="n">
        <v>253</v>
      </c>
      <c r="H278" s="9" t="n">
        <v>408</v>
      </c>
      <c r="I278" s="9" t="inlineStr">
        <is>
          <t>Bench Bat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1" t="n">
        <v>1</v>
      </c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>
        <v>0.7</v>
      </c>
      <c r="X278" s="17" t="n">
        <v>0.3</v>
      </c>
      <c r="Y278" s="17" t="n"/>
      <c r="Z278" s="13">
        <f>SUMPRODUCT(N278:Y278,$N$2:$Y$2)*$K278*$L278*$M278</f>
        <v/>
      </c>
      <c r="AA278" s="14">
        <f>SUM(N278:Y278)</f>
        <v/>
      </c>
      <c r="AB278" s="14">
        <f>IFERROR(IF(UPPER($E278)="L",SUMPRODUCT(N278:Y278,$N$3:$Y$3,$N$2:$Y$2),SUMPRODUCT(N278:Y278,$N$4:$Y$4,$N$2:$Y$2))/(Z278/($K278*$L278*$M278)),"")</f>
        <v/>
      </c>
      <c r="AC278" s="18" t="n"/>
    </row>
    <row r="279">
      <c r="A279" s="9" t="n">
        <v>672820</v>
      </c>
      <c r="B279" s="9" t="inlineStr">
        <is>
          <t>Lenyn Sosa</t>
        </is>
      </c>
      <c r="C279" s="9" t="inlineStr">
        <is>
          <t>TOR</t>
        </is>
      </c>
      <c r="D279" s="9" t="n">
        <v>27</v>
      </c>
      <c r="E279" s="16" t="inlineStr">
        <is>
          <t>R</t>
        </is>
      </c>
      <c r="F279" s="16" t="inlineStr">
        <is>
          <t>2B</t>
        </is>
      </c>
      <c r="G279" s="9" t="n">
        <v>117</v>
      </c>
      <c r="H279" s="9" t="n">
        <v>1239</v>
      </c>
      <c r="I279" s="9" t="inlineStr">
        <is>
          <t>Full Time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1" t="n">
        <v>0.8148590920671582</v>
      </c>
      <c r="N279" s="17" t="n">
        <v>1</v>
      </c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3">
        <f>SUMPRODUCT(N279:Y279,$N$2:$Y$2)*$K279*$L279*$M279</f>
        <v/>
      </c>
      <c r="AA279" s="14">
        <f>SUM(N279:Y279)</f>
        <v/>
      </c>
      <c r="AB279" s="14">
        <f>IFERROR(IF(UPPER($E279)="L",SUMPRODUCT(N279:Y279,$N$3:$Y$3,$N$2:$Y$2),SUMPRODUCT(N279:Y279,$N$4:$Y$4,$N$2:$Y$2))/(Z279/($K279*$L279*$M279)),"")</f>
        <v/>
      </c>
      <c r="AC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inlineStr">
        <is>
          <t>3B</t>
        </is>
      </c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1" t="n">
        <v>1.090244268173382</v>
      </c>
      <c r="N280" s="17" t="n">
        <v>1</v>
      </c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3">
        <f>SUMPRODUCT(N280:Y280,$N$2:$Y$2)*$K280*$L280*$M280</f>
        <v/>
      </c>
      <c r="AA280" s="14">
        <f>SUM(N280:Y280)</f>
        <v/>
      </c>
      <c r="AB280" s="14">
        <f>IFERROR(IF(UPPER($E280)="L",SUMPRODUCT(N280:Y280,$N$3:$Y$3,$N$2:$Y$2),SUMPRODUCT(N280:Y280,$N$4:$Y$4,$N$2:$Y$2))/(Z280/($K280*$L280*$M280)),"")</f>
        <v/>
      </c>
      <c r="AC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inlineStr">
        <is>
          <t>RF</t>
        </is>
      </c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1" t="n">
        <v>1.098257075762832</v>
      </c>
      <c r="N281" s="17" t="n">
        <v>0.62</v>
      </c>
      <c r="O281" s="17" t="n"/>
      <c r="P281" s="17" t="n">
        <v>0.38</v>
      </c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3">
        <f>SUMPRODUCT(N281:Y281,$N$2:$Y$2)*$K281*$L281*$M281</f>
        <v/>
      </c>
      <c r="AA281" s="14">
        <f>SUM(N281:Y281)</f>
        <v/>
      </c>
      <c r="AB281" s="14">
        <f>IFERROR(IF(UPPER($E281)="L",SUMPRODUCT(N281:Y281,$N$3:$Y$3,$N$2:$Y$2),SUMPRODUCT(N281:Y281,$N$4:$Y$4,$N$2:$Y$2))/(Z281/($K281*$L281*$M281)),"")</f>
        <v/>
      </c>
      <c r="AC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1" t="n">
        <v>1</v>
      </c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>
        <v>1</v>
      </c>
      <c r="Z282" s="13">
        <f>SUMPRODUCT(N282:Y282,$N$2:$Y$2)*$K282*$L282*$M282</f>
        <v/>
      </c>
      <c r="AA282" s="14">
        <f>SUM(N282:Y282)</f>
        <v/>
      </c>
      <c r="AB282" s="14">
        <f>IFERROR(IF(UPPER($E282)="L",SUMPRODUCT(N282:Y282,$N$3:$Y$3,$N$2:$Y$2),SUMPRODUCT(N282:Y282,$N$4:$Y$4,$N$2:$Y$2))/(Z282/($K282*$L282*$M282)),"")</f>
        <v/>
      </c>
      <c r="AC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25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Bench Bat</t>
        </is>
      </c>
      <c r="J283" s="16" t="inlineStr">
        <is>
          <t>Mid Season (~July)</t>
        </is>
      </c>
      <c r="K283" s="11">
        <f>IFERROR(INDEX(Roles!$B$17:$B$20,MATCH(J283,Roles!$A$17:$A$20,0)),1)</f>
        <v/>
      </c>
      <c r="L283" s="17" t="n">
        <v>1</v>
      </c>
      <c r="M283" s="11" t="n">
        <v>1</v>
      </c>
      <c r="N283" s="17" t="n">
        <v>0.25</v>
      </c>
      <c r="O283" s="17" t="n"/>
      <c r="P283" s="17" t="n">
        <v>0.3</v>
      </c>
      <c r="Q283" s="17" t="n"/>
      <c r="R283" s="17" t="n"/>
      <c r="S283" s="17" t="n"/>
      <c r="T283" s="17" t="n"/>
      <c r="U283" s="17" t="n"/>
      <c r="V283" s="17" t="n"/>
      <c r="W283" s="17" t="n">
        <v>0.45</v>
      </c>
      <c r="X283" s="17" t="n"/>
      <c r="Y283" s="17" t="n"/>
      <c r="Z283" s="13">
        <f>SUMPRODUCT(N283:Y283,$N$2:$Y$2)*$K283*$L283*$M283</f>
        <v/>
      </c>
      <c r="AA283" s="14">
        <f>SUM(N283:Y283)</f>
        <v/>
      </c>
      <c r="AB283" s="14">
        <f>IFERROR(IF(UPPER($E283)="L",SUMPRODUCT(N283:Y283,$N$3:$Y$3,$N$2:$Y$2),SUMPRODUCT(N283:Y283,$N$4:$Y$4,$N$2:$Y$2))/(Z283/($K283*$L283*$M283)),"")</f>
        <v/>
      </c>
      <c r="AC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1" t="n">
        <v>1</v>
      </c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>
        <v>1</v>
      </c>
      <c r="Z284" s="13">
        <f>SUMPRODUCT(N284:Y284,$N$2:$Y$2)*$K284*$L284*$M284</f>
        <v/>
      </c>
      <c r="AA284" s="14">
        <f>SUM(N284:Y284)</f>
        <v/>
      </c>
      <c r="AB284" s="14">
        <f>IFERROR(IF(UPPER($E284)="L",SUMPRODUCT(N284:Y284,$N$3:$Y$3,$N$2:$Y$2),SUMPRODUCT(N284:Y284,$N$4:$Y$4,$N$2:$Y$2))/(Z284/($K284*$L284*$M284)),"")</f>
        <v/>
      </c>
      <c r="AC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25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Early Season (~May)</t>
        </is>
      </c>
      <c r="K285" s="11">
        <f>IFERROR(INDEX(Roles!$B$17:$B$20,MATCH(J285,Roles!$A$17:$A$20,0)),1)</f>
        <v/>
      </c>
      <c r="L285" s="17" t="n">
        <v>1</v>
      </c>
      <c r="M285" s="11" t="n">
        <v>1</v>
      </c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>
        <v>1</v>
      </c>
      <c r="Z285" s="13">
        <f>SUMPRODUCT(N285:Y285,$N$2:$Y$2)*$K285*$L285*$M285</f>
        <v/>
      </c>
      <c r="AA285" s="14">
        <f>SUM(N285:Y285)</f>
        <v/>
      </c>
      <c r="AB285" s="14">
        <f>IFERROR(IF(UPPER($E285)="L",SUMPRODUCT(N285:Y285,$N$3:$Y$3,$N$2:$Y$2),SUMPRODUCT(N285:Y285,$N$4:$Y$4,$N$2:$Y$2))/(Z285/($K285*$L285*$M285)),"")</f>
        <v/>
      </c>
      <c r="AC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inlineStr">
        <is>
          <t>RF</t>
        </is>
      </c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1" t="n">
        <v>1</v>
      </c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>
        <v>1</v>
      </c>
      <c r="X286" s="17" t="n"/>
      <c r="Y286" s="17" t="n"/>
      <c r="Z286" s="13">
        <f>SUMPRODUCT(N286:Y286,$N$2:$Y$2)*$K286*$L286*$M286</f>
        <v/>
      </c>
      <c r="AA286" s="14">
        <f>SUM(N286:Y286)</f>
        <v/>
      </c>
      <c r="AB286" s="14">
        <f>IFERROR(IF(UPPER($E286)="L",SUMPRODUCT(N286:Y286,$N$3:$Y$3,$N$2:$Y$2),SUMPRODUCT(N286:Y286,$N$4:$Y$4,$N$2:$Y$2))/(Z286/($K286*$L286*$M286)),"")</f>
        <v/>
      </c>
      <c r="AC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inlineStr">
        <is>
          <t>C</t>
        </is>
      </c>
      <c r="G287" s="9" t="n">
        <v>118</v>
      </c>
      <c r="H287" s="9" t="n">
        <v>126</v>
      </c>
      <c r="I287" s="9" t="inlineStr">
        <is>
          <t>Weak Side Platoon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1" t="n">
        <v>1</v>
      </c>
      <c r="N287" s="17" t="n"/>
      <c r="O287" s="17" t="n"/>
      <c r="P287" s="17" t="n"/>
      <c r="Q287" s="17" t="n">
        <v>0.6</v>
      </c>
      <c r="R287" s="17" t="n"/>
      <c r="S287" s="17" t="n"/>
      <c r="T287" s="17" t="n">
        <v>0.4</v>
      </c>
      <c r="U287" s="17" t="n"/>
      <c r="V287" s="17" t="n"/>
      <c r="W287" s="17" t="n"/>
      <c r="X287" s="17" t="n"/>
      <c r="Y287" s="17" t="n"/>
      <c r="Z287" s="13">
        <f>SUMPRODUCT(N287:Y287,$N$2:$Y$2)*$K287*$L287*$M287</f>
        <v/>
      </c>
      <c r="AA287" s="14">
        <f>SUM(N287:Y287)</f>
        <v/>
      </c>
      <c r="AB287" s="14">
        <f>IFERROR(IF(UPPER($E287)="L",SUMPRODUCT(N287:Y287,$N$3:$Y$3,$N$2:$Y$2),SUMPRODUCT(N287:Y287,$N$4:$Y$4,$N$2:$Y$2))/(Z287/($K287*$L287*$M287)),"")</f>
        <v/>
      </c>
      <c r="AC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25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Bench Bat</t>
        </is>
      </c>
      <c r="J288" s="16" t="inlineStr">
        <is>
          <t>Mid Season (~July)</t>
        </is>
      </c>
      <c r="K288" s="11">
        <f>IFERROR(INDEX(Roles!$B$17:$B$20,MATCH(J288,Roles!$A$17:$A$20,0)),1)</f>
        <v/>
      </c>
      <c r="L288" s="17" t="n">
        <v>1</v>
      </c>
      <c r="M288" s="11" t="n">
        <v>1</v>
      </c>
      <c r="N288" s="17" t="n">
        <v>0.25</v>
      </c>
      <c r="O288" s="17" t="n"/>
      <c r="P288" s="17" t="n">
        <v>0.3</v>
      </c>
      <c r="Q288" s="17" t="n"/>
      <c r="R288" s="17" t="n"/>
      <c r="S288" s="17" t="n"/>
      <c r="T288" s="17" t="n"/>
      <c r="U288" s="17" t="n"/>
      <c r="V288" s="17" t="n"/>
      <c r="W288" s="17" t="n">
        <v>0.45</v>
      </c>
      <c r="X288" s="17" t="n"/>
      <c r="Y288" s="17" t="n"/>
      <c r="Z288" s="13">
        <f>SUMPRODUCT(N288:Y288,$N$2:$Y$2)*$K288*$L288*$M288</f>
        <v/>
      </c>
      <c r="AA288" s="14">
        <f>SUM(N288:Y288)</f>
        <v/>
      </c>
      <c r="AB288" s="14">
        <f>IFERROR(IF(UPPER($E288)="L",SUMPRODUCT(N288:Y288,$N$3:$Y$3,$N$2:$Y$2),SUMPRODUCT(N288:Y288,$N$4:$Y$4,$N$2:$Y$2))/(Z288/($K288*$L288*$M288)),"")</f>
        <v/>
      </c>
      <c r="AC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inlineStr">
        <is>
          <t>C</t>
        </is>
      </c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1" t="n">
        <v>1</v>
      </c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>
        <v>1</v>
      </c>
      <c r="Z289" s="13">
        <f>SUMPRODUCT(N289:Y289,$N$2:$Y$2)*$K289*$L289*$M289</f>
        <v/>
      </c>
      <c r="AA289" s="14">
        <f>SUM(N289:Y289)</f>
        <v/>
      </c>
      <c r="AB289" s="14">
        <f>IFERROR(IF(UPPER($E289)="L",SUMPRODUCT(N289:Y289,$N$3:$Y$3,$N$2:$Y$2),SUMPRODUCT(N289:Y289,$N$4:$Y$4,$N$2:$Y$2))/(Z289/($K289*$L289*$M289)),"")</f>
        <v/>
      </c>
      <c r="AC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inlineStr">
        <is>
          <t>1B</t>
        </is>
      </c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1" t="n">
        <v>1</v>
      </c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>
        <v>1</v>
      </c>
      <c r="Z290" s="13">
        <f>SUMPRODUCT(N290:Y290,$N$2:$Y$2)*$K290*$L290*$M290</f>
        <v/>
      </c>
      <c r="AA290" s="14">
        <f>SUM(N290:Y290)</f>
        <v/>
      </c>
      <c r="AB290" s="14">
        <f>IFERROR(IF(UPPER($E290)="L",SUMPRODUCT(N290:Y290,$N$3:$Y$3,$N$2:$Y$2),SUMPRODUCT(N290:Y290,$N$4:$Y$4,$N$2:$Y$2))/(Z290/($K290*$L290*$M290)),"")</f>
        <v/>
      </c>
      <c r="AC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1" t="n">
        <v>1</v>
      </c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>
        <v>1</v>
      </c>
      <c r="Z291" s="13">
        <f>SUMPRODUCT(N291:Y291,$N$2:$Y$2)*$K291*$L291*$M291</f>
        <v/>
      </c>
      <c r="AA291" s="14">
        <f>SUM(N291:Y291)</f>
        <v/>
      </c>
      <c r="AB291" s="14">
        <f>IFERROR(IF(UPPER($E291)="L",SUMPRODUCT(N291:Y291,$N$3:$Y$3,$N$2:$Y$2),SUMPRODUCT(N291:Y291,$N$4:$Y$4,$N$2:$Y$2))/(Z291/($K291*$L291*$M291)),"")</f>
        <v/>
      </c>
      <c r="AC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1" t="n">
        <v>1</v>
      </c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>
        <v>1</v>
      </c>
      <c r="Z292" s="13">
        <f>SUMPRODUCT(N292:Y292,$N$2:$Y$2)*$K292*$L292*$M292</f>
        <v/>
      </c>
      <c r="AA292" s="14">
        <f>SUM(N292:Y292)</f>
        <v/>
      </c>
      <c r="AB292" s="14">
        <f>IFERROR(IF(UPPER($E292)="L",SUMPRODUCT(N292:Y292,$N$3:$Y$3,$N$2:$Y$2),SUMPRODUCT(N292:Y292,$N$4:$Y$4,$N$2:$Y$2))/(Z292/($K292*$L292*$M292)),"")</f>
        <v/>
      </c>
      <c r="AC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25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Bench Bat</t>
        </is>
      </c>
      <c r="J293" s="16" t="inlineStr">
        <is>
          <t>Mid Season (~July)</t>
        </is>
      </c>
      <c r="K293" s="11">
        <f>IFERROR(INDEX(Roles!$B$17:$B$20,MATCH(J293,Roles!$A$17:$A$20,0)),1)</f>
        <v/>
      </c>
      <c r="L293" s="17" t="n">
        <v>1</v>
      </c>
      <c r="M293" s="11" t="n">
        <v>1</v>
      </c>
      <c r="N293" s="17" t="n"/>
      <c r="O293" s="17" t="n"/>
      <c r="P293" s="17" t="n">
        <v>0.3</v>
      </c>
      <c r="Q293" s="17" t="n"/>
      <c r="R293" s="17" t="n"/>
      <c r="S293" s="17" t="n"/>
      <c r="T293" s="17" t="n"/>
      <c r="U293" s="17" t="n"/>
      <c r="V293" s="17" t="n"/>
      <c r="W293" s="17" t="n">
        <v>0.45</v>
      </c>
      <c r="X293" s="17" t="n">
        <v>0.25</v>
      </c>
      <c r="Y293" s="17" t="n"/>
      <c r="Z293" s="13">
        <f>SUMPRODUCT(N293:Y293,$N$2:$Y$2)*$K293*$L293*$M293</f>
        <v/>
      </c>
      <c r="AA293" s="14">
        <f>SUM(N293:Y293)</f>
        <v/>
      </c>
      <c r="AB293" s="14">
        <f>IFERROR(IF(UPPER($E293)="L",SUMPRODUCT(N293:Y293,$N$3:$Y$3,$N$2:$Y$2),SUMPRODUCT(N293:Y293,$N$4:$Y$4,$N$2:$Y$2))/(Z293/($K293*$L293*$M293)),"")</f>
        <v/>
      </c>
      <c r="AC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1" t="n">
        <v>1</v>
      </c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>
        <v>1</v>
      </c>
      <c r="Z294" s="13">
        <f>SUMPRODUCT(N294:Y294,$N$2:$Y$2)*$K294*$L294*$M294</f>
        <v/>
      </c>
      <c r="AA294" s="14">
        <f>SUM(N294:Y294)</f>
        <v/>
      </c>
      <c r="AB294" s="14">
        <f>IFERROR(IF(UPPER($E294)="L",SUMPRODUCT(N294:Y294,$N$3:$Y$3,$N$2:$Y$2),SUMPRODUCT(N294:Y294,$N$4:$Y$4,$N$2:$Y$2))/(Z294/($K294*$L294*$M294)),"")</f>
        <v/>
      </c>
      <c r="AC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inlineStr">
        <is>
          <t>LF</t>
        </is>
      </c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1" t="n">
        <v>1</v>
      </c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>
        <v>1</v>
      </c>
      <c r="Z295" s="13">
        <f>SUMPRODUCT(N295:Y295,$N$2:$Y$2)*$K295*$L295*$M295</f>
        <v/>
      </c>
      <c r="AA295" s="14">
        <f>SUM(N295:Y295)</f>
        <v/>
      </c>
      <c r="AB295" s="14">
        <f>IFERROR(IF(UPPER($E295)="L",SUMPRODUCT(N295:Y295,$N$3:$Y$3,$N$2:$Y$2),SUMPRODUCT(N295:Y295,$N$4:$Y$4,$N$2:$Y$2))/(Z295/($K295*$L295*$M295)),"")</f>
        <v/>
      </c>
      <c r="AC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1" t="n">
        <v>1</v>
      </c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>
        <v>1</v>
      </c>
      <c r="Z296" s="13">
        <f>SUMPRODUCT(N296:Y296,$N$2:$Y$2)*$K296*$L296*$M296</f>
        <v/>
      </c>
      <c r="AA296" s="14">
        <f>SUM(N296:Y296)</f>
        <v/>
      </c>
      <c r="AB296" s="14">
        <f>IFERROR(IF(UPPER($E296)="L",SUMPRODUCT(N296:Y296,$N$3:$Y$3,$N$2:$Y$2),SUMPRODUCT(N296:Y296,$N$4:$Y$4,$N$2:$Y$2))/(Z296/($K296*$L296*$M296)),"")</f>
        <v/>
      </c>
      <c r="AC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inlineStr">
        <is>
          <t>3B</t>
        </is>
      </c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1" t="n">
        <v>0.9926376279615244</v>
      </c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>
        <v>1</v>
      </c>
      <c r="X297" s="17" t="n"/>
      <c r="Y297" s="17" t="n"/>
      <c r="Z297" s="13">
        <f>SUMPRODUCT(N297:Y297,$N$2:$Y$2)*$K297*$L297*$M297</f>
        <v/>
      </c>
      <c r="AA297" s="14">
        <f>SUM(N297:Y297)</f>
        <v/>
      </c>
      <c r="AB297" s="14">
        <f>IFERROR(IF(UPPER($E297)="L",SUMPRODUCT(N297:Y297,$N$3:$Y$3,$N$2:$Y$2),SUMPRODUCT(N297:Y297,$N$4:$Y$4,$N$2:$Y$2))/(Z297/($K297*$L297*$M297)),"")</f>
        <v/>
      </c>
      <c r="AC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1" t="n">
        <v>1</v>
      </c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>
        <v>1</v>
      </c>
      <c r="Z298" s="13">
        <f>SUMPRODUCT(N298:Y298,$N$2:$Y$2)*$K298*$L298*$M298</f>
        <v/>
      </c>
      <c r="AA298" s="14">
        <f>SUM(N298:Y298)</f>
        <v/>
      </c>
      <c r="AB298" s="14">
        <f>IFERROR(IF(UPPER($E298)="L",SUMPRODUCT(N298:Y298,$N$3:$Y$3,$N$2:$Y$2),SUMPRODUCT(N298:Y298,$N$4:$Y$4,$N$2:$Y$2))/(Z298/($K298*$L298*$M298)),"")</f>
        <v/>
      </c>
      <c r="AC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1" t="n">
        <v>1</v>
      </c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>
        <v>1</v>
      </c>
      <c r="Z299" s="13">
        <f>SUMPRODUCT(N299:Y299,$N$2:$Y$2)*$K299*$L299*$M299</f>
        <v/>
      </c>
      <c r="AA299" s="14">
        <f>SUM(N299:Y299)</f>
        <v/>
      </c>
      <c r="AB299" s="14">
        <f>IFERROR(IF(UPPER($E299)="L",SUMPRODUCT(N299:Y299,$N$3:$Y$3,$N$2:$Y$2),SUMPRODUCT(N299:Y299,$N$4:$Y$4,$N$2:$Y$2))/(Z299/($K299*$L299*$M299)),"")</f>
        <v/>
      </c>
      <c r="AC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inlineStr">
        <is>
          <t>2B</t>
        </is>
      </c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1" t="n">
        <v>1</v>
      </c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>
        <v>1</v>
      </c>
      <c r="Z300" s="13">
        <f>SUMPRODUCT(N300:Y300,$N$2:$Y$2)*$K300*$L300*$M300</f>
        <v/>
      </c>
      <c r="AA300" s="14">
        <f>SUM(N300:Y300)</f>
        <v/>
      </c>
      <c r="AB300" s="14">
        <f>IFERROR(IF(UPPER($E300)="L",SUMPRODUCT(N300:Y300,$N$3:$Y$3,$N$2:$Y$2),SUMPRODUCT(N300:Y300,$N$4:$Y$4,$N$2:$Y$2))/(Z300/($K300*$L300*$M300)),"")</f>
        <v/>
      </c>
      <c r="AC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inlineStr">
        <is>
          <t>C</t>
        </is>
      </c>
      <c r="G301" s="9" t="n">
        <v>144</v>
      </c>
      <c r="H301" s="9" t="n">
        <v>441</v>
      </c>
      <c r="I301" s="9" t="inlineStr">
        <is>
          <t>Catcher - Primary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1" t="n">
        <v>1</v>
      </c>
      <c r="N301" s="17" t="n"/>
      <c r="O301" s="17" t="n"/>
      <c r="P301" s="17" t="n"/>
      <c r="Q301" s="17" t="n"/>
      <c r="R301" s="17" t="n">
        <v>1</v>
      </c>
      <c r="S301" s="17" t="n"/>
      <c r="T301" s="17" t="n"/>
      <c r="U301" s="17" t="n"/>
      <c r="V301" s="17" t="n"/>
      <c r="W301" s="17" t="n"/>
      <c r="X301" s="17" t="n"/>
      <c r="Y301" s="17" t="n"/>
      <c r="Z301" s="13">
        <f>SUMPRODUCT(N301:Y301,$N$2:$Y$2)*$K301*$L301*$M301</f>
        <v/>
      </c>
      <c r="AA301" s="14">
        <f>SUM(N301:Y301)</f>
        <v/>
      </c>
      <c r="AB301" s="14">
        <f>IFERROR(IF(UPPER($E301)="L",SUMPRODUCT(N301:Y301,$N$3:$Y$3,$N$2:$Y$2),SUMPRODUCT(N301:Y301,$N$4:$Y$4,$N$2:$Y$2))/(Z301/($K301*$L301*$M301)),"")</f>
        <v/>
      </c>
      <c r="AC301" s="18" t="n"/>
    </row>
    <row r="302">
      <c r="A302" s="9" t="n">
        <v>804995</v>
      </c>
      <c r="B302" s="9" t="inlineStr">
        <is>
          <t>Henry Godbout</t>
        </is>
      </c>
      <c r="C302" s="9" t="inlineStr">
        <is>
          <t>BOS</t>
        </is>
      </c>
      <c r="D302" s="9" t="n">
        <v>25</v>
      </c>
      <c r="E302" s="16" t="inlineStr">
        <is>
          <t>R</t>
        </is>
      </c>
      <c r="F302" s="16" t="n"/>
      <c r="G302" s="9" t="n">
        <v>34.1025641025641</v>
      </c>
      <c r="H302" s="9" t="n">
        <v>34.1025641025641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1" t="n">
        <v>1</v>
      </c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>
        <v>1</v>
      </c>
      <c r="Z302" s="13">
        <f>SUMPRODUCT(N302:Y302,$N$2:$Y$2)*$K302*$L302*$M302</f>
        <v/>
      </c>
      <c r="AA302" s="14">
        <f>SUM(N302:Y302)</f>
        <v/>
      </c>
      <c r="AB302" s="14">
        <f>IFERROR(IF(UPPER($E302)="L",SUMPRODUCT(N302:Y302,$N$3:$Y$3,$N$2:$Y$2),SUMPRODUCT(N302:Y302,$N$4:$Y$4,$N$2:$Y$2))/(Z302/($K302*$L302*$M302)),"")</f>
        <v/>
      </c>
      <c r="AC302" s="18" t="n"/>
    </row>
    <row r="303">
      <c r="A303" s="9" t="n">
        <v>624512</v>
      </c>
      <c r="B303" s="9" t="inlineStr">
        <is>
          <t>Reese McGuire</t>
        </is>
      </c>
      <c r="C303" s="9" t="inlineStr">
        <is>
          <t>CWS</t>
        </is>
      </c>
      <c r="D303" s="9" t="n">
        <v>32</v>
      </c>
      <c r="E303" s="16" t="inlineStr">
        <is>
          <t>L</t>
        </is>
      </c>
      <c r="F303" s="16" t="inlineStr">
        <is>
          <t>C</t>
        </is>
      </c>
      <c r="G303" s="9" t="n">
        <v>34</v>
      </c>
      <c r="H303" s="9" t="n">
        <v>812</v>
      </c>
      <c r="I303" s="9" t="inlineStr">
        <is>
          <t>Catcher - Backup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1" t="n">
        <v>1</v>
      </c>
      <c r="N303" s="17" t="n"/>
      <c r="O303" s="17" t="n"/>
      <c r="P303" s="17" t="n"/>
      <c r="Q303" s="17" t="n"/>
      <c r="R303" s="17" t="n"/>
      <c r="S303" s="17" t="n"/>
      <c r="T303" s="17" t="n">
        <v>1</v>
      </c>
      <c r="U303" s="17" t="n"/>
      <c r="V303" s="17" t="n"/>
      <c r="W303" s="17" t="n"/>
      <c r="X303" s="17" t="n"/>
      <c r="Y303" s="17" t="n"/>
      <c r="Z303" s="13">
        <f>SUMPRODUCT(N303:Y303,$N$2:$Y$2)*$K303*$L303*$M303</f>
        <v/>
      </c>
      <c r="AA303" s="14">
        <f>SUM(N303:Y303)</f>
        <v/>
      </c>
      <c r="AB303" s="14">
        <f>IFERROR(IF(UPPER($E303)="L",SUMPRODUCT(N303:Y303,$N$3:$Y$3,$N$2:$Y$2),SUMPRODUCT(N303:Y303,$N$4:$Y$4,$N$2:$Y$2))/(Z303/($K303*$L303*$M303)),"")</f>
        <v/>
      </c>
      <c r="AC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25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Depth (no MLB PA)</t>
        </is>
      </c>
      <c r="J304" s="16" t="inlineStr">
        <is>
          <t>Mid Season (~July)</t>
        </is>
      </c>
      <c r="K304" s="11">
        <f>IFERROR(INDEX(Roles!$B$17:$B$20,MATCH(J304,Roles!$A$17:$A$20,0)),1)</f>
        <v/>
      </c>
      <c r="L304" s="17" t="n">
        <v>1</v>
      </c>
      <c r="M304" s="11" t="n">
        <v>1</v>
      </c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>
        <v>1</v>
      </c>
      <c r="Z304" s="13">
        <f>SUMPRODUCT(N304:Y304,$N$2:$Y$2)*$K304*$L304*$M304</f>
        <v/>
      </c>
      <c r="AA304" s="14">
        <f>SUM(N304:Y304)</f>
        <v/>
      </c>
      <c r="AB304" s="14">
        <f>IFERROR(IF(UPPER($E304)="L",SUMPRODUCT(N304:Y304,$N$3:$Y$3,$N$2:$Y$2),SUMPRODUCT(N304:Y304,$N$4:$Y$4,$N$2:$Y$2))/(Z304/($K304*$L304*$M304)),"")</f>
        <v/>
      </c>
      <c r="AC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inlineStr">
        <is>
          <t>LF</t>
        </is>
      </c>
      <c r="G305" s="9" t="n">
        <v>315</v>
      </c>
      <c r="H305" s="9" t="n">
        <v>2094</v>
      </c>
      <c r="I305" s="9" t="inlineStr">
        <is>
          <t>Strong Side Platoon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1" t="n">
        <v>1.057977256999067</v>
      </c>
      <c r="N305" s="17" t="n"/>
      <c r="O305" s="17" t="n"/>
      <c r="P305" s="17" t="n">
        <v>1</v>
      </c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7" t="n"/>
      <c r="Z305" s="13">
        <f>SUMPRODUCT(N305:Y305,$N$2:$Y$2)*$K305*$L305*$M305</f>
        <v/>
      </c>
      <c r="AA305" s="14">
        <f>SUM(N305:Y305)</f>
        <v/>
      </c>
      <c r="AB305" s="14">
        <f>IFERROR(IF(UPPER($E305)="L",SUMPRODUCT(N305:Y305,$N$3:$Y$3,$N$2:$Y$2),SUMPRODUCT(N305:Y305,$N$4:$Y$4,$N$2:$Y$2))/(Z305/($K305*$L305*$M305)),"")</f>
        <v/>
      </c>
      <c r="AC305" s="18" t="n"/>
    </row>
    <row r="306">
      <c r="A306" s="9" t="n">
        <v>657757</v>
      </c>
      <c r="B306" s="9" t="inlineStr">
        <is>
          <t>Gavin Sheets</t>
        </is>
      </c>
      <c r="C306" s="9" t="inlineStr">
        <is>
          <t>SD</t>
        </is>
      </c>
      <c r="D306" s="9" t="n">
        <v>31</v>
      </c>
      <c r="E306" s="16" t="inlineStr">
        <is>
          <t>L</t>
        </is>
      </c>
      <c r="F306" s="16" t="inlineStr">
        <is>
          <t>1B</t>
        </is>
      </c>
      <c r="G306" s="9" t="n">
        <v>419</v>
      </c>
      <c r="H306" s="9" t="n">
        <v>2219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1" t="n">
        <v>1.15</v>
      </c>
      <c r="N306" s="17" t="n"/>
      <c r="O306" s="17" t="n"/>
      <c r="P306" s="17" t="n"/>
      <c r="Q306" s="17" t="n"/>
      <c r="R306" s="17" t="n"/>
      <c r="S306" s="17" t="n"/>
      <c r="T306" s="17" t="n"/>
      <c r="U306" s="17" t="n">
        <v>0.4</v>
      </c>
      <c r="V306" s="17" t="n"/>
      <c r="W306" s="17" t="n">
        <v>0.6</v>
      </c>
      <c r="X306" s="17" t="n"/>
      <c r="Y306" s="17" t="n"/>
      <c r="Z306" s="13">
        <f>SUMPRODUCT(N306:Y306,$N$2:$Y$2)*$K306*$L306*$M306</f>
        <v/>
      </c>
      <c r="AA306" s="14">
        <f>SUM(N306:Y306)</f>
        <v/>
      </c>
      <c r="AB306" s="14">
        <f>IFERROR(IF(UPPER($E306)="L",SUMPRODUCT(N306:Y306,$N$3:$Y$3,$N$2:$Y$2),SUMPRODUCT(N306:Y306,$N$4:$Y$4,$N$2:$Y$2))/(Z306/($K306*$L306*$M306)),"")</f>
        <v/>
      </c>
      <c r="AC306" s="18" t="n"/>
    </row>
    <row r="307">
      <c r="A307" s="9" t="n">
        <v>455117</v>
      </c>
      <c r="B307" s="9" t="inlineStr">
        <is>
          <t>Martín Maldonado</t>
        </is>
      </c>
      <c r="C307" s="9" t="inlineStr">
        <is>
          <t>SD</t>
        </is>
      </c>
      <c r="D307" s="9" t="n">
        <v>40</v>
      </c>
      <c r="E307" s="16" t="inlineStr">
        <is>
          <t>R</t>
        </is>
      </c>
      <c r="F307" s="16" t="inlineStr">
        <is>
          <t>C</t>
        </is>
      </c>
      <c r="G307" s="9" t="n">
        <v>161</v>
      </c>
      <c r="H307" s="9" t="n">
        <v>1094</v>
      </c>
      <c r="I307" s="9" t="inlineStr">
        <is>
          <t>Catcher - Backup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1" t="n">
        <v>1</v>
      </c>
      <c r="N307" s="17" t="n"/>
      <c r="O307" s="17" t="n"/>
      <c r="P307" s="17" t="n"/>
      <c r="Q307" s="17" t="n"/>
      <c r="R307" s="17" t="n"/>
      <c r="S307" s="17" t="n"/>
      <c r="T307" s="17" t="n">
        <v>1</v>
      </c>
      <c r="U307" s="17" t="n"/>
      <c r="V307" s="17" t="n"/>
      <c r="W307" s="17" t="n"/>
      <c r="X307" s="17" t="n"/>
      <c r="Y307" s="17" t="n"/>
      <c r="Z307" s="13">
        <f>SUMPRODUCT(N307:Y307,$N$2:$Y$2)*$K307*$L307*$M307</f>
        <v/>
      </c>
      <c r="AA307" s="14">
        <f>SUM(N307:Y307)</f>
        <v/>
      </c>
      <c r="AB307" s="14">
        <f>IFERROR(IF(UPPER($E307)="L",SUMPRODUCT(N307:Y307,$N$3:$Y$3,$N$2:$Y$2),SUMPRODUCT(N307:Y307,$N$4:$Y$4,$N$2:$Y$2))/(Z307/($K307*$L307*$M307)),"")</f>
        <v/>
      </c>
      <c r="AC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inlineStr">
        <is>
          <t>LF</t>
        </is>
      </c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1" t="n">
        <v>0.9704007193123402</v>
      </c>
      <c r="N308" s="17" t="n">
        <v>1</v>
      </c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7" t="n"/>
      <c r="Z308" s="13">
        <f>SUMPRODUCT(N308:Y308,$N$2:$Y$2)*$K308*$L308*$M308</f>
        <v/>
      </c>
      <c r="AA308" s="14">
        <f>SUM(N308:Y308)</f>
        <v/>
      </c>
      <c r="AB308" s="14">
        <f>IFERROR(IF(UPPER($E308)="L",SUMPRODUCT(N308:Y308,$N$3:$Y$3,$N$2:$Y$2),SUMPRODUCT(N308:Y308,$N$4:$Y$4,$N$2:$Y$2))/(Z308/($K308*$L308*$M308)),"")</f>
        <v/>
      </c>
      <c r="AC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1" t="n">
        <v>1</v>
      </c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7" t="n">
        <v>1</v>
      </c>
      <c r="Z309" s="13">
        <f>SUMPRODUCT(N309:Y309,$N$2:$Y$2)*$K309*$L309*$M309</f>
        <v/>
      </c>
      <c r="AA309" s="14">
        <f>SUM(N309:Y309)</f>
        <v/>
      </c>
      <c r="AB309" s="14">
        <f>IFERROR(IF(UPPER($E309)="L",SUMPRODUCT(N309:Y309,$N$3:$Y$3,$N$2:$Y$2),SUMPRODUCT(N309:Y309,$N$4:$Y$4,$N$2:$Y$2))/(Z309/($K309*$L309*$M309)),"")</f>
        <v/>
      </c>
      <c r="AC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inlineStr">
        <is>
          <t>C</t>
        </is>
      </c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1" t="n">
        <v>1</v>
      </c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7" t="n">
        <v>1</v>
      </c>
      <c r="Z310" s="13">
        <f>SUMPRODUCT(N310:Y310,$N$2:$Y$2)*$K310*$L310*$M310</f>
        <v/>
      </c>
      <c r="AA310" s="14">
        <f>SUM(N310:Y310)</f>
        <v/>
      </c>
      <c r="AB310" s="14">
        <f>IFERROR(IF(UPPER($E310)="L",SUMPRODUCT(N310:Y310,$N$3:$Y$3,$N$2:$Y$2),SUMPRODUCT(N310:Y310,$N$4:$Y$4,$N$2:$Y$2))/(Z310/($K310*$L310*$M310)),"")</f>
        <v/>
      </c>
      <c r="AC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1" t="n">
        <v>1</v>
      </c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7" t="n">
        <v>1</v>
      </c>
      <c r="Z311" s="13">
        <f>SUMPRODUCT(N311:Y311,$N$2:$Y$2)*$K311*$L311*$M311</f>
        <v/>
      </c>
      <c r="AA311" s="14">
        <f>SUM(N311:Y311)</f>
        <v/>
      </c>
      <c r="AB311" s="14">
        <f>IFERROR(IF(UPPER($E311)="L",SUMPRODUCT(N311:Y311,$N$3:$Y$3,$N$2:$Y$2),SUMPRODUCT(N311:Y311,$N$4:$Y$4,$N$2:$Y$2))/(Z311/($K311*$L311*$M311)),"")</f>
        <v/>
      </c>
      <c r="AC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inlineStr">
        <is>
          <t>LF</t>
        </is>
      </c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1" t="n">
        <v>0.7768404207741539</v>
      </c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>
        <v>1</v>
      </c>
      <c r="X312" s="17" t="n"/>
      <c r="Y312" s="17" t="n"/>
      <c r="Z312" s="13">
        <f>SUMPRODUCT(N312:Y312,$N$2:$Y$2)*$K312*$L312*$M312</f>
        <v/>
      </c>
      <c r="AA312" s="14">
        <f>SUM(N312:Y312)</f>
        <v/>
      </c>
      <c r="AB312" s="14">
        <f>IFERROR(IF(UPPER($E312)="L",SUMPRODUCT(N312:Y312,$N$3:$Y$3,$N$2:$Y$2),SUMPRODUCT(N312:Y312,$N$4:$Y$4,$N$2:$Y$2))/(Z312/($K312*$L312*$M312)),"")</f>
        <v/>
      </c>
      <c r="AC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inlineStr">
        <is>
          <t>C</t>
        </is>
      </c>
      <c r="G313" s="9" t="n">
        <v>330</v>
      </c>
      <c r="H313" s="9" t="n">
        <v>330</v>
      </c>
      <c r="I313" s="9" t="inlineStr">
        <is>
          <t>Strong Side Platoon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1" t="n">
        <v>0.9653834228777952</v>
      </c>
      <c r="N313" s="17" t="n"/>
      <c r="O313" s="17" t="n"/>
      <c r="P313" s="17" t="n">
        <v>0.6</v>
      </c>
      <c r="Q313" s="17" t="n"/>
      <c r="R313" s="17" t="n">
        <v>0.4</v>
      </c>
      <c r="S313" s="17" t="n"/>
      <c r="T313" s="17" t="n"/>
      <c r="U313" s="17" t="n"/>
      <c r="V313" s="17" t="n"/>
      <c r="W313" s="17" t="n"/>
      <c r="X313" s="17" t="n"/>
      <c r="Y313" s="17" t="n"/>
      <c r="Z313" s="13">
        <f>SUMPRODUCT(N313:Y313,$N$2:$Y$2)*$K313*$L313*$M313</f>
        <v/>
      </c>
      <c r="AA313" s="14">
        <f>SUM(N313:Y313)</f>
        <v/>
      </c>
      <c r="AB313" s="14">
        <f>IFERROR(IF(UPPER($E313)="L",SUMPRODUCT(N313:Y313,$N$3:$Y$3,$N$2:$Y$2),SUMPRODUCT(N313:Y313,$N$4:$Y$4,$N$2:$Y$2))/(Z313/($K313*$L313*$M313)),"")</f>
        <v/>
      </c>
      <c r="AC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inlineStr">
        <is>
          <t>P</t>
        </is>
      </c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1" t="n">
        <v>1</v>
      </c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7" t="n">
        <v>1</v>
      </c>
      <c r="Z314" s="13">
        <f>SUMPRODUCT(N314:Y314,$N$2:$Y$2)*$K314*$L314*$M314</f>
        <v/>
      </c>
      <c r="AA314" s="14">
        <f>SUM(N314:Y314)</f>
        <v/>
      </c>
      <c r="AB314" s="14">
        <f>IFERROR(IF(UPPER($E314)="L",SUMPRODUCT(N314:Y314,$N$3:$Y$3,$N$2:$Y$2),SUMPRODUCT(N314:Y314,$N$4:$Y$4,$N$2:$Y$2))/(Z314/($K314*$L314*$M314)),"")</f>
        <v/>
      </c>
      <c r="AC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inlineStr">
        <is>
          <t>3B</t>
        </is>
      </c>
      <c r="G315" s="9" t="n">
        <v>96</v>
      </c>
      <c r="H315" s="9" t="n">
        <v>1655</v>
      </c>
      <c r="I315" s="9" t="inlineStr">
        <is>
          <t>Utility IF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1" t="n">
        <v>0.9166017777298352</v>
      </c>
      <c r="N315" s="17" t="n"/>
      <c r="O315" s="17" t="n"/>
      <c r="P315" s="17" t="n"/>
      <c r="Q315" s="17" t="n"/>
      <c r="R315" s="17" t="n"/>
      <c r="S315" s="17" t="n"/>
      <c r="T315" s="17" t="n"/>
      <c r="U315" s="17" t="n">
        <v>0.7</v>
      </c>
      <c r="V315" s="17" t="n"/>
      <c r="W315" s="17" t="n">
        <v>0.3</v>
      </c>
      <c r="X315" s="17" t="n"/>
      <c r="Y315" s="17" t="n"/>
      <c r="Z315" s="13">
        <f>SUMPRODUCT(N315:Y315,$N$2:$Y$2)*$K315*$L315*$M315</f>
        <v/>
      </c>
      <c r="AA315" s="14">
        <f>SUM(N315:Y315)</f>
        <v/>
      </c>
      <c r="AB315" s="14">
        <f>IFERROR(IF(UPPER($E315)="L",SUMPRODUCT(N315:Y315,$N$3:$Y$3,$N$2:$Y$2),SUMPRODUCT(N315:Y315,$N$4:$Y$4,$N$2:$Y$2))/(Z315/($K315*$L315*$M315)),"")</f>
        <v/>
      </c>
      <c r="AC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inlineStr">
        <is>
          <t>CF</t>
        </is>
      </c>
      <c r="G316" s="9" t="n">
        <v>216</v>
      </c>
      <c r="H316" s="9" t="n">
        <v>679</v>
      </c>
      <c r="I316" s="9" t="inlineStr">
        <is>
          <t>Weak Side Platoon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1" t="n">
        <v>0.9951900108499396</v>
      </c>
      <c r="N316" s="17" t="n"/>
      <c r="O316" s="17" t="n"/>
      <c r="P316" s="17" t="n"/>
      <c r="Q316" s="17" t="n">
        <v>0.6</v>
      </c>
      <c r="R316" s="17" t="n"/>
      <c r="S316" s="17" t="n"/>
      <c r="T316" s="17" t="n"/>
      <c r="U316" s="17" t="n"/>
      <c r="V316" s="17" t="n">
        <v>0.4</v>
      </c>
      <c r="W316" s="17" t="n"/>
      <c r="X316" s="17" t="n"/>
      <c r="Y316" s="17" t="n"/>
      <c r="Z316" s="13">
        <f>SUMPRODUCT(N316:Y316,$N$2:$Y$2)*$K316*$L316*$M316</f>
        <v/>
      </c>
      <c r="AA316" s="14">
        <f>SUM(N316:Y316)</f>
        <v/>
      </c>
      <c r="AB316" s="14">
        <f>IFERROR(IF(UPPER($E316)="L",SUMPRODUCT(N316:Y316,$N$3:$Y$3,$N$2:$Y$2),SUMPRODUCT(N316:Y316,$N$4:$Y$4,$N$2:$Y$2))/(Z316/($K316*$L316*$M316)),"")</f>
        <v/>
      </c>
      <c r="AC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1" t="n">
        <v>1</v>
      </c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7" t="n">
        <v>1</v>
      </c>
      <c r="Z317" s="13">
        <f>SUMPRODUCT(N317:Y317,$N$2:$Y$2)*$K317*$L317*$M317</f>
        <v/>
      </c>
      <c r="AA317" s="14">
        <f>SUM(N317:Y317)</f>
        <v/>
      </c>
      <c r="AB317" s="14">
        <f>IFERROR(IF(UPPER($E317)="L",SUMPRODUCT(N317:Y317,$N$3:$Y$3,$N$2:$Y$2),SUMPRODUCT(N317:Y317,$N$4:$Y$4,$N$2:$Y$2))/(Z317/($K317*$L317*$M317)),"")</f>
        <v/>
      </c>
      <c r="AC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inlineStr">
        <is>
          <t>SS</t>
        </is>
      </c>
      <c r="G318" s="9" t="n">
        <v>166</v>
      </c>
      <c r="H318" s="9" t="n">
        <v>166</v>
      </c>
      <c r="I318" s="9" t="inlineStr">
        <is>
          <t>Full Time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1" t="n">
        <v>1</v>
      </c>
      <c r="N318" s="17" t="n">
        <v>1</v>
      </c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7" t="n"/>
      <c r="Z318" s="13">
        <f>SUMPRODUCT(N318:Y318,$N$2:$Y$2)*$K318*$L318*$M318</f>
        <v/>
      </c>
      <c r="AA318" s="14">
        <f>SUM(N318:Y318)</f>
        <v/>
      </c>
      <c r="AB318" s="14">
        <f>IFERROR(IF(UPPER($E318)="L",SUMPRODUCT(N318:Y318,$N$3:$Y$3,$N$2:$Y$2),SUMPRODUCT(N318:Y318,$N$4:$Y$4,$N$2:$Y$2))/(Z318/($K318*$L318*$M318)),"")</f>
        <v/>
      </c>
      <c r="AC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inlineStr">
        <is>
          <t>LF</t>
        </is>
      </c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1" t="n">
        <v>1</v>
      </c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7" t="n">
        <v>1</v>
      </c>
      <c r="Z319" s="13">
        <f>SUMPRODUCT(N319:Y319,$N$2:$Y$2)*$K319*$L319*$M319</f>
        <v/>
      </c>
      <c r="AA319" s="14">
        <f>SUM(N319:Y319)</f>
        <v/>
      </c>
      <c r="AB319" s="14">
        <f>IFERROR(IF(UPPER($E319)="L",SUMPRODUCT(N319:Y319,$N$3:$Y$3,$N$2:$Y$2),SUMPRODUCT(N319:Y319,$N$4:$Y$4,$N$2:$Y$2))/(Z319/($K319*$L319*$M319)),"")</f>
        <v/>
      </c>
      <c r="AC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25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Late Season (~Sept)</t>
        </is>
      </c>
      <c r="K320" s="11">
        <f>IFERROR(INDEX(Roles!$B$17:$B$20,MATCH(J320,Roles!$A$17:$A$20,0)),1)</f>
        <v/>
      </c>
      <c r="L320" s="17" t="n">
        <v>1</v>
      </c>
      <c r="M320" s="11" t="n">
        <v>1</v>
      </c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7" t="n">
        <v>1</v>
      </c>
      <c r="Z320" s="13">
        <f>SUMPRODUCT(N320:Y320,$N$2:$Y$2)*$K320*$L320*$M320</f>
        <v/>
      </c>
      <c r="AA320" s="14">
        <f>SUM(N320:Y320)</f>
        <v/>
      </c>
      <c r="AB320" s="14">
        <f>IFERROR(IF(UPPER($E320)="L",SUMPRODUCT(N320:Y320,$N$3:$Y$3,$N$2:$Y$2),SUMPRODUCT(N320:Y320,$N$4:$Y$4,$N$2:$Y$2))/(Z320/($K320*$L320*$M320)),"")</f>
        <v/>
      </c>
      <c r="AC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1" t="n">
        <v>1</v>
      </c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7" t="n">
        <v>1</v>
      </c>
      <c r="Z321" s="13">
        <f>SUMPRODUCT(N321:Y321,$N$2:$Y$2)*$K321*$L321*$M321</f>
        <v/>
      </c>
      <c r="AA321" s="14">
        <f>SUM(N321:Y321)</f>
        <v/>
      </c>
      <c r="AB321" s="14">
        <f>IFERROR(IF(UPPER($E321)="L",SUMPRODUCT(N321:Y321,$N$3:$Y$3,$N$2:$Y$2),SUMPRODUCT(N321:Y321,$N$4:$Y$4,$N$2:$Y$2))/(Z321/($K321*$L321*$M321)),"")</f>
        <v/>
      </c>
      <c r="AC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1" t="n">
        <v>1</v>
      </c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7" t="n">
        <v>1</v>
      </c>
      <c r="Z322" s="13">
        <f>SUMPRODUCT(N322:Y322,$N$2:$Y$2)*$K322*$L322*$M322</f>
        <v/>
      </c>
      <c r="AA322" s="14">
        <f>SUM(N322:Y322)</f>
        <v/>
      </c>
      <c r="AB322" s="14">
        <f>IFERROR(IF(UPPER($E322)="L",SUMPRODUCT(N322:Y322,$N$3:$Y$3,$N$2:$Y$2),SUMPRODUCT(N322:Y322,$N$4:$Y$4,$N$2:$Y$2))/(Z322/($K322*$L322*$M322)),"")</f>
        <v/>
      </c>
      <c r="AC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inlineStr">
        <is>
          <t>3B</t>
        </is>
      </c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1" t="n">
        <v>1</v>
      </c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7" t="n">
        <v>1</v>
      </c>
      <c r="Z323" s="13">
        <f>SUMPRODUCT(N323:Y323,$N$2:$Y$2)*$K323*$L323*$M323</f>
        <v/>
      </c>
      <c r="AA323" s="14">
        <f>SUM(N323:Y323)</f>
        <v/>
      </c>
      <c r="AB323" s="14">
        <f>IFERROR(IF(UPPER($E323)="L",SUMPRODUCT(N323:Y323,$N$3:$Y$3,$N$2:$Y$2),SUMPRODUCT(N323:Y323,$N$4:$Y$4,$N$2:$Y$2))/(Z323/($K323*$L323*$M323)),"")</f>
        <v/>
      </c>
      <c r="AC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inlineStr">
        <is>
          <t>1B</t>
        </is>
      </c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1" t="n">
        <v>0.7591253311135006</v>
      </c>
      <c r="N324" s="17" t="n">
        <v>1</v>
      </c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7" t="n"/>
      <c r="Z324" s="13">
        <f>SUMPRODUCT(N324:Y324,$N$2:$Y$2)*$K324*$L324*$M324</f>
        <v/>
      </c>
      <c r="AA324" s="14">
        <f>SUM(N324:Y324)</f>
        <v/>
      </c>
      <c r="AB324" s="14">
        <f>IFERROR(IF(UPPER($E324)="L",SUMPRODUCT(N324:Y324,$N$3:$Y$3,$N$2:$Y$2),SUMPRODUCT(N324:Y324,$N$4:$Y$4,$N$2:$Y$2))/(Z324/($K324*$L324*$M324)),"")</f>
        <v/>
      </c>
      <c r="AC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1" t="n">
        <v>1</v>
      </c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7" t="n">
        <v>1</v>
      </c>
      <c r="Z325" s="13">
        <f>SUMPRODUCT(N325:Y325,$N$2:$Y$2)*$K325*$L325*$M325</f>
        <v/>
      </c>
      <c r="AA325" s="14">
        <f>SUM(N325:Y325)</f>
        <v/>
      </c>
      <c r="AB325" s="14">
        <f>IFERROR(IF(UPPER($E325)="L",SUMPRODUCT(N325:Y325,$N$3:$Y$3,$N$2:$Y$2),SUMPRODUCT(N325:Y325,$N$4:$Y$4,$N$2:$Y$2))/(Z325/($K325*$L325*$M325)),"")</f>
        <v/>
      </c>
      <c r="AC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1" t="n">
        <v>1</v>
      </c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7" t="n">
        <v>1</v>
      </c>
      <c r="Z326" s="13">
        <f>SUMPRODUCT(N326:Y326,$N$2:$Y$2)*$K326*$L326*$M326</f>
        <v/>
      </c>
      <c r="AA326" s="14">
        <f>SUM(N326:Y326)</f>
        <v/>
      </c>
      <c r="AB326" s="14">
        <f>IFERROR(IF(UPPER($E326)="L",SUMPRODUCT(N326:Y326,$N$3:$Y$3,$N$2:$Y$2),SUMPRODUCT(N326:Y326,$N$4:$Y$4,$N$2:$Y$2))/(Z326/($K326*$L326*$M326)),"")</f>
        <v/>
      </c>
      <c r="AC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inlineStr">
        <is>
          <t>LF</t>
        </is>
      </c>
      <c r="G327" s="9" t="n">
        <v>500</v>
      </c>
      <c r="H327" s="9" t="n">
        <v>2762</v>
      </c>
      <c r="I327" s="9" t="inlineStr">
        <is>
          <t>Strong Side Platoon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1" t="n">
        <v>1.030340081391164</v>
      </c>
      <c r="N327" s="17" t="n"/>
      <c r="O327" s="17" t="n">
        <v>0.4</v>
      </c>
      <c r="P327" s="17" t="n">
        <v>0.6</v>
      </c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7" t="n"/>
      <c r="Z327" s="13">
        <f>SUMPRODUCT(N327:Y327,$N$2:$Y$2)*$K327*$L327*$M327</f>
        <v/>
      </c>
      <c r="AA327" s="14">
        <f>SUM(N327:Y327)</f>
        <v/>
      </c>
      <c r="AB327" s="14">
        <f>IFERROR(IF(UPPER($E327)="L",SUMPRODUCT(N327:Y327,$N$3:$Y$3,$N$2:$Y$2),SUMPRODUCT(N327:Y327,$N$4:$Y$4,$N$2:$Y$2))/(Z327/($K327*$L327*$M327)),"")</f>
        <v/>
      </c>
      <c r="AC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inlineStr">
        <is>
          <t>LF</t>
        </is>
      </c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1" t="n">
        <v>1.15</v>
      </c>
      <c r="N328" s="17" t="n">
        <v>1</v>
      </c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7" t="n"/>
      <c r="Z328" s="13">
        <f>SUMPRODUCT(N328:Y328,$N$2:$Y$2)*$K328*$L328*$M328</f>
        <v/>
      </c>
      <c r="AA328" s="14">
        <f>SUM(N328:Y328)</f>
        <v/>
      </c>
      <c r="AB328" s="14">
        <f>IFERROR(IF(UPPER($E328)="L",SUMPRODUCT(N328:Y328,$N$3:$Y$3,$N$2:$Y$2),SUMPRODUCT(N328:Y328,$N$4:$Y$4,$N$2:$Y$2))/(Z328/($K328*$L328*$M328)),"")</f>
        <v/>
      </c>
      <c r="AC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inlineStr">
        <is>
          <t>CF</t>
        </is>
      </c>
      <c r="G329" s="9" t="n">
        <v>372</v>
      </c>
      <c r="H329" s="9" t="n">
        <v>372</v>
      </c>
      <c r="I329" s="9" t="inlineStr">
        <is>
          <t>Full Time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1" t="n">
        <v>0.9288715919216736</v>
      </c>
      <c r="N329" s="17" t="n">
        <v>0.8</v>
      </c>
      <c r="O329" s="17" t="n"/>
      <c r="P329" s="17" t="n">
        <v>0.2</v>
      </c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7" t="n"/>
      <c r="Z329" s="13">
        <f>SUMPRODUCT(N329:Y329,$N$2:$Y$2)*$K329*$L329*$M329</f>
        <v/>
      </c>
      <c r="AA329" s="14">
        <f>SUM(N329:Y329)</f>
        <v/>
      </c>
      <c r="AB329" s="14">
        <f>IFERROR(IF(UPPER($E329)="L",SUMPRODUCT(N329:Y329,$N$3:$Y$3,$N$2:$Y$2),SUMPRODUCT(N329:Y329,$N$4:$Y$4,$N$2:$Y$2))/(Z329/($K329*$L329*$M329)),"")</f>
        <v/>
      </c>
      <c r="AC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inlineStr">
        <is>
          <t>RF</t>
        </is>
      </c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1" t="n">
        <v>1</v>
      </c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7" t="n">
        <v>1</v>
      </c>
      <c r="Z330" s="13">
        <f>SUMPRODUCT(N330:Y330,$N$2:$Y$2)*$K330*$L330*$M330</f>
        <v/>
      </c>
      <c r="AA330" s="14">
        <f>SUM(N330:Y330)</f>
        <v/>
      </c>
      <c r="AB330" s="14">
        <f>IFERROR(IF(UPPER($E330)="L",SUMPRODUCT(N330:Y330,$N$3:$Y$3,$N$2:$Y$2),SUMPRODUCT(N330:Y330,$N$4:$Y$4,$N$2:$Y$2))/(Z330/($K330*$L330*$M330)),"")</f>
        <v/>
      </c>
      <c r="AC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1" t="n">
        <v>1</v>
      </c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7" t="n">
        <v>1</v>
      </c>
      <c r="Z331" s="13">
        <f>SUMPRODUCT(N331:Y331,$N$2:$Y$2)*$K331*$L331*$M331</f>
        <v/>
      </c>
      <c r="AA331" s="14">
        <f>SUM(N331:Y331)</f>
        <v/>
      </c>
      <c r="AB331" s="14">
        <f>IFERROR(IF(UPPER($E331)="L",SUMPRODUCT(N331:Y331,$N$3:$Y$3,$N$2:$Y$2),SUMPRODUCT(N331:Y331,$N$4:$Y$4,$N$2:$Y$2))/(Z331/($K331*$L331*$M331)),"")</f>
        <v/>
      </c>
      <c r="AC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25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Full Time</t>
        </is>
      </c>
      <c r="J332" s="16" t="inlineStr">
        <is>
          <t>Early Season (~May)</t>
        </is>
      </c>
      <c r="K332" s="11">
        <f>IFERROR(INDEX(Roles!$B$17:$B$20,MATCH(J332,Roles!$A$17:$A$20,0)),1)</f>
        <v/>
      </c>
      <c r="L332" s="17" t="n">
        <v>1</v>
      </c>
      <c r="M332" s="11" t="n">
        <v>1</v>
      </c>
      <c r="N332" s="17" t="n">
        <v>0.4</v>
      </c>
      <c r="O332" s="17" t="n"/>
      <c r="P332" s="17" t="n">
        <v>0.25</v>
      </c>
      <c r="Q332" s="17" t="n"/>
      <c r="R332" s="17" t="n"/>
      <c r="S332" s="17" t="n"/>
      <c r="T332" s="17" t="n"/>
      <c r="U332" s="17" t="n"/>
      <c r="V332" s="17" t="n"/>
      <c r="W332" s="17" t="n">
        <v>0.35</v>
      </c>
      <c r="X332" s="17" t="n"/>
      <c r="Y332" s="17" t="n"/>
      <c r="Z332" s="13">
        <f>SUMPRODUCT(N332:Y332,$N$2:$Y$2)*$K332*$L332*$M332</f>
        <v/>
      </c>
      <c r="AA332" s="14">
        <f>SUM(N332:Y332)</f>
        <v/>
      </c>
      <c r="AB332" s="14">
        <f>IFERROR(IF(UPPER($E332)="L",SUMPRODUCT(N332:Y332,$N$3:$Y$3,$N$2:$Y$2),SUMPRODUCT(N332:Y332,$N$4:$Y$4,$N$2:$Y$2))/(Z332/($K332*$L332*$M332)),"")</f>
        <v/>
      </c>
      <c r="AC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inlineStr">
        <is>
          <t>C</t>
        </is>
      </c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1" t="n">
        <v>0.8845553403409556</v>
      </c>
      <c r="N333" s="17" t="n">
        <v>1</v>
      </c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7" t="n"/>
      <c r="Z333" s="13">
        <f>SUMPRODUCT(N333:Y333,$N$2:$Y$2)*$K333*$L333*$M333</f>
        <v/>
      </c>
      <c r="AA333" s="14">
        <f>SUM(N333:Y333)</f>
        <v/>
      </c>
      <c r="AB333" s="14">
        <f>IFERROR(IF(UPPER($E333)="L",SUMPRODUCT(N333:Y333,$N$3:$Y$3,$N$2:$Y$2),SUMPRODUCT(N333:Y333,$N$4:$Y$4,$N$2:$Y$2))/(Z333/($K333*$L333*$M333)),"")</f>
        <v/>
      </c>
      <c r="AC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inlineStr">
        <is>
          <t>1B</t>
        </is>
      </c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1" t="n">
        <v>1.055396144036483</v>
      </c>
      <c r="N334" s="17" t="n">
        <v>0.85</v>
      </c>
      <c r="O334" s="17" t="n"/>
      <c r="P334" s="17" t="n">
        <v>0.15</v>
      </c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7" t="n"/>
      <c r="Z334" s="13">
        <f>SUMPRODUCT(N334:Y334,$N$2:$Y$2)*$K334*$L334*$M334</f>
        <v/>
      </c>
      <c r="AA334" s="14">
        <f>SUM(N334:Y334)</f>
        <v/>
      </c>
      <c r="AB334" s="14">
        <f>IFERROR(IF(UPPER($E334)="L",SUMPRODUCT(N334:Y334,$N$3:$Y$3,$N$2:$Y$2),SUMPRODUCT(N334:Y334,$N$4:$Y$4,$N$2:$Y$2))/(Z334/($K334*$L334*$M334)),"")</f>
        <v/>
      </c>
      <c r="AC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1" t="n">
        <v>1</v>
      </c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7" t="n">
        <v>1</v>
      </c>
      <c r="Z335" s="13">
        <f>SUMPRODUCT(N335:Y335,$N$2:$Y$2)*$K335*$L335*$M335</f>
        <v/>
      </c>
      <c r="AA335" s="14">
        <f>SUM(N335:Y335)</f>
        <v/>
      </c>
      <c r="AB335" s="14">
        <f>IFERROR(IF(UPPER($E335)="L",SUMPRODUCT(N335:Y335,$N$3:$Y$3,$N$2:$Y$2),SUMPRODUCT(N335:Y335,$N$4:$Y$4,$N$2:$Y$2))/(Z335/($K335*$L335*$M335)),"")</f>
        <v/>
      </c>
      <c r="AC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1" t="n">
        <v>1</v>
      </c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7" t="n">
        <v>1</v>
      </c>
      <c r="Z336" s="13">
        <f>SUMPRODUCT(N336:Y336,$N$2:$Y$2)*$K336*$L336*$M336</f>
        <v/>
      </c>
      <c r="AA336" s="14">
        <f>SUM(N336:Y336)</f>
        <v/>
      </c>
      <c r="AB336" s="14">
        <f>IFERROR(IF(UPPER($E336)="L",SUMPRODUCT(N336:Y336,$N$3:$Y$3,$N$2:$Y$2),SUMPRODUCT(N336:Y336,$N$4:$Y$4,$N$2:$Y$2))/(Z336/($K336*$L336*$M336)),"")</f>
        <v/>
      </c>
      <c r="AC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inlineStr">
        <is>
          <t>C</t>
        </is>
      </c>
      <c r="G337" s="9" t="n">
        <v>425</v>
      </c>
      <c r="H337" s="9" t="n">
        <v>1664</v>
      </c>
      <c r="I337" s="9" t="inlineStr">
        <is>
          <t>Catcher - Primary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1" t="n">
        <v>0.9915215778889644</v>
      </c>
      <c r="N337" s="17" t="n"/>
      <c r="O337" s="17" t="n"/>
      <c r="P337" s="17" t="n"/>
      <c r="Q337" s="17" t="n"/>
      <c r="R337" s="17" t="n">
        <v>0.7</v>
      </c>
      <c r="S337" s="17" t="n">
        <v>0.3</v>
      </c>
      <c r="T337" s="17" t="n"/>
      <c r="U337" s="17" t="n"/>
      <c r="V337" s="17" t="n"/>
      <c r="W337" s="17" t="n"/>
      <c r="X337" s="17" t="n"/>
      <c r="Y337" s="17" t="n"/>
      <c r="Z337" s="13">
        <f>SUMPRODUCT(N337:Y337,$N$2:$Y$2)*$K337*$L337*$M337</f>
        <v/>
      </c>
      <c r="AA337" s="14">
        <f>SUM(N337:Y337)</f>
        <v/>
      </c>
      <c r="AB337" s="14">
        <f>IFERROR(IF(UPPER($E337)="L",SUMPRODUCT(N337:Y337,$N$3:$Y$3,$N$2:$Y$2),SUMPRODUCT(N337:Y337,$N$4:$Y$4,$N$2:$Y$2))/(Z337/($K337*$L337*$M337)),"")</f>
        <v/>
      </c>
      <c r="AC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inlineStr">
        <is>
          <t>RF</t>
        </is>
      </c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1" t="n">
        <v>1.15</v>
      </c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7" t="n">
        <v>1</v>
      </c>
      <c r="Z338" s="13">
        <f>SUMPRODUCT(N338:Y338,$N$2:$Y$2)*$K338*$L338*$M338</f>
        <v/>
      </c>
      <c r="AA338" s="14">
        <f>SUM(N338:Y338)</f>
        <v/>
      </c>
      <c r="AB338" s="14">
        <f>IFERROR(IF(UPPER($E338)="L",SUMPRODUCT(N338:Y338,$N$3:$Y$3,$N$2:$Y$2),SUMPRODUCT(N338:Y338,$N$4:$Y$4,$N$2:$Y$2))/(Z338/($K338*$L338*$M338)),"")</f>
        <v/>
      </c>
      <c r="AC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25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Mid Season (~July)</t>
        </is>
      </c>
      <c r="K339" s="11">
        <f>IFERROR(INDEX(Roles!$B$17:$B$20,MATCH(J339,Roles!$A$17:$A$20,0)),1)</f>
        <v/>
      </c>
      <c r="L339" s="17" t="n">
        <v>1</v>
      </c>
      <c r="M339" s="11" t="n">
        <v>1</v>
      </c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7" t="n">
        <v>1</v>
      </c>
      <c r="Z339" s="13">
        <f>SUMPRODUCT(N339:Y339,$N$2:$Y$2)*$K339*$L339*$M339</f>
        <v/>
      </c>
      <c r="AA339" s="14">
        <f>SUM(N339:Y339)</f>
        <v/>
      </c>
      <c r="AB339" s="14">
        <f>IFERROR(IF(UPPER($E339)="L",SUMPRODUCT(N339:Y339,$N$3:$Y$3,$N$2:$Y$2),SUMPRODUCT(N339:Y339,$N$4:$Y$4,$N$2:$Y$2))/(Z339/($K339*$L339*$M339)),"")</f>
        <v/>
      </c>
      <c r="AC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inlineStr">
        <is>
          <t>1B</t>
        </is>
      </c>
      <c r="G340" s="9" t="n">
        <v>105</v>
      </c>
      <c r="H340" s="9" t="n">
        <v>1875</v>
      </c>
      <c r="I340" s="9" t="inlineStr">
        <is>
          <t>Utility IF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1" t="n">
        <v>0.8548882644426538</v>
      </c>
      <c r="N340" s="17" t="n"/>
      <c r="O340" s="17" t="n"/>
      <c r="P340" s="17" t="n"/>
      <c r="Q340" s="17" t="n"/>
      <c r="R340" s="17" t="n"/>
      <c r="S340" s="17" t="n"/>
      <c r="T340" s="17" t="n"/>
      <c r="U340" s="17" t="n">
        <v>0.7</v>
      </c>
      <c r="V340" s="17" t="n"/>
      <c r="W340" s="17" t="n">
        <v>0.3</v>
      </c>
      <c r="X340" s="17" t="n"/>
      <c r="Y340" s="17" t="n"/>
      <c r="Z340" s="13">
        <f>SUMPRODUCT(N340:Y340,$N$2:$Y$2)*$K340*$L340*$M340</f>
        <v/>
      </c>
      <c r="AA340" s="14">
        <f>SUM(N340:Y340)</f>
        <v/>
      </c>
      <c r="AB340" s="14">
        <f>IFERROR(IF(UPPER($E340)="L",SUMPRODUCT(N340:Y340,$N$3:$Y$3,$N$2:$Y$2),SUMPRODUCT(N340:Y340,$N$4:$Y$4,$N$2:$Y$2))/(Z340/($K340*$L340*$M340)),"")</f>
        <v/>
      </c>
      <c r="AC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25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Depth (no MLB PA)</t>
        </is>
      </c>
      <c r="J341" s="16" t="inlineStr">
        <is>
          <t>Mid Season (~July)</t>
        </is>
      </c>
      <c r="K341" s="11">
        <f>IFERROR(INDEX(Roles!$B$17:$B$20,MATCH(J341,Roles!$A$17:$A$20,0)),1)</f>
        <v/>
      </c>
      <c r="L341" s="17" t="n">
        <v>1</v>
      </c>
      <c r="M341" s="11" t="n">
        <v>1</v>
      </c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7" t="n">
        <v>1</v>
      </c>
      <c r="Z341" s="13">
        <f>SUMPRODUCT(N341:Y341,$N$2:$Y$2)*$K341*$L341*$M341</f>
        <v/>
      </c>
      <c r="AA341" s="14">
        <f>SUM(N341:Y341)</f>
        <v/>
      </c>
      <c r="AB341" s="14">
        <f>IFERROR(IF(UPPER($E341)="L",SUMPRODUCT(N341:Y341,$N$3:$Y$3,$N$2:$Y$2),SUMPRODUCT(N341:Y341,$N$4:$Y$4,$N$2:$Y$2))/(Z341/($K341*$L341*$M341)),"")</f>
        <v/>
      </c>
      <c r="AC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inlineStr">
        <is>
          <t>RF</t>
        </is>
      </c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1" t="n">
        <v>1</v>
      </c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7" t="n">
        <v>1</v>
      </c>
      <c r="Z342" s="13">
        <f>SUMPRODUCT(N342:Y342,$N$2:$Y$2)*$K342*$L342*$M342</f>
        <v/>
      </c>
      <c r="AA342" s="14">
        <f>SUM(N342:Y342)</f>
        <v/>
      </c>
      <c r="AB342" s="14">
        <f>IFERROR(IF(UPPER($E342)="L",SUMPRODUCT(N342:Y342,$N$3:$Y$3,$N$2:$Y$2),SUMPRODUCT(N342:Y342,$N$4:$Y$4,$N$2:$Y$2))/(Z342/($K342*$L342*$M342)),"")</f>
        <v/>
      </c>
      <c r="AC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inlineStr">
        <is>
          <t>1B</t>
        </is>
      </c>
      <c r="G343" s="9" t="n">
        <v>383</v>
      </c>
      <c r="H343" s="9" t="n">
        <v>914</v>
      </c>
      <c r="I343" s="9" t="inlineStr">
        <is>
          <t>Full Time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1" t="n">
        <v>0.8369579024954354</v>
      </c>
      <c r="N343" s="17" t="n">
        <v>0.9</v>
      </c>
      <c r="O343" s="17" t="n"/>
      <c r="P343" s="17" t="n">
        <v>0.1</v>
      </c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7" t="n"/>
      <c r="Z343" s="13">
        <f>SUMPRODUCT(N343:Y343,$N$2:$Y$2)*$K343*$L343*$M343</f>
        <v/>
      </c>
      <c r="AA343" s="14">
        <f>SUM(N343:Y343)</f>
        <v/>
      </c>
      <c r="AB343" s="14">
        <f>IFERROR(IF(UPPER($E343)="L",SUMPRODUCT(N343:Y343,$N$3:$Y$3,$N$2:$Y$2),SUMPRODUCT(N343:Y343,$N$4:$Y$4,$N$2:$Y$2))/(Z343/($K343*$L343*$M343)),"")</f>
        <v/>
      </c>
      <c r="AC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25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Late Season (~Sept)</t>
        </is>
      </c>
      <c r="K344" s="11">
        <f>IFERROR(INDEX(Roles!$B$17:$B$20,MATCH(J344,Roles!$A$17:$A$20,0)),1)</f>
        <v/>
      </c>
      <c r="L344" s="17" t="n">
        <v>1</v>
      </c>
      <c r="M344" s="11" t="n">
        <v>1</v>
      </c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7" t="n">
        <v>1</v>
      </c>
      <c r="Z344" s="13">
        <f>SUMPRODUCT(N344:Y344,$N$2:$Y$2)*$K344*$L344*$M344</f>
        <v/>
      </c>
      <c r="AA344" s="14">
        <f>SUM(N344:Y344)</f>
        <v/>
      </c>
      <c r="AB344" s="14">
        <f>IFERROR(IF(UPPER($E344)="L",SUMPRODUCT(N344:Y344,$N$3:$Y$3,$N$2:$Y$2),SUMPRODUCT(N344:Y344,$N$4:$Y$4,$N$2:$Y$2))/(Z344/($K344*$L344*$M344)),"")</f>
        <v/>
      </c>
      <c r="AC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1" t="n">
        <v>1</v>
      </c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7" t="n">
        <v>1</v>
      </c>
      <c r="Z345" s="13">
        <f>SUMPRODUCT(N345:Y345,$N$2:$Y$2)*$K345*$L345*$M345</f>
        <v/>
      </c>
      <c r="AA345" s="14">
        <f>SUM(N345:Y345)</f>
        <v/>
      </c>
      <c r="AB345" s="14">
        <f>IFERROR(IF(UPPER($E345)="L",SUMPRODUCT(N345:Y345,$N$3:$Y$3,$N$2:$Y$2),SUMPRODUCT(N345:Y345,$N$4:$Y$4,$N$2:$Y$2))/(Z345/($K345*$L345*$M345)),"")</f>
        <v/>
      </c>
      <c r="AC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1" t="n">
        <v>1</v>
      </c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7" t="n">
        <v>1</v>
      </c>
      <c r="Z346" s="13">
        <f>SUMPRODUCT(N346:Y346,$N$2:$Y$2)*$K346*$L346*$M346</f>
        <v/>
      </c>
      <c r="AA346" s="14">
        <f>SUM(N346:Y346)</f>
        <v/>
      </c>
      <c r="AB346" s="14">
        <f>IFERROR(IF(UPPER($E346)="L",SUMPRODUCT(N346:Y346,$N$3:$Y$3,$N$2:$Y$2),SUMPRODUCT(N346:Y346,$N$4:$Y$4,$N$2:$Y$2))/(Z346/($K346*$L346*$M346)),"")</f>
        <v/>
      </c>
      <c r="AC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inlineStr">
        <is>
          <t>CF</t>
        </is>
      </c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1" t="n">
        <v>1</v>
      </c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7" t="n">
        <v>1</v>
      </c>
      <c r="Z347" s="13">
        <f>SUMPRODUCT(N347:Y347,$N$2:$Y$2)*$K347*$L347*$M347</f>
        <v/>
      </c>
      <c r="AA347" s="14">
        <f>SUM(N347:Y347)</f>
        <v/>
      </c>
      <c r="AB347" s="14">
        <f>IFERROR(IF(UPPER($E347)="L",SUMPRODUCT(N347:Y347,$N$3:$Y$3,$N$2:$Y$2),SUMPRODUCT(N347:Y347,$N$4:$Y$4,$N$2:$Y$2))/(Z347/($K347*$L347*$M347)),"")</f>
        <v/>
      </c>
      <c r="AC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inlineStr">
        <is>
          <t>RF</t>
        </is>
      </c>
      <c r="G348" s="9" t="n">
        <v>71</v>
      </c>
      <c r="H348" s="9" t="n">
        <v>166</v>
      </c>
      <c r="I348" s="9" t="inlineStr">
        <is>
          <t>Weak Side Platoon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1" t="n">
        <v>1</v>
      </c>
      <c r="N348" s="17" t="n"/>
      <c r="O348" s="17" t="n"/>
      <c r="P348" s="17" t="n"/>
      <c r="Q348" s="17" t="n">
        <v>0.6</v>
      </c>
      <c r="R348" s="17" t="n"/>
      <c r="S348" s="17" t="n"/>
      <c r="T348" s="17" t="n"/>
      <c r="U348" s="17" t="n"/>
      <c r="V348" s="17" t="n">
        <v>0.4</v>
      </c>
      <c r="W348" s="17" t="n"/>
      <c r="X348" s="17" t="n"/>
      <c r="Y348" s="17" t="n"/>
      <c r="Z348" s="13">
        <f>SUMPRODUCT(N348:Y348,$N$2:$Y$2)*$K348*$L348*$M348</f>
        <v/>
      </c>
      <c r="AA348" s="14">
        <f>SUM(N348:Y348)</f>
        <v/>
      </c>
      <c r="AB348" s="14">
        <f>IFERROR(IF(UPPER($E348)="L",SUMPRODUCT(N348:Y348,$N$3:$Y$3,$N$2:$Y$2),SUMPRODUCT(N348:Y348,$N$4:$Y$4,$N$2:$Y$2))/(Z348/($K348*$L348*$M348)),"")</f>
        <v/>
      </c>
      <c r="AC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1" t="n">
        <v>1</v>
      </c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7" t="n">
        <v>1</v>
      </c>
      <c r="Z349" s="13">
        <f>SUMPRODUCT(N349:Y349,$N$2:$Y$2)*$K349*$L349*$M349</f>
        <v/>
      </c>
      <c r="AA349" s="14">
        <f>SUM(N349:Y349)</f>
        <v/>
      </c>
      <c r="AB349" s="14">
        <f>IFERROR(IF(UPPER($E349)="L",SUMPRODUCT(N349:Y349,$N$3:$Y$3,$N$2:$Y$2),SUMPRODUCT(N349:Y349,$N$4:$Y$4,$N$2:$Y$2))/(Z349/($K349*$L349*$M349)),"")</f>
        <v/>
      </c>
      <c r="AC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1" t="n">
        <v>1</v>
      </c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7" t="n">
        <v>1</v>
      </c>
      <c r="Z350" s="13">
        <f>SUMPRODUCT(N350:Y350,$N$2:$Y$2)*$K350*$L350*$M350</f>
        <v/>
      </c>
      <c r="AA350" s="14">
        <f>SUM(N350:Y350)</f>
        <v/>
      </c>
      <c r="AB350" s="14">
        <f>IFERROR(IF(UPPER($E350)="L",SUMPRODUCT(N350:Y350,$N$3:$Y$3,$N$2:$Y$2),SUMPRODUCT(N350:Y350,$N$4:$Y$4,$N$2:$Y$2))/(Z350/($K350*$L350*$M350)),"")</f>
        <v/>
      </c>
      <c r="AC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1" t="n">
        <v>1</v>
      </c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7" t="n">
        <v>1</v>
      </c>
      <c r="Z351" s="13">
        <f>SUMPRODUCT(N351:Y351,$N$2:$Y$2)*$K351*$L351*$M351</f>
        <v/>
      </c>
      <c r="AA351" s="14">
        <f>SUM(N351:Y351)</f>
        <v/>
      </c>
      <c r="AB351" s="14">
        <f>IFERROR(IF(UPPER($E351)="L",SUMPRODUCT(N351:Y351,$N$3:$Y$3,$N$2:$Y$2),SUMPRODUCT(N351:Y351,$N$4:$Y$4,$N$2:$Y$2))/(Z351/($K351*$L351*$M351)),"")</f>
        <v/>
      </c>
      <c r="AC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inlineStr">
        <is>
          <t>CF</t>
        </is>
      </c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1" t="n">
        <v>1</v>
      </c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7" t="n">
        <v>1</v>
      </c>
      <c r="Z352" s="13">
        <f>SUMPRODUCT(N352:Y352,$N$2:$Y$2)*$K352*$L352*$M352</f>
        <v/>
      </c>
      <c r="AA352" s="14">
        <f>SUM(N352:Y352)</f>
        <v/>
      </c>
      <c r="AB352" s="14">
        <f>IFERROR(IF(UPPER($E352)="L",SUMPRODUCT(N352:Y352,$N$3:$Y$3,$N$2:$Y$2),SUMPRODUCT(N352:Y352,$N$4:$Y$4,$N$2:$Y$2))/(Z352/($K352*$L352*$M352)),"")</f>
        <v/>
      </c>
      <c r="AC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inlineStr">
        <is>
          <t>LF</t>
        </is>
      </c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1" t="n">
        <v>1.15</v>
      </c>
      <c r="N353" s="17" t="n">
        <v>1</v>
      </c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7" t="n"/>
      <c r="Z353" s="13">
        <f>SUMPRODUCT(N353:Y353,$N$2:$Y$2)*$K353*$L353*$M353</f>
        <v/>
      </c>
      <c r="AA353" s="14">
        <f>SUM(N353:Y353)</f>
        <v/>
      </c>
      <c r="AB353" s="14">
        <f>IFERROR(IF(UPPER($E353)="L",SUMPRODUCT(N353:Y353,$N$3:$Y$3,$N$2:$Y$2),SUMPRODUCT(N353:Y353,$N$4:$Y$4,$N$2:$Y$2))/(Z353/($K353*$L353*$M353)),"")</f>
        <v/>
      </c>
      <c r="AC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inlineStr">
        <is>
          <t>1B</t>
        </is>
      </c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1" t="n">
        <v>1.138691660266144</v>
      </c>
      <c r="N354" s="17" t="n">
        <v>1</v>
      </c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7" t="n"/>
      <c r="Z354" s="13">
        <f>SUMPRODUCT(N354:Y354,$N$2:$Y$2)*$K354*$L354*$M354</f>
        <v/>
      </c>
      <c r="AA354" s="14">
        <f>SUM(N354:Y354)</f>
        <v/>
      </c>
      <c r="AB354" s="14">
        <f>IFERROR(IF(UPPER($E354)="L",SUMPRODUCT(N354:Y354,$N$3:$Y$3,$N$2:$Y$2),SUMPRODUCT(N354:Y354,$N$4:$Y$4,$N$2:$Y$2))/(Z354/($K354*$L354*$M354)),"")</f>
        <v/>
      </c>
      <c r="AC354" s="18" t="n"/>
    </row>
    <row r="355">
      <c r="A355" s="9" t="n">
        <v>671218</v>
      </c>
      <c r="B355" s="9" t="inlineStr">
        <is>
          <t>Heliot Ramos</t>
        </is>
      </c>
      <c r="C355" s="9" t="inlineStr">
        <is>
          <t>NYY</t>
        </is>
      </c>
      <c r="D355" s="9" t="n">
        <v>27</v>
      </c>
      <c r="E355" s="16" t="inlineStr">
        <is>
          <t>R</t>
        </is>
      </c>
      <c r="F355" s="16" t="inlineStr">
        <is>
          <t>LF</t>
        </is>
      </c>
      <c r="G355" s="9" t="n">
        <v>442</v>
      </c>
      <c r="H355" s="9" t="n">
        <v>1737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1" t="n">
        <v>1.034997242102689</v>
      </c>
      <c r="N355" s="17" t="n">
        <v>1</v>
      </c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7" t="n"/>
      <c r="Z355" s="13">
        <f>SUMPRODUCT(N355:Y355,$N$2:$Y$2)*$K355*$L355*$M355</f>
        <v/>
      </c>
      <c r="AA355" s="14">
        <f>SUM(N355:Y355)</f>
        <v/>
      </c>
      <c r="AB355" s="14">
        <f>IFERROR(IF(UPPER($E355)="L",SUMPRODUCT(N355:Y355,$N$3:$Y$3,$N$2:$Y$2),SUMPRODUCT(N355:Y355,$N$4:$Y$4,$N$2:$Y$2))/(Z355/($K355*$L355*$M355)),"")</f>
        <v/>
      </c>
      <c r="AC355" s="18" t="n"/>
    </row>
    <row r="356">
      <c r="A356" s="9" t="n">
        <v>608070</v>
      </c>
      <c r="B356" s="9" t="inlineStr">
        <is>
          <t>José Ramírez</t>
        </is>
      </c>
      <c r="C356" s="9" t="inlineStr">
        <is>
          <t>CLE</t>
        </is>
      </c>
      <c r="D356" s="9" t="n">
        <v>34</v>
      </c>
      <c r="E356" s="16" t="inlineStr">
        <is>
          <t>S</t>
        </is>
      </c>
      <c r="F356" s="16" t="inlineStr">
        <is>
          <t>3B</t>
        </is>
      </c>
      <c r="G356" s="9" t="n">
        <v>544</v>
      </c>
      <c r="H356" s="9" t="n">
        <v>3275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1" t="n">
        <v>1.097893856398555</v>
      </c>
      <c r="N356" s="17" t="n">
        <v>1</v>
      </c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7" t="n"/>
      <c r="Z356" s="13">
        <f>SUMPRODUCT(N356:Y356,$N$2:$Y$2)*$K356*$L356*$M356</f>
        <v/>
      </c>
      <c r="AA356" s="14">
        <f>SUM(N356:Y356)</f>
        <v/>
      </c>
      <c r="AB356" s="14">
        <f>IFERROR(IF(UPPER($E356)="L",SUMPRODUCT(N356:Y356,$N$3:$Y$3,$N$2:$Y$2),SUMPRODUCT(N356:Y356,$N$4:$Y$4,$N$2:$Y$2))/(Z356/($K356*$L356*$M356)),"")</f>
        <v/>
      </c>
      <c r="AC356" s="18" t="n"/>
    </row>
    <row r="357">
      <c r="A357" s="9" t="n">
        <v>542194</v>
      </c>
      <c r="B357" s="9" t="inlineStr">
        <is>
          <t>Christian Bethancourt</t>
        </is>
      </c>
      <c r="C357" s="9" t="inlineStr">
        <is>
          <t>CHC</t>
        </is>
      </c>
      <c r="D357" s="9" t="n">
        <v>35</v>
      </c>
      <c r="E357" s="16" t="inlineStr">
        <is>
          <t>R</t>
        </is>
      </c>
      <c r="F357" s="16" t="inlineStr">
        <is>
          <t>C</t>
        </is>
      </c>
      <c r="G357" s="9" t="n">
        <v>147</v>
      </c>
      <c r="H357" s="9" t="n">
        <v>812</v>
      </c>
      <c r="I357" s="9" t="inlineStr">
        <is>
          <t>Depth (no MLB PA)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1" t="n">
        <v>1</v>
      </c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7" t="n">
        <v>1</v>
      </c>
      <c r="Z357" s="13">
        <f>SUMPRODUCT(N357:Y357,$N$2:$Y$2)*$K357*$L357*$M357</f>
        <v/>
      </c>
      <c r="AA357" s="14">
        <f>SUM(N357:Y357)</f>
        <v/>
      </c>
      <c r="AB357" s="14">
        <f>IFERROR(IF(UPPER($E357)="L",SUMPRODUCT(N357:Y357,$N$3:$Y$3,$N$2:$Y$2),SUMPRODUCT(N357:Y357,$N$4:$Y$4,$N$2:$Y$2))/(Z357/($K357*$L357*$M357)),"")</f>
        <v/>
      </c>
      <c r="AC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Bench Bat</t>
        </is>
      </c>
      <c r="J358" s="16" t="inlineStr">
        <is>
          <t>Mid Season (~July)</t>
        </is>
      </c>
      <c r="K358" s="11">
        <f>IFERROR(INDEX(Roles!$B$17:$B$20,MATCH(J358,Roles!$A$17:$A$20,0)),1)</f>
        <v/>
      </c>
      <c r="L358" s="17" t="n">
        <v>1</v>
      </c>
      <c r="M358" s="11" t="n">
        <v>1</v>
      </c>
      <c r="N358" s="17" t="n"/>
      <c r="O358" s="17" t="n"/>
      <c r="P358" s="17" t="n">
        <v>0.3</v>
      </c>
      <c r="Q358" s="17" t="n"/>
      <c r="R358" s="17" t="n"/>
      <c r="S358" s="17" t="n"/>
      <c r="T358" s="17" t="n"/>
      <c r="U358" s="17" t="n"/>
      <c r="V358" s="17" t="n"/>
      <c r="W358" s="17" t="n">
        <v>0.45</v>
      </c>
      <c r="X358" s="17" t="n">
        <v>0.25</v>
      </c>
      <c r="Y358" s="17" t="n"/>
      <c r="Z358" s="13">
        <f>SUMPRODUCT(N358:Y358,$N$2:$Y$2)*$K358*$L358*$M358</f>
        <v/>
      </c>
      <c r="AA358" s="14">
        <f>SUM(N358:Y358)</f>
        <v/>
      </c>
      <c r="AB358" s="14">
        <f>IFERROR(IF(UPPER($E358)="L",SUMPRODUCT(N358:Y358,$N$3:$Y$3,$N$2:$Y$2),SUMPRODUCT(N358:Y358,$N$4:$Y$4,$N$2:$Y$2))/(Z358/($K358*$L358*$M358)),"")</f>
        <v/>
      </c>
      <c r="AC358" s="18" t="n"/>
    </row>
    <row r="359">
      <c r="A359" s="9" t="n">
        <v>806230</v>
      </c>
      <c r="B359" s="9" t="inlineStr">
        <is>
          <t>Sammy Stafura</t>
        </is>
      </c>
      <c r="C359" s="9" t="inlineStr">
        <is>
          <t>NYM</t>
        </is>
      </c>
      <c r="D359" s="9" t="n">
        <v>25</v>
      </c>
      <c r="E359" s="16" t="inlineStr">
        <is>
          <t>R</t>
        </is>
      </c>
      <c r="F359" s="16" t="n"/>
      <c r="G359" s="9" t="n">
        <v>61.33333333333334</v>
      </c>
      <c r="H359" s="9" t="n">
        <v>61.33333333333334</v>
      </c>
      <c r="I359" s="9" t="inlineStr">
        <is>
          <t>Depth (no MLB PA)</t>
        </is>
      </c>
      <c r="J359" s="16" t="inlineStr">
        <is>
          <t>Late Season (~Sept)</t>
        </is>
      </c>
      <c r="K359" s="11">
        <f>IFERROR(INDEX(Roles!$B$17:$B$20,MATCH(J359,Roles!$A$17:$A$20,0)),1)</f>
        <v/>
      </c>
      <c r="L359" s="17" t="n">
        <v>1</v>
      </c>
      <c r="M359" s="11" t="n">
        <v>1</v>
      </c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7" t="n">
        <v>1</v>
      </c>
      <c r="Z359" s="13">
        <f>SUMPRODUCT(N359:Y359,$N$2:$Y$2)*$K359*$L359*$M359</f>
        <v/>
      </c>
      <c r="AA359" s="14">
        <f>SUM(N359:Y359)</f>
        <v/>
      </c>
      <c r="AB359" s="14">
        <f>IFERROR(IF(UPPER($E359)="L",SUMPRODUCT(N359:Y359,$N$3:$Y$3,$N$2:$Y$2),SUMPRODUCT(N359:Y359,$N$4:$Y$4,$N$2:$Y$2))/(Z359/($K359*$L359*$M359)),"")</f>
        <v/>
      </c>
      <c r="AC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1" t="n">
        <v>1</v>
      </c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7" t="n">
        <v>1</v>
      </c>
      <c r="Z360" s="13">
        <f>SUMPRODUCT(N360:Y360,$N$2:$Y$2)*$K360*$L360*$M360</f>
        <v/>
      </c>
      <c r="AA360" s="14">
        <f>SUM(N360:Y360)</f>
        <v/>
      </c>
      <c r="AB360" s="14">
        <f>IFERROR(IF(UPPER($E360)="L",SUMPRODUCT(N360:Y360,$N$3:$Y$3,$N$2:$Y$2),SUMPRODUCT(N360:Y360,$N$4:$Y$4,$N$2:$Y$2))/(Z360/($K360*$L360*$M360)),"")</f>
        <v/>
      </c>
      <c r="AC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inlineStr">
        <is>
          <t>CF</t>
        </is>
      </c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1" t="n">
        <v>1.12216607089677</v>
      </c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>
        <v>1</v>
      </c>
      <c r="W361" s="17" t="n"/>
      <c r="X361" s="17" t="n"/>
      <c r="Y361" s="17" t="n"/>
      <c r="Z361" s="13">
        <f>SUMPRODUCT(N361:Y361,$N$2:$Y$2)*$K361*$L361*$M361</f>
        <v/>
      </c>
      <c r="AA361" s="14">
        <f>SUM(N361:Y361)</f>
        <v/>
      </c>
      <c r="AB361" s="14">
        <f>IFERROR(IF(UPPER($E361)="L",SUMPRODUCT(N361:Y361,$N$3:$Y$3,$N$2:$Y$2),SUMPRODUCT(N361:Y361,$N$4:$Y$4,$N$2:$Y$2))/(Z361/($K361*$L361*$M361)),"")</f>
        <v/>
      </c>
      <c r="AC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inlineStr">
        <is>
          <t>SS</t>
        </is>
      </c>
      <c r="G362" s="9" t="n">
        <v>491</v>
      </c>
      <c r="H362" s="9" t="n">
        <v>835</v>
      </c>
      <c r="I362" s="9" t="inlineStr">
        <is>
          <t>Bench Bat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1" t="n">
        <v>1</v>
      </c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>
        <v>0.85</v>
      </c>
      <c r="X362" s="17" t="n">
        <v>0.15</v>
      </c>
      <c r="Y362" s="17" t="n"/>
      <c r="Z362" s="13">
        <f>SUMPRODUCT(N362:Y362,$N$2:$Y$2)*$K362*$L362*$M362</f>
        <v/>
      </c>
      <c r="AA362" s="14">
        <f>SUM(N362:Y362)</f>
        <v/>
      </c>
      <c r="AB362" s="14">
        <f>IFERROR(IF(UPPER($E362)="L",SUMPRODUCT(N362:Y362,$N$3:$Y$3,$N$2:$Y$2),SUMPRODUCT(N362:Y362,$N$4:$Y$4,$N$2:$Y$2))/(Z362/($K362*$L362*$M362)),"")</f>
        <v/>
      </c>
      <c r="AC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1" t="n">
        <v>1</v>
      </c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7" t="n">
        <v>1</v>
      </c>
      <c r="Z363" s="13">
        <f>SUMPRODUCT(N363:Y363,$N$2:$Y$2)*$K363*$L363*$M363</f>
        <v/>
      </c>
      <c r="AA363" s="14">
        <f>SUM(N363:Y363)</f>
        <v/>
      </c>
      <c r="AB363" s="14">
        <f>IFERROR(IF(UPPER($E363)="L",SUMPRODUCT(N363:Y363,$N$3:$Y$3,$N$2:$Y$2),SUMPRODUCT(N363:Y363,$N$4:$Y$4,$N$2:$Y$2))/(Z363/($K363*$L363*$M363)),"")</f>
        <v/>
      </c>
      <c r="AC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inlineStr">
        <is>
          <t>RF</t>
        </is>
      </c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1" t="n">
        <v>1.00014911796579</v>
      </c>
      <c r="N364" s="17" t="n">
        <v>1</v>
      </c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7" t="n"/>
      <c r="Z364" s="13">
        <f>SUMPRODUCT(N364:Y364,$N$2:$Y$2)*$K364*$L364*$M364</f>
        <v/>
      </c>
      <c r="AA364" s="14">
        <f>SUM(N364:Y364)</f>
        <v/>
      </c>
      <c r="AB364" s="14">
        <f>IFERROR(IF(UPPER($E364)="L",SUMPRODUCT(N364:Y364,$N$3:$Y$3,$N$2:$Y$2),SUMPRODUCT(N364:Y364,$N$4:$Y$4,$N$2:$Y$2))/(Z364/($K364*$L364*$M364)),"")</f>
        <v/>
      </c>
      <c r="AC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inlineStr">
        <is>
          <t>1B</t>
        </is>
      </c>
      <c r="G365" s="9" t="n">
        <v>509</v>
      </c>
      <c r="H365" s="9" t="n">
        <v>1517</v>
      </c>
      <c r="I365" s="9" t="inlineStr">
        <is>
          <t>Weak Side Platoon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1" t="n">
        <v>1.15</v>
      </c>
      <c r="N365" s="17" t="n"/>
      <c r="O365" s="17" t="n"/>
      <c r="P365" s="17" t="n"/>
      <c r="Q365" s="17" t="n">
        <v>0.6</v>
      </c>
      <c r="R365" s="17" t="n"/>
      <c r="S365" s="17" t="n"/>
      <c r="T365" s="17" t="n"/>
      <c r="U365" s="17" t="n">
        <v>0.4</v>
      </c>
      <c r="V365" s="17" t="n"/>
      <c r="W365" s="17" t="n"/>
      <c r="X365" s="17" t="n"/>
      <c r="Y365" s="17" t="n"/>
      <c r="Z365" s="13">
        <f>SUMPRODUCT(N365:Y365,$N$2:$Y$2)*$K365*$L365*$M365</f>
        <v/>
      </c>
      <c r="AA365" s="14">
        <f>SUM(N365:Y365)</f>
        <v/>
      </c>
      <c r="AB365" s="14">
        <f>IFERROR(IF(UPPER($E365)="L",SUMPRODUCT(N365:Y365,$N$3:$Y$3,$N$2:$Y$2),SUMPRODUCT(N365:Y365,$N$4:$Y$4,$N$2:$Y$2))/(Z365/($K365*$L365*$M365)),"")</f>
        <v/>
      </c>
      <c r="AC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1" t="n">
        <v>1</v>
      </c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7" t="n">
        <v>1</v>
      </c>
      <c r="Z366" s="13">
        <f>SUMPRODUCT(N366:Y366,$N$2:$Y$2)*$K366*$L366*$M366</f>
        <v/>
      </c>
      <c r="AA366" s="14">
        <f>SUM(N366:Y366)</f>
        <v/>
      </c>
      <c r="AB366" s="14">
        <f>IFERROR(IF(UPPER($E366)="L",SUMPRODUCT(N366:Y366,$N$3:$Y$3,$N$2:$Y$2),SUMPRODUCT(N366:Y366,$N$4:$Y$4,$N$2:$Y$2))/(Z366/($K366*$L366*$M366)),"")</f>
        <v/>
      </c>
      <c r="AC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1" t="n">
        <v>1</v>
      </c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7" t="n">
        <v>1</v>
      </c>
      <c r="Z367" s="13">
        <f>SUMPRODUCT(N367:Y367,$N$2:$Y$2)*$K367*$L367*$M367</f>
        <v/>
      </c>
      <c r="AA367" s="14">
        <f>SUM(N367:Y367)</f>
        <v/>
      </c>
      <c r="AB367" s="14">
        <f>IFERROR(IF(UPPER($E367)="L",SUMPRODUCT(N367:Y367,$N$3:$Y$3,$N$2:$Y$2),SUMPRODUCT(N367:Y367,$N$4:$Y$4,$N$2:$Y$2))/(Z367/($K367*$L367*$M367)),"")</f>
        <v/>
      </c>
      <c r="AC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1" t="n">
        <v>1</v>
      </c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7" t="n">
        <v>1</v>
      </c>
      <c r="Z368" s="13">
        <f>SUMPRODUCT(N368:Y368,$N$2:$Y$2)*$K368*$L368*$M368</f>
        <v/>
      </c>
      <c r="AA368" s="14">
        <f>SUM(N368:Y368)</f>
        <v/>
      </c>
      <c r="AB368" s="14">
        <f>IFERROR(IF(UPPER($E368)="L",SUMPRODUCT(N368:Y368,$N$3:$Y$3,$N$2:$Y$2),SUMPRODUCT(N368:Y368,$N$4:$Y$4,$N$2:$Y$2))/(Z368/($K368*$L368*$M368)),"")</f>
        <v/>
      </c>
      <c r="AC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1" t="n">
        <v>1</v>
      </c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7" t="n">
        <v>1</v>
      </c>
      <c r="Z369" s="13">
        <f>SUMPRODUCT(N369:Y369,$N$2:$Y$2)*$K369*$L369*$M369</f>
        <v/>
      </c>
      <c r="AA369" s="14">
        <f>SUM(N369:Y369)</f>
        <v/>
      </c>
      <c r="AB369" s="14">
        <f>IFERROR(IF(UPPER($E369)="L",SUMPRODUCT(N369:Y369,$N$3:$Y$3,$N$2:$Y$2),SUMPRODUCT(N369:Y369,$N$4:$Y$4,$N$2:$Y$2))/(Z369/($K369*$L369*$M369)),"")</f>
        <v/>
      </c>
      <c r="AC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1" t="n">
        <v>1</v>
      </c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7" t="n">
        <v>1</v>
      </c>
      <c r="Z370" s="13">
        <f>SUMPRODUCT(N370:Y370,$N$2:$Y$2)*$K370*$L370*$M370</f>
        <v/>
      </c>
      <c r="AA370" s="14">
        <f>SUM(N370:Y370)</f>
        <v/>
      </c>
      <c r="AB370" s="14">
        <f>IFERROR(IF(UPPER($E370)="L",SUMPRODUCT(N370:Y370,$N$3:$Y$3,$N$2:$Y$2),SUMPRODUCT(N370:Y370,$N$4:$Y$4,$N$2:$Y$2))/(Z370/($K370*$L370*$M370)),"")</f>
        <v/>
      </c>
      <c r="AC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25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Early Season (~May)</t>
        </is>
      </c>
      <c r="K371" s="11">
        <f>IFERROR(INDEX(Roles!$B$17:$B$20,MATCH(J371,Roles!$A$17:$A$20,0)),1)</f>
        <v/>
      </c>
      <c r="L371" s="17" t="n">
        <v>1</v>
      </c>
      <c r="M371" s="11" t="n">
        <v>1</v>
      </c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7" t="n">
        <v>1</v>
      </c>
      <c r="Z371" s="13">
        <f>SUMPRODUCT(N371:Y371,$N$2:$Y$2)*$K371*$L371*$M371</f>
        <v/>
      </c>
      <c r="AA371" s="14">
        <f>SUM(N371:Y371)</f>
        <v/>
      </c>
      <c r="AB371" s="14">
        <f>IFERROR(IF(UPPER($E371)="L",SUMPRODUCT(N371:Y371,$N$3:$Y$3,$N$2:$Y$2),SUMPRODUCT(N371:Y371,$N$4:$Y$4,$N$2:$Y$2))/(Z371/($K371*$L371*$M371)),"")</f>
        <v/>
      </c>
      <c r="AC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inlineStr">
        <is>
          <t>RF</t>
        </is>
      </c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1" t="n">
        <v>1</v>
      </c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7" t="n">
        <v>1</v>
      </c>
      <c r="Z372" s="13">
        <f>SUMPRODUCT(N372:Y372,$N$2:$Y$2)*$K372*$L372*$M372</f>
        <v/>
      </c>
      <c r="AA372" s="14">
        <f>SUM(N372:Y372)</f>
        <v/>
      </c>
      <c r="AB372" s="14">
        <f>IFERROR(IF(UPPER($E372)="L",SUMPRODUCT(N372:Y372,$N$3:$Y$3,$N$2:$Y$2),SUMPRODUCT(N372:Y372,$N$4:$Y$4,$N$2:$Y$2))/(Z372/($K372*$L372*$M372)),"")</f>
        <v/>
      </c>
      <c r="AC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1" t="n">
        <v>1</v>
      </c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7" t="n">
        <v>1</v>
      </c>
      <c r="Z373" s="13">
        <f>SUMPRODUCT(N373:Y373,$N$2:$Y$2)*$K373*$L373*$M373</f>
        <v/>
      </c>
      <c r="AA373" s="14">
        <f>SUM(N373:Y373)</f>
        <v/>
      </c>
      <c r="AB373" s="14">
        <f>IFERROR(IF(UPPER($E373)="L",SUMPRODUCT(N373:Y373,$N$3:$Y$3,$N$2:$Y$2),SUMPRODUCT(N373:Y373,$N$4:$Y$4,$N$2:$Y$2))/(Z373/($K373*$L373*$M373)),"")</f>
        <v/>
      </c>
      <c r="AC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25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Mid Season (~July)</t>
        </is>
      </c>
      <c r="K374" s="11">
        <f>IFERROR(INDEX(Roles!$B$17:$B$20,MATCH(J374,Roles!$A$17:$A$20,0)),1)</f>
        <v/>
      </c>
      <c r="L374" s="17" t="n">
        <v>1</v>
      </c>
      <c r="M374" s="11" t="n">
        <v>1</v>
      </c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7" t="n">
        <v>1</v>
      </c>
      <c r="Z374" s="13">
        <f>SUMPRODUCT(N374:Y374,$N$2:$Y$2)*$K374*$L374*$M374</f>
        <v/>
      </c>
      <c r="AA374" s="14">
        <f>SUM(N374:Y374)</f>
        <v/>
      </c>
      <c r="AB374" s="14">
        <f>IFERROR(IF(UPPER($E374)="L",SUMPRODUCT(N374:Y374,$N$3:$Y$3,$N$2:$Y$2),SUMPRODUCT(N374:Y374,$N$4:$Y$4,$N$2:$Y$2))/(Z374/($K374*$L374*$M374)),"")</f>
        <v/>
      </c>
      <c r="AC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inlineStr">
        <is>
          <t>RF</t>
        </is>
      </c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1" t="n">
        <v>0.8922049285661284</v>
      </c>
      <c r="N375" s="17" t="n">
        <v>0.8</v>
      </c>
      <c r="O375" s="17" t="n"/>
      <c r="P375" s="17" t="n">
        <v>0.2</v>
      </c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7" t="n"/>
      <c r="Z375" s="13">
        <f>SUMPRODUCT(N375:Y375,$N$2:$Y$2)*$K375*$L375*$M375</f>
        <v/>
      </c>
      <c r="AA375" s="14">
        <f>SUM(N375:Y375)</f>
        <v/>
      </c>
      <c r="AB375" s="14">
        <f>IFERROR(IF(UPPER($E375)="L",SUMPRODUCT(N375:Y375,$N$3:$Y$3,$N$2:$Y$2),SUMPRODUCT(N375:Y375,$N$4:$Y$4,$N$2:$Y$2))/(Z375/($K375*$L375*$M375)),"")</f>
        <v/>
      </c>
      <c r="AC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inlineStr">
        <is>
          <t>C</t>
        </is>
      </c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1" t="n">
        <v>1</v>
      </c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7" t="n">
        <v>1</v>
      </c>
      <c r="Z376" s="13">
        <f>SUMPRODUCT(N376:Y376,$N$2:$Y$2)*$K376*$L376*$M376</f>
        <v/>
      </c>
      <c r="AA376" s="14">
        <f>SUM(N376:Y376)</f>
        <v/>
      </c>
      <c r="AB376" s="14">
        <f>IFERROR(IF(UPPER($E376)="L",SUMPRODUCT(N376:Y376,$N$3:$Y$3,$N$2:$Y$2),SUMPRODUCT(N376:Y376,$N$4:$Y$4,$N$2:$Y$2))/(Z376/($K376*$L376*$M376)),"")</f>
        <v/>
      </c>
      <c r="AC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inlineStr">
        <is>
          <t>RF</t>
        </is>
      </c>
      <c r="G377" s="9" t="n">
        <v>204</v>
      </c>
      <c r="H377" s="9" t="n">
        <v>651</v>
      </c>
      <c r="I377" s="9" t="inlineStr">
        <is>
          <t>Bench Bat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1" t="n">
        <v>0.9515689639712884</v>
      </c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>
        <v>0.85</v>
      </c>
      <c r="X377" s="17" t="n">
        <v>0.15</v>
      </c>
      <c r="Y377" s="17" t="n"/>
      <c r="Z377" s="13">
        <f>SUMPRODUCT(N377:Y377,$N$2:$Y$2)*$K377*$L377*$M377</f>
        <v/>
      </c>
      <c r="AA377" s="14">
        <f>SUM(N377:Y377)</f>
        <v/>
      </c>
      <c r="AB377" s="14">
        <f>IFERROR(IF(UPPER($E377)="L",SUMPRODUCT(N377:Y377,$N$3:$Y$3,$N$2:$Y$2),SUMPRODUCT(N377:Y377,$N$4:$Y$4,$N$2:$Y$2))/(Z377/($K377*$L377*$M377)),"")</f>
        <v/>
      </c>
      <c r="AC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1" t="n">
        <v>1</v>
      </c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7" t="n">
        <v>1</v>
      </c>
      <c r="Z378" s="13">
        <f>SUMPRODUCT(N378:Y378,$N$2:$Y$2)*$K378*$L378*$M378</f>
        <v/>
      </c>
      <c r="AA378" s="14">
        <f>SUM(N378:Y378)</f>
        <v/>
      </c>
      <c r="AB378" s="14">
        <f>IFERROR(IF(UPPER($E378)="L",SUMPRODUCT(N378:Y378,$N$3:$Y$3,$N$2:$Y$2),SUMPRODUCT(N378:Y378,$N$4:$Y$4,$N$2:$Y$2))/(Z378/($K378*$L378*$M378)),"")</f>
        <v/>
      </c>
      <c r="AC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inlineStr">
        <is>
          <t>C</t>
        </is>
      </c>
      <c r="G379" s="9" t="n">
        <v>717</v>
      </c>
      <c r="H379" s="9" t="n">
        <v>1494</v>
      </c>
      <c r="I379" s="9" t="inlineStr">
        <is>
          <t>Everyday DH / 1B-DH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1" t="n">
        <v>1.020381172738134</v>
      </c>
      <c r="N379" s="17" t="n"/>
      <c r="O379" s="17" t="n">
        <v>1</v>
      </c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7" t="n"/>
      <c r="Z379" s="13">
        <f>SUMPRODUCT(N379:Y379,$N$2:$Y$2)*$K379*$L379*$M379</f>
        <v/>
      </c>
      <c r="AA379" s="14">
        <f>SUM(N379:Y379)</f>
        <v/>
      </c>
      <c r="AB379" s="14">
        <f>IFERROR(IF(UPPER($E379)="L",SUMPRODUCT(N379:Y379,$N$3:$Y$3,$N$2:$Y$2),SUMPRODUCT(N379:Y379,$N$4:$Y$4,$N$2:$Y$2))/(Z379/($K379*$L379*$M379)),"")</f>
        <v/>
      </c>
      <c r="AC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1" t="n">
        <v>1</v>
      </c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7" t="n">
        <v>1</v>
      </c>
      <c r="Z380" s="13">
        <f>SUMPRODUCT(N380:Y380,$N$2:$Y$2)*$K380*$L380*$M380</f>
        <v/>
      </c>
      <c r="AA380" s="14">
        <f>SUM(N380:Y380)</f>
        <v/>
      </c>
      <c r="AB380" s="14">
        <f>IFERROR(IF(UPPER($E380)="L",SUMPRODUCT(N380:Y380,$N$3:$Y$3,$N$2:$Y$2),SUMPRODUCT(N380:Y380,$N$4:$Y$4,$N$2:$Y$2))/(Z380/($K380*$L380*$M380)),"")</f>
        <v/>
      </c>
      <c r="AC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Bench Bat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1" t="n">
        <v>1</v>
      </c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>
        <v>0.85</v>
      </c>
      <c r="X381" s="17" t="n">
        <v>0.15</v>
      </c>
      <c r="Y381" s="17" t="n"/>
      <c r="Z381" s="13">
        <f>SUMPRODUCT(N381:Y381,$N$2:$Y$2)*$K381*$L381*$M381</f>
        <v/>
      </c>
      <c r="AA381" s="14">
        <f>SUM(N381:Y381)</f>
        <v/>
      </c>
      <c r="AB381" s="14">
        <f>IFERROR(IF(UPPER($E381)="L",SUMPRODUCT(N381:Y381,$N$3:$Y$3,$N$2:$Y$2),SUMPRODUCT(N381:Y381,$N$4:$Y$4,$N$2:$Y$2))/(Z381/($K381*$L381*$M381)),"")</f>
        <v/>
      </c>
      <c r="AC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inlineStr">
        <is>
          <t>LF</t>
        </is>
      </c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1" t="n">
        <v>1</v>
      </c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7" t="n">
        <v>1</v>
      </c>
      <c r="Z382" s="13">
        <f>SUMPRODUCT(N382:Y382,$N$2:$Y$2)*$K382*$L382*$M382</f>
        <v/>
      </c>
      <c r="AA382" s="14">
        <f>SUM(N382:Y382)</f>
        <v/>
      </c>
      <c r="AB382" s="14">
        <f>IFERROR(IF(UPPER($E382)="L",SUMPRODUCT(N382:Y382,$N$3:$Y$3,$N$2:$Y$2),SUMPRODUCT(N382:Y382,$N$4:$Y$4,$N$2:$Y$2))/(Z382/($K382*$L382*$M382)),"")</f>
        <v/>
      </c>
      <c r="AC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1" t="n">
        <v>1</v>
      </c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7" t="n">
        <v>1</v>
      </c>
      <c r="Z383" s="13">
        <f>SUMPRODUCT(N383:Y383,$N$2:$Y$2)*$K383*$L383*$M383</f>
        <v/>
      </c>
      <c r="AA383" s="14">
        <f>SUM(N383:Y383)</f>
        <v/>
      </c>
      <c r="AB383" s="14">
        <f>IFERROR(IF(UPPER($E383)="L",SUMPRODUCT(N383:Y383,$N$3:$Y$3,$N$2:$Y$2),SUMPRODUCT(N383:Y383,$N$4:$Y$4,$N$2:$Y$2))/(Z383/($K383*$L383*$M383)),"")</f>
        <v/>
      </c>
      <c r="AC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1" t="n">
        <v>1</v>
      </c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7" t="n">
        <v>1</v>
      </c>
      <c r="Z384" s="13">
        <f>SUMPRODUCT(N384:Y384,$N$2:$Y$2)*$K384*$L384*$M384</f>
        <v/>
      </c>
      <c r="AA384" s="14">
        <f>SUM(N384:Y384)</f>
        <v/>
      </c>
      <c r="AB384" s="14">
        <f>IFERROR(IF(UPPER($E384)="L",SUMPRODUCT(N384:Y384,$N$3:$Y$3,$N$2:$Y$2),SUMPRODUCT(N384:Y384,$N$4:$Y$4,$N$2:$Y$2))/(Z384/($K384*$L384*$M384)),"")</f>
        <v/>
      </c>
      <c r="AC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inlineStr">
        <is>
          <t>3B</t>
        </is>
      </c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1" t="n">
        <v>1</v>
      </c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7" t="n">
        <v>1</v>
      </c>
      <c r="Z385" s="13">
        <f>SUMPRODUCT(N385:Y385,$N$2:$Y$2)*$K385*$L385*$M385</f>
        <v/>
      </c>
      <c r="AA385" s="14">
        <f>SUM(N385:Y385)</f>
        <v/>
      </c>
      <c r="AB385" s="14">
        <f>IFERROR(IF(UPPER($E385)="L",SUMPRODUCT(N385:Y385,$N$3:$Y$3,$N$2:$Y$2),SUMPRODUCT(N385:Y385,$N$4:$Y$4,$N$2:$Y$2))/(Z385/($K385*$L385*$M385)),"")</f>
        <v/>
      </c>
      <c r="AC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1" t="n">
        <v>1</v>
      </c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7" t="n">
        <v>1</v>
      </c>
      <c r="Z386" s="13">
        <f>SUMPRODUCT(N386:Y386,$N$2:$Y$2)*$K386*$L386*$M386</f>
        <v/>
      </c>
      <c r="AA386" s="14">
        <f>SUM(N386:Y386)</f>
        <v/>
      </c>
      <c r="AB386" s="14">
        <f>IFERROR(IF(UPPER($E386)="L",SUMPRODUCT(N386:Y386,$N$3:$Y$3,$N$2:$Y$2),SUMPRODUCT(N386:Y386,$N$4:$Y$4,$N$2:$Y$2))/(Z386/($K386*$L386*$M386)),"")</f>
        <v/>
      </c>
      <c r="AC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25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1" t="n">
        <v>1</v>
      </c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7" t="n">
        <v>1</v>
      </c>
      <c r="Z387" s="13">
        <f>SUMPRODUCT(N387:Y387,$N$2:$Y$2)*$K387*$L387*$M387</f>
        <v/>
      </c>
      <c r="AA387" s="14">
        <f>SUM(N387:Y387)</f>
        <v/>
      </c>
      <c r="AB387" s="14">
        <f>IFERROR(IF(UPPER($E387)="L",SUMPRODUCT(N387:Y387,$N$3:$Y$3,$N$2:$Y$2),SUMPRODUCT(N387:Y387,$N$4:$Y$4,$N$2:$Y$2))/(Z387/($K387*$L387*$M387)),"")</f>
        <v/>
      </c>
      <c r="AC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25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Depth (no MLB PA)</t>
        </is>
      </c>
      <c r="J388" s="16" t="inlineStr">
        <is>
          <t>Mid Season (~July)</t>
        </is>
      </c>
      <c r="K388" s="11">
        <f>IFERROR(INDEX(Roles!$B$17:$B$20,MATCH(J388,Roles!$A$17:$A$20,0)),1)</f>
        <v/>
      </c>
      <c r="L388" s="17" t="n">
        <v>1</v>
      </c>
      <c r="M388" s="11" t="n">
        <v>1</v>
      </c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7" t="n">
        <v>1</v>
      </c>
      <c r="Z388" s="13">
        <f>SUMPRODUCT(N388:Y388,$N$2:$Y$2)*$K388*$L388*$M388</f>
        <v/>
      </c>
      <c r="AA388" s="14">
        <f>SUM(N388:Y388)</f>
        <v/>
      </c>
      <c r="AB388" s="14">
        <f>IFERROR(IF(UPPER($E388)="L",SUMPRODUCT(N388:Y388,$N$3:$Y$3,$N$2:$Y$2),SUMPRODUCT(N388:Y388,$N$4:$Y$4,$N$2:$Y$2))/(Z388/($K388*$L388*$M388)),"")</f>
        <v/>
      </c>
      <c r="AC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inlineStr">
        <is>
          <t>RF</t>
        </is>
      </c>
      <c r="G389" s="9" t="n">
        <v>278</v>
      </c>
      <c r="H389" s="9" t="n">
        <v>342</v>
      </c>
      <c r="I389" s="9" t="inlineStr">
        <is>
          <t>Weak Side Platoon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1" t="n">
        <v>1</v>
      </c>
      <c r="N389" s="17" t="n"/>
      <c r="O389" s="17" t="n"/>
      <c r="P389" s="17" t="n"/>
      <c r="Q389" s="17" t="n">
        <v>0.6</v>
      </c>
      <c r="R389" s="17" t="n"/>
      <c r="S389" s="17" t="n"/>
      <c r="T389" s="17" t="n"/>
      <c r="U389" s="17" t="n"/>
      <c r="V389" s="17" t="n">
        <v>0.4</v>
      </c>
      <c r="W389" s="17" t="n"/>
      <c r="X389" s="17" t="n"/>
      <c r="Y389" s="17" t="n"/>
      <c r="Z389" s="13">
        <f>SUMPRODUCT(N389:Y389,$N$2:$Y$2)*$K389*$L389*$M389</f>
        <v/>
      </c>
      <c r="AA389" s="14">
        <f>SUM(N389:Y389)</f>
        <v/>
      </c>
      <c r="AB389" s="14">
        <f>IFERROR(IF(UPPER($E389)="L",SUMPRODUCT(N389:Y389,$N$3:$Y$3,$N$2:$Y$2),SUMPRODUCT(N389:Y389,$N$4:$Y$4,$N$2:$Y$2))/(Z389/($K389*$L389*$M389)),"")</f>
        <v/>
      </c>
      <c r="AC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1" t="n">
        <v>1</v>
      </c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7" t="n">
        <v>1</v>
      </c>
      <c r="Z390" s="13">
        <f>SUMPRODUCT(N390:Y390,$N$2:$Y$2)*$K390*$L390*$M390</f>
        <v/>
      </c>
      <c r="AA390" s="14">
        <f>SUM(N390:Y390)</f>
        <v/>
      </c>
      <c r="AB390" s="14">
        <f>IFERROR(IF(UPPER($E390)="L",SUMPRODUCT(N390:Y390,$N$3:$Y$3,$N$2:$Y$2),SUMPRODUCT(N390:Y390,$N$4:$Y$4,$N$2:$Y$2))/(Z390/($K390*$L390*$M390)),"")</f>
        <v/>
      </c>
      <c r="AC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inlineStr">
        <is>
          <t>3B</t>
        </is>
      </c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1" t="n">
        <v>1</v>
      </c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7" t="n">
        <v>1</v>
      </c>
      <c r="Z391" s="13">
        <f>SUMPRODUCT(N391:Y391,$N$2:$Y$2)*$K391*$L391*$M391</f>
        <v/>
      </c>
      <c r="AA391" s="14">
        <f>SUM(N391:Y391)</f>
        <v/>
      </c>
      <c r="AB391" s="14">
        <f>IFERROR(IF(UPPER($E391)="L",SUMPRODUCT(N391:Y391,$N$3:$Y$3,$N$2:$Y$2),SUMPRODUCT(N391:Y391,$N$4:$Y$4,$N$2:$Y$2))/(Z391/($K391*$L391*$M391)),"")</f>
        <v/>
      </c>
      <c r="AC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1" t="n">
        <v>1</v>
      </c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7" t="n">
        <v>1</v>
      </c>
      <c r="Z392" s="13">
        <f>SUMPRODUCT(N392:Y392,$N$2:$Y$2)*$K392*$L392*$M392</f>
        <v/>
      </c>
      <c r="AA392" s="14">
        <f>SUM(N392:Y392)</f>
        <v/>
      </c>
      <c r="AB392" s="14">
        <f>IFERROR(IF(UPPER($E392)="L",SUMPRODUCT(N392:Y392,$N$3:$Y$3,$N$2:$Y$2),SUMPRODUCT(N392:Y392,$N$4:$Y$4,$N$2:$Y$2))/(Z392/($K392*$L392*$M392)),"")</f>
        <v/>
      </c>
      <c r="AC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1" t="n">
        <v>1</v>
      </c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7" t="n">
        <v>1</v>
      </c>
      <c r="Z393" s="13">
        <f>SUMPRODUCT(N393:Y393,$N$2:$Y$2)*$K393*$L393*$M393</f>
        <v/>
      </c>
      <c r="AA393" s="14">
        <f>SUM(N393:Y393)</f>
        <v/>
      </c>
      <c r="AB393" s="14">
        <f>IFERROR(IF(UPPER($E393)="L",SUMPRODUCT(N393:Y393,$N$3:$Y$3,$N$2:$Y$2),SUMPRODUCT(N393:Y393,$N$4:$Y$4,$N$2:$Y$2))/(Z393/($K393*$L393*$M393)),"")</f>
        <v/>
      </c>
      <c r="AC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1" t="n">
        <v>1</v>
      </c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7" t="n">
        <v>1</v>
      </c>
      <c r="Z394" s="13">
        <f>SUMPRODUCT(N394:Y394,$N$2:$Y$2)*$K394*$L394*$M394</f>
        <v/>
      </c>
      <c r="AA394" s="14">
        <f>SUM(N394:Y394)</f>
        <v/>
      </c>
      <c r="AB394" s="14">
        <f>IFERROR(IF(UPPER($E394)="L",SUMPRODUCT(N394:Y394,$N$3:$Y$3,$N$2:$Y$2),SUMPRODUCT(N394:Y394,$N$4:$Y$4,$N$2:$Y$2))/(Z394/($K394*$L394*$M394)),"")</f>
        <v/>
      </c>
      <c r="AC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inlineStr">
        <is>
          <t>3B</t>
        </is>
      </c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1" t="n">
        <v>1</v>
      </c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7" t="n">
        <v>1</v>
      </c>
      <c r="Z395" s="13">
        <f>SUMPRODUCT(N395:Y395,$N$2:$Y$2)*$K395*$L395*$M395</f>
        <v/>
      </c>
      <c r="AA395" s="14">
        <f>SUM(N395:Y395)</f>
        <v/>
      </c>
      <c r="AB395" s="14">
        <f>IFERROR(IF(UPPER($E395)="L",SUMPRODUCT(N395:Y395,$N$3:$Y$3,$N$2:$Y$2),SUMPRODUCT(N395:Y395,$N$4:$Y$4,$N$2:$Y$2))/(Z395/($K395*$L395*$M395)),"")</f>
        <v/>
      </c>
      <c r="AC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inlineStr">
        <is>
          <t>C</t>
        </is>
      </c>
      <c r="G396" s="9" t="n">
        <v>197</v>
      </c>
      <c r="H396" s="9" t="n">
        <v>415</v>
      </c>
      <c r="I396" s="9" t="inlineStr">
        <is>
          <t>Everyday DH / 1B-DH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1" t="n">
        <v>1</v>
      </c>
      <c r="N396" s="17" t="n"/>
      <c r="O396" s="17" t="n">
        <v>0.7</v>
      </c>
      <c r="P396" s="17" t="n"/>
      <c r="Q396" s="17" t="n"/>
      <c r="R396" s="17" t="n"/>
      <c r="S396" s="17" t="n"/>
      <c r="T396" s="17" t="n"/>
      <c r="U396" s="17" t="n"/>
      <c r="V396" s="17" t="n"/>
      <c r="W396" s="17" t="n">
        <v>0.3</v>
      </c>
      <c r="X396" s="17" t="n"/>
      <c r="Y396" s="17" t="n"/>
      <c r="Z396" s="13">
        <f>SUMPRODUCT(N396:Y396,$N$2:$Y$2)*$K396*$L396*$M396</f>
        <v/>
      </c>
      <c r="AA396" s="14">
        <f>SUM(N396:Y396)</f>
        <v/>
      </c>
      <c r="AB396" s="14">
        <f>IFERROR(IF(UPPER($E396)="L",SUMPRODUCT(N396:Y396,$N$3:$Y$3,$N$2:$Y$2),SUMPRODUCT(N396:Y396,$N$4:$Y$4,$N$2:$Y$2))/(Z396/($K396*$L396*$M396)),"")</f>
        <v/>
      </c>
      <c r="AC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1" t="n">
        <v>1</v>
      </c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7" t="n">
        <v>1</v>
      </c>
      <c r="Z397" s="13">
        <f>SUMPRODUCT(N397:Y397,$N$2:$Y$2)*$K397*$L397*$M397</f>
        <v/>
      </c>
      <c r="AA397" s="14">
        <f>SUM(N397:Y397)</f>
        <v/>
      </c>
      <c r="AB397" s="14">
        <f>IFERROR(IF(UPPER($E397)="L",SUMPRODUCT(N397:Y397,$N$3:$Y$3,$N$2:$Y$2),SUMPRODUCT(N397:Y397,$N$4:$Y$4,$N$2:$Y$2))/(Z397/($K397*$L397*$M397)),"")</f>
        <v/>
      </c>
      <c r="AC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1" t="n">
        <v>1</v>
      </c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7" t="n">
        <v>1</v>
      </c>
      <c r="Z398" s="13">
        <f>SUMPRODUCT(N398:Y398,$N$2:$Y$2)*$K398*$L398*$M398</f>
        <v/>
      </c>
      <c r="AA398" s="14">
        <f>SUM(N398:Y398)</f>
        <v/>
      </c>
      <c r="AB398" s="14">
        <f>IFERROR(IF(UPPER($E398)="L",SUMPRODUCT(N398:Y398,$N$3:$Y$3,$N$2:$Y$2),SUMPRODUCT(N398:Y398,$N$4:$Y$4,$N$2:$Y$2))/(Z398/($K398*$L398*$M398)),"")</f>
        <v/>
      </c>
      <c r="AC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1" t="n">
        <v>1</v>
      </c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7" t="n">
        <v>1</v>
      </c>
      <c r="Z399" s="13">
        <f>SUMPRODUCT(N399:Y399,$N$2:$Y$2)*$K399*$L399*$M399</f>
        <v/>
      </c>
      <c r="AA399" s="14">
        <f>SUM(N399:Y399)</f>
        <v/>
      </c>
      <c r="AB399" s="14">
        <f>IFERROR(IF(UPPER($E399)="L",SUMPRODUCT(N399:Y399,$N$3:$Y$3,$N$2:$Y$2),SUMPRODUCT(N399:Y399,$N$4:$Y$4,$N$2:$Y$2))/(Z399/($K399*$L399*$M399)),"")</f>
        <v/>
      </c>
      <c r="AC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inlineStr">
        <is>
          <t>LF</t>
        </is>
      </c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1" t="n">
        <v>1</v>
      </c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7" t="n">
        <v>1</v>
      </c>
      <c r="Z400" s="13">
        <f>SUMPRODUCT(N400:Y400,$N$2:$Y$2)*$K400*$L400*$M400</f>
        <v/>
      </c>
      <c r="AA400" s="14">
        <f>SUM(N400:Y400)</f>
        <v/>
      </c>
      <c r="AB400" s="14">
        <f>IFERROR(IF(UPPER($E400)="L",SUMPRODUCT(N400:Y400,$N$3:$Y$3,$N$2:$Y$2),SUMPRODUCT(N400:Y400,$N$4:$Y$4,$N$2:$Y$2))/(Z400/($K400*$L400*$M400)),"")</f>
        <v/>
      </c>
      <c r="AC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inlineStr">
        <is>
          <t>3B</t>
        </is>
      </c>
      <c r="G401" s="9" t="n">
        <v>329</v>
      </c>
      <c r="H401" s="9" t="n">
        <v>817</v>
      </c>
      <c r="I401" s="9" t="inlineStr">
        <is>
          <t>Bench Bat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1" t="n">
        <v>1</v>
      </c>
      <c r="N401" s="17" t="n"/>
      <c r="O401" s="17" t="n"/>
      <c r="P401" s="17" t="n"/>
      <c r="Q401" s="17" t="n"/>
      <c r="R401" s="17" t="n"/>
      <c r="S401" s="17" t="n"/>
      <c r="T401" s="17" t="n"/>
      <c r="U401" s="17" t="n">
        <v>0.4</v>
      </c>
      <c r="V401" s="17" t="n"/>
      <c r="W401" s="17" t="n">
        <v>0.6</v>
      </c>
      <c r="X401" s="17" t="n"/>
      <c r="Y401" s="17" t="n"/>
      <c r="Z401" s="13">
        <f>SUMPRODUCT(N401:Y401,$N$2:$Y$2)*$K401*$L401*$M401</f>
        <v/>
      </c>
      <c r="AA401" s="14">
        <f>SUM(N401:Y401)</f>
        <v/>
      </c>
      <c r="AB401" s="14">
        <f>IFERROR(IF(UPPER($E401)="L",SUMPRODUCT(N401:Y401,$N$3:$Y$3,$N$2:$Y$2),SUMPRODUCT(N401:Y401,$N$4:$Y$4,$N$2:$Y$2))/(Z401/($K401*$L401*$M401)),"")</f>
        <v/>
      </c>
      <c r="AC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25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Late Season (~Sept)</t>
        </is>
      </c>
      <c r="K402" s="11">
        <f>IFERROR(INDEX(Roles!$B$17:$B$20,MATCH(J402,Roles!$A$17:$A$20,0)),1)</f>
        <v/>
      </c>
      <c r="L402" s="17" t="n">
        <v>1</v>
      </c>
      <c r="M402" s="11" t="n">
        <v>1</v>
      </c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7" t="n">
        <v>1</v>
      </c>
      <c r="Z402" s="13">
        <f>SUMPRODUCT(N402:Y402,$N$2:$Y$2)*$K402*$L402*$M402</f>
        <v/>
      </c>
      <c r="AA402" s="14">
        <f>SUM(N402:Y402)</f>
        <v/>
      </c>
      <c r="AB402" s="14">
        <f>IFERROR(IF(UPPER($E402)="L",SUMPRODUCT(N402:Y402,$N$3:$Y$3,$N$2:$Y$2),SUMPRODUCT(N402:Y402,$N$4:$Y$4,$N$2:$Y$2))/(Z402/($K402*$L402*$M402)),"")</f>
        <v/>
      </c>
      <c r="AC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inlineStr">
        <is>
          <t>LF</t>
        </is>
      </c>
      <c r="G403" s="9" t="n">
        <v>105</v>
      </c>
      <c r="H403" s="9" t="n">
        <v>1924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1" t="n">
        <v>0.6992653144423233</v>
      </c>
      <c r="N403" s="17" t="n">
        <v>1</v>
      </c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7" t="n"/>
      <c r="Z403" s="13">
        <f>SUMPRODUCT(N403:Y403,$N$2:$Y$2)*$K403*$L403*$M403</f>
        <v/>
      </c>
      <c r="AA403" s="14">
        <f>SUM(N403:Y403)</f>
        <v/>
      </c>
      <c r="AB403" s="14">
        <f>IFERROR(IF(UPPER($E403)="L",SUMPRODUCT(N403:Y403,$N$3:$Y$3,$N$2:$Y$2),SUMPRODUCT(N403:Y403,$N$4:$Y$4,$N$2:$Y$2))/(Z403/($K403*$L403*$M403)),"")</f>
        <v/>
      </c>
      <c r="AC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Mid Season (~July)</t>
        </is>
      </c>
      <c r="K404" s="11">
        <f>IFERROR(INDEX(Roles!$B$17:$B$20,MATCH(J404,Roles!$A$17:$A$20,0)),1)</f>
        <v/>
      </c>
      <c r="L404" s="17" t="n">
        <v>1</v>
      </c>
      <c r="M404" s="11" t="n">
        <v>1</v>
      </c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7" t="n">
        <v>1</v>
      </c>
      <c r="Z404" s="13">
        <f>SUMPRODUCT(N404:Y404,$N$2:$Y$2)*$K404*$L404*$M404</f>
        <v/>
      </c>
      <c r="AA404" s="14">
        <f>SUM(N404:Y404)</f>
        <v/>
      </c>
      <c r="AB404" s="14">
        <f>IFERROR(IF(UPPER($E404)="L",SUMPRODUCT(N404:Y404,$N$3:$Y$3,$N$2:$Y$2),SUMPRODUCT(N404:Y404,$N$4:$Y$4,$N$2:$Y$2))/(Z404/($K404*$L404*$M404)),"")</f>
        <v/>
      </c>
      <c r="AC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1" t="n">
        <v>1</v>
      </c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7" t="n">
        <v>1</v>
      </c>
      <c r="Z405" s="13">
        <f>SUMPRODUCT(N405:Y405,$N$2:$Y$2)*$K405*$L405*$M405</f>
        <v/>
      </c>
      <c r="AA405" s="14">
        <f>SUM(N405:Y405)</f>
        <v/>
      </c>
      <c r="AB405" s="14">
        <f>IFERROR(IF(UPPER($E405)="L",SUMPRODUCT(N405:Y405,$N$3:$Y$3,$N$2:$Y$2),SUMPRODUCT(N405:Y405,$N$4:$Y$4,$N$2:$Y$2))/(Z405/($K405*$L405*$M405)),"")</f>
        <v/>
      </c>
      <c r="AC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1" t="n">
        <v>1</v>
      </c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7" t="n">
        <v>1</v>
      </c>
      <c r="Z406" s="13">
        <f>SUMPRODUCT(N406:Y406,$N$2:$Y$2)*$K406*$L406*$M406</f>
        <v/>
      </c>
      <c r="AA406" s="14">
        <f>SUM(N406:Y406)</f>
        <v/>
      </c>
      <c r="AB406" s="14">
        <f>IFERROR(IF(UPPER($E406)="L",SUMPRODUCT(N406:Y406,$N$3:$Y$3,$N$2:$Y$2),SUMPRODUCT(N406:Y406,$N$4:$Y$4,$N$2:$Y$2))/(Z406/($K406*$L406*$M406)),"")</f>
        <v/>
      </c>
      <c r="AC406" s="18" t="n"/>
    </row>
    <row r="407">
      <c r="A407" s="9" t="n">
        <v>701162</v>
      </c>
      <c r="B407" s="9" t="inlineStr">
        <is>
          <t>Ben Malgeri</t>
        </is>
      </c>
      <c r="C407" s="9" t="inlineStr">
        <is>
          <t>DET</t>
        </is>
      </c>
      <c r="D407" s="9" t="n">
        <v>27</v>
      </c>
      <c r="E407" s="16" t="inlineStr">
        <is>
          <t>R</t>
        </is>
      </c>
      <c r="F407" s="16" t="inlineStr">
        <is>
          <t>RF</t>
        </is>
      </c>
      <c r="G407" s="9" t="n">
        <v>140</v>
      </c>
      <c r="H407" s="9" t="n">
        <v>140</v>
      </c>
      <c r="I407" s="9" t="inlineStr">
        <is>
          <t>Weak Side Platoon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1" t="n">
        <v>1</v>
      </c>
      <c r="N407" s="17" t="n"/>
      <c r="O407" s="17" t="n"/>
      <c r="P407" s="17" t="n"/>
      <c r="Q407" s="17" t="n">
        <v>0.6</v>
      </c>
      <c r="R407" s="17" t="n"/>
      <c r="S407" s="17" t="n"/>
      <c r="T407" s="17" t="n"/>
      <c r="U407" s="17" t="n"/>
      <c r="V407" s="17" t="n">
        <v>0.4</v>
      </c>
      <c r="W407" s="17" t="n"/>
      <c r="X407" s="17" t="n"/>
      <c r="Y407" s="17" t="n"/>
      <c r="Z407" s="13">
        <f>SUMPRODUCT(N407:Y407,$N$2:$Y$2)*$K407*$L407*$M407</f>
        <v/>
      </c>
      <c r="AA407" s="14">
        <f>SUM(N407:Y407)</f>
        <v/>
      </c>
      <c r="AB407" s="14">
        <f>IFERROR(IF(UPPER($E407)="L",SUMPRODUCT(N407:Y407,$N$3:$Y$3,$N$2:$Y$2),SUMPRODUCT(N407:Y407,$N$4:$Y$4,$N$2:$Y$2))/(Z407/($K407*$L407*$M407)),"")</f>
        <v/>
      </c>
      <c r="AC407" s="18" t="n"/>
    </row>
    <row r="408">
      <c r="A408" s="9" t="n">
        <v>663698</v>
      </c>
      <c r="B408" s="9" t="inlineStr">
        <is>
          <t>Joey Bart</t>
        </is>
      </c>
      <c r="C408" s="9" t="inlineStr">
        <is>
          <t>CWS</t>
        </is>
      </c>
      <c r="D408" s="9" t="n">
        <v>30</v>
      </c>
      <c r="E408" s="16" t="inlineStr">
        <is>
          <t>R</t>
        </is>
      </c>
      <c r="F408" s="16" t="inlineStr">
        <is>
          <t>C</t>
        </is>
      </c>
      <c r="G408" s="9" t="n">
        <v>128</v>
      </c>
      <c r="H408" s="9" t="n">
        <v>1128</v>
      </c>
      <c r="I408" s="9" t="inlineStr">
        <is>
          <t>Injury Replacement / 26th Man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1" t="n">
        <v>1</v>
      </c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>
        <v>1</v>
      </c>
      <c r="Y408" s="17" t="n"/>
      <c r="Z408" s="13">
        <f>SUMPRODUCT(N408:Y408,$N$2:$Y$2)*$K408*$L408*$M408</f>
        <v/>
      </c>
      <c r="AA408" s="14">
        <f>SUM(N408:Y408)</f>
        <v/>
      </c>
      <c r="AB408" s="14">
        <f>IFERROR(IF(UPPER($E408)="L",SUMPRODUCT(N408:Y408,$N$3:$Y$3,$N$2:$Y$2),SUMPRODUCT(N408:Y408,$N$4:$Y$4,$N$2:$Y$2))/(Z408/($K408*$L408*$M408)),"")</f>
        <v/>
      </c>
      <c r="AC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inlineStr">
        <is>
          <t>RF</t>
        </is>
      </c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1" t="n">
        <v>1</v>
      </c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7" t="n">
        <v>1</v>
      </c>
      <c r="Z409" s="13">
        <f>SUMPRODUCT(N409:Y409,$N$2:$Y$2)*$K409*$L409*$M409</f>
        <v/>
      </c>
      <c r="AA409" s="14">
        <f>SUM(N409:Y409)</f>
        <v/>
      </c>
      <c r="AB409" s="14">
        <f>IFERROR(IF(UPPER($E409)="L",SUMPRODUCT(N409:Y409,$N$3:$Y$3,$N$2:$Y$2),SUMPRODUCT(N409:Y409,$N$4:$Y$4,$N$2:$Y$2))/(Z409/($K409*$L409*$M409)),"")</f>
        <v/>
      </c>
      <c r="AC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inlineStr">
        <is>
          <t>CF</t>
        </is>
      </c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1" t="n">
        <v>1</v>
      </c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7" t="n">
        <v>1</v>
      </c>
      <c r="Z410" s="13">
        <f>SUMPRODUCT(N410:Y410,$N$2:$Y$2)*$K410*$L410*$M410</f>
        <v/>
      </c>
      <c r="AA410" s="14">
        <f>SUM(N410:Y410)</f>
        <v/>
      </c>
      <c r="AB410" s="14">
        <f>IFERROR(IF(UPPER($E410)="L",SUMPRODUCT(N410:Y410,$N$3:$Y$3,$N$2:$Y$2),SUMPRODUCT(N410:Y410,$N$4:$Y$4,$N$2:$Y$2))/(Z410/($K410*$L410*$M410)),"")</f>
        <v/>
      </c>
      <c r="AC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inlineStr">
        <is>
          <t>C</t>
        </is>
      </c>
      <c r="G411" s="9" t="n">
        <v>369</v>
      </c>
      <c r="H411" s="9" t="n">
        <v>1869</v>
      </c>
      <c r="I411" s="9" t="inlineStr">
        <is>
          <t>Catcher - Primary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1" t="n">
        <v>0.9571034744634632</v>
      </c>
      <c r="N411" s="17" t="n"/>
      <c r="O411" s="17" t="n"/>
      <c r="P411" s="17" t="n"/>
      <c r="Q411" s="17" t="n"/>
      <c r="R411" s="17" t="n">
        <v>1</v>
      </c>
      <c r="S411" s="17" t="n"/>
      <c r="T411" s="17" t="n"/>
      <c r="U411" s="17" t="n"/>
      <c r="V411" s="17" t="n"/>
      <c r="W411" s="17" t="n"/>
      <c r="X411" s="17" t="n"/>
      <c r="Y411" s="17" t="n"/>
      <c r="Z411" s="13">
        <f>SUMPRODUCT(N411:Y411,$N$2:$Y$2)*$K411*$L411*$M411</f>
        <v/>
      </c>
      <c r="AA411" s="14">
        <f>SUM(N411:Y411)</f>
        <v/>
      </c>
      <c r="AB411" s="14">
        <f>IFERROR(IF(UPPER($E411)="L",SUMPRODUCT(N411:Y411,$N$3:$Y$3,$N$2:$Y$2),SUMPRODUCT(N411:Y411,$N$4:$Y$4,$N$2:$Y$2))/(Z411/($K411*$L411*$M411)),"")</f>
        <v/>
      </c>
      <c r="AC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1" t="n">
        <v>1</v>
      </c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7" t="n">
        <v>1</v>
      </c>
      <c r="Z412" s="13">
        <f>SUMPRODUCT(N412:Y412,$N$2:$Y$2)*$K412*$L412*$M412</f>
        <v/>
      </c>
      <c r="AA412" s="14">
        <f>SUM(N412:Y412)</f>
        <v/>
      </c>
      <c r="AB412" s="14">
        <f>IFERROR(IF(UPPER($E412)="L",SUMPRODUCT(N412:Y412,$N$3:$Y$3,$N$2:$Y$2),SUMPRODUCT(N412:Y412,$N$4:$Y$4,$N$2:$Y$2))/(Z412/($K412*$L412*$M412)),"")</f>
        <v/>
      </c>
      <c r="AC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inlineStr">
        <is>
          <t>3B</t>
        </is>
      </c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1" t="n">
        <v>1</v>
      </c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7" t="n">
        <v>1</v>
      </c>
      <c r="Z413" s="13">
        <f>SUMPRODUCT(N413:Y413,$N$2:$Y$2)*$K413*$L413*$M413</f>
        <v/>
      </c>
      <c r="AA413" s="14">
        <f>SUM(N413:Y413)</f>
        <v/>
      </c>
      <c r="AB413" s="14">
        <f>IFERROR(IF(UPPER($E413)="L",SUMPRODUCT(N413:Y413,$N$3:$Y$3,$N$2:$Y$2),SUMPRODUCT(N413:Y413,$N$4:$Y$4,$N$2:$Y$2))/(Z413/($K413*$L413*$M413)),"")</f>
        <v/>
      </c>
      <c r="AC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1" t="n">
        <v>1</v>
      </c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7" t="n">
        <v>1</v>
      </c>
      <c r="Z414" s="13">
        <f>SUMPRODUCT(N414:Y414,$N$2:$Y$2)*$K414*$L414*$M414</f>
        <v/>
      </c>
      <c r="AA414" s="14">
        <f>SUM(N414:Y414)</f>
        <v/>
      </c>
      <c r="AB414" s="14">
        <f>IFERROR(IF(UPPER($E414)="L",SUMPRODUCT(N414:Y414,$N$3:$Y$3,$N$2:$Y$2),SUMPRODUCT(N414:Y414,$N$4:$Y$4,$N$2:$Y$2))/(Z414/($K414*$L414*$M414)),"")</f>
        <v/>
      </c>
      <c r="AC414" s="18" t="n"/>
    </row>
    <row r="415">
      <c r="A415" s="9" t="n">
        <v>670868</v>
      </c>
      <c r="B415" s="9" t="inlineStr">
        <is>
          <t>Abrahan Gutierrez</t>
        </is>
      </c>
      <c r="C415" s="9" t="inlineStr">
        <is>
          <t>NYY</t>
        </is>
      </c>
      <c r="D415" s="9" t="n">
        <v>25</v>
      </c>
      <c r="E415" s="16" t="inlineStr">
        <is>
          <t>R</t>
        </is>
      </c>
      <c r="F415" s="16" t="n"/>
      <c r="G415" s="9" t="n">
        <v>31.02564102564103</v>
      </c>
      <c r="H415" s="9" t="n">
        <v>31.02564102564103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1" t="n">
        <v>1</v>
      </c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7" t="n">
        <v>1</v>
      </c>
      <c r="Z415" s="13">
        <f>SUMPRODUCT(N415:Y415,$N$2:$Y$2)*$K415*$L415*$M415</f>
        <v/>
      </c>
      <c r="AA415" s="14">
        <f>SUM(N415:Y415)</f>
        <v/>
      </c>
      <c r="AB415" s="14">
        <f>IFERROR(IF(UPPER($E415)="L",SUMPRODUCT(N415:Y415,$N$3:$Y$3,$N$2:$Y$2),SUMPRODUCT(N415:Y415,$N$4:$Y$4,$N$2:$Y$2))/(Z415/($K415*$L415*$M415)),"")</f>
        <v/>
      </c>
      <c r="AC415" s="18" t="n"/>
    </row>
    <row r="416">
      <c r="A416" s="9" t="n">
        <v>694374</v>
      </c>
      <c r="B416" s="9" t="inlineStr">
        <is>
          <t>Tim Tawa</t>
        </is>
      </c>
      <c r="C416" s="9" t="inlineStr">
        <is>
          <t>ARI</t>
        </is>
      </c>
      <c r="D416" s="9" t="n">
        <v>28</v>
      </c>
      <c r="E416" s="16" t="inlineStr">
        <is>
          <t>R</t>
        </is>
      </c>
      <c r="F416" s="16" t="inlineStr">
        <is>
          <t>1B</t>
        </is>
      </c>
      <c r="G416" s="9" t="n">
        <v>351</v>
      </c>
      <c r="H416" s="9" t="n">
        <v>576</v>
      </c>
      <c r="I416" s="9" t="inlineStr">
        <is>
          <t>Full Time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1" t="n">
        <v>0.9206166380893728</v>
      </c>
      <c r="N416" s="17" t="n">
        <v>0.7</v>
      </c>
      <c r="O416" s="17" t="n"/>
      <c r="P416" s="17" t="n">
        <v>0.3</v>
      </c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7" t="n"/>
      <c r="Z416" s="13">
        <f>SUMPRODUCT(N416:Y416,$N$2:$Y$2)*$K416*$L416*$M416</f>
        <v/>
      </c>
      <c r="AA416" s="14">
        <f>SUM(N416:Y416)</f>
        <v/>
      </c>
      <c r="AB416" s="14">
        <f>IFERROR(IF(UPPER($E416)="L",SUMPRODUCT(N416:Y416,$N$3:$Y$3,$N$2:$Y$2),SUMPRODUCT(N416:Y416,$N$4:$Y$4,$N$2:$Y$2))/(Z416/($K416*$L416*$M416)),"")</f>
        <v/>
      </c>
      <c r="AC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inlineStr">
        <is>
          <t>LF</t>
        </is>
      </c>
      <c r="G417" s="9" t="n">
        <v>12</v>
      </c>
      <c r="H417" s="9" t="n">
        <v>126</v>
      </c>
      <c r="I417" s="9" t="inlineStr">
        <is>
          <t>Injury Replacement / 26th Man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1" t="n">
        <v>1</v>
      </c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>
        <v>1</v>
      </c>
      <c r="Y417" s="17" t="n"/>
      <c r="Z417" s="13">
        <f>SUMPRODUCT(N417:Y417,$N$2:$Y$2)*$K417*$L417*$M417</f>
        <v/>
      </c>
      <c r="AA417" s="14">
        <f>SUM(N417:Y417)</f>
        <v/>
      </c>
      <c r="AB417" s="14">
        <f>IFERROR(IF(UPPER($E417)="L",SUMPRODUCT(N417:Y417,$N$3:$Y$3,$N$2:$Y$2),SUMPRODUCT(N417:Y417,$N$4:$Y$4,$N$2:$Y$2))/(Z417/($K417*$L417*$M417)),"")</f>
        <v/>
      </c>
      <c r="AC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inlineStr">
        <is>
          <t>1B</t>
        </is>
      </c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1" t="n">
        <v>0.791060373144398</v>
      </c>
      <c r="N418" s="17" t="n">
        <v>1</v>
      </c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7" t="n"/>
      <c r="Z418" s="13">
        <f>SUMPRODUCT(N418:Y418,$N$2:$Y$2)*$K418*$L418*$M418</f>
        <v/>
      </c>
      <c r="AA418" s="14">
        <f>SUM(N418:Y418)</f>
        <v/>
      </c>
      <c r="AB418" s="14">
        <f>IFERROR(IF(UPPER($E418)="L",SUMPRODUCT(N418:Y418,$N$3:$Y$3,$N$2:$Y$2),SUMPRODUCT(N418:Y418,$N$4:$Y$4,$N$2:$Y$2))/(Z418/($K418*$L418*$M418)),"")</f>
        <v/>
      </c>
      <c r="AC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inlineStr">
        <is>
          <t>LF</t>
        </is>
      </c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1" t="n">
        <v>1</v>
      </c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7" t="n">
        <v>1</v>
      </c>
      <c r="Z419" s="13">
        <f>SUMPRODUCT(N419:Y419,$N$2:$Y$2)*$K419*$L419*$M419</f>
        <v/>
      </c>
      <c r="AA419" s="14">
        <f>SUM(N419:Y419)</f>
        <v/>
      </c>
      <c r="AB419" s="14">
        <f>IFERROR(IF(UPPER($E419)="L",SUMPRODUCT(N419:Y419,$N$3:$Y$3,$N$2:$Y$2),SUMPRODUCT(N419:Y419,$N$4:$Y$4,$N$2:$Y$2))/(Z419/($K419*$L419*$M419)),"")</f>
        <v/>
      </c>
      <c r="AC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1" t="n">
        <v>1</v>
      </c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7" t="n">
        <v>1</v>
      </c>
      <c r="Z420" s="13">
        <f>SUMPRODUCT(N420:Y420,$N$2:$Y$2)*$K420*$L420*$M420</f>
        <v/>
      </c>
      <c r="AA420" s="14">
        <f>SUM(N420:Y420)</f>
        <v/>
      </c>
      <c r="AB420" s="14">
        <f>IFERROR(IF(UPPER($E420)="L",SUMPRODUCT(N420:Y420,$N$3:$Y$3,$N$2:$Y$2),SUMPRODUCT(N420:Y420,$N$4:$Y$4,$N$2:$Y$2))/(Z420/($K420*$L420*$M420)),"")</f>
        <v/>
      </c>
      <c r="AC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inlineStr">
        <is>
          <t>CF</t>
        </is>
      </c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1" t="n">
        <v>0.9001940382467615</v>
      </c>
      <c r="N421" s="17" t="n"/>
      <c r="O421" s="17" t="n"/>
      <c r="P421" s="17" t="n"/>
      <c r="Q421" s="17" t="n"/>
      <c r="R421" s="17" t="n"/>
      <c r="S421" s="17" t="n"/>
      <c r="T421" s="17" t="n"/>
      <c r="U421" s="17" t="n">
        <v>0.4</v>
      </c>
      <c r="V421" s="17" t="n"/>
      <c r="W421" s="17" t="n">
        <v>0.6</v>
      </c>
      <c r="X421" s="17" t="n"/>
      <c r="Y421" s="17" t="n"/>
      <c r="Z421" s="13">
        <f>SUMPRODUCT(N421:Y421,$N$2:$Y$2)*$K421*$L421*$M421</f>
        <v/>
      </c>
      <c r="AA421" s="14">
        <f>SUM(N421:Y421)</f>
        <v/>
      </c>
      <c r="AB421" s="14">
        <f>IFERROR(IF(UPPER($E421)="L",SUMPRODUCT(N421:Y421,$N$3:$Y$3,$N$2:$Y$2),SUMPRODUCT(N421:Y421,$N$4:$Y$4,$N$2:$Y$2))/(Z421/($K421*$L421*$M421)),"")</f>
        <v/>
      </c>
      <c r="AC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inlineStr">
        <is>
          <t>LF</t>
        </is>
      </c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Late Season (~Sept)</t>
        </is>
      </c>
      <c r="K422" s="11">
        <f>IFERROR(INDEX(Roles!$B$17:$B$20,MATCH(J422,Roles!$A$17:$A$20,0)),1)</f>
        <v/>
      </c>
      <c r="L422" s="17" t="n">
        <v>1</v>
      </c>
      <c r="M422" s="11" t="n">
        <v>1</v>
      </c>
      <c r="N422" s="17" t="n"/>
      <c r="O422" s="17" t="n"/>
      <c r="P422" s="17" t="n"/>
      <c r="Q422" s="17" t="n"/>
      <c r="R422" s="17" t="n"/>
      <c r="S422" s="17" t="n"/>
      <c r="T422" s="17" t="n"/>
      <c r="U422" s="17" t="n">
        <v>0.4</v>
      </c>
      <c r="V422" s="17" t="n"/>
      <c r="W422" s="17" t="n">
        <v>0.6</v>
      </c>
      <c r="X422" s="17" t="n"/>
      <c r="Y422" s="17" t="n"/>
      <c r="Z422" s="13">
        <f>SUMPRODUCT(N422:Y422,$N$2:$Y$2)*$K422*$L422*$M422</f>
        <v/>
      </c>
      <c r="AA422" s="14">
        <f>SUM(N422:Y422)</f>
        <v/>
      </c>
      <c r="AB422" s="14">
        <f>IFERROR(IF(UPPER($E422)="L",SUMPRODUCT(N422:Y422,$N$3:$Y$3,$N$2:$Y$2),SUMPRODUCT(N422:Y422,$N$4:$Y$4,$N$2:$Y$2))/(Z422/($K422*$L422*$M422)),"")</f>
        <v/>
      </c>
      <c r="AC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1" t="n">
        <v>1</v>
      </c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7" t="n">
        <v>1</v>
      </c>
      <c r="Z423" s="13">
        <f>SUMPRODUCT(N423:Y423,$N$2:$Y$2)*$K423*$L423*$M423</f>
        <v/>
      </c>
      <c r="AA423" s="14">
        <f>SUM(N423:Y423)</f>
        <v/>
      </c>
      <c r="AB423" s="14">
        <f>IFERROR(IF(UPPER($E423)="L",SUMPRODUCT(N423:Y423,$N$3:$Y$3,$N$2:$Y$2),SUMPRODUCT(N423:Y423,$N$4:$Y$4,$N$2:$Y$2))/(Z423/($K423*$L423*$M423)),"")</f>
        <v/>
      </c>
      <c r="AC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1" t="n">
        <v>1</v>
      </c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7" t="n">
        <v>1</v>
      </c>
      <c r="Z424" s="13">
        <f>SUMPRODUCT(N424:Y424,$N$2:$Y$2)*$K424*$L424*$M424</f>
        <v/>
      </c>
      <c r="AA424" s="14">
        <f>SUM(N424:Y424)</f>
        <v/>
      </c>
      <c r="AB424" s="14">
        <f>IFERROR(IF(UPPER($E424)="L",SUMPRODUCT(N424:Y424,$N$3:$Y$3,$N$2:$Y$2),SUMPRODUCT(N424:Y424,$N$4:$Y$4,$N$2:$Y$2))/(Z424/($K424*$L424*$M424)),"")</f>
        <v/>
      </c>
      <c r="AC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1" t="n">
        <v>1</v>
      </c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7" t="n">
        <v>1</v>
      </c>
      <c r="Z425" s="13">
        <f>SUMPRODUCT(N425:Y425,$N$2:$Y$2)*$K425*$L425*$M425</f>
        <v/>
      </c>
      <c r="AA425" s="14">
        <f>SUM(N425:Y425)</f>
        <v/>
      </c>
      <c r="AB425" s="14">
        <f>IFERROR(IF(UPPER($E425)="L",SUMPRODUCT(N425:Y425,$N$3:$Y$3,$N$2:$Y$2),SUMPRODUCT(N425:Y425,$N$4:$Y$4,$N$2:$Y$2))/(Z425/($K425*$L425*$M425)),"")</f>
        <v/>
      </c>
      <c r="AC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inlineStr">
        <is>
          <t>CF</t>
        </is>
      </c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1" t="n">
        <v>1</v>
      </c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>
        <v>0.85</v>
      </c>
      <c r="X426" s="17" t="n">
        <v>0.15</v>
      </c>
      <c r="Y426" s="17" t="n"/>
      <c r="Z426" s="13">
        <f>SUMPRODUCT(N426:Y426,$N$2:$Y$2)*$K426*$L426*$M426</f>
        <v/>
      </c>
      <c r="AA426" s="14">
        <f>SUM(N426:Y426)</f>
        <v/>
      </c>
      <c r="AB426" s="14">
        <f>IFERROR(IF(UPPER($E426)="L",SUMPRODUCT(N426:Y426,$N$3:$Y$3,$N$2:$Y$2),SUMPRODUCT(N426:Y426,$N$4:$Y$4,$N$2:$Y$2))/(Z426/($K426*$L426*$M426)),"")</f>
        <v/>
      </c>
      <c r="AC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1" t="n">
        <v>1</v>
      </c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7" t="n">
        <v>1</v>
      </c>
      <c r="Z427" s="13">
        <f>SUMPRODUCT(N427:Y427,$N$2:$Y$2)*$K427*$L427*$M427</f>
        <v/>
      </c>
      <c r="AA427" s="14">
        <f>SUM(N427:Y427)</f>
        <v/>
      </c>
      <c r="AB427" s="14">
        <f>IFERROR(IF(UPPER($E427)="L",SUMPRODUCT(N427:Y427,$N$3:$Y$3,$N$2:$Y$2),SUMPRODUCT(N427:Y427,$N$4:$Y$4,$N$2:$Y$2))/(Z427/($K427*$L427*$M427)),"")</f>
        <v/>
      </c>
      <c r="AC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1" t="n">
        <v>1</v>
      </c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7" t="n">
        <v>1</v>
      </c>
      <c r="Z428" s="13">
        <f>SUMPRODUCT(N428:Y428,$N$2:$Y$2)*$K428*$L428*$M428</f>
        <v/>
      </c>
      <c r="AA428" s="14">
        <f>SUM(N428:Y428)</f>
        <v/>
      </c>
      <c r="AB428" s="14">
        <f>IFERROR(IF(UPPER($E428)="L",SUMPRODUCT(N428:Y428,$N$3:$Y$3,$N$2:$Y$2),SUMPRODUCT(N428:Y428,$N$4:$Y$4,$N$2:$Y$2))/(Z428/($K428*$L428*$M428)),"")</f>
        <v/>
      </c>
      <c r="AC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inlineStr">
        <is>
          <t>1B</t>
        </is>
      </c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1" t="n">
        <v>1</v>
      </c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>
        <v>1</v>
      </c>
      <c r="X429" s="17" t="n"/>
      <c r="Y429" s="17" t="n"/>
      <c r="Z429" s="13">
        <f>SUMPRODUCT(N429:Y429,$N$2:$Y$2)*$K429*$L429*$M429</f>
        <v/>
      </c>
      <c r="AA429" s="14">
        <f>SUM(N429:Y429)</f>
        <v/>
      </c>
      <c r="AB429" s="14">
        <f>IFERROR(IF(UPPER($E429)="L",SUMPRODUCT(N429:Y429,$N$3:$Y$3,$N$2:$Y$2),SUMPRODUCT(N429:Y429,$N$4:$Y$4,$N$2:$Y$2))/(Z429/($K429*$L429*$M429)),"")</f>
        <v/>
      </c>
      <c r="AC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1" t="n">
        <v>1</v>
      </c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7" t="n">
        <v>1</v>
      </c>
      <c r="Z430" s="13">
        <f>SUMPRODUCT(N430:Y430,$N$2:$Y$2)*$K430*$L430*$M430</f>
        <v/>
      </c>
      <c r="AA430" s="14">
        <f>SUM(N430:Y430)</f>
        <v/>
      </c>
      <c r="AB430" s="14">
        <f>IFERROR(IF(UPPER($E430)="L",SUMPRODUCT(N430:Y430,$N$3:$Y$3,$N$2:$Y$2),SUMPRODUCT(N430:Y430,$N$4:$Y$4,$N$2:$Y$2))/(Z430/($K430*$L430*$M430)),"")</f>
        <v/>
      </c>
      <c r="AC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inlineStr">
        <is>
          <t>2B</t>
        </is>
      </c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1" t="n">
        <v>1.080894771453726</v>
      </c>
      <c r="N431" s="17" t="n">
        <v>1</v>
      </c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7" t="n"/>
      <c r="Z431" s="13">
        <f>SUMPRODUCT(N431:Y431,$N$2:$Y$2)*$K431*$L431*$M431</f>
        <v/>
      </c>
      <c r="AA431" s="14">
        <f>SUM(N431:Y431)</f>
        <v/>
      </c>
      <c r="AB431" s="14">
        <f>IFERROR(IF(UPPER($E431)="L",SUMPRODUCT(N431:Y431,$N$3:$Y$3,$N$2:$Y$2),SUMPRODUCT(N431:Y431,$N$4:$Y$4,$N$2:$Y$2))/(Z431/($K431*$L431*$M431)),"")</f>
        <v/>
      </c>
      <c r="AC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1" t="n">
        <v>1</v>
      </c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7" t="n">
        <v>1</v>
      </c>
      <c r="Z432" s="13">
        <f>SUMPRODUCT(N432:Y432,$N$2:$Y$2)*$K432*$L432*$M432</f>
        <v/>
      </c>
      <c r="AA432" s="14">
        <f>SUM(N432:Y432)</f>
        <v/>
      </c>
      <c r="AB432" s="14">
        <f>IFERROR(IF(UPPER($E432)="L",SUMPRODUCT(N432:Y432,$N$3:$Y$3,$N$2:$Y$2),SUMPRODUCT(N432:Y432,$N$4:$Y$4,$N$2:$Y$2))/(Z432/($K432*$L432*$M432)),"")</f>
        <v/>
      </c>
      <c r="AC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1" t="n">
        <v>1</v>
      </c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7" t="n">
        <v>1</v>
      </c>
      <c r="Z433" s="13">
        <f>SUMPRODUCT(N433:Y433,$N$2:$Y$2)*$K433*$L433*$M433</f>
        <v/>
      </c>
      <c r="AA433" s="14">
        <f>SUM(N433:Y433)</f>
        <v/>
      </c>
      <c r="AB433" s="14">
        <f>IFERROR(IF(UPPER($E433)="L",SUMPRODUCT(N433:Y433,$N$3:$Y$3,$N$2:$Y$2),SUMPRODUCT(N433:Y433,$N$4:$Y$4,$N$2:$Y$2))/(Z433/($K433*$L433*$M433)),"")</f>
        <v/>
      </c>
      <c r="AC433" s="18" t="n"/>
    </row>
    <row r="434">
      <c r="A434" s="9" t="n">
        <v>815044</v>
      </c>
      <c r="B434" s="9" t="inlineStr">
        <is>
          <t>Sam Mongelli</t>
        </is>
      </c>
      <c r="C434" s="9" t="inlineStr">
        <is>
          <t>LAD</t>
        </is>
      </c>
      <c r="D434" s="9" t="n">
        <v>25</v>
      </c>
      <c r="E434" s="16" t="inlineStr">
        <is>
          <t>R</t>
        </is>
      </c>
      <c r="F434" s="16" t="n"/>
      <c r="G434" s="9" t="n">
        <v>14</v>
      </c>
      <c r="H434" s="9" t="n">
        <v>14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1" t="n">
        <v>1</v>
      </c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7" t="n">
        <v>1</v>
      </c>
      <c r="Z434" s="13">
        <f>SUMPRODUCT(N434:Y434,$N$2:$Y$2)*$K434*$L434*$M434</f>
        <v/>
      </c>
      <c r="AA434" s="14">
        <f>SUM(N434:Y434)</f>
        <v/>
      </c>
      <c r="AB434" s="14">
        <f>IFERROR(IF(UPPER($E434)="L",SUMPRODUCT(N434:Y434,$N$3:$Y$3,$N$2:$Y$2),SUMPRODUCT(N434:Y434,$N$4:$Y$4,$N$2:$Y$2))/(Z434/($K434*$L434*$M434)),"")</f>
        <v/>
      </c>
      <c r="AC434" s="18" t="n"/>
    </row>
    <row r="435">
      <c r="A435" s="9" t="n">
        <v>624641</v>
      </c>
      <c r="B435" s="9" t="inlineStr">
        <is>
          <t>Edmundo Sosa</t>
        </is>
      </c>
      <c r="C435" s="9" t="inlineStr">
        <is>
          <t>PHI</t>
        </is>
      </c>
      <c r="D435" s="9" t="n">
        <v>31</v>
      </c>
      <c r="E435" s="16" t="inlineStr">
        <is>
          <t>R</t>
        </is>
      </c>
      <c r="F435" s="16" t="inlineStr">
        <is>
          <t>LF</t>
        </is>
      </c>
      <c r="G435" s="9" t="n">
        <v>250</v>
      </c>
      <c r="H435" s="9" t="n">
        <v>1275</v>
      </c>
      <c r="I435" s="9" t="inlineStr">
        <is>
          <t>Full Time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1" t="n">
        <v>1</v>
      </c>
      <c r="N435" s="17" t="n">
        <v>0.6</v>
      </c>
      <c r="O435" s="17" t="n"/>
      <c r="P435" s="17" t="n"/>
      <c r="Q435" s="17" t="n"/>
      <c r="R435" s="17" t="n"/>
      <c r="S435" s="17" t="n"/>
      <c r="T435" s="17" t="n"/>
      <c r="U435" s="17" t="n"/>
      <c r="V435" s="17" t="n">
        <v>0.4</v>
      </c>
      <c r="W435" s="17" t="n"/>
      <c r="X435" s="17" t="n"/>
      <c r="Y435" s="17" t="n"/>
      <c r="Z435" s="13">
        <f>SUMPRODUCT(N435:Y435,$N$2:$Y$2)*$K435*$L435*$M435</f>
        <v/>
      </c>
      <c r="AA435" s="14">
        <f>SUM(N435:Y435)</f>
        <v/>
      </c>
      <c r="AB435" s="14">
        <f>IFERROR(IF(UPPER($E435)="L",SUMPRODUCT(N435:Y435,$N$3:$Y$3,$N$2:$Y$2),SUMPRODUCT(N435:Y435,$N$4:$Y$4,$N$2:$Y$2))/(Z435/($K435*$L435*$M435)),"")</f>
        <v/>
      </c>
      <c r="AC435" s="18" t="n"/>
    </row>
    <row r="436">
      <c r="A436" s="9" t="n">
        <v>822578</v>
      </c>
      <c r="B436" s="9" t="inlineStr">
        <is>
          <t>Brandon Butterworth</t>
        </is>
      </c>
      <c r="C436" s="9" t="inlineStr">
        <is>
          <t>BAL</t>
        </is>
      </c>
      <c r="D436" s="9" t="n">
        <v>25</v>
      </c>
      <c r="E436" s="16" t="inlineStr">
        <is>
          <t>R</t>
        </is>
      </c>
      <c r="F436" s="16" t="n"/>
      <c r="G436" s="9" t="n">
        <v>60.92307692307693</v>
      </c>
      <c r="H436" s="9" t="n">
        <v>60.92307692307693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1" t="n">
        <v>1</v>
      </c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7" t="n">
        <v>1</v>
      </c>
      <c r="Z436" s="13">
        <f>SUMPRODUCT(N436:Y436,$N$2:$Y$2)*$K436*$L436*$M436</f>
        <v/>
      </c>
      <c r="AA436" s="14">
        <f>SUM(N436:Y436)</f>
        <v/>
      </c>
      <c r="AB436" s="14">
        <f>IFERROR(IF(UPPER($E436)="L",SUMPRODUCT(N436:Y436,$N$3:$Y$3,$N$2:$Y$2),SUMPRODUCT(N436:Y436,$N$4:$Y$4,$N$2:$Y$2))/(Z436/($K436*$L436*$M436)),"")</f>
        <v/>
      </c>
      <c r="AC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1" t="n">
        <v>1</v>
      </c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7" t="n">
        <v>1</v>
      </c>
      <c r="Z437" s="13">
        <f>SUMPRODUCT(N437:Y437,$N$2:$Y$2)*$K437*$L437*$M437</f>
        <v/>
      </c>
      <c r="AA437" s="14">
        <f>SUM(N437:Y437)</f>
        <v/>
      </c>
      <c r="AB437" s="14">
        <f>IFERROR(IF(UPPER($E437)="L",SUMPRODUCT(N437:Y437,$N$3:$Y$3,$N$2:$Y$2),SUMPRODUCT(N437:Y437,$N$4:$Y$4,$N$2:$Y$2))/(Z437/($K437*$L437*$M437)),"")</f>
        <v/>
      </c>
      <c r="AC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25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Late Season (~Sept)</t>
        </is>
      </c>
      <c r="K438" s="11">
        <f>IFERROR(INDEX(Roles!$B$17:$B$20,MATCH(J438,Roles!$A$17:$A$20,0)),1)</f>
        <v/>
      </c>
      <c r="L438" s="17" t="n">
        <v>1</v>
      </c>
      <c r="M438" s="11" t="n">
        <v>1</v>
      </c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7" t="n">
        <v>1</v>
      </c>
      <c r="Z438" s="13">
        <f>SUMPRODUCT(N438:Y438,$N$2:$Y$2)*$K438*$L438*$M438</f>
        <v/>
      </c>
      <c r="AA438" s="14">
        <f>SUM(N438:Y438)</f>
        <v/>
      </c>
      <c r="AB438" s="14">
        <f>IFERROR(IF(UPPER($E438)="L",SUMPRODUCT(N438:Y438,$N$3:$Y$3,$N$2:$Y$2),SUMPRODUCT(N438:Y438,$N$4:$Y$4,$N$2:$Y$2))/(Z438/($K438*$L438*$M438)),"")</f>
        <v/>
      </c>
      <c r="AC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25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Bench Bat</t>
        </is>
      </c>
      <c r="J439" s="16" t="inlineStr">
        <is>
          <t>Mid Season (~July)</t>
        </is>
      </c>
      <c r="K439" s="11">
        <f>IFERROR(INDEX(Roles!$B$17:$B$20,MATCH(J439,Roles!$A$17:$A$20,0)),1)</f>
        <v/>
      </c>
      <c r="L439" s="17" t="n">
        <v>1</v>
      </c>
      <c r="M439" s="11" t="n">
        <v>1</v>
      </c>
      <c r="N439" s="17" t="n"/>
      <c r="O439" s="17" t="n"/>
      <c r="P439" s="17" t="n">
        <v>0.3</v>
      </c>
      <c r="Q439" s="17" t="n"/>
      <c r="R439" s="17" t="n"/>
      <c r="S439" s="17" t="n"/>
      <c r="T439" s="17" t="n"/>
      <c r="U439" s="17" t="n"/>
      <c r="V439" s="17" t="n"/>
      <c r="W439" s="17" t="n">
        <v>0.45</v>
      </c>
      <c r="X439" s="17" t="n">
        <v>0.25</v>
      </c>
      <c r="Y439" s="17" t="n"/>
      <c r="Z439" s="13">
        <f>SUMPRODUCT(N439:Y439,$N$2:$Y$2)*$K439*$L439*$M439</f>
        <v/>
      </c>
      <c r="AA439" s="14">
        <f>SUM(N439:Y439)</f>
        <v/>
      </c>
      <c r="AB439" s="14">
        <f>IFERROR(IF(UPPER($E439)="L",SUMPRODUCT(N439:Y439,$N$3:$Y$3,$N$2:$Y$2),SUMPRODUCT(N439:Y439,$N$4:$Y$4,$N$2:$Y$2))/(Z439/($K439*$L439*$M439)),"")</f>
        <v/>
      </c>
      <c r="AC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inlineStr">
        <is>
          <t>1B</t>
        </is>
      </c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1" t="n">
        <v>1</v>
      </c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>
        <v>1</v>
      </c>
      <c r="X440" s="17" t="n"/>
      <c r="Y440" s="17" t="n"/>
      <c r="Z440" s="13">
        <f>SUMPRODUCT(N440:Y440,$N$2:$Y$2)*$K440*$L440*$M440</f>
        <v/>
      </c>
      <c r="AA440" s="14">
        <f>SUM(N440:Y440)</f>
        <v/>
      </c>
      <c r="AB440" s="14">
        <f>IFERROR(IF(UPPER($E440)="L",SUMPRODUCT(N440:Y440,$N$3:$Y$3,$N$2:$Y$2),SUMPRODUCT(N440:Y440,$N$4:$Y$4,$N$2:$Y$2))/(Z440/($K440*$L440*$M440)),"")</f>
        <v/>
      </c>
      <c r="AC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inlineStr">
        <is>
          <t>CF</t>
        </is>
      </c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1" t="n">
        <v>0.9333789166059072</v>
      </c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>
        <v>1</v>
      </c>
      <c r="X441" s="17" t="n"/>
      <c r="Y441" s="17" t="n"/>
      <c r="Z441" s="13">
        <f>SUMPRODUCT(N441:Y441,$N$2:$Y$2)*$K441*$L441*$M441</f>
        <v/>
      </c>
      <c r="AA441" s="14">
        <f>SUM(N441:Y441)</f>
        <v/>
      </c>
      <c r="AB441" s="14">
        <f>IFERROR(IF(UPPER($E441)="L",SUMPRODUCT(N441:Y441,$N$3:$Y$3,$N$2:$Y$2),SUMPRODUCT(N441:Y441,$N$4:$Y$4,$N$2:$Y$2))/(Z441/($K441*$L441*$M441)),"")</f>
        <v/>
      </c>
      <c r="AC441" s="18" t="n"/>
    </row>
    <row r="442">
      <c r="A442" s="9" t="n">
        <v>687554</v>
      </c>
      <c r="B442" s="9" t="inlineStr">
        <is>
          <t>DJ Gladney</t>
        </is>
      </c>
      <c r="C442" s="9" t="inlineStr">
        <is>
          <t>NYY</t>
        </is>
      </c>
      <c r="D442" s="9" t="n">
        <v>25</v>
      </c>
      <c r="E442" s="16" t="inlineStr">
        <is>
          <t>R</t>
        </is>
      </c>
      <c r="F442" s="16" t="n"/>
      <c r="G442" s="9" t="n">
        <v>170.1538461538462</v>
      </c>
      <c r="H442" s="9" t="n">
        <v>170.1538461538462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1" t="n">
        <v>1</v>
      </c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7" t="n">
        <v>1</v>
      </c>
      <c r="Z442" s="13">
        <f>SUMPRODUCT(N442:Y442,$N$2:$Y$2)*$K442*$L442*$M442</f>
        <v/>
      </c>
      <c r="AA442" s="14">
        <f>SUM(N442:Y442)</f>
        <v/>
      </c>
      <c r="AB442" s="14">
        <f>IFERROR(IF(UPPER($E442)="L",SUMPRODUCT(N442:Y442,$N$3:$Y$3,$N$2:$Y$2),SUMPRODUCT(N442:Y442,$N$4:$Y$4,$N$2:$Y$2))/(Z442/($K442*$L442*$M442)),"")</f>
        <v/>
      </c>
      <c r="AC442" s="18" t="n"/>
    </row>
    <row r="443">
      <c r="A443" s="9" t="n">
        <v>827665</v>
      </c>
      <c r="B443" s="9" t="inlineStr">
        <is>
          <t>Dillon Lewis</t>
        </is>
      </c>
      <c r="C443" s="9" t="inlineStr">
        <is>
          <t>MIA</t>
        </is>
      </c>
      <c r="D443" s="9" t="n">
        <v>25</v>
      </c>
      <c r="E443" s="16" t="inlineStr">
        <is>
          <t>R</t>
        </is>
      </c>
      <c r="F443" s="16" t="n"/>
      <c r="G443" s="9" t="n">
        <v>131.7435897435897</v>
      </c>
      <c r="H443" s="9" t="n">
        <v>131.7435897435897</v>
      </c>
      <c r="I443" s="9" t="inlineStr">
        <is>
          <t>Depth (no MLB PA)</t>
        </is>
      </c>
      <c r="J443" s="16" t="inlineStr">
        <is>
          <t>Mid Season (~July)</t>
        </is>
      </c>
      <c r="K443" s="11">
        <f>IFERROR(INDEX(Roles!$B$17:$B$20,MATCH(J443,Roles!$A$17:$A$20,0)),1)</f>
        <v/>
      </c>
      <c r="L443" s="17" t="n">
        <v>1</v>
      </c>
      <c r="M443" s="11" t="n">
        <v>1</v>
      </c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7" t="n">
        <v>1</v>
      </c>
      <c r="Z443" s="13">
        <f>SUMPRODUCT(N443:Y443,$N$2:$Y$2)*$K443*$L443*$M443</f>
        <v/>
      </c>
      <c r="AA443" s="14">
        <f>SUM(N443:Y443)</f>
        <v/>
      </c>
      <c r="AB443" s="14">
        <f>IFERROR(IF(UPPER($E443)="L",SUMPRODUCT(N443:Y443,$N$3:$Y$3,$N$2:$Y$2),SUMPRODUCT(N443:Y443,$N$4:$Y$4,$N$2:$Y$2))/(Z443/($K443*$L443*$M443)),"")</f>
        <v/>
      </c>
      <c r="AC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inlineStr">
        <is>
          <t>RF</t>
        </is>
      </c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1" t="n">
        <v>1</v>
      </c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>
        <v>1</v>
      </c>
      <c r="W444" s="17" t="n"/>
      <c r="X444" s="17" t="n"/>
      <c r="Y444" s="17" t="n"/>
      <c r="Z444" s="13">
        <f>SUMPRODUCT(N444:Y444,$N$2:$Y$2)*$K444*$L444*$M444</f>
        <v/>
      </c>
      <c r="AA444" s="14">
        <f>SUM(N444:Y444)</f>
        <v/>
      </c>
      <c r="AB444" s="14">
        <f>IFERROR(IF(UPPER($E444)="L",SUMPRODUCT(N444:Y444,$N$3:$Y$3,$N$2:$Y$2),SUMPRODUCT(N444:Y444,$N$4:$Y$4,$N$2:$Y$2))/(Z444/($K444*$L444*$M444)),"")</f>
        <v/>
      </c>
      <c r="AC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inlineStr">
        <is>
          <t>LF</t>
        </is>
      </c>
      <c r="G445" s="9" t="n">
        <v>408</v>
      </c>
      <c r="H445" s="9" t="n">
        <v>2379</v>
      </c>
      <c r="I445" s="9" t="inlineStr">
        <is>
          <t>Strong Side Platoon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1" t="n">
        <v>1.15</v>
      </c>
      <c r="N445" s="17" t="n">
        <v>0.4</v>
      </c>
      <c r="O445" s="17" t="n"/>
      <c r="P445" s="17" t="n">
        <v>0.6</v>
      </c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7" t="n"/>
      <c r="Z445" s="13">
        <f>SUMPRODUCT(N445:Y445,$N$2:$Y$2)*$K445*$L445*$M445</f>
        <v/>
      </c>
      <c r="AA445" s="14">
        <f>SUM(N445:Y445)</f>
        <v/>
      </c>
      <c r="AB445" s="14">
        <f>IFERROR(IF(UPPER($E445)="L",SUMPRODUCT(N445:Y445,$N$3:$Y$3,$N$2:$Y$2),SUMPRODUCT(N445:Y445,$N$4:$Y$4,$N$2:$Y$2))/(Z445/($K445*$L445*$M445)),"")</f>
        <v/>
      </c>
      <c r="AC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1" t="n">
        <v>1</v>
      </c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7" t="n">
        <v>1</v>
      </c>
      <c r="Z446" s="13">
        <f>SUMPRODUCT(N446:Y446,$N$2:$Y$2)*$K446*$L446*$M446</f>
        <v/>
      </c>
      <c r="AA446" s="14">
        <f>SUM(N446:Y446)</f>
        <v/>
      </c>
      <c r="AB446" s="14">
        <f>IFERROR(IF(UPPER($E446)="L",SUMPRODUCT(N446:Y446,$N$3:$Y$3,$N$2:$Y$2),SUMPRODUCT(N446:Y446,$N$4:$Y$4,$N$2:$Y$2))/(Z446/($K446*$L446*$M446)),"")</f>
        <v/>
      </c>
      <c r="AC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1" t="n">
        <v>1</v>
      </c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7" t="n">
        <v>1</v>
      </c>
      <c r="Z447" s="13">
        <f>SUMPRODUCT(N447:Y447,$N$2:$Y$2)*$K447*$L447*$M447</f>
        <v/>
      </c>
      <c r="AA447" s="14">
        <f>SUM(N447:Y447)</f>
        <v/>
      </c>
      <c r="AB447" s="14">
        <f>IFERROR(IF(UPPER($E447)="L",SUMPRODUCT(N447:Y447,$N$3:$Y$3,$N$2:$Y$2),SUMPRODUCT(N447:Y447,$N$4:$Y$4,$N$2:$Y$2))/(Z447/($K447*$L447*$M447)),"")</f>
        <v/>
      </c>
      <c r="AC447" s="18" t="n"/>
    </row>
    <row r="448">
      <c r="A448" s="9" t="n">
        <v>801629</v>
      </c>
      <c r="B448" s="9" t="inlineStr">
        <is>
          <t>Cade McGee</t>
        </is>
      </c>
      <c r="C448" s="9" t="inlineStr">
        <is>
          <t>STL</t>
        </is>
      </c>
      <c r="D448" s="9" t="n">
        <v>25</v>
      </c>
      <c r="E448" s="16" t="inlineStr">
        <is>
          <t>R</t>
        </is>
      </c>
      <c r="F448" s="16" t="n"/>
      <c r="G448" s="9" t="n">
        <v>15.07692307692308</v>
      </c>
      <c r="H448" s="9" t="n">
        <v>15.07692307692308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1" t="n">
        <v>1</v>
      </c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7" t="n">
        <v>1</v>
      </c>
      <c r="Z448" s="13">
        <f>SUMPRODUCT(N448:Y448,$N$2:$Y$2)*$K448*$L448*$M448</f>
        <v/>
      </c>
      <c r="AA448" s="14">
        <f>SUM(N448:Y448)</f>
        <v/>
      </c>
      <c r="AB448" s="14">
        <f>IFERROR(IF(UPPER($E448)="L",SUMPRODUCT(N448:Y448,$N$3:$Y$3,$N$2:$Y$2),SUMPRODUCT(N448:Y448,$N$4:$Y$4,$N$2:$Y$2))/(Z448/($K448*$L448*$M448)),"")</f>
        <v/>
      </c>
      <c r="AC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1" t="n">
        <v>1</v>
      </c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7" t="n">
        <v>1</v>
      </c>
      <c r="Z449" s="13">
        <f>SUMPRODUCT(N449:Y449,$N$2:$Y$2)*$K449*$L449*$M449</f>
        <v/>
      </c>
      <c r="AA449" s="14">
        <f>SUM(N449:Y449)</f>
        <v/>
      </c>
      <c r="AB449" s="14">
        <f>IFERROR(IF(UPPER($E449)="L",SUMPRODUCT(N449:Y449,$N$3:$Y$3,$N$2:$Y$2),SUMPRODUCT(N449:Y449,$N$4:$Y$4,$N$2:$Y$2))/(Z449/($K449*$L449*$M449)),"")</f>
        <v/>
      </c>
      <c r="AC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inlineStr">
        <is>
          <t>3B</t>
        </is>
      </c>
      <c r="G450" s="9" t="n">
        <v>284</v>
      </c>
      <c r="H450" s="9" t="n">
        <v>504</v>
      </c>
      <c r="I450" s="9" t="inlineStr">
        <is>
          <t>Bench Bat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1" t="n">
        <v>1</v>
      </c>
      <c r="N450" s="17" t="n"/>
      <c r="O450" s="17" t="n"/>
      <c r="P450" s="17" t="n"/>
      <c r="Q450" s="17" t="n"/>
      <c r="R450" s="17" t="n"/>
      <c r="S450" s="17" t="n"/>
      <c r="T450" s="17" t="n"/>
      <c r="U450" s="17" t="n">
        <v>0.4</v>
      </c>
      <c r="V450" s="17" t="n"/>
      <c r="W450" s="17" t="n">
        <v>0.6</v>
      </c>
      <c r="X450" s="17" t="n"/>
      <c r="Y450" s="17" t="n"/>
      <c r="Z450" s="13">
        <f>SUMPRODUCT(N450:Y450,$N$2:$Y$2)*$K450*$L450*$M450</f>
        <v/>
      </c>
      <c r="AA450" s="14">
        <f>SUM(N450:Y450)</f>
        <v/>
      </c>
      <c r="AB450" s="14">
        <f>IFERROR(IF(UPPER($E450)="L",SUMPRODUCT(N450:Y450,$N$3:$Y$3,$N$2:$Y$2),SUMPRODUCT(N450:Y450,$N$4:$Y$4,$N$2:$Y$2))/(Z450/($K450*$L450*$M450)),"")</f>
        <v/>
      </c>
      <c r="AC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1" t="n">
        <v>1</v>
      </c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7" t="n">
        <v>1</v>
      </c>
      <c r="Z451" s="13">
        <f>SUMPRODUCT(N451:Y451,$N$2:$Y$2)*$K451*$L451*$M451</f>
        <v/>
      </c>
      <c r="AA451" s="14">
        <f>SUM(N451:Y451)</f>
        <v/>
      </c>
      <c r="AB451" s="14">
        <f>IFERROR(IF(UPPER($E451)="L",SUMPRODUCT(N451:Y451,$N$3:$Y$3,$N$2:$Y$2),SUMPRODUCT(N451:Y451,$N$4:$Y$4,$N$2:$Y$2))/(Z451/($K451*$L451*$M451)),"")</f>
        <v/>
      </c>
      <c r="AC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1" t="n">
        <v>1</v>
      </c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7" t="n">
        <v>1</v>
      </c>
      <c r="Z452" s="13">
        <f>SUMPRODUCT(N452:Y452,$N$2:$Y$2)*$K452*$L452*$M452</f>
        <v/>
      </c>
      <c r="AA452" s="14">
        <f>SUM(N452:Y452)</f>
        <v/>
      </c>
      <c r="AB452" s="14">
        <f>IFERROR(IF(UPPER($E452)="L",SUMPRODUCT(N452:Y452,$N$3:$Y$3,$N$2:$Y$2),SUMPRODUCT(N452:Y452,$N$4:$Y$4,$N$2:$Y$2))/(Z452/($K452*$L452*$M452)),"")</f>
        <v/>
      </c>
      <c r="AC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inlineStr">
        <is>
          <t>LF</t>
        </is>
      </c>
      <c r="G453" s="9" t="n">
        <v>655</v>
      </c>
      <c r="H453" s="9" t="n">
        <v>1006</v>
      </c>
      <c r="I453" s="9" t="inlineStr">
        <is>
          <t>Strong Side Platoon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1" t="n">
        <v>1.087778459030107</v>
      </c>
      <c r="N453" s="17" t="n">
        <v>0.4</v>
      </c>
      <c r="O453" s="17" t="n"/>
      <c r="P453" s="17" t="n">
        <v>0.6</v>
      </c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7" t="n"/>
      <c r="Z453" s="13">
        <f>SUMPRODUCT(N453:Y453,$N$2:$Y$2)*$K453*$L453*$M453</f>
        <v/>
      </c>
      <c r="AA453" s="14">
        <f>SUM(N453:Y453)</f>
        <v/>
      </c>
      <c r="AB453" s="14">
        <f>IFERROR(IF(UPPER($E453)="L",SUMPRODUCT(N453:Y453,$N$3:$Y$3,$N$2:$Y$2),SUMPRODUCT(N453:Y453,$N$4:$Y$4,$N$2:$Y$2))/(Z453/($K453*$L453*$M453)),"")</f>
        <v/>
      </c>
      <c r="AC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1" t="n">
        <v>1</v>
      </c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7" t="n">
        <v>1</v>
      </c>
      <c r="Z454" s="13">
        <f>SUMPRODUCT(N454:Y454,$N$2:$Y$2)*$K454*$L454*$M454</f>
        <v/>
      </c>
      <c r="AA454" s="14">
        <f>SUM(N454:Y454)</f>
        <v/>
      </c>
      <c r="AB454" s="14">
        <f>IFERROR(IF(UPPER($E454)="L",SUMPRODUCT(N454:Y454,$N$3:$Y$3,$N$2:$Y$2),SUMPRODUCT(N454:Y454,$N$4:$Y$4,$N$2:$Y$2))/(Z454/($K454*$L454*$M454)),"")</f>
        <v/>
      </c>
      <c r="AC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1" t="n">
        <v>1</v>
      </c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7" t="n">
        <v>1</v>
      </c>
      <c r="Z455" s="13">
        <f>SUMPRODUCT(N455:Y455,$N$2:$Y$2)*$K455*$L455*$M455</f>
        <v/>
      </c>
      <c r="AA455" s="14">
        <f>SUM(N455:Y455)</f>
        <v/>
      </c>
      <c r="AB455" s="14">
        <f>IFERROR(IF(UPPER($E455)="L",SUMPRODUCT(N455:Y455,$N$3:$Y$3,$N$2:$Y$2),SUMPRODUCT(N455:Y455,$N$4:$Y$4,$N$2:$Y$2))/(Z455/($K455*$L455*$M455)),"")</f>
        <v/>
      </c>
      <c r="AC455" s="18" t="n"/>
    </row>
    <row r="456">
      <c r="A456" s="9" t="n">
        <v>694974</v>
      </c>
      <c r="B456" s="9" t="inlineStr">
        <is>
          <t>Colby Shade</t>
        </is>
      </c>
      <c r="C456" s="9" t="inlineStr">
        <is>
          <t>MIA</t>
        </is>
      </c>
      <c r="D456" s="9" t="n">
        <v>25</v>
      </c>
      <c r="E456" s="16" t="inlineStr">
        <is>
          <t>R</t>
        </is>
      </c>
      <c r="F456" s="16" t="n"/>
      <c r="G456" s="9" t="n">
        <v>39.48717948717948</v>
      </c>
      <c r="H456" s="9" t="n">
        <v>39.48717948717948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1" t="n">
        <v>1</v>
      </c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7" t="n">
        <v>1</v>
      </c>
      <c r="Z456" s="13">
        <f>SUMPRODUCT(N456:Y456,$N$2:$Y$2)*$K456*$L456*$M456</f>
        <v/>
      </c>
      <c r="AA456" s="14">
        <f>SUM(N456:Y456)</f>
        <v/>
      </c>
      <c r="AB456" s="14">
        <f>IFERROR(IF(UPPER($E456)="L",SUMPRODUCT(N456:Y456,$N$3:$Y$3,$N$2:$Y$2),SUMPRODUCT(N456:Y456,$N$4:$Y$4,$N$2:$Y$2))/(Z456/($K456*$L456*$M456)),"")</f>
        <v/>
      </c>
      <c r="AC456" s="18" t="n"/>
    </row>
    <row r="457">
      <c r="A457" s="9" t="n">
        <v>668952</v>
      </c>
      <c r="B457" s="9" t="inlineStr">
        <is>
          <t>Ryan Kreidler</t>
        </is>
      </c>
      <c r="C457" s="9" t="inlineStr">
        <is>
          <t>MIN</t>
        </is>
      </c>
      <c r="D457" s="9" t="n">
        <v>29</v>
      </c>
      <c r="E457" s="16" t="inlineStr">
        <is>
          <t>R</t>
        </is>
      </c>
      <c r="F457" s="16" t="inlineStr">
        <is>
          <t>SS</t>
        </is>
      </c>
      <c r="G457" s="9" t="n">
        <v>267</v>
      </c>
      <c r="H457" s="9" t="n">
        <v>478</v>
      </c>
      <c r="I457" s="9" t="inlineStr">
        <is>
          <t>Bench Bat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1" t="n">
        <v>0.8469350107776557</v>
      </c>
      <c r="N457" s="17" t="n"/>
      <c r="O457" s="17" t="n"/>
      <c r="P457" s="17" t="n"/>
      <c r="Q457" s="17" t="n"/>
      <c r="R457" s="17" t="n"/>
      <c r="S457" s="17" t="n"/>
      <c r="T457" s="17" t="n"/>
      <c r="U457" s="17" t="n">
        <v>0.4</v>
      </c>
      <c r="V457" s="17" t="n"/>
      <c r="W457" s="17" t="n">
        <v>0.6</v>
      </c>
      <c r="X457" s="17" t="n"/>
      <c r="Y457" s="17" t="n"/>
      <c r="Z457" s="13">
        <f>SUMPRODUCT(N457:Y457,$N$2:$Y$2)*$K457*$L457*$M457</f>
        <v/>
      </c>
      <c r="AA457" s="14">
        <f>SUM(N457:Y457)</f>
        <v/>
      </c>
      <c r="AB457" s="14">
        <f>IFERROR(IF(UPPER($E457)="L",SUMPRODUCT(N457:Y457,$N$3:$Y$3,$N$2:$Y$2),SUMPRODUCT(N457:Y457,$N$4:$Y$4,$N$2:$Y$2))/(Z457/($K457*$L457*$M457)),"")</f>
        <v/>
      </c>
      <c r="AC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inlineStr">
        <is>
          <t>3B</t>
        </is>
      </c>
      <c r="G458" s="9" t="n">
        <v>100</v>
      </c>
      <c r="H458" s="9" t="n">
        <v>1633</v>
      </c>
      <c r="I458" s="9" t="inlineStr">
        <is>
          <t>Utility IF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1" t="n">
        <v>0.8735002763864069</v>
      </c>
      <c r="N458" s="17" t="n"/>
      <c r="O458" s="17" t="n"/>
      <c r="P458" s="17" t="n"/>
      <c r="Q458" s="17" t="n"/>
      <c r="R458" s="17" t="n"/>
      <c r="S458" s="17" t="n"/>
      <c r="T458" s="17" t="n"/>
      <c r="U458" s="17" t="n">
        <v>1</v>
      </c>
      <c r="V458" s="17" t="n"/>
      <c r="W458" s="17" t="n"/>
      <c r="X458" s="17" t="n"/>
      <c r="Y458" s="17" t="n"/>
      <c r="Z458" s="13">
        <f>SUMPRODUCT(N458:Y458,$N$2:$Y$2)*$K458*$L458*$M458</f>
        <v/>
      </c>
      <c r="AA458" s="14">
        <f>SUM(N458:Y458)</f>
        <v/>
      </c>
      <c r="AB458" s="14">
        <f>IFERROR(IF(UPPER($E458)="L",SUMPRODUCT(N458:Y458,$N$3:$Y$3,$N$2:$Y$2),SUMPRODUCT(N458:Y458,$N$4:$Y$4,$N$2:$Y$2))/(Z458/($K458*$L458*$M458)),"")</f>
        <v/>
      </c>
      <c r="AC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inlineStr">
        <is>
          <t>LF</t>
        </is>
      </c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1" t="n">
        <v>1</v>
      </c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>
        <v>1</v>
      </c>
      <c r="X459" s="17" t="n"/>
      <c r="Y459" s="17" t="n"/>
      <c r="Z459" s="13">
        <f>SUMPRODUCT(N459:Y459,$N$2:$Y$2)*$K459*$L459*$M459</f>
        <v/>
      </c>
      <c r="AA459" s="14">
        <f>SUM(N459:Y459)</f>
        <v/>
      </c>
      <c r="AB459" s="14">
        <f>IFERROR(IF(UPPER($E459)="L",SUMPRODUCT(N459:Y459,$N$3:$Y$3,$N$2:$Y$2),SUMPRODUCT(N459:Y459,$N$4:$Y$4,$N$2:$Y$2))/(Z459/($K459*$L459*$M459)),"")</f>
        <v/>
      </c>
      <c r="AC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inlineStr">
        <is>
          <t>3B</t>
        </is>
      </c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1" t="n">
        <v>1.091944176667865</v>
      </c>
      <c r="N460" s="17" t="n">
        <v>1</v>
      </c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7" t="n"/>
      <c r="Z460" s="13">
        <f>SUMPRODUCT(N460:Y460,$N$2:$Y$2)*$K460*$L460*$M460</f>
        <v/>
      </c>
      <c r="AA460" s="14">
        <f>SUM(N460:Y460)</f>
        <v/>
      </c>
      <c r="AB460" s="14">
        <f>IFERROR(IF(UPPER($E460)="L",SUMPRODUCT(N460:Y460,$N$3:$Y$3,$N$2:$Y$2),SUMPRODUCT(N460:Y460,$N$4:$Y$4,$N$2:$Y$2))/(Z460/($K460*$L460*$M460)),"")</f>
        <v/>
      </c>
      <c r="AC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1" t="n">
        <v>1</v>
      </c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7" t="n">
        <v>1</v>
      </c>
      <c r="Z461" s="13">
        <f>SUMPRODUCT(N461:Y461,$N$2:$Y$2)*$K461*$L461*$M461</f>
        <v/>
      </c>
      <c r="AA461" s="14">
        <f>SUM(N461:Y461)</f>
        <v/>
      </c>
      <c r="AB461" s="14">
        <f>IFERROR(IF(UPPER($E461)="L",SUMPRODUCT(N461:Y461,$N$3:$Y$3,$N$2:$Y$2),SUMPRODUCT(N461:Y461,$N$4:$Y$4,$N$2:$Y$2))/(Z461/($K461*$L461*$M461)),"")</f>
        <v/>
      </c>
      <c r="AC461" s="18" t="n"/>
    </row>
    <row r="462">
      <c r="A462" s="9" t="n">
        <v>671976</v>
      </c>
      <c r="B462" s="9" t="inlineStr">
        <is>
          <t>Tristan Peters</t>
        </is>
      </c>
      <c r="C462" s="9" t="inlineStr">
        <is>
          <t>CWS</t>
        </is>
      </c>
      <c r="D462" s="9" t="n">
        <v>27</v>
      </c>
      <c r="E462" s="16" t="inlineStr">
        <is>
          <t>L</t>
        </is>
      </c>
      <c r="F462" s="16" t="inlineStr">
        <is>
          <t>CF</t>
        </is>
      </c>
      <c r="G462" s="9" t="n">
        <v>491</v>
      </c>
      <c r="H462" s="9" t="n">
        <v>503</v>
      </c>
      <c r="I462" s="9" t="inlineStr">
        <is>
          <t>Full Time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1" t="n">
        <v>0.8891683309414395</v>
      </c>
      <c r="N462" s="17" t="n">
        <v>0.7</v>
      </c>
      <c r="O462" s="17" t="n"/>
      <c r="P462" s="17" t="n">
        <v>0.3</v>
      </c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7" t="n"/>
      <c r="Z462" s="13">
        <f>SUMPRODUCT(N462:Y462,$N$2:$Y$2)*$K462*$L462*$M462</f>
        <v/>
      </c>
      <c r="AA462" s="14">
        <f>SUM(N462:Y462)</f>
        <v/>
      </c>
      <c r="AB462" s="14">
        <f>IFERROR(IF(UPPER($E462)="L",SUMPRODUCT(N462:Y462,$N$3:$Y$3,$N$2:$Y$2),SUMPRODUCT(N462:Y462,$N$4:$Y$4,$N$2:$Y$2))/(Z462/($K462*$L462*$M462)),"")</f>
        <v/>
      </c>
      <c r="AC462" s="18" t="n"/>
    </row>
    <row r="463">
      <c r="A463" s="9" t="n">
        <v>666211</v>
      </c>
      <c r="B463" s="9" t="inlineStr">
        <is>
          <t>Taylor Trammell</t>
        </is>
      </c>
      <c r="C463" s="9" t="inlineStr">
        <is>
          <t>HOU</t>
        </is>
      </c>
      <c r="D463" s="9" t="n">
        <v>29</v>
      </c>
      <c r="E463" s="16" t="inlineStr">
        <is>
          <t>L</t>
        </is>
      </c>
      <c r="F463" s="16" t="inlineStr">
        <is>
          <t>LF</t>
        </is>
      </c>
      <c r="G463" s="9" t="n">
        <v>289</v>
      </c>
      <c r="H463" s="9" t="n">
        <v>605</v>
      </c>
      <c r="I463" s="9" t="inlineStr">
        <is>
          <t>Strong Side Platoon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1" t="n">
        <v>0.7905207188580672</v>
      </c>
      <c r="N463" s="17" t="n">
        <v>0.4</v>
      </c>
      <c r="O463" s="17" t="n"/>
      <c r="P463" s="17" t="n">
        <v>0.6</v>
      </c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7" t="n"/>
      <c r="Z463" s="13">
        <f>SUMPRODUCT(N463:Y463,$N$2:$Y$2)*$K463*$L463*$M463</f>
        <v/>
      </c>
      <c r="AA463" s="14">
        <f>SUM(N463:Y463)</f>
        <v/>
      </c>
      <c r="AB463" s="14">
        <f>IFERROR(IF(UPPER($E463)="L",SUMPRODUCT(N463:Y463,$N$3:$Y$3,$N$2:$Y$2),SUMPRODUCT(N463:Y463,$N$4:$Y$4,$N$2:$Y$2))/(Z463/($K463*$L463*$M463)),"")</f>
        <v/>
      </c>
      <c r="AC463" s="18" t="n"/>
    </row>
    <row r="464">
      <c r="A464" s="9" t="n">
        <v>664670</v>
      </c>
      <c r="B464" s="9" t="inlineStr">
        <is>
          <t>Alejo Lopez</t>
        </is>
      </c>
      <c r="C464" s="9" t="inlineStr">
        <is>
          <t>CIN</t>
        </is>
      </c>
      <c r="D464" s="9" t="n">
        <v>31</v>
      </c>
      <c r="E464" s="16" t="inlineStr">
        <is>
          <t>S</t>
        </is>
      </c>
      <c r="F464" s="16" t="inlineStr">
        <is>
          <t>2B</t>
        </is>
      </c>
      <c r="G464" s="9" t="n">
        <v>2</v>
      </c>
      <c r="H464" s="9" t="n">
        <v>158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1" t="n">
        <v>1</v>
      </c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7" t="n">
        <v>1</v>
      </c>
      <c r="Z464" s="13">
        <f>SUMPRODUCT(N464:Y464,$N$2:$Y$2)*$K464*$L464*$M464</f>
        <v/>
      </c>
      <c r="AA464" s="14">
        <f>SUM(N464:Y464)</f>
        <v/>
      </c>
      <c r="AB464" s="14">
        <f>IFERROR(IF(UPPER($E464)="L",SUMPRODUCT(N464:Y464,$N$3:$Y$3,$N$2:$Y$2),SUMPRODUCT(N464:Y464,$N$4:$Y$4,$N$2:$Y$2))/(Z464/($K464*$L464*$M464)),"")</f>
        <v/>
      </c>
      <c r="AC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inlineStr">
        <is>
          <t>1B</t>
        </is>
      </c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1" t="n">
        <v>1</v>
      </c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7" t="n">
        <v>1</v>
      </c>
      <c r="Z465" s="13">
        <f>SUMPRODUCT(N465:Y465,$N$2:$Y$2)*$K465*$L465*$M465</f>
        <v/>
      </c>
      <c r="AA465" s="14">
        <f>SUM(N465:Y465)</f>
        <v/>
      </c>
      <c r="AB465" s="14">
        <f>IFERROR(IF(UPPER($E465)="L",SUMPRODUCT(N465:Y465,$N$3:$Y$3,$N$2:$Y$2),SUMPRODUCT(N465:Y465,$N$4:$Y$4,$N$2:$Y$2))/(Z465/($K465*$L465*$M465)),"")</f>
        <v/>
      </c>
      <c r="AC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1" t="n">
        <v>1</v>
      </c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7" t="n">
        <v>1</v>
      </c>
      <c r="Z466" s="13">
        <f>SUMPRODUCT(N466:Y466,$N$2:$Y$2)*$K466*$L466*$M466</f>
        <v/>
      </c>
      <c r="AA466" s="14">
        <f>SUM(N466:Y466)</f>
        <v/>
      </c>
      <c r="AB466" s="14">
        <f>IFERROR(IF(UPPER($E466)="L",SUMPRODUCT(N466:Y466,$N$3:$Y$3,$N$2:$Y$2),SUMPRODUCT(N466:Y466,$N$4:$Y$4,$N$2:$Y$2))/(Z466/($K466*$L466*$M466)),"")</f>
        <v/>
      </c>
      <c r="AC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1" t="n">
        <v>1</v>
      </c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7" t="n">
        <v>1</v>
      </c>
      <c r="Z467" s="13">
        <f>SUMPRODUCT(N467:Y467,$N$2:$Y$2)*$K467*$L467*$M467</f>
        <v/>
      </c>
      <c r="AA467" s="14">
        <f>SUM(N467:Y467)</f>
        <v/>
      </c>
      <c r="AB467" s="14">
        <f>IFERROR(IF(UPPER($E467)="L",SUMPRODUCT(N467:Y467,$N$3:$Y$3,$N$2:$Y$2),SUMPRODUCT(N467:Y467,$N$4:$Y$4,$N$2:$Y$2))/(Z467/($K467*$L467*$M467)),"")</f>
        <v/>
      </c>
      <c r="AC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1" t="n">
        <v>1</v>
      </c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7" t="n">
        <v>1</v>
      </c>
      <c r="Z468" s="13">
        <f>SUMPRODUCT(N468:Y468,$N$2:$Y$2)*$K468*$L468*$M468</f>
        <v/>
      </c>
      <c r="AA468" s="14">
        <f>SUM(N468:Y468)</f>
        <v/>
      </c>
      <c r="AB468" s="14">
        <f>IFERROR(IF(UPPER($E468)="L",SUMPRODUCT(N468:Y468,$N$3:$Y$3,$N$2:$Y$2),SUMPRODUCT(N468:Y468,$N$4:$Y$4,$N$2:$Y$2))/(Z468/($K468*$L468*$M468)),"")</f>
        <v/>
      </c>
      <c r="AC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1" t="n">
        <v>1</v>
      </c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7" t="n">
        <v>1</v>
      </c>
      <c r="Z469" s="13">
        <f>SUMPRODUCT(N469:Y469,$N$2:$Y$2)*$K469*$L469*$M469</f>
        <v/>
      </c>
      <c r="AA469" s="14">
        <f>SUM(N469:Y469)</f>
        <v/>
      </c>
      <c r="AB469" s="14">
        <f>IFERROR(IF(UPPER($E469)="L",SUMPRODUCT(N469:Y469,$N$3:$Y$3,$N$2:$Y$2),SUMPRODUCT(N469:Y469,$N$4:$Y$4,$N$2:$Y$2))/(Z469/($K469*$L469*$M469)),"")</f>
        <v/>
      </c>
      <c r="AC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inlineStr">
        <is>
          <t>LF</t>
        </is>
      </c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1" t="n">
        <v>0.804659641100261</v>
      </c>
      <c r="N470" s="17" t="n">
        <v>1</v>
      </c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7" t="n"/>
      <c r="Z470" s="13">
        <f>SUMPRODUCT(N470:Y470,$N$2:$Y$2)*$K470*$L470*$M470</f>
        <v/>
      </c>
      <c r="AA470" s="14">
        <f>SUM(N470:Y470)</f>
        <v/>
      </c>
      <c r="AB470" s="14">
        <f>IFERROR(IF(UPPER($E470)="L",SUMPRODUCT(N470:Y470,$N$3:$Y$3,$N$2:$Y$2),SUMPRODUCT(N470:Y470,$N$4:$Y$4,$N$2:$Y$2))/(Z470/($K470*$L470*$M470)),"")</f>
        <v/>
      </c>
      <c r="AC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Early Season (~May)</t>
        </is>
      </c>
      <c r="K471" s="11">
        <f>IFERROR(INDEX(Roles!$B$17:$B$20,MATCH(J471,Roles!$A$17:$A$20,0)),1)</f>
        <v/>
      </c>
      <c r="L471" s="17" t="n">
        <v>1</v>
      </c>
      <c r="M471" s="11" t="n">
        <v>1</v>
      </c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7" t="n">
        <v>1</v>
      </c>
      <c r="Z471" s="13">
        <f>SUMPRODUCT(N471:Y471,$N$2:$Y$2)*$K471*$L471*$M471</f>
        <v/>
      </c>
      <c r="AA471" s="14">
        <f>SUM(N471:Y471)</f>
        <v/>
      </c>
      <c r="AB471" s="14">
        <f>IFERROR(IF(UPPER($E471)="L",SUMPRODUCT(N471:Y471,$N$3:$Y$3,$N$2:$Y$2),SUMPRODUCT(N471:Y471,$N$4:$Y$4,$N$2:$Y$2))/(Z471/($K471*$L471*$M471)),"")</f>
        <v/>
      </c>
      <c r="AC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1" t="n">
        <v>1</v>
      </c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7" t="n">
        <v>1</v>
      </c>
      <c r="Z472" s="13">
        <f>SUMPRODUCT(N472:Y472,$N$2:$Y$2)*$K472*$L472*$M472</f>
        <v/>
      </c>
      <c r="AA472" s="14">
        <f>SUM(N472:Y472)</f>
        <v/>
      </c>
      <c r="AB472" s="14">
        <f>IFERROR(IF(UPPER($E472)="L",SUMPRODUCT(N472:Y472,$N$3:$Y$3,$N$2:$Y$2),SUMPRODUCT(N472:Y472,$N$4:$Y$4,$N$2:$Y$2))/(Z472/($K472*$L472*$M472)),"")</f>
        <v/>
      </c>
      <c r="AC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1" t="n">
        <v>1</v>
      </c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7" t="n">
        <v>1</v>
      </c>
      <c r="Z473" s="13">
        <f>SUMPRODUCT(N473:Y473,$N$2:$Y$2)*$K473*$L473*$M473</f>
        <v/>
      </c>
      <c r="AA473" s="14">
        <f>SUM(N473:Y473)</f>
        <v/>
      </c>
      <c r="AB473" s="14">
        <f>IFERROR(IF(UPPER($E473)="L",SUMPRODUCT(N473:Y473,$N$3:$Y$3,$N$2:$Y$2),SUMPRODUCT(N473:Y473,$N$4:$Y$4,$N$2:$Y$2))/(Z473/($K473*$L473*$M473)),"")</f>
        <v/>
      </c>
      <c r="AC473" s="18" t="n"/>
    </row>
    <row r="474">
      <c r="A474" s="9" t="n">
        <v>686981</v>
      </c>
      <c r="B474" s="9" t="inlineStr">
        <is>
          <t>Brenden Dixon</t>
        </is>
      </c>
      <c r="C474" s="9" t="inlineStr">
        <is>
          <t>CWS</t>
        </is>
      </c>
      <c r="D474" s="9" t="n">
        <v>25</v>
      </c>
      <c r="E474" s="16" t="inlineStr">
        <is>
          <t>R</t>
        </is>
      </c>
      <c r="F474" s="16" t="n"/>
      <c r="G474" s="9" t="n">
        <v>33.74358974358974</v>
      </c>
      <c r="H474" s="9" t="n">
        <v>33.74358974358974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1" t="n">
        <v>1</v>
      </c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7" t="n">
        <v>1</v>
      </c>
      <c r="Z474" s="13">
        <f>SUMPRODUCT(N474:Y474,$N$2:$Y$2)*$K474*$L474*$M474</f>
        <v/>
      </c>
      <c r="AA474" s="14">
        <f>SUM(N474:Y474)</f>
        <v/>
      </c>
      <c r="AB474" s="14">
        <f>IFERROR(IF(UPPER($E474)="L",SUMPRODUCT(N474:Y474,$N$3:$Y$3,$N$2:$Y$2),SUMPRODUCT(N474:Y474,$N$4:$Y$4,$N$2:$Y$2))/(Z474/($K474*$L474*$M474)),"")</f>
        <v/>
      </c>
      <c r="AC474" s="18" t="n"/>
    </row>
    <row r="475">
      <c r="A475" s="9" t="n">
        <v>821273</v>
      </c>
      <c r="B475" s="9" t="inlineStr">
        <is>
          <t>Edward Florentino</t>
        </is>
      </c>
      <c r="C475" s="9" t="inlineStr">
        <is>
          <t>PIT</t>
        </is>
      </c>
      <c r="D475" s="9" t="n">
        <v>25</v>
      </c>
      <c r="E475" s="16" t="inlineStr">
        <is>
          <t>L</t>
        </is>
      </c>
      <c r="F475" s="16" t="n"/>
      <c r="G475" s="9" t="n">
        <v>86.97435897435898</v>
      </c>
      <c r="H475" s="9" t="n">
        <v>86.97435897435898</v>
      </c>
      <c r="I475" s="9" t="inlineStr">
        <is>
          <t>Depth (no MLB PA)</t>
        </is>
      </c>
      <c r="J475" s="16" t="inlineStr">
        <is>
          <t>Late Season (~Sept)</t>
        </is>
      </c>
      <c r="K475" s="11">
        <f>IFERROR(INDEX(Roles!$B$17:$B$20,MATCH(J475,Roles!$A$17:$A$20,0)),1)</f>
        <v/>
      </c>
      <c r="L475" s="17" t="n">
        <v>1</v>
      </c>
      <c r="M475" s="11" t="n">
        <v>1</v>
      </c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7" t="n">
        <v>1</v>
      </c>
      <c r="Z475" s="13">
        <f>SUMPRODUCT(N475:Y475,$N$2:$Y$2)*$K475*$L475*$M475</f>
        <v/>
      </c>
      <c r="AA475" s="14">
        <f>SUM(N475:Y475)</f>
        <v/>
      </c>
      <c r="AB475" s="14">
        <f>IFERROR(IF(UPPER($E475)="L",SUMPRODUCT(N475:Y475,$N$3:$Y$3,$N$2:$Y$2),SUMPRODUCT(N475:Y475,$N$4:$Y$4,$N$2:$Y$2))/(Z475/($K475*$L475*$M475)),"")</f>
        <v/>
      </c>
      <c r="AC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Mid Season (~July)</t>
        </is>
      </c>
      <c r="K476" s="11">
        <f>IFERROR(INDEX(Roles!$B$17:$B$20,MATCH(J476,Roles!$A$17:$A$20,0)),1)</f>
        <v/>
      </c>
      <c r="L476" s="17" t="n">
        <v>1</v>
      </c>
      <c r="M476" s="11" t="n">
        <v>1</v>
      </c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7" t="n">
        <v>1</v>
      </c>
      <c r="Z476" s="13">
        <f>SUMPRODUCT(N476:Y476,$N$2:$Y$2)*$K476*$L476*$M476</f>
        <v/>
      </c>
      <c r="AA476" s="14">
        <f>SUM(N476:Y476)</f>
        <v/>
      </c>
      <c r="AB476" s="14">
        <f>IFERROR(IF(UPPER($E476)="L",SUMPRODUCT(N476:Y476,$N$3:$Y$3,$N$2:$Y$2),SUMPRODUCT(N476:Y476,$N$4:$Y$4,$N$2:$Y$2))/(Z476/($K476*$L476*$M476)),"")</f>
        <v/>
      </c>
      <c r="AC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inlineStr">
        <is>
          <t>RF</t>
        </is>
      </c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1" t="n">
        <v>1</v>
      </c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7" t="n">
        <v>1</v>
      </c>
      <c r="Z477" s="13">
        <f>SUMPRODUCT(N477:Y477,$N$2:$Y$2)*$K477*$L477*$M477</f>
        <v/>
      </c>
      <c r="AA477" s="14">
        <f>SUM(N477:Y477)</f>
        <v/>
      </c>
      <c r="AB477" s="14">
        <f>IFERROR(IF(UPPER($E477)="L",SUMPRODUCT(N477:Y477,$N$3:$Y$3,$N$2:$Y$2),SUMPRODUCT(N477:Y477,$N$4:$Y$4,$N$2:$Y$2))/(Z477/($K477*$L477*$M477)),"")</f>
        <v/>
      </c>
      <c r="AC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inlineStr">
        <is>
          <t>C</t>
        </is>
      </c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1" t="n">
        <v>1</v>
      </c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7" t="n">
        <v>1</v>
      </c>
      <c r="Z478" s="13">
        <f>SUMPRODUCT(N478:Y478,$N$2:$Y$2)*$K478*$L478*$M478</f>
        <v/>
      </c>
      <c r="AA478" s="14">
        <f>SUM(N478:Y478)</f>
        <v/>
      </c>
      <c r="AB478" s="14">
        <f>IFERROR(IF(UPPER($E478)="L",SUMPRODUCT(N478:Y478,$N$3:$Y$3,$N$2:$Y$2),SUMPRODUCT(N478:Y478,$N$4:$Y$4,$N$2:$Y$2))/(Z478/($K478*$L478*$M478)),"")</f>
        <v/>
      </c>
      <c r="AC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inlineStr">
        <is>
          <t>RF</t>
        </is>
      </c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1" t="n">
        <v>1</v>
      </c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7" t="n">
        <v>1</v>
      </c>
      <c r="Z479" s="13">
        <f>SUMPRODUCT(N479:Y479,$N$2:$Y$2)*$K479*$L479*$M479</f>
        <v/>
      </c>
      <c r="AA479" s="14">
        <f>SUM(N479:Y479)</f>
        <v/>
      </c>
      <c r="AB479" s="14">
        <f>IFERROR(IF(UPPER($E479)="L",SUMPRODUCT(N479:Y479,$N$3:$Y$3,$N$2:$Y$2),SUMPRODUCT(N479:Y479,$N$4:$Y$4,$N$2:$Y$2))/(Z479/($K479*$L479*$M479)),"")</f>
        <v/>
      </c>
      <c r="AC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25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Mid Season (~July)</t>
        </is>
      </c>
      <c r="K480" s="11">
        <f>IFERROR(INDEX(Roles!$B$17:$B$20,MATCH(J480,Roles!$A$17:$A$20,0)),1)</f>
        <v/>
      </c>
      <c r="L480" s="17" t="n">
        <v>1</v>
      </c>
      <c r="M480" s="11" t="n">
        <v>1</v>
      </c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7" t="n">
        <v>1</v>
      </c>
      <c r="Z480" s="13">
        <f>SUMPRODUCT(N480:Y480,$N$2:$Y$2)*$K480*$L480*$M480</f>
        <v/>
      </c>
      <c r="AA480" s="14">
        <f>SUM(N480:Y480)</f>
        <v/>
      </c>
      <c r="AB480" s="14">
        <f>IFERROR(IF(UPPER($E480)="L",SUMPRODUCT(N480:Y480,$N$3:$Y$3,$N$2:$Y$2),SUMPRODUCT(N480:Y480,$N$4:$Y$4,$N$2:$Y$2))/(Z480/($K480*$L480*$M480)),"")</f>
        <v/>
      </c>
      <c r="AC480" s="18" t="n"/>
    </row>
    <row r="481">
      <c r="A481" s="9" t="n">
        <v>800448</v>
      </c>
      <c r="B481" s="9" t="inlineStr">
        <is>
          <t>Echedry Vargas</t>
        </is>
      </c>
      <c r="C481" s="9" t="inlineStr">
        <is>
          <t>MIA</t>
        </is>
      </c>
      <c r="D481" s="9" t="n">
        <v>25</v>
      </c>
      <c r="E481" s="16" t="inlineStr">
        <is>
          <t>R</t>
        </is>
      </c>
      <c r="F481" s="16" t="n"/>
      <c r="G481" s="9" t="n">
        <v>49.47692307692308</v>
      </c>
      <c r="H481" s="9" t="n">
        <v>49.47692307692308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1" t="n">
        <v>1</v>
      </c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7" t="n">
        <v>1</v>
      </c>
      <c r="Z481" s="13">
        <f>SUMPRODUCT(N481:Y481,$N$2:$Y$2)*$K481*$L481*$M481</f>
        <v/>
      </c>
      <c r="AA481" s="14">
        <f>SUM(N481:Y481)</f>
        <v/>
      </c>
      <c r="AB481" s="14">
        <f>IFERROR(IF(UPPER($E481)="L",SUMPRODUCT(N481:Y481,$N$3:$Y$3,$N$2:$Y$2),SUMPRODUCT(N481:Y481,$N$4:$Y$4,$N$2:$Y$2))/(Z481/($K481*$L481*$M481)),"")</f>
        <v/>
      </c>
      <c r="AC481" s="18" t="n"/>
    </row>
    <row r="482">
      <c r="A482" s="9" t="n">
        <v>543281</v>
      </c>
      <c r="B482" s="9" t="inlineStr">
        <is>
          <t>Josh Harrison</t>
        </is>
      </c>
      <c r="C482" s="9" t="inlineStr">
        <is>
          <t>PHI</t>
        </is>
      </c>
      <c r="D482" s="9" t="n">
        <v>39</v>
      </c>
      <c r="E482" s="16" t="inlineStr">
        <is>
          <t>R</t>
        </is>
      </c>
      <c r="F482" s="16" t="inlineStr">
        <is>
          <t>2B</t>
        </is>
      </c>
      <c r="G482" s="9" t="n">
        <v>114</v>
      </c>
      <c r="H482" s="9" t="n">
        <v>539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1" t="n">
        <v>1</v>
      </c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7" t="n">
        <v>1</v>
      </c>
      <c r="Z482" s="13">
        <f>SUMPRODUCT(N482:Y482,$N$2:$Y$2)*$K482*$L482*$M482</f>
        <v/>
      </c>
      <c r="AA482" s="14">
        <f>SUM(N482:Y482)</f>
        <v/>
      </c>
      <c r="AB482" s="14">
        <f>IFERROR(IF(UPPER($E482)="L",SUMPRODUCT(N482:Y482,$N$3:$Y$3,$N$2:$Y$2),SUMPRODUCT(N482:Y482,$N$4:$Y$4,$N$2:$Y$2))/(Z482/($K482*$L482*$M482)),"")</f>
        <v/>
      </c>
      <c r="AC482" s="18" t="n"/>
    </row>
    <row r="483">
      <c r="A483" s="9" t="n">
        <v>703680</v>
      </c>
      <c r="B483" s="9" t="inlineStr">
        <is>
          <t>Brandon Compton</t>
        </is>
      </c>
      <c r="C483" s="9" t="inlineStr">
        <is>
          <t>MIA</t>
        </is>
      </c>
      <c r="D483" s="9" t="n">
        <v>25</v>
      </c>
      <c r="E483" s="16" t="inlineStr">
        <is>
          <t>L</t>
        </is>
      </c>
      <c r="F483" s="16" t="n"/>
      <c r="G483" s="9" t="n">
        <v>37.23076923076923</v>
      </c>
      <c r="H483" s="9" t="n">
        <v>37.23076923076923</v>
      </c>
      <c r="I483" s="9" t="inlineStr">
        <is>
          <t>Depth (no MLB PA)</t>
        </is>
      </c>
      <c r="J483" s="16" t="inlineStr">
        <is>
          <t>Mid Season (~July)</t>
        </is>
      </c>
      <c r="K483" s="11">
        <f>IFERROR(INDEX(Roles!$B$17:$B$20,MATCH(J483,Roles!$A$17:$A$20,0)),1)</f>
        <v/>
      </c>
      <c r="L483" s="17" t="n">
        <v>1</v>
      </c>
      <c r="M483" s="11" t="n">
        <v>1</v>
      </c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7" t="n">
        <v>1</v>
      </c>
      <c r="Z483" s="13">
        <f>SUMPRODUCT(N483:Y483,$N$2:$Y$2)*$K483*$L483*$M483</f>
        <v/>
      </c>
      <c r="AA483" s="14">
        <f>SUM(N483:Y483)</f>
        <v/>
      </c>
      <c r="AB483" s="14">
        <f>IFERROR(IF(UPPER($E483)="L",SUMPRODUCT(N483:Y483,$N$3:$Y$3,$N$2:$Y$2),SUMPRODUCT(N483:Y483,$N$4:$Y$4,$N$2:$Y$2))/(Z483/($K483*$L483*$M483)),"")</f>
        <v/>
      </c>
      <c r="AC483" s="18" t="n"/>
    </row>
    <row r="484">
      <c r="A484" s="9" t="n">
        <v>840332</v>
      </c>
      <c r="B484" s="9" t="inlineStr">
        <is>
          <t>Joe Tiroly</t>
        </is>
      </c>
      <c r="C484" s="9" t="inlineStr">
        <is>
          <t>SD</t>
        </is>
      </c>
      <c r="D484" s="9" t="n">
        <v>25</v>
      </c>
      <c r="E484" s="16" t="inlineStr">
        <is>
          <t>R</t>
        </is>
      </c>
      <c r="F484" s="16" t="n"/>
      <c r="G484" s="9" t="n">
        <v>8.615384615384615</v>
      </c>
      <c r="H484" s="9" t="n">
        <v>8.615384615384615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1" t="n">
        <v>1</v>
      </c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7" t="n">
        <v>1</v>
      </c>
      <c r="Z484" s="13">
        <f>SUMPRODUCT(N484:Y484,$N$2:$Y$2)*$K484*$L484*$M484</f>
        <v/>
      </c>
      <c r="AA484" s="14">
        <f>SUM(N484:Y484)</f>
        <v/>
      </c>
      <c r="AB484" s="14">
        <f>IFERROR(IF(UPPER($E484)="L",SUMPRODUCT(N484:Y484,$N$3:$Y$3,$N$2:$Y$2),SUMPRODUCT(N484:Y484,$N$4:$Y$4,$N$2:$Y$2))/(Z484/($K484*$L484*$M484)),"")</f>
        <v/>
      </c>
      <c r="AC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inlineStr">
        <is>
          <t>LF</t>
        </is>
      </c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1" t="n">
        <v>1</v>
      </c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7" t="n">
        <v>1</v>
      </c>
      <c r="Z485" s="13">
        <f>SUMPRODUCT(N485:Y485,$N$2:$Y$2)*$K485*$L485*$M485</f>
        <v/>
      </c>
      <c r="AA485" s="14">
        <f>SUM(N485:Y485)</f>
        <v/>
      </c>
      <c r="AB485" s="14">
        <f>IFERROR(IF(UPPER($E485)="L",SUMPRODUCT(N485:Y485,$N$3:$Y$3,$N$2:$Y$2),SUMPRODUCT(N485:Y485,$N$4:$Y$4,$N$2:$Y$2))/(Z485/($K485*$L485*$M485)),"")</f>
        <v/>
      </c>
      <c r="AC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1" t="n">
        <v>1</v>
      </c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7" t="n">
        <v>1</v>
      </c>
      <c r="Z486" s="13">
        <f>SUMPRODUCT(N486:Y486,$N$2:$Y$2)*$K486*$L486*$M486</f>
        <v/>
      </c>
      <c r="AA486" s="14">
        <f>SUM(N486:Y486)</f>
        <v/>
      </c>
      <c r="AB486" s="14">
        <f>IFERROR(IF(UPPER($E486)="L",SUMPRODUCT(N486:Y486,$N$3:$Y$3,$N$2:$Y$2),SUMPRODUCT(N486:Y486,$N$4:$Y$4,$N$2:$Y$2))/(Z486/($K486*$L486*$M486)),"")</f>
        <v/>
      </c>
      <c r="AC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1" t="n">
        <v>1</v>
      </c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7" t="n">
        <v>1</v>
      </c>
      <c r="Z487" s="13">
        <f>SUMPRODUCT(N487:Y487,$N$2:$Y$2)*$K487*$L487*$M487</f>
        <v/>
      </c>
      <c r="AA487" s="14">
        <f>SUM(N487:Y487)</f>
        <v/>
      </c>
      <c r="AB487" s="14">
        <f>IFERROR(IF(UPPER($E487)="L",SUMPRODUCT(N487:Y487,$N$3:$Y$3,$N$2:$Y$2),SUMPRODUCT(N487:Y487,$N$4:$Y$4,$N$2:$Y$2))/(Z487/($K487*$L487*$M487)),"")</f>
        <v/>
      </c>
      <c r="AC487" s="18" t="n"/>
    </row>
    <row r="488">
      <c r="A488" s="9" t="n">
        <v>690469</v>
      </c>
      <c r="B488" s="9" t="inlineStr">
        <is>
          <t>Kyle Hayes</t>
        </is>
      </c>
      <c r="C488" s="9" t="inlineStr">
        <is>
          <t>WSH</t>
        </is>
      </c>
      <c r="D488" s="9" t="n">
        <v>25</v>
      </c>
      <c r="E488" s="16" t="inlineStr">
        <is>
          <t>R</t>
        </is>
      </c>
      <c r="F488" s="16" t="n"/>
      <c r="G488" s="9" t="n">
        <v>9.025641025641027</v>
      </c>
      <c r="H488" s="9" t="n">
        <v>9.025641025641027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1" t="n">
        <v>1</v>
      </c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7" t="n">
        <v>1</v>
      </c>
      <c r="Z488" s="13">
        <f>SUMPRODUCT(N488:Y488,$N$2:$Y$2)*$K488*$L488*$M488</f>
        <v/>
      </c>
      <c r="AA488" s="14">
        <f>SUM(N488:Y488)</f>
        <v/>
      </c>
      <c r="AB488" s="14">
        <f>IFERROR(IF(UPPER($E488)="L",SUMPRODUCT(N488:Y488,$N$3:$Y$3,$N$2:$Y$2),SUMPRODUCT(N488:Y488,$N$4:$Y$4,$N$2:$Y$2))/(Z488/($K488*$L488*$M488)),"")</f>
        <v/>
      </c>
      <c r="AC488" s="18" t="n"/>
    </row>
    <row r="489">
      <c r="A489" s="9" t="n">
        <v>702239</v>
      </c>
      <c r="B489" s="9" t="inlineStr">
        <is>
          <t>Colin Tuft</t>
        </is>
      </c>
      <c r="C489" s="9" t="inlineStr">
        <is>
          <t>BAL</t>
        </is>
      </c>
      <c r="D489" s="9" t="n">
        <v>25</v>
      </c>
      <c r="E489" s="16" t="inlineStr">
        <is>
          <t>R</t>
        </is>
      </c>
      <c r="F489" s="16" t="n"/>
      <c r="G489" s="9" t="n">
        <v>18.66666666666667</v>
      </c>
      <c r="H489" s="9" t="n">
        <v>18.66666666666667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1" t="n">
        <v>1</v>
      </c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7" t="n">
        <v>1</v>
      </c>
      <c r="Z489" s="13">
        <f>SUMPRODUCT(N489:Y489,$N$2:$Y$2)*$K489*$L489*$M489</f>
        <v/>
      </c>
      <c r="AA489" s="14">
        <f>SUM(N489:Y489)</f>
        <v/>
      </c>
      <c r="AB489" s="14">
        <f>IFERROR(IF(UPPER($E489)="L",SUMPRODUCT(N489:Y489,$N$3:$Y$3,$N$2:$Y$2),SUMPRODUCT(N489:Y489,$N$4:$Y$4,$N$2:$Y$2))/(Z489/($K489*$L489*$M489)),"")</f>
        <v/>
      </c>
      <c r="AC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1" t="n">
        <v>1</v>
      </c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7" t="n">
        <v>1</v>
      </c>
      <c r="Z490" s="13">
        <f>SUMPRODUCT(N490:Y490,$N$2:$Y$2)*$K490*$L490*$M490</f>
        <v/>
      </c>
      <c r="AA490" s="14">
        <f>SUM(N490:Y490)</f>
        <v/>
      </c>
      <c r="AB490" s="14">
        <f>IFERROR(IF(UPPER($E490)="L",SUMPRODUCT(N490:Y490,$N$3:$Y$3,$N$2:$Y$2),SUMPRODUCT(N490:Y490,$N$4:$Y$4,$N$2:$Y$2))/(Z490/($K490*$L490*$M490)),"")</f>
        <v/>
      </c>
      <c r="AC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inlineStr">
        <is>
          <t>LF</t>
        </is>
      </c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1" t="n">
        <v>1</v>
      </c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7" t="n">
        <v>1</v>
      </c>
      <c r="Z491" s="13">
        <f>SUMPRODUCT(N491:Y491,$N$2:$Y$2)*$K491*$L491*$M491</f>
        <v/>
      </c>
      <c r="AA491" s="14">
        <f>SUM(N491:Y491)</f>
        <v/>
      </c>
      <c r="AB491" s="14">
        <f>IFERROR(IF(UPPER($E491)="L",SUMPRODUCT(N491:Y491,$N$3:$Y$3,$N$2:$Y$2),SUMPRODUCT(N491:Y491,$N$4:$Y$4,$N$2:$Y$2))/(Z491/($K491*$L491*$M491)),"")</f>
        <v/>
      </c>
      <c r="AC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25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Late Season (~Sept)</t>
        </is>
      </c>
      <c r="K492" s="11">
        <f>IFERROR(INDEX(Roles!$B$17:$B$20,MATCH(J492,Roles!$A$17:$A$20,0)),1)</f>
        <v/>
      </c>
      <c r="L492" s="17" t="n">
        <v>1</v>
      </c>
      <c r="M492" s="11" t="n">
        <v>1</v>
      </c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7" t="n">
        <v>1</v>
      </c>
      <c r="Z492" s="13">
        <f>SUMPRODUCT(N492:Y492,$N$2:$Y$2)*$K492*$L492*$M492</f>
        <v/>
      </c>
      <c r="AA492" s="14">
        <f>SUM(N492:Y492)</f>
        <v/>
      </c>
      <c r="AB492" s="14">
        <f>IFERROR(IF(UPPER($E492)="L",SUMPRODUCT(N492:Y492,$N$3:$Y$3,$N$2:$Y$2),SUMPRODUCT(N492:Y492,$N$4:$Y$4,$N$2:$Y$2))/(Z492/($K492*$L492*$M492)),"")</f>
        <v/>
      </c>
      <c r="AC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1" t="n">
        <v>1</v>
      </c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7" t="n">
        <v>1</v>
      </c>
      <c r="Z493" s="13">
        <f>SUMPRODUCT(N493:Y493,$N$2:$Y$2)*$K493*$L493*$M493</f>
        <v/>
      </c>
      <c r="AA493" s="14">
        <f>SUM(N493:Y493)</f>
        <v/>
      </c>
      <c r="AB493" s="14">
        <f>IFERROR(IF(UPPER($E493)="L",SUMPRODUCT(N493:Y493,$N$3:$Y$3,$N$2:$Y$2),SUMPRODUCT(N493:Y493,$N$4:$Y$4,$N$2:$Y$2))/(Z493/($K493*$L493*$M493)),"")</f>
        <v/>
      </c>
      <c r="AC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1" t="n">
        <v>1</v>
      </c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7" t="n">
        <v>1</v>
      </c>
      <c r="Z494" s="13">
        <f>SUMPRODUCT(N494:Y494,$N$2:$Y$2)*$K494*$L494*$M494</f>
        <v/>
      </c>
      <c r="AA494" s="14">
        <f>SUM(N494:Y494)</f>
        <v/>
      </c>
      <c r="AB494" s="14">
        <f>IFERROR(IF(UPPER($E494)="L",SUMPRODUCT(N494:Y494,$N$3:$Y$3,$N$2:$Y$2),SUMPRODUCT(N494:Y494,$N$4:$Y$4,$N$2:$Y$2))/(Z494/($K494*$L494*$M494)),"")</f>
        <v/>
      </c>
      <c r="AC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inlineStr">
        <is>
          <t>LF</t>
        </is>
      </c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1" t="n">
        <v>1</v>
      </c>
      <c r="N495" s="17" t="n"/>
      <c r="O495" s="17" t="n"/>
      <c r="P495" s="17" t="n"/>
      <c r="Q495" s="17" t="n"/>
      <c r="R495" s="17" t="n"/>
      <c r="S495" s="17" t="n"/>
      <c r="T495" s="17" t="n"/>
      <c r="U495" s="17" t="n">
        <v>0.4</v>
      </c>
      <c r="V495" s="17" t="n"/>
      <c r="W495" s="17" t="n">
        <v>0.6</v>
      </c>
      <c r="X495" s="17" t="n"/>
      <c r="Y495" s="17" t="n"/>
      <c r="Z495" s="13">
        <f>SUMPRODUCT(N495:Y495,$N$2:$Y$2)*$K495*$L495*$M495</f>
        <v/>
      </c>
      <c r="AA495" s="14">
        <f>SUM(N495:Y495)</f>
        <v/>
      </c>
      <c r="AB495" s="14">
        <f>IFERROR(IF(UPPER($E495)="L",SUMPRODUCT(N495:Y495,$N$3:$Y$3,$N$2:$Y$2),SUMPRODUCT(N495:Y495,$N$4:$Y$4,$N$2:$Y$2))/(Z495/($K495*$L495*$M495)),"")</f>
        <v/>
      </c>
      <c r="AC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1" t="n">
        <v>1</v>
      </c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7" t="n">
        <v>1</v>
      </c>
      <c r="Z496" s="13">
        <f>SUMPRODUCT(N496:Y496,$N$2:$Y$2)*$K496*$L496*$M496</f>
        <v/>
      </c>
      <c r="AA496" s="14">
        <f>SUM(N496:Y496)</f>
        <v/>
      </c>
      <c r="AB496" s="14">
        <f>IFERROR(IF(UPPER($E496)="L",SUMPRODUCT(N496:Y496,$N$3:$Y$3,$N$2:$Y$2),SUMPRODUCT(N496:Y496,$N$4:$Y$4,$N$2:$Y$2))/(Z496/($K496*$L496*$M496)),"")</f>
        <v/>
      </c>
      <c r="AC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inlineStr">
        <is>
          <t>LF</t>
        </is>
      </c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1" t="n">
        <v>1</v>
      </c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7" t="n">
        <v>1</v>
      </c>
      <c r="Z497" s="13">
        <f>SUMPRODUCT(N497:Y497,$N$2:$Y$2)*$K497*$L497*$M497</f>
        <v/>
      </c>
      <c r="AA497" s="14">
        <f>SUM(N497:Y497)</f>
        <v/>
      </c>
      <c r="AB497" s="14">
        <f>IFERROR(IF(UPPER($E497)="L",SUMPRODUCT(N497:Y497,$N$3:$Y$3,$N$2:$Y$2),SUMPRODUCT(N497:Y497,$N$4:$Y$4,$N$2:$Y$2))/(Z497/($K497*$L497*$M497)),"")</f>
        <v/>
      </c>
      <c r="AC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1" t="n">
        <v>1</v>
      </c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7" t="n">
        <v>1</v>
      </c>
      <c r="Z498" s="13">
        <f>SUMPRODUCT(N498:Y498,$N$2:$Y$2)*$K498*$L498*$M498</f>
        <v/>
      </c>
      <c r="AA498" s="14">
        <f>SUM(N498:Y498)</f>
        <v/>
      </c>
      <c r="AB498" s="14">
        <f>IFERROR(IF(UPPER($E498)="L",SUMPRODUCT(N498:Y498,$N$3:$Y$3,$N$2:$Y$2),SUMPRODUCT(N498:Y498,$N$4:$Y$4,$N$2:$Y$2))/(Z498/($K498*$L498*$M498)),"")</f>
        <v/>
      </c>
      <c r="AC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1" t="n">
        <v>1</v>
      </c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7" t="n">
        <v>1</v>
      </c>
      <c r="Z499" s="13">
        <f>SUMPRODUCT(N499:Y499,$N$2:$Y$2)*$K499*$L499*$M499</f>
        <v/>
      </c>
      <c r="AA499" s="14">
        <f>SUM(N499:Y499)</f>
        <v/>
      </c>
      <c r="AB499" s="14">
        <f>IFERROR(IF(UPPER($E499)="L",SUMPRODUCT(N499:Y499,$N$3:$Y$3,$N$2:$Y$2),SUMPRODUCT(N499:Y499,$N$4:$Y$4,$N$2:$Y$2))/(Z499/($K499*$L499*$M499)),"")</f>
        <v/>
      </c>
      <c r="AC499" s="18" t="n"/>
    </row>
    <row r="500">
      <c r="A500" s="9" t="n">
        <v>592696</v>
      </c>
      <c r="B500" s="9" t="inlineStr">
        <is>
          <t>Eddie Rosario</t>
        </is>
      </c>
      <c r="C500" s="9" t="inlineStr">
        <is>
          <t>ATL</t>
        </is>
      </c>
      <c r="D500" s="9" t="n">
        <v>35</v>
      </c>
      <c r="E500" s="16" t="inlineStr">
        <is>
          <t>L</t>
        </is>
      </c>
      <c r="F500" s="16" t="inlineStr">
        <is>
          <t>RF</t>
        </is>
      </c>
      <c r="G500" s="9" t="n">
        <v>8</v>
      </c>
      <c r="H500" s="9" t="n">
        <v>1113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1" t="n">
        <v>0.7865101589575723</v>
      </c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7" t="n">
        <v>1</v>
      </c>
      <c r="Z500" s="13">
        <f>SUMPRODUCT(N500:Y500,$N$2:$Y$2)*$K500*$L500*$M500</f>
        <v/>
      </c>
      <c r="AA500" s="14">
        <f>SUM(N500:Y500)</f>
        <v/>
      </c>
      <c r="AB500" s="14">
        <f>IFERROR(IF(UPPER($E500)="L",SUMPRODUCT(N500:Y500,$N$3:$Y$3,$N$2:$Y$2),SUMPRODUCT(N500:Y500,$N$4:$Y$4,$N$2:$Y$2))/(Z500/($K500*$L500*$M500)),"")</f>
        <v/>
      </c>
      <c r="AC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inlineStr">
        <is>
          <t>SS</t>
        </is>
      </c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1" t="n">
        <v>1</v>
      </c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7" t="n">
        <v>1</v>
      </c>
      <c r="Z501" s="13">
        <f>SUMPRODUCT(N501:Y501,$N$2:$Y$2)*$K501*$L501*$M501</f>
        <v/>
      </c>
      <c r="AA501" s="14">
        <f>SUM(N501:Y501)</f>
        <v/>
      </c>
      <c r="AB501" s="14">
        <f>IFERROR(IF(UPPER($E501)="L",SUMPRODUCT(N501:Y501,$N$3:$Y$3,$N$2:$Y$2),SUMPRODUCT(N501:Y501,$N$4:$Y$4,$N$2:$Y$2))/(Z501/($K501*$L501*$M501)),"")</f>
        <v/>
      </c>
      <c r="AC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1" t="n">
        <v>1</v>
      </c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7" t="n">
        <v>1</v>
      </c>
      <c r="Z502" s="13">
        <f>SUMPRODUCT(N502:Y502,$N$2:$Y$2)*$K502*$L502*$M502</f>
        <v/>
      </c>
      <c r="AA502" s="14">
        <f>SUM(N502:Y502)</f>
        <v/>
      </c>
      <c r="AB502" s="14">
        <f>IFERROR(IF(UPPER($E502)="L",SUMPRODUCT(N502:Y502,$N$3:$Y$3,$N$2:$Y$2),SUMPRODUCT(N502:Y502,$N$4:$Y$4,$N$2:$Y$2))/(Z502/($K502*$L502*$M502)),"")</f>
        <v/>
      </c>
      <c r="AC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25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Bench Bat</t>
        </is>
      </c>
      <c r="J503" s="16" t="inlineStr">
        <is>
          <t>Mid Season (~July)</t>
        </is>
      </c>
      <c r="K503" s="11">
        <f>IFERROR(INDEX(Roles!$B$17:$B$20,MATCH(J503,Roles!$A$17:$A$20,0)),1)</f>
        <v/>
      </c>
      <c r="L503" s="17" t="n">
        <v>1</v>
      </c>
      <c r="M503" s="11" t="n">
        <v>1</v>
      </c>
      <c r="N503" s="17" t="n"/>
      <c r="O503" s="17" t="n"/>
      <c r="P503" s="17" t="n">
        <v>0.3</v>
      </c>
      <c r="Q503" s="17" t="n"/>
      <c r="R503" s="17" t="n"/>
      <c r="S503" s="17" t="n"/>
      <c r="T503" s="17" t="n"/>
      <c r="U503" s="17" t="n"/>
      <c r="V503" s="17" t="n"/>
      <c r="W503" s="17" t="n">
        <v>0.45</v>
      </c>
      <c r="X503" s="17" t="n">
        <v>0.25</v>
      </c>
      <c r="Y503" s="17" t="n"/>
      <c r="Z503" s="13">
        <f>SUMPRODUCT(N503:Y503,$N$2:$Y$2)*$K503*$L503*$M503</f>
        <v/>
      </c>
      <c r="AA503" s="14">
        <f>SUM(N503:Y503)</f>
        <v/>
      </c>
      <c r="AB503" s="14">
        <f>IFERROR(IF(UPPER($E503)="L",SUMPRODUCT(N503:Y503,$N$3:$Y$3,$N$2:$Y$2),SUMPRODUCT(N503:Y503,$N$4:$Y$4,$N$2:$Y$2))/(Z503/($K503*$L503*$M503)),"")</f>
        <v/>
      </c>
      <c r="AC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inlineStr">
        <is>
          <t>3B</t>
        </is>
      </c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1" t="n">
        <v>1</v>
      </c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7" t="n">
        <v>1</v>
      </c>
      <c r="Z504" s="13">
        <f>SUMPRODUCT(N504:Y504,$N$2:$Y$2)*$K504*$L504*$M504</f>
        <v/>
      </c>
      <c r="AA504" s="14">
        <f>SUM(N504:Y504)</f>
        <v/>
      </c>
      <c r="AB504" s="14">
        <f>IFERROR(IF(UPPER($E504)="L",SUMPRODUCT(N504:Y504,$N$3:$Y$3,$N$2:$Y$2),SUMPRODUCT(N504:Y504,$N$4:$Y$4,$N$2:$Y$2))/(Z504/($K504*$L504*$M504)),"")</f>
        <v/>
      </c>
      <c r="AC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1" t="n">
        <v>1</v>
      </c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7" t="n">
        <v>1</v>
      </c>
      <c r="Z505" s="13">
        <f>SUMPRODUCT(N505:Y505,$N$2:$Y$2)*$K505*$L505*$M505</f>
        <v/>
      </c>
      <c r="AA505" s="14">
        <f>SUM(N505:Y505)</f>
        <v/>
      </c>
      <c r="AB505" s="14">
        <f>IFERROR(IF(UPPER($E505)="L",SUMPRODUCT(N505:Y505,$N$3:$Y$3,$N$2:$Y$2),SUMPRODUCT(N505:Y505,$N$4:$Y$4,$N$2:$Y$2))/(Z505/($K505*$L505*$M505)),"")</f>
        <v/>
      </c>
      <c r="AC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inlineStr">
        <is>
          <t>RF</t>
        </is>
      </c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1" t="n">
        <v>1.15</v>
      </c>
      <c r="N506" s="17" t="n">
        <v>1</v>
      </c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7" t="n"/>
      <c r="Z506" s="13">
        <f>SUMPRODUCT(N506:Y506,$N$2:$Y$2)*$K506*$L506*$M506</f>
        <v/>
      </c>
      <c r="AA506" s="14">
        <f>SUM(N506:Y506)</f>
        <v/>
      </c>
      <c r="AB506" s="14">
        <f>IFERROR(IF(UPPER($E506)="L",SUMPRODUCT(N506:Y506,$N$3:$Y$3,$N$2:$Y$2),SUMPRODUCT(N506:Y506,$N$4:$Y$4,$N$2:$Y$2))/(Z506/($K506*$L506*$M506)),"")</f>
        <v/>
      </c>
      <c r="AC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25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Mid Season (~July)</t>
        </is>
      </c>
      <c r="K507" s="11">
        <f>IFERROR(INDEX(Roles!$B$17:$B$20,MATCH(J507,Roles!$A$17:$A$20,0)),1)</f>
        <v/>
      </c>
      <c r="L507" s="17" t="n">
        <v>1</v>
      </c>
      <c r="M507" s="11" t="n">
        <v>1</v>
      </c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7" t="n">
        <v>1</v>
      </c>
      <c r="Z507" s="13">
        <f>SUMPRODUCT(N507:Y507,$N$2:$Y$2)*$K507*$L507*$M507</f>
        <v/>
      </c>
      <c r="AA507" s="14">
        <f>SUM(N507:Y507)</f>
        <v/>
      </c>
      <c r="AB507" s="14">
        <f>IFERROR(IF(UPPER($E507)="L",SUMPRODUCT(N507:Y507,$N$3:$Y$3,$N$2:$Y$2),SUMPRODUCT(N507:Y507,$N$4:$Y$4,$N$2:$Y$2))/(Z507/($K507*$L507*$M507)),"")</f>
        <v/>
      </c>
      <c r="AC507" s="18" t="n"/>
    </row>
    <row r="508">
      <c r="A508" s="9" t="n">
        <v>821327</v>
      </c>
      <c r="B508" s="9" t="inlineStr">
        <is>
          <t>Jake Bennett</t>
        </is>
      </c>
      <c r="C508" s="9" t="inlineStr">
        <is>
          <t>TOR</t>
        </is>
      </c>
      <c r="D508" s="9" t="n">
        <v>25</v>
      </c>
      <c r="E508" s="16" t="inlineStr">
        <is>
          <t>R</t>
        </is>
      </c>
      <c r="F508" s="16" t="n"/>
      <c r="G508" s="9" t="n">
        <v>9.846153846153848</v>
      </c>
      <c r="H508" s="9" t="n">
        <v>9.846153846153848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1" t="n">
        <v>1</v>
      </c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7" t="n">
        <v>1</v>
      </c>
      <c r="Z508" s="13">
        <f>SUMPRODUCT(N508:Y508,$N$2:$Y$2)*$K508*$L508*$M508</f>
        <v/>
      </c>
      <c r="AA508" s="14">
        <f>SUM(N508:Y508)</f>
        <v/>
      </c>
      <c r="AB508" s="14">
        <f>IFERROR(IF(UPPER($E508)="L",SUMPRODUCT(N508:Y508,$N$3:$Y$3,$N$2:$Y$2),SUMPRODUCT(N508:Y508,$N$4:$Y$4,$N$2:$Y$2))/(Z508/($K508*$L508*$M508)),"")</f>
        <v/>
      </c>
      <c r="AC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25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Late Season (~Sept)</t>
        </is>
      </c>
      <c r="K509" s="11">
        <f>IFERROR(INDEX(Roles!$B$17:$B$20,MATCH(J509,Roles!$A$17:$A$20,0)),1)</f>
        <v/>
      </c>
      <c r="L509" s="17" t="n">
        <v>1</v>
      </c>
      <c r="M509" s="11" t="n">
        <v>1</v>
      </c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7" t="n">
        <v>1</v>
      </c>
      <c r="Z509" s="13">
        <f>SUMPRODUCT(N509:Y509,$N$2:$Y$2)*$K509*$L509*$M509</f>
        <v/>
      </c>
      <c r="AA509" s="14">
        <f>SUM(N509:Y509)</f>
        <v/>
      </c>
      <c r="AB509" s="14">
        <f>IFERROR(IF(UPPER($E509)="L",SUMPRODUCT(N509:Y509,$N$3:$Y$3,$N$2:$Y$2),SUMPRODUCT(N509:Y509,$N$4:$Y$4,$N$2:$Y$2))/(Z509/($K509*$L509*$M509)),"")</f>
        <v/>
      </c>
      <c r="AC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1" t="n">
        <v>1</v>
      </c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7" t="n">
        <v>1</v>
      </c>
      <c r="Z510" s="13">
        <f>SUMPRODUCT(N510:Y510,$N$2:$Y$2)*$K510*$L510*$M510</f>
        <v/>
      </c>
      <c r="AA510" s="14">
        <f>SUM(N510:Y510)</f>
        <v/>
      </c>
      <c r="AB510" s="14">
        <f>IFERROR(IF(UPPER($E510)="L",SUMPRODUCT(N510:Y510,$N$3:$Y$3,$N$2:$Y$2),SUMPRODUCT(N510:Y510,$N$4:$Y$4,$N$2:$Y$2))/(Z510/($K510*$L510*$M510)),"")</f>
        <v/>
      </c>
      <c r="AC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1" t="n">
        <v>1</v>
      </c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7" t="n">
        <v>1</v>
      </c>
      <c r="Z511" s="13">
        <f>SUMPRODUCT(N511:Y511,$N$2:$Y$2)*$K511*$L511*$M511</f>
        <v/>
      </c>
      <c r="AA511" s="14">
        <f>SUM(N511:Y511)</f>
        <v/>
      </c>
      <c r="AB511" s="14">
        <f>IFERROR(IF(UPPER($E511)="L",SUMPRODUCT(N511:Y511,$N$3:$Y$3,$N$2:$Y$2),SUMPRODUCT(N511:Y511,$N$4:$Y$4,$N$2:$Y$2))/(Z511/($K511*$L511*$M511)),"")</f>
        <v/>
      </c>
      <c r="AC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25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Late Season (~Sept)</t>
        </is>
      </c>
      <c r="K512" s="11">
        <f>IFERROR(INDEX(Roles!$B$17:$B$20,MATCH(J512,Roles!$A$17:$A$20,0)),1)</f>
        <v/>
      </c>
      <c r="L512" s="17" t="n">
        <v>1</v>
      </c>
      <c r="M512" s="11" t="n">
        <v>1</v>
      </c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7" t="n">
        <v>1</v>
      </c>
      <c r="Z512" s="13">
        <f>SUMPRODUCT(N512:Y512,$N$2:$Y$2)*$K512*$L512*$M512</f>
        <v/>
      </c>
      <c r="AA512" s="14">
        <f>SUM(N512:Y512)</f>
        <v/>
      </c>
      <c r="AB512" s="14">
        <f>IFERROR(IF(UPPER($E512)="L",SUMPRODUCT(N512:Y512,$N$3:$Y$3,$N$2:$Y$2),SUMPRODUCT(N512:Y512,$N$4:$Y$4,$N$2:$Y$2))/(Z512/($K512*$L512*$M512)),"")</f>
        <v/>
      </c>
      <c r="AC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1" t="n">
        <v>1</v>
      </c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7" t="n">
        <v>1</v>
      </c>
      <c r="Z513" s="13">
        <f>SUMPRODUCT(N513:Y513,$N$2:$Y$2)*$K513*$L513*$M513</f>
        <v/>
      </c>
      <c r="AA513" s="14">
        <f>SUM(N513:Y513)</f>
        <v/>
      </c>
      <c r="AB513" s="14">
        <f>IFERROR(IF(UPPER($E513)="L",SUMPRODUCT(N513:Y513,$N$3:$Y$3,$N$2:$Y$2),SUMPRODUCT(N513:Y513,$N$4:$Y$4,$N$2:$Y$2))/(Z513/($K513*$L513*$M513)),"")</f>
        <v/>
      </c>
      <c r="AC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inlineStr">
        <is>
          <t>1B</t>
        </is>
      </c>
      <c r="G514" s="9" t="n">
        <v>686</v>
      </c>
      <c r="H514" s="9" t="n">
        <v>3116</v>
      </c>
      <c r="I514" s="9" t="inlineStr">
        <is>
          <t>Everyday DH / 1B-DH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1" t="n">
        <v>1.139609339993804</v>
      </c>
      <c r="N514" s="17" t="n"/>
      <c r="O514" s="17" t="n">
        <v>1</v>
      </c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7" t="n"/>
      <c r="Z514" s="13">
        <f>SUMPRODUCT(N514:Y514,$N$2:$Y$2)*$K514*$L514*$M514</f>
        <v/>
      </c>
      <c r="AA514" s="14">
        <f>SUM(N514:Y514)</f>
        <v/>
      </c>
      <c r="AB514" s="14">
        <f>IFERROR(IF(UPPER($E514)="L",SUMPRODUCT(N514:Y514,$N$3:$Y$3,$N$2:$Y$2),SUMPRODUCT(N514:Y514,$N$4:$Y$4,$N$2:$Y$2))/(Z514/($K514*$L514*$M514)),"")</f>
        <v/>
      </c>
      <c r="AC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1" t="n">
        <v>1</v>
      </c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7" t="n">
        <v>1</v>
      </c>
      <c r="Z515" s="13">
        <f>SUMPRODUCT(N515:Y515,$N$2:$Y$2)*$K515*$L515*$M515</f>
        <v/>
      </c>
      <c r="AA515" s="14">
        <f>SUM(N515:Y515)</f>
        <v/>
      </c>
      <c r="AB515" s="14">
        <f>IFERROR(IF(UPPER($E515)="L",SUMPRODUCT(N515:Y515,$N$3:$Y$3,$N$2:$Y$2),SUMPRODUCT(N515:Y515,$N$4:$Y$4,$N$2:$Y$2))/(Z515/($K515*$L515*$M515)),"")</f>
        <v/>
      </c>
      <c r="AC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1" t="n">
        <v>1</v>
      </c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7" t="n">
        <v>1</v>
      </c>
      <c r="Z516" s="13">
        <f>SUMPRODUCT(N516:Y516,$N$2:$Y$2)*$K516*$L516*$M516</f>
        <v/>
      </c>
      <c r="AA516" s="14">
        <f>SUM(N516:Y516)</f>
        <v/>
      </c>
      <c r="AB516" s="14">
        <f>IFERROR(IF(UPPER($E516)="L",SUMPRODUCT(N516:Y516,$N$3:$Y$3,$N$2:$Y$2),SUMPRODUCT(N516:Y516,$N$4:$Y$4,$N$2:$Y$2))/(Z516/($K516*$L516*$M516)),"")</f>
        <v/>
      </c>
      <c r="AC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inlineStr">
        <is>
          <t>RF</t>
        </is>
      </c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1" t="n">
        <v>1</v>
      </c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>
        <v>1</v>
      </c>
      <c r="X517" s="17" t="n"/>
      <c r="Y517" s="17" t="n"/>
      <c r="Z517" s="13">
        <f>SUMPRODUCT(N517:Y517,$N$2:$Y$2)*$K517*$L517*$M517</f>
        <v/>
      </c>
      <c r="AA517" s="14">
        <f>SUM(N517:Y517)</f>
        <v/>
      </c>
      <c r="AB517" s="14">
        <f>IFERROR(IF(UPPER($E517)="L",SUMPRODUCT(N517:Y517,$N$3:$Y$3,$N$2:$Y$2),SUMPRODUCT(N517:Y517,$N$4:$Y$4,$N$2:$Y$2))/(Z517/($K517*$L517*$M517)),"")</f>
        <v/>
      </c>
      <c r="AC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1" t="n">
        <v>1</v>
      </c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7" t="n">
        <v>1</v>
      </c>
      <c r="Z518" s="13">
        <f>SUMPRODUCT(N518:Y518,$N$2:$Y$2)*$K518*$L518*$M518</f>
        <v/>
      </c>
      <c r="AA518" s="14">
        <f>SUM(N518:Y518)</f>
        <v/>
      </c>
      <c r="AB518" s="14">
        <f>IFERROR(IF(UPPER($E518)="L",SUMPRODUCT(N518:Y518,$N$3:$Y$3,$N$2:$Y$2),SUMPRODUCT(N518:Y518,$N$4:$Y$4,$N$2:$Y$2))/(Z518/($K518*$L518*$M518)),"")</f>
        <v/>
      </c>
      <c r="AC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1" t="n">
        <v>1</v>
      </c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7" t="n">
        <v>1</v>
      </c>
      <c r="Z519" s="13">
        <f>SUMPRODUCT(N519:Y519,$N$2:$Y$2)*$K519*$L519*$M519</f>
        <v/>
      </c>
      <c r="AA519" s="14">
        <f>SUM(N519:Y519)</f>
        <v/>
      </c>
      <c r="AB519" s="14">
        <f>IFERROR(IF(UPPER($E519)="L",SUMPRODUCT(N519:Y519,$N$3:$Y$3,$N$2:$Y$2),SUMPRODUCT(N519:Y519,$N$4:$Y$4,$N$2:$Y$2))/(Z519/($K519*$L519*$M519)),"")</f>
        <v/>
      </c>
      <c r="AC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1" t="n">
        <v>1</v>
      </c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7" t="n">
        <v>1</v>
      </c>
      <c r="Z520" s="13">
        <f>SUMPRODUCT(N520:Y520,$N$2:$Y$2)*$K520*$L520*$M520</f>
        <v/>
      </c>
      <c r="AA520" s="14">
        <f>SUM(N520:Y520)</f>
        <v/>
      </c>
      <c r="AB520" s="14">
        <f>IFERROR(IF(UPPER($E520)="L",SUMPRODUCT(N520:Y520,$N$3:$Y$3,$N$2:$Y$2),SUMPRODUCT(N520:Y520,$N$4:$Y$4,$N$2:$Y$2))/(Z520/($K520*$L520*$M520)),"")</f>
        <v/>
      </c>
      <c r="AC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25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Depth (no MLB PA)</t>
        </is>
      </c>
      <c r="J521" s="16" t="inlineStr">
        <is>
          <t>Mid Season (~July)</t>
        </is>
      </c>
      <c r="K521" s="11">
        <f>IFERROR(INDEX(Roles!$B$17:$B$20,MATCH(J521,Roles!$A$17:$A$20,0)),1)</f>
        <v/>
      </c>
      <c r="L521" s="17" t="n">
        <v>1</v>
      </c>
      <c r="M521" s="11" t="n">
        <v>1</v>
      </c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7" t="n">
        <v>1</v>
      </c>
      <c r="Z521" s="13">
        <f>SUMPRODUCT(N521:Y521,$N$2:$Y$2)*$K521*$L521*$M521</f>
        <v/>
      </c>
      <c r="AA521" s="14">
        <f>SUM(N521:Y521)</f>
        <v/>
      </c>
      <c r="AB521" s="14">
        <f>IFERROR(IF(UPPER($E521)="L",SUMPRODUCT(N521:Y521,$N$3:$Y$3,$N$2:$Y$2),SUMPRODUCT(N521:Y521,$N$4:$Y$4,$N$2:$Y$2))/(Z521/($K521*$L521*$M521)),"")</f>
        <v/>
      </c>
      <c r="AC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25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Late Season (~Sept)</t>
        </is>
      </c>
      <c r="K522" s="11">
        <f>IFERROR(INDEX(Roles!$B$17:$B$20,MATCH(J522,Roles!$A$17:$A$20,0)),1)</f>
        <v/>
      </c>
      <c r="L522" s="17" t="n">
        <v>1</v>
      </c>
      <c r="M522" s="11" t="n">
        <v>1</v>
      </c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7" t="n">
        <v>1</v>
      </c>
      <c r="Z522" s="13">
        <f>SUMPRODUCT(N522:Y522,$N$2:$Y$2)*$K522*$L522*$M522</f>
        <v/>
      </c>
      <c r="AA522" s="14">
        <f>SUM(N522:Y522)</f>
        <v/>
      </c>
      <c r="AB522" s="14">
        <f>IFERROR(IF(UPPER($E522)="L",SUMPRODUCT(N522:Y522,$N$3:$Y$3,$N$2:$Y$2),SUMPRODUCT(N522:Y522,$N$4:$Y$4,$N$2:$Y$2))/(Z522/($K522*$L522*$M522)),"")</f>
        <v/>
      </c>
      <c r="AC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inlineStr">
        <is>
          <t>LF</t>
        </is>
      </c>
      <c r="G523" s="9" t="n">
        <v>80</v>
      </c>
      <c r="H523" s="9" t="n">
        <v>80</v>
      </c>
      <c r="I523" s="9" t="inlineStr">
        <is>
          <t>Strong Side Platoon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1" t="n">
        <v>1</v>
      </c>
      <c r="N523" s="17" t="n">
        <v>0.4</v>
      </c>
      <c r="O523" s="17" t="n"/>
      <c r="P523" s="17" t="n">
        <v>0.6</v>
      </c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7" t="n"/>
      <c r="Z523" s="13">
        <f>SUMPRODUCT(N523:Y523,$N$2:$Y$2)*$K523*$L523*$M523</f>
        <v/>
      </c>
      <c r="AA523" s="14">
        <f>SUM(N523:Y523)</f>
        <v/>
      </c>
      <c r="AB523" s="14">
        <f>IFERROR(IF(UPPER($E523)="L",SUMPRODUCT(N523:Y523,$N$3:$Y$3,$N$2:$Y$2),SUMPRODUCT(N523:Y523,$N$4:$Y$4,$N$2:$Y$2))/(Z523/($K523*$L523*$M523)),"")</f>
        <v/>
      </c>
      <c r="AC523" s="18" t="n"/>
    </row>
    <row r="524">
      <c r="A524" s="9" t="n">
        <v>678662</v>
      </c>
      <c r="B524" s="9" t="inlineStr">
        <is>
          <t>Ezequiel Tovar</t>
        </is>
      </c>
      <c r="C524" s="9" t="inlineStr">
        <is>
          <t>COL</t>
        </is>
      </c>
      <c r="D524" s="9" t="n">
        <v>25</v>
      </c>
      <c r="E524" s="16" t="inlineStr">
        <is>
          <t>R</t>
        </is>
      </c>
      <c r="F524" s="16" t="inlineStr">
        <is>
          <t>SS</t>
        </is>
      </c>
      <c r="G524" s="9" t="n">
        <v>506</v>
      </c>
      <c r="H524" s="9" t="n">
        <v>2241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1" t="n">
        <v>1.042646830327862</v>
      </c>
      <c r="N524" s="17" t="n">
        <v>0.58</v>
      </c>
      <c r="O524" s="17" t="n"/>
      <c r="P524" s="17" t="n">
        <v>0.42</v>
      </c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7" t="n"/>
      <c r="Z524" s="13">
        <f>SUMPRODUCT(N524:Y524,$N$2:$Y$2)*$K524*$L524*$M524</f>
        <v/>
      </c>
      <c r="AA524" s="14">
        <f>SUM(N524:Y524)</f>
        <v/>
      </c>
      <c r="AB524" s="14">
        <f>IFERROR(IF(UPPER($E524)="L",SUMPRODUCT(N524:Y524,$N$3:$Y$3,$N$2:$Y$2),SUMPRODUCT(N524:Y524,$N$4:$Y$4,$N$2:$Y$2))/(Z524/($K524*$L524*$M524)),"")</f>
        <v/>
      </c>
      <c r="AC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1" t="n">
        <v>1</v>
      </c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7" t="n">
        <v>1</v>
      </c>
      <c r="Z525" s="13">
        <f>SUMPRODUCT(N525:Y525,$N$2:$Y$2)*$K525*$L525*$M525</f>
        <v/>
      </c>
      <c r="AA525" s="14">
        <f>SUM(N525:Y525)</f>
        <v/>
      </c>
      <c r="AB525" s="14">
        <f>IFERROR(IF(UPPER($E525)="L",SUMPRODUCT(N525:Y525,$N$3:$Y$3,$N$2:$Y$2),SUMPRODUCT(N525:Y525,$N$4:$Y$4,$N$2:$Y$2))/(Z525/($K525*$L525*$M525)),"")</f>
        <v/>
      </c>
      <c r="AC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inlineStr">
        <is>
          <t>SS</t>
        </is>
      </c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1" t="n">
        <v>1.084696537249269</v>
      </c>
      <c r="N526" s="17" t="n">
        <v>1</v>
      </c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7" t="n"/>
      <c r="Z526" s="13">
        <f>SUMPRODUCT(N526:Y526,$N$2:$Y$2)*$K526*$L526*$M526</f>
        <v/>
      </c>
      <c r="AA526" s="14">
        <f>SUM(N526:Y526)</f>
        <v/>
      </c>
      <c r="AB526" s="14">
        <f>IFERROR(IF(UPPER($E526)="L",SUMPRODUCT(N526:Y526,$N$3:$Y$3,$N$2:$Y$2),SUMPRODUCT(N526:Y526,$N$4:$Y$4,$N$2:$Y$2))/(Z526/($K526*$L526*$M526)),"")</f>
        <v/>
      </c>
      <c r="AC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inlineStr">
        <is>
          <t>SS</t>
        </is>
      </c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1" t="n">
        <v>1</v>
      </c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>
        <v>1</v>
      </c>
      <c r="X527" s="17" t="n"/>
      <c r="Y527" s="17" t="n"/>
      <c r="Z527" s="13">
        <f>SUMPRODUCT(N527:Y527,$N$2:$Y$2)*$K527*$L527*$M527</f>
        <v/>
      </c>
      <c r="AA527" s="14">
        <f>SUM(N527:Y527)</f>
        <v/>
      </c>
      <c r="AB527" s="14">
        <f>IFERROR(IF(UPPER($E527)="L",SUMPRODUCT(N527:Y527,$N$3:$Y$3,$N$2:$Y$2),SUMPRODUCT(N527:Y527,$N$4:$Y$4,$N$2:$Y$2))/(Z527/($K527*$L527*$M527)),"")</f>
        <v/>
      </c>
      <c r="AC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1" t="n">
        <v>1</v>
      </c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7" t="n">
        <v>1</v>
      </c>
      <c r="Z528" s="13">
        <f>SUMPRODUCT(N528:Y528,$N$2:$Y$2)*$K528*$L528*$M528</f>
        <v/>
      </c>
      <c r="AA528" s="14">
        <f>SUM(N528:Y528)</f>
        <v/>
      </c>
      <c r="AB528" s="14">
        <f>IFERROR(IF(UPPER($E528)="L",SUMPRODUCT(N528:Y528,$N$3:$Y$3,$N$2:$Y$2),SUMPRODUCT(N528:Y528,$N$4:$Y$4,$N$2:$Y$2))/(Z528/($K528*$L528*$M528)),"")</f>
        <v/>
      </c>
      <c r="AC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1" t="n">
        <v>1</v>
      </c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7" t="n">
        <v>1</v>
      </c>
      <c r="Z529" s="13">
        <f>SUMPRODUCT(N529:Y529,$N$2:$Y$2)*$K529*$L529*$M529</f>
        <v/>
      </c>
      <c r="AA529" s="14">
        <f>SUM(N529:Y529)</f>
        <v/>
      </c>
      <c r="AB529" s="14">
        <f>IFERROR(IF(UPPER($E529)="L",SUMPRODUCT(N529:Y529,$N$3:$Y$3,$N$2:$Y$2),SUMPRODUCT(N529:Y529,$N$4:$Y$4,$N$2:$Y$2))/(Z529/($K529*$L529*$M529)),"")</f>
        <v/>
      </c>
      <c r="AC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1" t="n">
        <v>1</v>
      </c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7" t="n">
        <v>1</v>
      </c>
      <c r="Z530" s="13">
        <f>SUMPRODUCT(N530:Y530,$N$2:$Y$2)*$K530*$L530*$M530</f>
        <v/>
      </c>
      <c r="AA530" s="14">
        <f>SUM(N530:Y530)</f>
        <v/>
      </c>
      <c r="AB530" s="14">
        <f>IFERROR(IF(UPPER($E530)="L",SUMPRODUCT(N530:Y530,$N$3:$Y$3,$N$2:$Y$2),SUMPRODUCT(N530:Y530,$N$4:$Y$4,$N$2:$Y$2))/(Z530/($K530*$L530*$M530)),"")</f>
        <v/>
      </c>
      <c r="AC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1" t="n">
        <v>1</v>
      </c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7" t="n">
        <v>1</v>
      </c>
      <c r="Z531" s="13">
        <f>SUMPRODUCT(N531:Y531,$N$2:$Y$2)*$K531*$L531*$M531</f>
        <v/>
      </c>
      <c r="AA531" s="14">
        <f>SUM(N531:Y531)</f>
        <v/>
      </c>
      <c r="AB531" s="14">
        <f>IFERROR(IF(UPPER($E531)="L",SUMPRODUCT(N531:Y531,$N$3:$Y$3,$N$2:$Y$2),SUMPRODUCT(N531:Y531,$N$4:$Y$4,$N$2:$Y$2))/(Z531/($K531*$L531*$M531)),"")</f>
        <v/>
      </c>
      <c r="AC531" s="18" t="n"/>
    </row>
    <row r="532">
      <c r="A532" s="9" t="n">
        <v>682796</v>
      </c>
      <c r="B532" s="9" t="inlineStr">
        <is>
          <t>Eddinson Paulino</t>
        </is>
      </c>
      <c r="C532" s="9" t="inlineStr">
        <is>
          <t>NYM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1" t="n">
        <v>1</v>
      </c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7" t="n">
        <v>1</v>
      </c>
      <c r="Z532" s="13">
        <f>SUMPRODUCT(N532:Y532,$N$2:$Y$2)*$K532*$L532*$M532</f>
        <v/>
      </c>
      <c r="AA532" s="14">
        <f>SUM(N532:Y532)</f>
        <v/>
      </c>
      <c r="AB532" s="14">
        <f>IFERROR(IF(UPPER($E532)="L",SUMPRODUCT(N532:Y532,$N$3:$Y$3,$N$2:$Y$2),SUMPRODUCT(N532:Y532,$N$4:$Y$4,$N$2:$Y$2))/(Z532/($K532*$L532*$M532)),"")</f>
        <v/>
      </c>
      <c r="AC532" s="18" t="n"/>
    </row>
    <row r="533">
      <c r="A533" s="9" t="n">
        <v>687310</v>
      </c>
      <c r="B533" s="9" t="inlineStr">
        <is>
          <t>Will Simpson</t>
        </is>
      </c>
      <c r="C533" s="9" t="inlineStr">
        <is>
          <t>TB</t>
        </is>
      </c>
      <c r="D533" s="9" t="n">
        <v>25</v>
      </c>
      <c r="E533" s="16" t="inlineStr">
        <is>
          <t>R</t>
        </is>
      </c>
      <c r="F533" s="16" t="n"/>
      <c r="G533" s="9" t="n">
        <v>11.84615384615385</v>
      </c>
      <c r="H533" s="9" t="n">
        <v>11.84615384615385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1" t="n">
        <v>1</v>
      </c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7" t="n">
        <v>1</v>
      </c>
      <c r="Z533" s="13">
        <f>SUMPRODUCT(N533:Y533,$N$2:$Y$2)*$K533*$L533*$M533</f>
        <v/>
      </c>
      <c r="AA533" s="14">
        <f>SUM(N533:Y533)</f>
        <v/>
      </c>
      <c r="AB533" s="14">
        <f>IFERROR(IF(UPPER($E533)="L",SUMPRODUCT(N533:Y533,$N$3:$Y$3,$N$2:$Y$2),SUMPRODUCT(N533:Y533,$N$4:$Y$4,$N$2:$Y$2))/(Z533/($K533*$L533*$M533)),"")</f>
        <v/>
      </c>
      <c r="AC533" s="18" t="n"/>
    </row>
    <row r="534">
      <c r="A534" s="9" t="n">
        <v>696521</v>
      </c>
      <c r="B534" s="9" t="inlineStr">
        <is>
          <t>Garrett Spain</t>
        </is>
      </c>
      <c r="C534" s="9" t="inlineStr">
        <is>
          <t>MIN</t>
        </is>
      </c>
      <c r="D534" s="9" t="n">
        <v>25</v>
      </c>
      <c r="E534" s="16" t="inlineStr">
        <is>
          <t>L</t>
        </is>
      </c>
      <c r="F534" s="16" t="n"/>
      <c r="G534" s="9" t="n">
        <v>175.1794871794872</v>
      </c>
      <c r="H534" s="9" t="n">
        <v>175.1794871794872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1" t="n">
        <v>1</v>
      </c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7" t="n">
        <v>1</v>
      </c>
      <c r="Z534" s="13">
        <f>SUMPRODUCT(N534:Y534,$N$2:$Y$2)*$K534*$L534*$M534</f>
        <v/>
      </c>
      <c r="AA534" s="14">
        <f>SUM(N534:Y534)</f>
        <v/>
      </c>
      <c r="AB534" s="14">
        <f>IFERROR(IF(UPPER($E534)="L",SUMPRODUCT(N534:Y534,$N$3:$Y$3,$N$2:$Y$2),SUMPRODUCT(N534:Y534,$N$4:$Y$4,$N$2:$Y$2))/(Z534/($K534*$L534*$M534)),"")</f>
        <v/>
      </c>
      <c r="AC534" s="18" t="n"/>
    </row>
    <row r="535">
      <c r="A535" s="9" t="n">
        <v>827629</v>
      </c>
      <c r="B535" s="9" t="inlineStr">
        <is>
          <t>Austin Machado</t>
        </is>
      </c>
      <c r="C535" s="9" t="inlineStr">
        <is>
          <t>ATL</t>
        </is>
      </c>
      <c r="D535" s="9" t="n">
        <v>25</v>
      </c>
      <c r="E535" s="16" t="inlineStr">
        <is>
          <t>L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1" t="n">
        <v>1</v>
      </c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7" t="n">
        <v>1</v>
      </c>
      <c r="Z535" s="13">
        <f>SUMPRODUCT(N535:Y535,$N$2:$Y$2)*$K535*$L535*$M535</f>
        <v/>
      </c>
      <c r="AA535" s="14">
        <f>SUM(N535:Y535)</f>
        <v/>
      </c>
      <c r="AB535" s="14">
        <f>IFERROR(IF(UPPER($E535)="L",SUMPRODUCT(N535:Y535,$N$3:$Y$3,$N$2:$Y$2),SUMPRODUCT(N535:Y535,$N$4:$Y$4,$N$2:$Y$2))/(Z535/($K535*$L535*$M535)),"")</f>
        <v/>
      </c>
      <c r="AC535" s="18" t="n"/>
    </row>
    <row r="536">
      <c r="A536" s="9" t="n">
        <v>808024</v>
      </c>
      <c r="B536" s="9" t="inlineStr">
        <is>
          <t>Carlos Virahonda</t>
        </is>
      </c>
      <c r="C536" s="9" t="inlineStr">
        <is>
          <t>ARI</t>
        </is>
      </c>
      <c r="D536" s="9" t="n">
        <v>25</v>
      </c>
      <c r="E536" s="16" t="inlineStr">
        <is>
          <t>R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Late Season (~Sept)</t>
        </is>
      </c>
      <c r="K536" s="11">
        <f>IFERROR(INDEX(Roles!$B$17:$B$20,MATCH(J536,Roles!$A$17:$A$20,0)),1)</f>
        <v/>
      </c>
      <c r="L536" s="17" t="n">
        <v>1</v>
      </c>
      <c r="M536" s="11" t="n">
        <v>1</v>
      </c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7" t="n">
        <v>1</v>
      </c>
      <c r="Z536" s="13">
        <f>SUMPRODUCT(N536:Y536,$N$2:$Y$2)*$K536*$L536*$M536</f>
        <v/>
      </c>
      <c r="AA536" s="14">
        <f>SUM(N536:Y536)</f>
        <v/>
      </c>
      <c r="AB536" s="14">
        <f>IFERROR(IF(UPPER($E536)="L",SUMPRODUCT(N536:Y536,$N$3:$Y$3,$N$2:$Y$2),SUMPRODUCT(N536:Y536,$N$4:$Y$4,$N$2:$Y$2))/(Z536/($K536*$L536*$M536)),"")</f>
        <v/>
      </c>
      <c r="AC536" s="18" t="n"/>
    </row>
    <row r="537">
      <c r="A537" s="9" t="n">
        <v>830339</v>
      </c>
      <c r="B537" s="9" t="inlineStr">
        <is>
          <t>Luke Pettitte</t>
        </is>
      </c>
      <c r="C537" s="9" t="inlineStr">
        <is>
          <t>NYY</t>
        </is>
      </c>
      <c r="D537" s="9" t="n">
        <v>25</v>
      </c>
      <c r="E537" s="16" t="inlineStr">
        <is>
          <t>R</t>
        </is>
      </c>
      <c r="F537" s="16" t="n"/>
      <c r="G537" s="9" t="n">
        <v>5.538461538461538</v>
      </c>
      <c r="H537" s="9" t="n">
        <v>5.538461538461538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1" t="n">
        <v>1</v>
      </c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7" t="n">
        <v>1</v>
      </c>
      <c r="Z537" s="13">
        <f>SUMPRODUCT(N537:Y537,$N$2:$Y$2)*$K537*$L537*$M537</f>
        <v/>
      </c>
      <c r="AA537" s="14">
        <f>SUM(N537:Y537)</f>
        <v/>
      </c>
      <c r="AB537" s="14">
        <f>IFERROR(IF(UPPER($E537)="L",SUMPRODUCT(N537:Y537,$N$3:$Y$3,$N$2:$Y$2),SUMPRODUCT(N537:Y537,$N$4:$Y$4,$N$2:$Y$2))/(Z537/($K537*$L537*$M537)),"")</f>
        <v/>
      </c>
      <c r="AC537" s="18" t="n"/>
    </row>
    <row r="538">
      <c r="A538" s="9" t="n">
        <v>824713</v>
      </c>
      <c r="B538" s="9" t="inlineStr">
        <is>
          <t>Andrew Williamson</t>
        </is>
      </c>
      <c r="C538" s="9" t="inlineStr">
        <is>
          <t>STL</t>
        </is>
      </c>
      <c r="D538" s="9" t="n">
        <v>25</v>
      </c>
      <c r="E538" s="16" t="inlineStr">
        <is>
          <t>L</t>
        </is>
      </c>
      <c r="F538" s="16" t="n"/>
      <c r="G538" s="9" t="n">
        <v>17.23076923076923</v>
      </c>
      <c r="H538" s="9" t="n">
        <v>17.23076923076923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1" t="n">
        <v>1</v>
      </c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7" t="n">
        <v>1</v>
      </c>
      <c r="Z538" s="13">
        <f>SUMPRODUCT(N538:Y538,$N$2:$Y$2)*$K538*$L538*$M538</f>
        <v/>
      </c>
      <c r="AA538" s="14">
        <f>SUM(N538:Y538)</f>
        <v/>
      </c>
      <c r="AB538" s="14">
        <f>IFERROR(IF(UPPER($E538)="L",SUMPRODUCT(N538:Y538,$N$3:$Y$3,$N$2:$Y$2),SUMPRODUCT(N538:Y538,$N$4:$Y$4,$N$2:$Y$2))/(Z538/($K538*$L538*$M538)),"")</f>
        <v/>
      </c>
      <c r="AC538" s="18" t="n"/>
    </row>
    <row r="539">
      <c r="A539" s="9" t="n">
        <v>683001</v>
      </c>
      <c r="B539" s="9" t="inlineStr">
        <is>
          <t>Ethan Hearn</t>
        </is>
      </c>
      <c r="C539" s="9" t="inlineStr">
        <is>
          <t>CHC</t>
        </is>
      </c>
      <c r="D539" s="9" t="n">
        <v>25</v>
      </c>
      <c r="E539" s="16" t="inlineStr">
        <is>
          <t>L</t>
        </is>
      </c>
      <c r="F539" s="16" t="n"/>
      <c r="G539" s="9" t="n">
        <v>40.61538461538462</v>
      </c>
      <c r="H539" s="9" t="n">
        <v>40.61538461538462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1" t="n">
        <v>1</v>
      </c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7" t="n">
        <v>1</v>
      </c>
      <c r="Z539" s="13">
        <f>SUMPRODUCT(N539:Y539,$N$2:$Y$2)*$K539*$L539*$M539</f>
        <v/>
      </c>
      <c r="AA539" s="14">
        <f>SUM(N539:Y539)</f>
        <v/>
      </c>
      <c r="AB539" s="14">
        <f>IFERROR(IF(UPPER($E539)="L",SUMPRODUCT(N539:Y539,$N$3:$Y$3,$N$2:$Y$2),SUMPRODUCT(N539:Y539,$N$4:$Y$4,$N$2:$Y$2))/(Z539/($K539*$L539*$M539)),"")</f>
        <v/>
      </c>
      <c r="AC539" s="18" t="n"/>
    </row>
    <row r="540">
      <c r="A540" s="9" t="n">
        <v>680118</v>
      </c>
      <c r="B540" s="9" t="inlineStr">
        <is>
          <t>Dairon Blanco</t>
        </is>
      </c>
      <c r="C540" s="9" t="inlineStr">
        <is>
          <t>KC</t>
        </is>
      </c>
      <c r="D540" s="9" t="n">
        <v>34</v>
      </c>
      <c r="E540" s="16" t="inlineStr">
        <is>
          <t>R</t>
        </is>
      </c>
      <c r="F540" s="16" t="inlineStr">
        <is>
          <t>CF</t>
        </is>
      </c>
      <c r="G540" s="9" t="n">
        <v>8</v>
      </c>
      <c r="H540" s="9" t="n">
        <v>285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1" t="n">
        <v>1</v>
      </c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7" t="n">
        <v>1</v>
      </c>
      <c r="Z540" s="13">
        <f>SUMPRODUCT(N540:Y540,$N$2:$Y$2)*$K540*$L540*$M540</f>
        <v/>
      </c>
      <c r="AA540" s="14">
        <f>SUM(N540:Y540)</f>
        <v/>
      </c>
      <c r="AB540" s="14">
        <f>IFERROR(IF(UPPER($E540)="L",SUMPRODUCT(N540:Y540,$N$3:$Y$3,$N$2:$Y$2),SUMPRODUCT(N540:Y540,$N$4:$Y$4,$N$2:$Y$2))/(Z540/($K540*$L540*$M540)),"")</f>
        <v/>
      </c>
      <c r="AC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1" t="n">
        <v>1</v>
      </c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7" t="n">
        <v>1</v>
      </c>
      <c r="Z541" s="13">
        <f>SUMPRODUCT(N541:Y541,$N$2:$Y$2)*$K541*$L541*$M541</f>
        <v/>
      </c>
      <c r="AA541" s="14">
        <f>SUM(N541:Y541)</f>
        <v/>
      </c>
      <c r="AB541" s="14">
        <f>IFERROR(IF(UPPER($E541)="L",SUMPRODUCT(N541:Y541,$N$3:$Y$3,$N$2:$Y$2),SUMPRODUCT(N541:Y541,$N$4:$Y$4,$N$2:$Y$2))/(Z541/($K541*$L541*$M541)),"")</f>
        <v/>
      </c>
      <c r="AC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1" t="n">
        <v>1</v>
      </c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7" t="n">
        <v>1</v>
      </c>
      <c r="Z542" s="13">
        <f>SUMPRODUCT(N542:Y542,$N$2:$Y$2)*$K542*$L542*$M542</f>
        <v/>
      </c>
      <c r="AA542" s="14">
        <f>SUM(N542:Y542)</f>
        <v/>
      </c>
      <c r="AB542" s="14">
        <f>IFERROR(IF(UPPER($E542)="L",SUMPRODUCT(N542:Y542,$N$3:$Y$3,$N$2:$Y$2),SUMPRODUCT(N542:Y542,$N$4:$Y$4,$N$2:$Y$2))/(Z542/($K542*$L542*$M542)),"")</f>
        <v/>
      </c>
      <c r="AC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1" t="n">
        <v>1</v>
      </c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7" t="n">
        <v>1</v>
      </c>
      <c r="Z543" s="13">
        <f>SUMPRODUCT(N543:Y543,$N$2:$Y$2)*$K543*$L543*$M543</f>
        <v/>
      </c>
      <c r="AA543" s="14">
        <f>SUM(N543:Y543)</f>
        <v/>
      </c>
      <c r="AB543" s="14">
        <f>IFERROR(IF(UPPER($E543)="L",SUMPRODUCT(N543:Y543,$N$3:$Y$3,$N$2:$Y$2),SUMPRODUCT(N543:Y543,$N$4:$Y$4,$N$2:$Y$2))/(Z543/($K543*$L543*$M543)),"")</f>
        <v/>
      </c>
      <c r="AC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1" t="n">
        <v>1</v>
      </c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7" t="n">
        <v>1</v>
      </c>
      <c r="Z544" s="13">
        <f>SUMPRODUCT(N544:Y544,$N$2:$Y$2)*$K544*$L544*$M544</f>
        <v/>
      </c>
      <c r="AA544" s="14">
        <f>SUM(N544:Y544)</f>
        <v/>
      </c>
      <c r="AB544" s="14">
        <f>IFERROR(IF(UPPER($E544)="L",SUMPRODUCT(N544:Y544,$N$3:$Y$3,$N$2:$Y$2),SUMPRODUCT(N544:Y544,$N$4:$Y$4,$N$2:$Y$2))/(Z544/($K544*$L544*$M544)),"")</f>
        <v/>
      </c>
      <c r="AC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1" t="n">
        <v>1</v>
      </c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7" t="n">
        <v>1</v>
      </c>
      <c r="Z545" s="13">
        <f>SUMPRODUCT(N545:Y545,$N$2:$Y$2)*$K545*$L545*$M545</f>
        <v/>
      </c>
      <c r="AA545" s="14">
        <f>SUM(N545:Y545)</f>
        <v/>
      </c>
      <c r="AB545" s="14">
        <f>IFERROR(IF(UPPER($E545)="L",SUMPRODUCT(N545:Y545,$N$3:$Y$3,$N$2:$Y$2),SUMPRODUCT(N545:Y545,$N$4:$Y$4,$N$2:$Y$2))/(Z545/($K545*$L545*$M545)),"")</f>
        <v/>
      </c>
      <c r="AC545" s="18" t="n"/>
    </row>
    <row r="546">
      <c r="A546" s="9" t="n">
        <v>681974</v>
      </c>
      <c r="B546" s="9" t="inlineStr">
        <is>
          <t>Onix Vega</t>
        </is>
      </c>
      <c r="C546" s="9" t="inlineStr">
        <is>
          <t>NYM</t>
        </is>
      </c>
      <c r="D546" s="9" t="n">
        <v>25</v>
      </c>
      <c r="E546" s="16" t="inlineStr">
        <is>
          <t>R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1" t="n">
        <v>1</v>
      </c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7" t="n">
        <v>1</v>
      </c>
      <c r="Z546" s="13">
        <f>SUMPRODUCT(N546:Y546,$N$2:$Y$2)*$K546*$L546*$M546</f>
        <v/>
      </c>
      <c r="AA546" s="14">
        <f>SUM(N546:Y546)</f>
        <v/>
      </c>
      <c r="AB546" s="14">
        <f>IFERROR(IF(UPPER($E546)="L",SUMPRODUCT(N546:Y546,$N$3:$Y$3,$N$2:$Y$2),SUMPRODUCT(N546:Y546,$N$4:$Y$4,$N$2:$Y$2))/(Z546/($K546*$L546*$M546)),"")</f>
        <v/>
      </c>
      <c r="AC546" s="18" t="n"/>
    </row>
    <row r="547">
      <c r="A547" s="9" t="n">
        <v>676724</v>
      </c>
      <c r="B547" s="9" t="inlineStr">
        <is>
          <t>Jared Young</t>
        </is>
      </c>
      <c r="C547" s="9" t="inlineStr">
        <is>
          <t>NYM</t>
        </is>
      </c>
      <c r="D547" s="9" t="n">
        <v>31</v>
      </c>
      <c r="E547" s="16" t="inlineStr">
        <is>
          <t>L</t>
        </is>
      </c>
      <c r="F547" s="16" t="inlineStr">
        <is>
          <t>1B</t>
        </is>
      </c>
      <c r="G547" s="9" t="n">
        <v>342</v>
      </c>
      <c r="H547" s="9" t="n">
        <v>458</v>
      </c>
      <c r="I547" s="9" t="inlineStr">
        <is>
          <t>Bench Bat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1" t="n">
        <v>0.8991781746235223</v>
      </c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>
        <v>0.7</v>
      </c>
      <c r="X547" s="17" t="n">
        <v>0.3</v>
      </c>
      <c r="Y547" s="17" t="n"/>
      <c r="Z547" s="13">
        <f>SUMPRODUCT(N547:Y547,$N$2:$Y$2)*$K547*$L547*$M547</f>
        <v/>
      </c>
      <c r="AA547" s="14">
        <f>SUM(N547:Y547)</f>
        <v/>
      </c>
      <c r="AB547" s="14">
        <f>IFERROR(IF(UPPER($E547)="L",SUMPRODUCT(N547:Y547,$N$3:$Y$3,$N$2:$Y$2),SUMPRODUCT(N547:Y547,$N$4:$Y$4,$N$2:$Y$2))/(Z547/($K547*$L547*$M547)),"")</f>
        <v/>
      </c>
      <c r="AC547" s="18" t="n"/>
    </row>
    <row r="548">
      <c r="A548" s="9" t="n">
        <v>800406</v>
      </c>
      <c r="B548" s="9" t="inlineStr">
        <is>
          <t>Aron Estrada</t>
        </is>
      </c>
      <c r="C548" s="9" t="inlineStr">
        <is>
          <t>BAL</t>
        </is>
      </c>
      <c r="D548" s="9" t="n">
        <v>25</v>
      </c>
      <c r="E548" s="16" t="inlineStr">
        <is>
          <t>S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1" t="n">
        <v>1</v>
      </c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7" t="n">
        <v>1</v>
      </c>
      <c r="Z548" s="13">
        <f>SUMPRODUCT(N548:Y548,$N$2:$Y$2)*$K548*$L548*$M548</f>
        <v/>
      </c>
      <c r="AA548" s="14">
        <f>SUM(N548:Y548)</f>
        <v/>
      </c>
      <c r="AB548" s="14">
        <f>IFERROR(IF(UPPER($E548)="L",SUMPRODUCT(N548:Y548,$N$3:$Y$3,$N$2:$Y$2),SUMPRODUCT(N548:Y548,$N$4:$Y$4,$N$2:$Y$2))/(Z548/($K548*$L548*$M548)),"")</f>
        <v/>
      </c>
      <c r="AC548" s="18" t="n"/>
    </row>
    <row r="549">
      <c r="A549" s="9" t="n">
        <v>702488</v>
      </c>
      <c r="B549" s="9" t="inlineStr">
        <is>
          <t>Logan Wagner</t>
        </is>
      </c>
      <c r="C549" s="9" t="inlineStr">
        <is>
          <t>LAD</t>
        </is>
      </c>
      <c r="D549" s="9" t="n">
        <v>25</v>
      </c>
      <c r="E549" s="16" t="inlineStr">
        <is>
          <t>S</t>
        </is>
      </c>
      <c r="F549" s="16" t="n"/>
      <c r="G549" s="9" t="n">
        <v>45.94871794871795</v>
      </c>
      <c r="H549" s="9" t="n">
        <v>45.94871794871795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1" t="n">
        <v>1</v>
      </c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7" t="n">
        <v>1</v>
      </c>
      <c r="Z549" s="13">
        <f>SUMPRODUCT(N549:Y549,$N$2:$Y$2)*$K549*$L549*$M549</f>
        <v/>
      </c>
      <c r="AA549" s="14">
        <f>SUM(N549:Y549)</f>
        <v/>
      </c>
      <c r="AB549" s="14">
        <f>IFERROR(IF(UPPER($E549)="L",SUMPRODUCT(N549:Y549,$N$3:$Y$3,$N$2:$Y$2),SUMPRODUCT(N549:Y549,$N$4:$Y$4,$N$2:$Y$2))/(Z549/($K549*$L549*$M549)),"")</f>
        <v/>
      </c>
      <c r="AC549" s="18" t="n"/>
    </row>
    <row r="550">
      <c r="A550" s="9" t="n">
        <v>683002</v>
      </c>
      <c r="B550" s="9" t="inlineStr">
        <is>
          <t>Gunnar Henderson</t>
        </is>
      </c>
      <c r="C550" s="9" t="inlineStr">
        <is>
          <t>BAL</t>
        </is>
      </c>
      <c r="D550" s="9" t="n">
        <v>26</v>
      </c>
      <c r="E550" s="16" t="inlineStr">
        <is>
          <t>L</t>
        </is>
      </c>
      <c r="F550" s="16" t="inlineStr">
        <is>
          <t>SS</t>
        </is>
      </c>
      <c r="G550" s="9" t="n">
        <v>702</v>
      </c>
      <c r="H550" s="9" t="n">
        <v>2826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1" t="n">
        <v>1.15</v>
      </c>
      <c r="N550" s="17" t="n">
        <v>1</v>
      </c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7" t="n"/>
      <c r="Z550" s="13">
        <f>SUMPRODUCT(N550:Y550,$N$2:$Y$2)*$K550*$L550*$M550</f>
        <v/>
      </c>
      <c r="AA550" s="14">
        <f>SUM(N550:Y550)</f>
        <v/>
      </c>
      <c r="AB550" s="14">
        <f>IFERROR(IF(UPPER($E550)="L",SUMPRODUCT(N550:Y550,$N$3:$Y$3,$N$2:$Y$2),SUMPRODUCT(N550:Y550,$N$4:$Y$4,$N$2:$Y$2))/(Z550/($K550*$L550*$M550)),"")</f>
        <v/>
      </c>
      <c r="AC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25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Bench Bat</t>
        </is>
      </c>
      <c r="J551" s="16" t="inlineStr">
        <is>
          <t>Mid Season (~July)</t>
        </is>
      </c>
      <c r="K551" s="11">
        <f>IFERROR(INDEX(Roles!$B$17:$B$20,MATCH(J551,Roles!$A$17:$A$20,0)),1)</f>
        <v/>
      </c>
      <c r="L551" s="17" t="n">
        <v>1</v>
      </c>
      <c r="M551" s="11" t="n">
        <v>1</v>
      </c>
      <c r="N551" s="17" t="n"/>
      <c r="O551" s="17" t="n"/>
      <c r="P551" s="17" t="n">
        <v>0.3</v>
      </c>
      <c r="Q551" s="17" t="n"/>
      <c r="R551" s="17" t="n"/>
      <c r="S551" s="17" t="n"/>
      <c r="T551" s="17" t="n"/>
      <c r="U551" s="17" t="n"/>
      <c r="V551" s="17" t="n"/>
      <c r="W551" s="17" t="n">
        <v>0.45</v>
      </c>
      <c r="X551" s="17" t="n">
        <v>0.25</v>
      </c>
      <c r="Y551" s="17" t="n"/>
      <c r="Z551" s="13">
        <f>SUMPRODUCT(N551:Y551,$N$2:$Y$2)*$K551*$L551*$M551</f>
        <v/>
      </c>
      <c r="AA551" s="14">
        <f>SUM(N551:Y551)</f>
        <v/>
      </c>
      <c r="AB551" s="14">
        <f>IFERROR(IF(UPPER($E551)="L",SUMPRODUCT(N551:Y551,$N$3:$Y$3,$N$2:$Y$2),SUMPRODUCT(N551:Y551,$N$4:$Y$4,$N$2:$Y$2))/(Z551/($K551*$L551*$M551)),"")</f>
        <v/>
      </c>
      <c r="AC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25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Depth (no MLB PA)</t>
        </is>
      </c>
      <c r="J552" s="16" t="inlineStr">
        <is>
          <t>Mid Season (~July)</t>
        </is>
      </c>
      <c r="K552" s="11">
        <f>IFERROR(INDEX(Roles!$B$17:$B$20,MATCH(J552,Roles!$A$17:$A$20,0)),1)</f>
        <v/>
      </c>
      <c r="L552" s="17" t="n">
        <v>1</v>
      </c>
      <c r="M552" s="11" t="n">
        <v>1</v>
      </c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7" t="n">
        <v>1</v>
      </c>
      <c r="Z552" s="13">
        <f>SUMPRODUCT(N552:Y552,$N$2:$Y$2)*$K552*$L552*$M552</f>
        <v/>
      </c>
      <c r="AA552" s="14">
        <f>SUM(N552:Y552)</f>
        <v/>
      </c>
      <c r="AB552" s="14">
        <f>IFERROR(IF(UPPER($E552)="L",SUMPRODUCT(N552:Y552,$N$3:$Y$3,$N$2:$Y$2),SUMPRODUCT(N552:Y552,$N$4:$Y$4,$N$2:$Y$2))/(Z552/($K552*$L552*$M552)),"")</f>
        <v/>
      </c>
      <c r="AC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1" t="n">
        <v>1</v>
      </c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7" t="n">
        <v>1</v>
      </c>
      <c r="Z553" s="13">
        <f>SUMPRODUCT(N553:Y553,$N$2:$Y$2)*$K553*$L553*$M553</f>
        <v/>
      </c>
      <c r="AA553" s="14">
        <f>SUM(N553:Y553)</f>
        <v/>
      </c>
      <c r="AB553" s="14">
        <f>IFERROR(IF(UPPER($E553)="L",SUMPRODUCT(N553:Y553,$N$3:$Y$3,$N$2:$Y$2),SUMPRODUCT(N553:Y553,$N$4:$Y$4,$N$2:$Y$2))/(Z553/($K553*$L553*$M553)),"")</f>
        <v/>
      </c>
      <c r="AC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1" t="n">
        <v>1</v>
      </c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7" t="n">
        <v>1</v>
      </c>
      <c r="Z554" s="13">
        <f>SUMPRODUCT(N554:Y554,$N$2:$Y$2)*$K554*$L554*$M554</f>
        <v/>
      </c>
      <c r="AA554" s="14">
        <f>SUM(N554:Y554)</f>
        <v/>
      </c>
      <c r="AB554" s="14">
        <f>IFERROR(IF(UPPER($E554)="L",SUMPRODUCT(N554:Y554,$N$3:$Y$3,$N$2:$Y$2),SUMPRODUCT(N554:Y554,$N$4:$Y$4,$N$2:$Y$2))/(Z554/($K554*$L554*$M554)),"")</f>
        <v/>
      </c>
      <c r="AC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1" t="n">
        <v>1</v>
      </c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7" t="n">
        <v>1</v>
      </c>
      <c r="Z555" s="13">
        <f>SUMPRODUCT(N555:Y555,$N$2:$Y$2)*$K555*$L555*$M555</f>
        <v/>
      </c>
      <c r="AA555" s="14">
        <f>SUM(N555:Y555)</f>
        <v/>
      </c>
      <c r="AB555" s="14">
        <f>IFERROR(IF(UPPER($E555)="L",SUMPRODUCT(N555:Y555,$N$3:$Y$3,$N$2:$Y$2),SUMPRODUCT(N555:Y555,$N$4:$Y$4,$N$2:$Y$2))/(Z555/($K555*$L555*$M555)),"")</f>
        <v/>
      </c>
      <c r="AC555" s="18" t="n"/>
    </row>
    <row r="556">
      <c r="A556" s="9" t="n">
        <v>699471</v>
      </c>
      <c r="B556" s="9" t="inlineStr">
        <is>
          <t>Ivan Melendez</t>
        </is>
      </c>
      <c r="C556" s="9" t="inlineStr">
        <is>
          <t>ARI</t>
        </is>
      </c>
      <c r="D556" s="9" t="n">
        <v>25</v>
      </c>
      <c r="E556" s="16" t="inlineStr">
        <is>
          <t>R</t>
        </is>
      </c>
      <c r="F556" s="16" t="n"/>
      <c r="G556" s="9" t="n">
        <v>27.07692307692308</v>
      </c>
      <c r="H556" s="9" t="n">
        <v>27.07692307692308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1" t="n">
        <v>1</v>
      </c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7" t="n">
        <v>1</v>
      </c>
      <c r="Z556" s="13">
        <f>SUMPRODUCT(N556:Y556,$N$2:$Y$2)*$K556*$L556*$M556</f>
        <v/>
      </c>
      <c r="AA556" s="14">
        <f>SUM(N556:Y556)</f>
        <v/>
      </c>
      <c r="AB556" s="14">
        <f>IFERROR(IF(UPPER($E556)="L",SUMPRODUCT(N556:Y556,$N$3:$Y$3,$N$2:$Y$2),SUMPRODUCT(N556:Y556,$N$4:$Y$4,$N$2:$Y$2))/(Z556/($K556*$L556*$M556)),"")</f>
        <v/>
      </c>
      <c r="AC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1" t="n">
        <v>1</v>
      </c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7" t="n">
        <v>1</v>
      </c>
      <c r="Z557" s="13">
        <f>SUMPRODUCT(N557:Y557,$N$2:$Y$2)*$K557*$L557*$M557</f>
        <v/>
      </c>
      <c r="AA557" s="14">
        <f>SUM(N557:Y557)</f>
        <v/>
      </c>
      <c r="AB557" s="14">
        <f>IFERROR(IF(UPPER($E557)="L",SUMPRODUCT(N557:Y557,$N$3:$Y$3,$N$2:$Y$2),SUMPRODUCT(N557:Y557,$N$4:$Y$4,$N$2:$Y$2))/(Z557/($K557*$L557*$M557)),"")</f>
        <v/>
      </c>
      <c r="AC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1" t="n">
        <v>1</v>
      </c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7" t="n">
        <v>1</v>
      </c>
      <c r="Z558" s="13">
        <f>SUMPRODUCT(N558:Y558,$N$2:$Y$2)*$K558*$L558*$M558</f>
        <v/>
      </c>
      <c r="AA558" s="14">
        <f>SUM(N558:Y558)</f>
        <v/>
      </c>
      <c r="AB558" s="14">
        <f>IFERROR(IF(UPPER($E558)="L",SUMPRODUCT(N558:Y558,$N$3:$Y$3,$N$2:$Y$2),SUMPRODUCT(N558:Y558,$N$4:$Y$4,$N$2:$Y$2))/(Z558/($K558*$L558*$M558)),"")</f>
        <v/>
      </c>
      <c r="AC558" s="18" t="n"/>
    </row>
    <row r="559">
      <c r="A559" s="9" t="n">
        <v>663993</v>
      </c>
      <c r="B559" s="9" t="inlineStr">
        <is>
          <t>Nathaniel Lowe</t>
        </is>
      </c>
      <c r="C559" s="9" t="inlineStr">
        <is>
          <t>CLE</t>
        </is>
      </c>
      <c r="D559" s="9" t="n">
        <v>31</v>
      </c>
      <c r="E559" s="16" t="inlineStr">
        <is>
          <t>L</t>
        </is>
      </c>
      <c r="F559" s="16" t="inlineStr">
        <is>
          <t>1B</t>
        </is>
      </c>
      <c r="G559" s="9" t="n">
        <v>429</v>
      </c>
      <c r="H559" s="9" t="n">
        <v>2972</v>
      </c>
      <c r="I559" s="9" t="inlineStr">
        <is>
          <t>Strong Side Platoon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1" t="n">
        <v>1.098095737720217</v>
      </c>
      <c r="N559" s="17" t="n">
        <v>0.4</v>
      </c>
      <c r="O559" s="17" t="n"/>
      <c r="P559" s="17" t="n">
        <v>0.6</v>
      </c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7" t="n"/>
      <c r="Z559" s="13">
        <f>SUMPRODUCT(N559:Y559,$N$2:$Y$2)*$K559*$L559*$M559</f>
        <v/>
      </c>
      <c r="AA559" s="14">
        <f>SUM(N559:Y559)</f>
        <v/>
      </c>
      <c r="AB559" s="14">
        <f>IFERROR(IF(UPPER($E559)="L",SUMPRODUCT(N559:Y559,$N$3:$Y$3,$N$2:$Y$2),SUMPRODUCT(N559:Y559,$N$4:$Y$4,$N$2:$Y$2))/(Z559/($K559*$L559*$M559)),"")</f>
        <v/>
      </c>
      <c r="AC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1" t="n">
        <v>1</v>
      </c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7" t="n">
        <v>1</v>
      </c>
      <c r="Z560" s="13">
        <f>SUMPRODUCT(N560:Y560,$N$2:$Y$2)*$K560*$L560*$M560</f>
        <v/>
      </c>
      <c r="AA560" s="14">
        <f>SUM(N560:Y560)</f>
        <v/>
      </c>
      <c r="AB560" s="14">
        <f>IFERROR(IF(UPPER($E560)="L",SUMPRODUCT(N560:Y560,$N$3:$Y$3,$N$2:$Y$2),SUMPRODUCT(N560:Y560,$N$4:$Y$4,$N$2:$Y$2))/(Z560/($K560*$L560*$M560)),"")</f>
        <v/>
      </c>
      <c r="AC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25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Depth (no MLB PA)</t>
        </is>
      </c>
      <c r="J561" s="16" t="inlineStr">
        <is>
          <t>Mid Season (~July)</t>
        </is>
      </c>
      <c r="K561" s="11">
        <f>IFERROR(INDEX(Roles!$B$17:$B$20,MATCH(J561,Roles!$A$17:$A$20,0)),1)</f>
        <v/>
      </c>
      <c r="L561" s="17" t="n">
        <v>1</v>
      </c>
      <c r="M561" s="11" t="n">
        <v>1</v>
      </c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7" t="n">
        <v>1</v>
      </c>
      <c r="Z561" s="13">
        <f>SUMPRODUCT(N561:Y561,$N$2:$Y$2)*$K561*$L561*$M561</f>
        <v/>
      </c>
      <c r="AA561" s="14">
        <f>SUM(N561:Y561)</f>
        <v/>
      </c>
      <c r="AB561" s="14">
        <f>IFERROR(IF(UPPER($E561)="L",SUMPRODUCT(N561:Y561,$N$3:$Y$3,$N$2:$Y$2),SUMPRODUCT(N561:Y561,$N$4:$Y$4,$N$2:$Y$2))/(Z561/($K561*$L561*$M561)),"")</f>
        <v/>
      </c>
      <c r="AC561" s="18" t="n"/>
    </row>
    <row r="562">
      <c r="A562" s="9" t="n">
        <v>816113</v>
      </c>
      <c r="B562" s="9" t="inlineStr">
        <is>
          <t>Eli Willits</t>
        </is>
      </c>
      <c r="C562" s="9" t="inlineStr">
        <is>
          <t>WSH</t>
        </is>
      </c>
      <c r="D562" s="9" t="n">
        <v>25</v>
      </c>
      <c r="E562" s="16" t="inlineStr">
        <is>
          <t>S</t>
        </is>
      </c>
      <c r="F562" s="16" t="n"/>
      <c r="G562" s="9" t="n">
        <v>6.102564102564103</v>
      </c>
      <c r="H562" s="9" t="n">
        <v>6.102564102564103</v>
      </c>
      <c r="I562" s="9" t="inlineStr">
        <is>
          <t>Bench Bat</t>
        </is>
      </c>
      <c r="J562" s="16" t="inlineStr">
        <is>
          <t>Mid Season (~July)</t>
        </is>
      </c>
      <c r="K562" s="11">
        <f>IFERROR(INDEX(Roles!$B$17:$B$20,MATCH(J562,Roles!$A$17:$A$20,0)),1)</f>
        <v/>
      </c>
      <c r="L562" s="17" t="n">
        <v>1</v>
      </c>
      <c r="M562" s="11" t="n">
        <v>1</v>
      </c>
      <c r="N562" s="17" t="n">
        <v>0.25</v>
      </c>
      <c r="O562" s="17" t="n"/>
      <c r="P562" s="17" t="n">
        <v>0.3</v>
      </c>
      <c r="Q562" s="17" t="n"/>
      <c r="R562" s="17" t="n"/>
      <c r="S562" s="17" t="n"/>
      <c r="T562" s="17" t="n"/>
      <c r="U562" s="17" t="n"/>
      <c r="V562" s="17" t="n"/>
      <c r="W562" s="17" t="n">
        <v>0.45</v>
      </c>
      <c r="X562" s="17" t="n"/>
      <c r="Y562" s="17" t="n"/>
      <c r="Z562" s="13">
        <f>SUMPRODUCT(N562:Y562,$N$2:$Y$2)*$K562*$L562*$M562</f>
        <v/>
      </c>
      <c r="AA562" s="14">
        <f>SUM(N562:Y562)</f>
        <v/>
      </c>
      <c r="AB562" s="14">
        <f>IFERROR(IF(UPPER($E562)="L",SUMPRODUCT(N562:Y562,$N$3:$Y$3,$N$2:$Y$2),SUMPRODUCT(N562:Y562,$N$4:$Y$4,$N$2:$Y$2))/(Z562/($K562*$L562*$M562)),"")</f>
        <v/>
      </c>
      <c r="AC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25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Late Season (~Sept)</t>
        </is>
      </c>
      <c r="K563" s="11">
        <f>IFERROR(INDEX(Roles!$B$17:$B$20,MATCH(J563,Roles!$A$17:$A$20,0)),1)</f>
        <v/>
      </c>
      <c r="L563" s="17" t="n">
        <v>1</v>
      </c>
      <c r="M563" s="11" t="n">
        <v>1</v>
      </c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7" t="n">
        <v>1</v>
      </c>
      <c r="Z563" s="13">
        <f>SUMPRODUCT(N563:Y563,$N$2:$Y$2)*$K563*$L563*$M563</f>
        <v/>
      </c>
      <c r="AA563" s="14">
        <f>SUM(N563:Y563)</f>
        <v/>
      </c>
      <c r="AB563" s="14">
        <f>IFERROR(IF(UPPER($E563)="L",SUMPRODUCT(N563:Y563,$N$3:$Y$3,$N$2:$Y$2),SUMPRODUCT(N563:Y563,$N$4:$Y$4,$N$2:$Y$2))/(Z563/($K563*$L563*$M563)),"")</f>
        <v/>
      </c>
      <c r="AC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inlineStr">
        <is>
          <t>CF</t>
        </is>
      </c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1" t="n">
        <v>1</v>
      </c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7" t="n">
        <v>1</v>
      </c>
      <c r="Z564" s="13">
        <f>SUMPRODUCT(N564:Y564,$N$2:$Y$2)*$K564*$L564*$M564</f>
        <v/>
      </c>
      <c r="AA564" s="14">
        <f>SUM(N564:Y564)</f>
        <v/>
      </c>
      <c r="AB564" s="14">
        <f>IFERROR(IF(UPPER($E564)="L",SUMPRODUCT(N564:Y564,$N$3:$Y$3,$N$2:$Y$2),SUMPRODUCT(N564:Y564,$N$4:$Y$4,$N$2:$Y$2))/(Z564/($K564*$L564*$M564)),"")</f>
        <v/>
      </c>
      <c r="AC564" s="18" t="n"/>
    </row>
    <row r="565">
      <c r="A565" s="9" t="n">
        <v>813488</v>
      </c>
      <c r="B565" s="9" t="inlineStr">
        <is>
          <t>Jayden Lobliner</t>
        </is>
      </c>
      <c r="C565" s="9" t="inlineStr">
        <is>
          <t>STL</t>
        </is>
      </c>
      <c r="D565" s="9" t="n">
        <v>25</v>
      </c>
      <c r="E565" s="16" t="inlineStr">
        <is>
          <t>R</t>
        </is>
      </c>
      <c r="F565" s="16" t="n"/>
      <c r="G565" s="9" t="n">
        <v>6.523076923076923</v>
      </c>
      <c r="H565" s="9" t="n">
        <v>6.523076923076923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1" t="n">
        <v>1</v>
      </c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7" t="n">
        <v>1</v>
      </c>
      <c r="Z565" s="13">
        <f>SUMPRODUCT(N565:Y565,$N$2:$Y$2)*$K565*$L565*$M565</f>
        <v/>
      </c>
      <c r="AA565" s="14">
        <f>SUM(N565:Y565)</f>
        <v/>
      </c>
      <c r="AB565" s="14">
        <f>IFERROR(IF(UPPER($E565)="L",SUMPRODUCT(N565:Y565,$N$3:$Y$3,$N$2:$Y$2),SUMPRODUCT(N565:Y565,$N$4:$Y$4,$N$2:$Y$2))/(Z565/($K565*$L565*$M565)),"")</f>
        <v/>
      </c>
      <c r="AC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inlineStr">
        <is>
          <t>LF</t>
        </is>
      </c>
      <c r="G566" s="9" t="n">
        <v>242</v>
      </c>
      <c r="H566" s="9" t="n">
        <v>545</v>
      </c>
      <c r="I566" s="9" t="inlineStr">
        <is>
          <t>Bench Bat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1" t="n">
        <v>1</v>
      </c>
      <c r="N566" s="17" t="n"/>
      <c r="O566" s="17" t="n">
        <v>0.4</v>
      </c>
      <c r="P566" s="17" t="n"/>
      <c r="Q566" s="17" t="n"/>
      <c r="R566" s="17" t="n"/>
      <c r="S566" s="17" t="n"/>
      <c r="T566" s="17" t="n"/>
      <c r="U566" s="17" t="n"/>
      <c r="V566" s="17" t="n"/>
      <c r="W566" s="17" t="n">
        <v>0.6</v>
      </c>
      <c r="X566" s="17" t="n"/>
      <c r="Y566" s="17" t="n"/>
      <c r="Z566" s="13">
        <f>SUMPRODUCT(N566:Y566,$N$2:$Y$2)*$K566*$L566*$M566</f>
        <v/>
      </c>
      <c r="AA566" s="14">
        <f>SUM(N566:Y566)</f>
        <v/>
      </c>
      <c r="AB566" s="14">
        <f>IFERROR(IF(UPPER($E566)="L",SUMPRODUCT(N566:Y566,$N$3:$Y$3,$N$2:$Y$2),SUMPRODUCT(N566:Y566,$N$4:$Y$4,$N$2:$Y$2))/(Z566/($K566*$L566*$M566)),"")</f>
        <v/>
      </c>
      <c r="AC566" s="18" t="n"/>
    </row>
    <row r="567">
      <c r="A567" s="9" t="n">
        <v>691278</v>
      </c>
      <c r="B567" s="9" t="inlineStr">
        <is>
          <t>Moises Alcala</t>
        </is>
      </c>
      <c r="C567" s="9" t="inlineStr">
        <is>
          <t>ARI</t>
        </is>
      </c>
      <c r="D567" s="9" t="n">
        <v>25</v>
      </c>
      <c r="E567" s="16" t="inlineStr">
        <is>
          <t>S</t>
        </is>
      </c>
      <c r="F567" s="16" t="n"/>
      <c r="G567" s="9" t="n">
        <v>2.338461538461539</v>
      </c>
      <c r="H567" s="9" t="n">
        <v>2.338461538461539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1" t="n">
        <v>1</v>
      </c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7" t="n">
        <v>1</v>
      </c>
      <c r="Z567" s="13">
        <f>SUMPRODUCT(N567:Y567,$N$2:$Y$2)*$K567*$L567*$M567</f>
        <v/>
      </c>
      <c r="AA567" s="14">
        <f>SUM(N567:Y567)</f>
        <v/>
      </c>
      <c r="AB567" s="14">
        <f>IFERROR(IF(UPPER($E567)="L",SUMPRODUCT(N567:Y567,$N$3:$Y$3,$N$2:$Y$2),SUMPRODUCT(N567:Y567,$N$4:$Y$4,$N$2:$Y$2))/(Z567/($K567*$L567*$M567)),"")</f>
        <v/>
      </c>
      <c r="AC567" s="18" t="n"/>
    </row>
    <row r="568">
      <c r="A568" s="9" t="n">
        <v>703483</v>
      </c>
      <c r="B568" s="9" t="inlineStr">
        <is>
          <t>Dixon Williams</t>
        </is>
      </c>
      <c r="C568" s="9" t="inlineStr">
        <is>
          <t>ATL</t>
        </is>
      </c>
      <c r="D568" s="9" t="n">
        <v>25</v>
      </c>
      <c r="E568" s="16" t="inlineStr">
        <is>
          <t>L</t>
        </is>
      </c>
      <c r="F568" s="16" t="n"/>
      <c r="G568" s="9" t="n">
        <v>14.71794871794872</v>
      </c>
      <c r="H568" s="9" t="n">
        <v>14.71794871794872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1" t="n">
        <v>1</v>
      </c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7" t="n">
        <v>1</v>
      </c>
      <c r="Z568" s="13">
        <f>SUMPRODUCT(N568:Y568,$N$2:$Y$2)*$K568*$L568*$M568</f>
        <v/>
      </c>
      <c r="AA568" s="14">
        <f>SUM(N568:Y568)</f>
        <v/>
      </c>
      <c r="AB568" s="14">
        <f>IFERROR(IF(UPPER($E568)="L",SUMPRODUCT(N568:Y568,$N$3:$Y$3,$N$2:$Y$2),SUMPRODUCT(N568:Y568,$N$4:$Y$4,$N$2:$Y$2))/(Z568/($K568*$L568*$M568)),"")</f>
        <v/>
      </c>
      <c r="AC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1" t="n">
        <v>1</v>
      </c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7" t="n">
        <v>1</v>
      </c>
      <c r="Z569" s="13">
        <f>SUMPRODUCT(N569:Y569,$N$2:$Y$2)*$K569*$L569*$M569</f>
        <v/>
      </c>
      <c r="AA569" s="14">
        <f>SUM(N569:Y569)</f>
        <v/>
      </c>
      <c r="AB569" s="14">
        <f>IFERROR(IF(UPPER($E569)="L",SUMPRODUCT(N569:Y569,$N$3:$Y$3,$N$2:$Y$2),SUMPRODUCT(N569:Y569,$N$4:$Y$4,$N$2:$Y$2))/(Z569/($K569*$L569*$M569)),"")</f>
        <v/>
      </c>
      <c r="AC569" s="18" t="n"/>
    </row>
    <row r="570">
      <c r="A570" s="9" t="n">
        <v>814822</v>
      </c>
      <c r="B570" s="9" t="inlineStr">
        <is>
          <t>Henry Ford</t>
        </is>
      </c>
      <c r="C570" s="9" t="inlineStr">
        <is>
          <t>SEA</t>
        </is>
      </c>
      <c r="D570" s="9" t="n">
        <v>25</v>
      </c>
      <c r="E570" s="16" t="inlineStr">
        <is>
          <t>R</t>
        </is>
      </c>
      <c r="F570" s="16" t="n"/>
      <c r="G570" s="9" t="n">
        <v>6.646153846153847</v>
      </c>
      <c r="H570" s="9" t="n">
        <v>6.646153846153847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1" t="n">
        <v>1</v>
      </c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7" t="n">
        <v>1</v>
      </c>
      <c r="Z570" s="13">
        <f>SUMPRODUCT(N570:Y570,$N$2:$Y$2)*$K570*$L570*$M570</f>
        <v/>
      </c>
      <c r="AA570" s="14">
        <f>SUM(N570:Y570)</f>
        <v/>
      </c>
      <c r="AB570" s="14">
        <f>IFERROR(IF(UPPER($E570)="L",SUMPRODUCT(N570:Y570,$N$3:$Y$3,$N$2:$Y$2),SUMPRODUCT(N570:Y570,$N$4:$Y$4,$N$2:$Y$2))/(Z570/($K570*$L570*$M570)),"")</f>
        <v/>
      </c>
      <c r="AC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1" t="n">
        <v>1</v>
      </c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7" t="n">
        <v>1</v>
      </c>
      <c r="Z571" s="13">
        <f>SUMPRODUCT(N571:Y571,$N$2:$Y$2)*$K571*$L571*$M571</f>
        <v/>
      </c>
      <c r="AA571" s="14">
        <f>SUM(N571:Y571)</f>
        <v/>
      </c>
      <c r="AB571" s="14">
        <f>IFERROR(IF(UPPER($E571)="L",SUMPRODUCT(N571:Y571,$N$3:$Y$3,$N$2:$Y$2),SUMPRODUCT(N571:Y571,$N$4:$Y$4,$N$2:$Y$2))/(Z571/($K571*$L571*$M571)),"")</f>
        <v/>
      </c>
      <c r="AC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1" t="n">
        <v>1</v>
      </c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7" t="n">
        <v>1</v>
      </c>
      <c r="Z572" s="13">
        <f>SUMPRODUCT(N572:Y572,$N$2:$Y$2)*$K572*$L572*$M572</f>
        <v/>
      </c>
      <c r="AA572" s="14">
        <f>SUM(N572:Y572)</f>
        <v/>
      </c>
      <c r="AB572" s="14">
        <f>IFERROR(IF(UPPER($E572)="L",SUMPRODUCT(N572:Y572,$N$3:$Y$3,$N$2:$Y$2),SUMPRODUCT(N572:Y572,$N$4:$Y$4,$N$2:$Y$2))/(Z572/($K572*$L572*$M572)),"")</f>
        <v/>
      </c>
      <c r="AC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inlineStr">
        <is>
          <t>3B</t>
        </is>
      </c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1" t="n">
        <v>1</v>
      </c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7" t="n">
        <v>1</v>
      </c>
      <c r="Z573" s="13">
        <f>SUMPRODUCT(N573:Y573,$N$2:$Y$2)*$K573*$L573*$M573</f>
        <v/>
      </c>
      <c r="AA573" s="14">
        <f>SUM(N573:Y573)</f>
        <v/>
      </c>
      <c r="AB573" s="14">
        <f>IFERROR(IF(UPPER($E573)="L",SUMPRODUCT(N573:Y573,$N$3:$Y$3,$N$2:$Y$2),SUMPRODUCT(N573:Y573,$N$4:$Y$4,$N$2:$Y$2))/(Z573/($K573*$L573*$M573)),"")</f>
        <v/>
      </c>
      <c r="AC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1" t="n">
        <v>1</v>
      </c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7" t="n">
        <v>1</v>
      </c>
      <c r="Z574" s="13">
        <f>SUMPRODUCT(N574:Y574,$N$2:$Y$2)*$K574*$L574*$M574</f>
        <v/>
      </c>
      <c r="AA574" s="14">
        <f>SUM(N574:Y574)</f>
        <v/>
      </c>
      <c r="AB574" s="14">
        <f>IFERROR(IF(UPPER($E574)="L",SUMPRODUCT(N574:Y574,$N$3:$Y$3,$N$2:$Y$2),SUMPRODUCT(N574:Y574,$N$4:$Y$4,$N$2:$Y$2))/(Z574/($K574*$L574*$M574)),"")</f>
        <v/>
      </c>
      <c r="AC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1" t="n">
        <v>1</v>
      </c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7" t="n">
        <v>1</v>
      </c>
      <c r="Z575" s="13">
        <f>SUMPRODUCT(N575:Y575,$N$2:$Y$2)*$K575*$L575*$M575</f>
        <v/>
      </c>
      <c r="AA575" s="14">
        <f>SUM(N575:Y575)</f>
        <v/>
      </c>
      <c r="AB575" s="14">
        <f>IFERROR(IF(UPPER($E575)="L",SUMPRODUCT(N575:Y575,$N$3:$Y$3,$N$2:$Y$2),SUMPRODUCT(N575:Y575,$N$4:$Y$4,$N$2:$Y$2))/(Z575/($K575*$L575*$M575)),"")</f>
        <v/>
      </c>
      <c r="AC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1" t="n">
        <v>1</v>
      </c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7" t="n">
        <v>1</v>
      </c>
      <c r="Z576" s="13">
        <f>SUMPRODUCT(N576:Y576,$N$2:$Y$2)*$K576*$L576*$M576</f>
        <v/>
      </c>
      <c r="AA576" s="14">
        <f>SUM(N576:Y576)</f>
        <v/>
      </c>
      <c r="AB576" s="14">
        <f>IFERROR(IF(UPPER($E576)="L",SUMPRODUCT(N576:Y576,$N$3:$Y$3,$N$2:$Y$2),SUMPRODUCT(N576:Y576,$N$4:$Y$4,$N$2:$Y$2))/(Z576/($K576*$L576*$M576)),"")</f>
        <v/>
      </c>
      <c r="AC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1" t="n">
        <v>1</v>
      </c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7" t="n">
        <v>1</v>
      </c>
      <c r="Z577" s="13">
        <f>SUMPRODUCT(N577:Y577,$N$2:$Y$2)*$K577*$L577*$M577</f>
        <v/>
      </c>
      <c r="AA577" s="14">
        <f>SUM(N577:Y577)</f>
        <v/>
      </c>
      <c r="AB577" s="14">
        <f>IFERROR(IF(UPPER($E577)="L",SUMPRODUCT(N577:Y577,$N$3:$Y$3,$N$2:$Y$2),SUMPRODUCT(N577:Y577,$N$4:$Y$4,$N$2:$Y$2))/(Z577/($K577*$L577*$M577)),"")</f>
        <v/>
      </c>
      <c r="AC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1" t="n">
        <v>1</v>
      </c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7" t="n">
        <v>1</v>
      </c>
      <c r="Z578" s="13">
        <f>SUMPRODUCT(N578:Y578,$N$2:$Y$2)*$K578*$L578*$M578</f>
        <v/>
      </c>
      <c r="AA578" s="14">
        <f>SUM(N578:Y578)</f>
        <v/>
      </c>
      <c r="AB578" s="14">
        <f>IFERROR(IF(UPPER($E578)="L",SUMPRODUCT(N578:Y578,$N$3:$Y$3,$N$2:$Y$2),SUMPRODUCT(N578:Y578,$N$4:$Y$4,$N$2:$Y$2))/(Z578/($K578*$L578*$M578)),"")</f>
        <v/>
      </c>
      <c r="AC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25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Late Season (~Sept)</t>
        </is>
      </c>
      <c r="K579" s="11">
        <f>IFERROR(INDEX(Roles!$B$17:$B$20,MATCH(J579,Roles!$A$17:$A$20,0)),1)</f>
        <v/>
      </c>
      <c r="L579" s="17" t="n">
        <v>1</v>
      </c>
      <c r="M579" s="11" t="n">
        <v>1</v>
      </c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7" t="n">
        <v>1</v>
      </c>
      <c r="Z579" s="13">
        <f>SUMPRODUCT(N579:Y579,$N$2:$Y$2)*$K579*$L579*$M579</f>
        <v/>
      </c>
      <c r="AA579" s="14">
        <f>SUM(N579:Y579)</f>
        <v/>
      </c>
      <c r="AB579" s="14">
        <f>IFERROR(IF(UPPER($E579)="L",SUMPRODUCT(N579:Y579,$N$3:$Y$3,$N$2:$Y$2),SUMPRODUCT(N579:Y579,$N$4:$Y$4,$N$2:$Y$2))/(Z579/($K579*$L579*$M579)),"")</f>
        <v/>
      </c>
      <c r="AC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inlineStr">
        <is>
          <t>1B</t>
        </is>
      </c>
      <c r="G580" s="9" t="n">
        <v>451</v>
      </c>
      <c r="H580" s="9" t="n">
        <v>2002</v>
      </c>
      <c r="I580" s="9" t="inlineStr">
        <is>
          <t>Strong Side Platoon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1" t="n">
        <v>1.103444868483037</v>
      </c>
      <c r="N580" s="17" t="n"/>
      <c r="O580" s="17" t="n">
        <v>0.4</v>
      </c>
      <c r="P580" s="17" t="n">
        <v>0.6</v>
      </c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7" t="n"/>
      <c r="Z580" s="13">
        <f>SUMPRODUCT(N580:Y580,$N$2:$Y$2)*$K580*$L580*$M580</f>
        <v/>
      </c>
      <c r="AA580" s="14">
        <f>SUM(N580:Y580)</f>
        <v/>
      </c>
      <c r="AB580" s="14">
        <f>IFERROR(IF(UPPER($E580)="L",SUMPRODUCT(N580:Y580,$N$3:$Y$3,$N$2:$Y$2),SUMPRODUCT(N580:Y580,$N$4:$Y$4,$N$2:$Y$2))/(Z580/($K580*$L580*$M580)),"")</f>
        <v/>
      </c>
      <c r="AC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1" t="n">
        <v>1</v>
      </c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7" t="n">
        <v>1</v>
      </c>
      <c r="Z581" s="13">
        <f>SUMPRODUCT(N581:Y581,$N$2:$Y$2)*$K581*$L581*$M581</f>
        <v/>
      </c>
      <c r="AA581" s="14">
        <f>SUM(N581:Y581)</f>
        <v/>
      </c>
      <c r="AB581" s="14">
        <f>IFERROR(IF(UPPER($E581)="L",SUMPRODUCT(N581:Y581,$N$3:$Y$3,$N$2:$Y$2),SUMPRODUCT(N581:Y581,$N$4:$Y$4,$N$2:$Y$2))/(Z581/($K581*$L581*$M581)),"")</f>
        <v/>
      </c>
      <c r="AC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1" t="n">
        <v>1</v>
      </c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7" t="n">
        <v>1</v>
      </c>
      <c r="Z582" s="13">
        <f>SUMPRODUCT(N582:Y582,$N$2:$Y$2)*$K582*$L582*$M582</f>
        <v/>
      </c>
      <c r="AA582" s="14">
        <f>SUM(N582:Y582)</f>
        <v/>
      </c>
      <c r="AB582" s="14">
        <f>IFERROR(IF(UPPER($E582)="L",SUMPRODUCT(N582:Y582,$N$3:$Y$3,$N$2:$Y$2),SUMPRODUCT(N582:Y582,$N$4:$Y$4,$N$2:$Y$2))/(Z582/($K582*$L582*$M582)),"")</f>
        <v/>
      </c>
      <c r="AC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1" t="n">
        <v>1</v>
      </c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7" t="n">
        <v>1</v>
      </c>
      <c r="Z583" s="13">
        <f>SUMPRODUCT(N583:Y583,$N$2:$Y$2)*$K583*$L583*$M583</f>
        <v/>
      </c>
      <c r="AA583" s="14">
        <f>SUM(N583:Y583)</f>
        <v/>
      </c>
      <c r="AB583" s="14">
        <f>IFERROR(IF(UPPER($E583)="L",SUMPRODUCT(N583:Y583,$N$3:$Y$3,$N$2:$Y$2),SUMPRODUCT(N583:Y583,$N$4:$Y$4,$N$2:$Y$2))/(Z583/($K583*$L583*$M583)),"")</f>
        <v/>
      </c>
      <c r="AC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inlineStr">
        <is>
          <t>C</t>
        </is>
      </c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1" t="n">
        <v>1</v>
      </c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7" t="n">
        <v>1</v>
      </c>
      <c r="Z584" s="13">
        <f>SUMPRODUCT(N584:Y584,$N$2:$Y$2)*$K584*$L584*$M584</f>
        <v/>
      </c>
      <c r="AA584" s="14">
        <f>SUM(N584:Y584)</f>
        <v/>
      </c>
      <c r="AB584" s="14">
        <f>IFERROR(IF(UPPER($E584)="L",SUMPRODUCT(N584:Y584,$N$3:$Y$3,$N$2:$Y$2),SUMPRODUCT(N584:Y584,$N$4:$Y$4,$N$2:$Y$2))/(Z584/($K584*$L584*$M584)),"")</f>
        <v/>
      </c>
      <c r="AC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inlineStr">
        <is>
          <t>SS</t>
        </is>
      </c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1" t="n">
        <v>1</v>
      </c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7" t="n">
        <v>1</v>
      </c>
      <c r="Z585" s="13">
        <f>SUMPRODUCT(N585:Y585,$N$2:$Y$2)*$K585*$L585*$M585</f>
        <v/>
      </c>
      <c r="AA585" s="14">
        <f>SUM(N585:Y585)</f>
        <v/>
      </c>
      <c r="AB585" s="14">
        <f>IFERROR(IF(UPPER($E585)="L",SUMPRODUCT(N585:Y585,$N$3:$Y$3,$N$2:$Y$2),SUMPRODUCT(N585:Y585,$N$4:$Y$4,$N$2:$Y$2))/(Z585/($K585*$L585*$M585)),"")</f>
        <v/>
      </c>
      <c r="AC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inlineStr">
        <is>
          <t>C</t>
        </is>
      </c>
      <c r="G586" s="9" t="n">
        <v>410</v>
      </c>
      <c r="H586" s="9" t="n">
        <v>2570</v>
      </c>
      <c r="I586" s="9" t="inlineStr">
        <is>
          <t>Catcher - Primary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1" t="n">
        <v>0.9679723492294108</v>
      </c>
      <c r="N586" s="17" t="n"/>
      <c r="O586" s="17" t="n"/>
      <c r="P586" s="17" t="n"/>
      <c r="Q586" s="17" t="n"/>
      <c r="R586" s="17" t="n">
        <v>1</v>
      </c>
      <c r="S586" s="17" t="n"/>
      <c r="T586" s="17" t="n"/>
      <c r="U586" s="17" t="n"/>
      <c r="V586" s="17" t="n"/>
      <c r="W586" s="17" t="n"/>
      <c r="X586" s="17" t="n"/>
      <c r="Y586" s="17" t="n"/>
      <c r="Z586" s="13">
        <f>SUMPRODUCT(N586:Y586,$N$2:$Y$2)*$K586*$L586*$M586</f>
        <v/>
      </c>
      <c r="AA586" s="14">
        <f>SUM(N586:Y586)</f>
        <v/>
      </c>
      <c r="AB586" s="14">
        <f>IFERROR(IF(UPPER($E586)="L",SUMPRODUCT(N586:Y586,$N$3:$Y$3,$N$2:$Y$2),SUMPRODUCT(N586:Y586,$N$4:$Y$4,$N$2:$Y$2))/(Z586/($K586*$L586*$M586)),"")</f>
        <v/>
      </c>
      <c r="AC586" s="18" t="n"/>
    </row>
    <row r="587">
      <c r="A587" s="9" t="n">
        <v>828714</v>
      </c>
      <c r="B587" s="9" t="inlineStr">
        <is>
          <t>Daniel Jackson</t>
        </is>
      </c>
      <c r="C587" s="9" t="inlineStr">
        <is>
          <t>COL</t>
        </is>
      </c>
      <c r="D587" s="9" t="n">
        <v>25</v>
      </c>
      <c r="E587" s="16" t="inlineStr">
        <is>
          <t>R</t>
        </is>
      </c>
      <c r="F587" s="16" t="n"/>
      <c r="G587" s="9" t="n">
        <v>11.69230769230769</v>
      </c>
      <c r="H587" s="9" t="n">
        <v>11.69230769230769</v>
      </c>
      <c r="I587" s="9" t="inlineStr">
        <is>
          <t>Depth (no MLB PA)</t>
        </is>
      </c>
      <c r="J587" s="16" t="inlineStr">
        <is>
          <t>Late Season (~Sept)</t>
        </is>
      </c>
      <c r="K587" s="11">
        <f>IFERROR(INDEX(Roles!$B$17:$B$20,MATCH(J587,Roles!$A$17:$A$20,0)),1)</f>
        <v/>
      </c>
      <c r="L587" s="17" t="n">
        <v>1</v>
      </c>
      <c r="M587" s="11" t="n">
        <v>1</v>
      </c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7" t="n">
        <v>1</v>
      </c>
      <c r="Z587" s="13">
        <f>SUMPRODUCT(N587:Y587,$N$2:$Y$2)*$K587*$L587*$M587</f>
        <v/>
      </c>
      <c r="AA587" s="14">
        <f>SUM(N587:Y587)</f>
        <v/>
      </c>
      <c r="AB587" s="14">
        <f>IFERROR(IF(UPPER($E587)="L",SUMPRODUCT(N587:Y587,$N$3:$Y$3,$N$2:$Y$2),SUMPRODUCT(N587:Y587,$N$4:$Y$4,$N$2:$Y$2))/(Z587/($K587*$L587*$M587)),"")</f>
        <v/>
      </c>
      <c r="AC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25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Late Season (~Sept)</t>
        </is>
      </c>
      <c r="K588" s="11">
        <f>IFERROR(INDEX(Roles!$B$17:$B$20,MATCH(J588,Roles!$A$17:$A$20,0)),1)</f>
        <v/>
      </c>
      <c r="L588" s="17" t="n">
        <v>1</v>
      </c>
      <c r="M588" s="11" t="n">
        <v>1</v>
      </c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7" t="n">
        <v>1</v>
      </c>
      <c r="Z588" s="13">
        <f>SUMPRODUCT(N588:Y588,$N$2:$Y$2)*$K588*$L588*$M588</f>
        <v/>
      </c>
      <c r="AA588" s="14">
        <f>SUM(N588:Y588)</f>
        <v/>
      </c>
      <c r="AB588" s="14">
        <f>IFERROR(IF(UPPER($E588)="L",SUMPRODUCT(N588:Y588,$N$3:$Y$3,$N$2:$Y$2),SUMPRODUCT(N588:Y588,$N$4:$Y$4,$N$2:$Y$2))/(Z588/($K588*$L588*$M588)),"")</f>
        <v/>
      </c>
      <c r="AC588" s="18" t="n"/>
    </row>
    <row r="589">
      <c r="A589" s="9" t="n">
        <v>703449</v>
      </c>
      <c r="B589" s="9" t="inlineStr">
        <is>
          <t>Nathan Hall</t>
        </is>
      </c>
      <c r="C589" s="9" t="inlineStr">
        <is>
          <t>ARI</t>
        </is>
      </c>
      <c r="D589" s="9" t="n">
        <v>25</v>
      </c>
      <c r="E589" s="16" t="inlineStr">
        <is>
          <t>R</t>
        </is>
      </c>
      <c r="F589" s="16" t="n"/>
      <c r="G589" s="9" t="n">
        <v>5.415384615384616</v>
      </c>
      <c r="H589" s="9" t="n">
        <v>5.415384615384616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1" t="n">
        <v>1</v>
      </c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7" t="n">
        <v>1</v>
      </c>
      <c r="Z589" s="13">
        <f>SUMPRODUCT(N589:Y589,$N$2:$Y$2)*$K589*$L589*$M589</f>
        <v/>
      </c>
      <c r="AA589" s="14">
        <f>SUM(N589:Y589)</f>
        <v/>
      </c>
      <c r="AB589" s="14">
        <f>IFERROR(IF(UPPER($E589)="L",SUMPRODUCT(N589:Y589,$N$3:$Y$3,$N$2:$Y$2),SUMPRODUCT(N589:Y589,$N$4:$Y$4,$N$2:$Y$2))/(Z589/($K589*$L589*$M589)),"")</f>
        <v/>
      </c>
      <c r="AC589" s="18" t="n"/>
    </row>
    <row r="590">
      <c r="A590" s="9" t="n">
        <v>691003</v>
      </c>
      <c r="B590" s="9" t="inlineStr">
        <is>
          <t>Tre' Morgan</t>
        </is>
      </c>
      <c r="C590" s="9" t="inlineStr">
        <is>
          <t>TB</t>
        </is>
      </c>
      <c r="D590" s="9" t="n">
        <v>25</v>
      </c>
      <c r="E590" s="16" t="inlineStr">
        <is>
          <t>L</t>
        </is>
      </c>
      <c r="F590" s="16" t="n"/>
      <c r="G590" s="9" t="n">
        <v>131.4358974358975</v>
      </c>
      <c r="H590" s="9" t="n">
        <v>131.4358974358975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1" t="n">
        <v>1</v>
      </c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7" t="n">
        <v>1</v>
      </c>
      <c r="Z590" s="13">
        <f>SUMPRODUCT(N590:Y590,$N$2:$Y$2)*$K590*$L590*$M590</f>
        <v/>
      </c>
      <c r="AA590" s="14">
        <f>SUM(N590:Y590)</f>
        <v/>
      </c>
      <c r="AB590" s="14">
        <f>IFERROR(IF(UPPER($E590)="L",SUMPRODUCT(N590:Y590,$N$3:$Y$3,$N$2:$Y$2),SUMPRODUCT(N590:Y590,$N$4:$Y$4,$N$2:$Y$2))/(Z590/($K590*$L590*$M590)),"")</f>
        <v/>
      </c>
      <c r="AC590" s="18" t="n"/>
    </row>
    <row r="591">
      <c r="A591" s="9" t="n">
        <v>809720</v>
      </c>
      <c r="B591" s="9" t="inlineStr">
        <is>
          <t>Damian Bravo</t>
        </is>
      </c>
      <c r="C591" s="9" t="inlineStr">
        <is>
          <t>SF</t>
        </is>
      </c>
      <c r="D591" s="9" t="n">
        <v>25</v>
      </c>
      <c r="E591" s="16" t="inlineStr">
        <is>
          <t>R</t>
        </is>
      </c>
      <c r="F591" s="16" t="n"/>
      <c r="G591" s="9" t="n">
        <v>15.17948717948718</v>
      </c>
      <c r="H591" s="9" t="n">
        <v>15.17948717948718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1" t="n">
        <v>1</v>
      </c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7" t="n">
        <v>1</v>
      </c>
      <c r="Z591" s="13">
        <f>SUMPRODUCT(N591:Y591,$N$2:$Y$2)*$K591*$L591*$M591</f>
        <v/>
      </c>
      <c r="AA591" s="14">
        <f>SUM(N591:Y591)</f>
        <v/>
      </c>
      <c r="AB591" s="14">
        <f>IFERROR(IF(UPPER($E591)="L",SUMPRODUCT(N591:Y591,$N$3:$Y$3,$N$2:$Y$2),SUMPRODUCT(N591:Y591,$N$4:$Y$4,$N$2:$Y$2))/(Z591/($K591*$L591*$M591)),"")</f>
        <v/>
      </c>
      <c r="AC591" s="18" t="n"/>
    </row>
    <row r="592">
      <c r="A592" s="9" t="n">
        <v>814444</v>
      </c>
      <c r="B592" s="9" t="inlineStr">
        <is>
          <t>Will Turner</t>
        </is>
      </c>
      <c r="C592" s="9" t="inlineStr">
        <is>
          <t>BOS</t>
        </is>
      </c>
      <c r="D592" s="9" t="n">
        <v>25</v>
      </c>
      <c r="E592" s="16" t="inlineStr">
        <is>
          <t>L</t>
        </is>
      </c>
      <c r="F592" s="16" t="n"/>
      <c r="G592" s="9" t="n">
        <v>145.3846153846154</v>
      </c>
      <c r="H592" s="9" t="n">
        <v>145.3846153846154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1" t="n">
        <v>1</v>
      </c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7" t="n">
        <v>1</v>
      </c>
      <c r="Z592" s="13">
        <f>SUMPRODUCT(N592:Y592,$N$2:$Y$2)*$K592*$L592*$M592</f>
        <v/>
      </c>
      <c r="AA592" s="14">
        <f>SUM(N592:Y592)</f>
        <v/>
      </c>
      <c r="AB592" s="14">
        <f>IFERROR(IF(UPPER($E592)="L",SUMPRODUCT(N592:Y592,$N$3:$Y$3,$N$2:$Y$2),SUMPRODUCT(N592:Y592,$N$4:$Y$4,$N$2:$Y$2))/(Z592/($K592*$L592*$M592)),"")</f>
        <v/>
      </c>
      <c r="AC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inlineStr">
        <is>
          <t>C</t>
        </is>
      </c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1" t="n">
        <v>1</v>
      </c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7" t="n">
        <v>1</v>
      </c>
      <c r="Z593" s="13">
        <f>SUMPRODUCT(N593:Y593,$N$2:$Y$2)*$K593*$L593*$M593</f>
        <v/>
      </c>
      <c r="AA593" s="14">
        <f>SUM(N593:Y593)</f>
        <v/>
      </c>
      <c r="AB593" s="14">
        <f>IFERROR(IF(UPPER($E593)="L",SUMPRODUCT(N593:Y593,$N$3:$Y$3,$N$2:$Y$2),SUMPRODUCT(N593:Y593,$N$4:$Y$4,$N$2:$Y$2))/(Z593/($K593*$L593*$M593)),"")</f>
        <v/>
      </c>
      <c r="AC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25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Late Season (~Sept)</t>
        </is>
      </c>
      <c r="K594" s="11">
        <f>IFERROR(INDEX(Roles!$B$17:$B$20,MATCH(J594,Roles!$A$17:$A$20,0)),1)</f>
        <v/>
      </c>
      <c r="L594" s="17" t="n">
        <v>1</v>
      </c>
      <c r="M594" s="11" t="n">
        <v>1</v>
      </c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7" t="n">
        <v>1</v>
      </c>
      <c r="Z594" s="13">
        <f>SUMPRODUCT(N594:Y594,$N$2:$Y$2)*$K594*$L594*$M594</f>
        <v/>
      </c>
      <c r="AA594" s="14">
        <f>SUM(N594:Y594)</f>
        <v/>
      </c>
      <c r="AB594" s="14">
        <f>IFERROR(IF(UPPER($E594)="L",SUMPRODUCT(N594:Y594,$N$3:$Y$3,$N$2:$Y$2),SUMPRODUCT(N594:Y594,$N$4:$Y$4,$N$2:$Y$2))/(Z594/($K594*$L594*$M594)),"")</f>
        <v/>
      </c>
      <c r="AC594" s="18" t="n"/>
    </row>
    <row r="595">
      <c r="A595" s="9" t="n">
        <v>665839</v>
      </c>
      <c r="B595" s="9" t="inlineStr">
        <is>
          <t>Enmanuel Valdez</t>
        </is>
      </c>
      <c r="C595" s="9" t="inlineStr">
        <is>
          <t>PIT</t>
        </is>
      </c>
      <c r="D595" s="9" t="n">
        <v>28</v>
      </c>
      <c r="E595" s="16" t="inlineStr">
        <is>
          <t>L</t>
        </is>
      </c>
      <c r="F595" s="16" t="inlineStr">
        <is>
          <t>1B</t>
        </is>
      </c>
      <c r="G595" s="9" t="n">
        <v>102</v>
      </c>
      <c r="H595" s="9" t="n">
        <v>474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1" t="n">
        <v>1</v>
      </c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>
        <v>1</v>
      </c>
      <c r="X595" s="17" t="n"/>
      <c r="Y595" s="17" t="n"/>
      <c r="Z595" s="13">
        <f>SUMPRODUCT(N595:Y595,$N$2:$Y$2)*$K595*$L595*$M595</f>
        <v/>
      </c>
      <c r="AA595" s="14">
        <f>SUM(N595:Y595)</f>
        <v/>
      </c>
      <c r="AB595" s="14">
        <f>IFERROR(IF(UPPER($E595)="L",SUMPRODUCT(N595:Y595,$N$3:$Y$3,$N$2:$Y$2),SUMPRODUCT(N595:Y595,$N$4:$Y$4,$N$2:$Y$2))/(Z595/($K595*$L595*$M595)),"")</f>
        <v/>
      </c>
      <c r="AC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1" t="n">
        <v>1</v>
      </c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7" t="n">
        <v>1</v>
      </c>
      <c r="Z596" s="13">
        <f>SUMPRODUCT(N596:Y596,$N$2:$Y$2)*$K596*$L596*$M596</f>
        <v/>
      </c>
      <c r="AA596" s="14">
        <f>SUM(N596:Y596)</f>
        <v/>
      </c>
      <c r="AB596" s="14">
        <f>IFERROR(IF(UPPER($E596)="L",SUMPRODUCT(N596:Y596,$N$3:$Y$3,$N$2:$Y$2),SUMPRODUCT(N596:Y596,$N$4:$Y$4,$N$2:$Y$2))/(Z596/($K596*$L596*$M596)),"")</f>
        <v/>
      </c>
      <c r="AC596" s="18" t="n"/>
    </row>
    <row r="597">
      <c r="A597" s="9" t="n">
        <v>686404</v>
      </c>
      <c r="B597" s="9" t="inlineStr">
        <is>
          <t>Wuilfredo Antunez</t>
        </is>
      </c>
      <c r="C597" s="9" t="inlineStr">
        <is>
          <t>PHI</t>
        </is>
      </c>
      <c r="D597" s="9" t="n">
        <v>25</v>
      </c>
      <c r="E597" s="16" t="inlineStr">
        <is>
          <t>L</t>
        </is>
      </c>
      <c r="F597" s="16" t="n"/>
      <c r="G597" s="9" t="n">
        <v>14.1025641025641</v>
      </c>
      <c r="H597" s="9" t="n">
        <v>14.1025641025641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1" t="n">
        <v>1</v>
      </c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7" t="n">
        <v>1</v>
      </c>
      <c r="Z597" s="13">
        <f>SUMPRODUCT(N597:Y597,$N$2:$Y$2)*$K597*$L597*$M597</f>
        <v/>
      </c>
      <c r="AA597" s="14">
        <f>SUM(N597:Y597)</f>
        <v/>
      </c>
      <c r="AB597" s="14">
        <f>IFERROR(IF(UPPER($E597)="L",SUMPRODUCT(N597:Y597,$N$3:$Y$3,$N$2:$Y$2),SUMPRODUCT(N597:Y597,$N$4:$Y$4,$N$2:$Y$2))/(Z597/($K597*$L597*$M597)),"")</f>
        <v/>
      </c>
      <c r="AC597" s="18" t="n"/>
    </row>
    <row r="598">
      <c r="A598" s="9" t="n">
        <v>806988</v>
      </c>
      <c r="B598" s="9" t="inlineStr">
        <is>
          <t>Welbyn Francisca</t>
        </is>
      </c>
      <c r="C598" s="9" t="inlineStr">
        <is>
          <t>CLE</t>
        </is>
      </c>
      <c r="D598" s="9" t="n">
        <v>25</v>
      </c>
      <c r="E598" s="16" t="inlineStr">
        <is>
          <t>S</t>
        </is>
      </c>
      <c r="F598" s="16" t="n"/>
      <c r="G598" s="9" t="n">
        <v>7.538461538461538</v>
      </c>
      <c r="H598" s="9" t="n">
        <v>7.538461538461538</v>
      </c>
      <c r="I598" s="9" t="inlineStr">
        <is>
          <t>Depth (no MLB PA)</t>
        </is>
      </c>
      <c r="J598" s="16" t="inlineStr">
        <is>
          <t>Late Season (~Sept)</t>
        </is>
      </c>
      <c r="K598" s="11">
        <f>IFERROR(INDEX(Roles!$B$17:$B$20,MATCH(J598,Roles!$A$17:$A$20,0)),1)</f>
        <v/>
      </c>
      <c r="L598" s="17" t="n">
        <v>1</v>
      </c>
      <c r="M598" s="11" t="n">
        <v>1</v>
      </c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7" t="n">
        <v>1</v>
      </c>
      <c r="Z598" s="13">
        <f>SUMPRODUCT(N598:Y598,$N$2:$Y$2)*$K598*$L598*$M598</f>
        <v/>
      </c>
      <c r="AA598" s="14">
        <f>SUM(N598:Y598)</f>
        <v/>
      </c>
      <c r="AB598" s="14">
        <f>IFERROR(IF(UPPER($E598)="L",SUMPRODUCT(N598:Y598,$N$3:$Y$3,$N$2:$Y$2),SUMPRODUCT(N598:Y598,$N$4:$Y$4,$N$2:$Y$2))/(Z598/($K598*$L598*$M598)),"")</f>
        <v/>
      </c>
      <c r="AC598" s="18" t="n"/>
    </row>
    <row r="599">
      <c r="A599" s="9" t="n">
        <v>800266</v>
      </c>
      <c r="B599" s="9" t="inlineStr">
        <is>
          <t>Yordalin Peña</t>
        </is>
      </c>
      <c r="C599" s="9" t="inlineStr">
        <is>
          <t>STL</t>
        </is>
      </c>
      <c r="D599" s="9" t="n">
        <v>25</v>
      </c>
      <c r="E599" s="16" t="inlineStr">
        <is>
          <t>R</t>
        </is>
      </c>
      <c r="F599" s="16" t="n"/>
      <c r="G599" s="9" t="n">
        <v>15.38461538461538</v>
      </c>
      <c r="H599" s="9" t="n">
        <v>15.38461538461538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1" t="n">
        <v>1</v>
      </c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7" t="n">
        <v>1</v>
      </c>
      <c r="Z599" s="13">
        <f>SUMPRODUCT(N599:Y599,$N$2:$Y$2)*$K599*$L599*$M599</f>
        <v/>
      </c>
      <c r="AA599" s="14">
        <f>SUM(N599:Y599)</f>
        <v/>
      </c>
      <c r="AB599" s="14">
        <f>IFERROR(IF(UPPER($E599)="L",SUMPRODUCT(N599:Y599,$N$3:$Y$3,$N$2:$Y$2),SUMPRODUCT(N599:Y599,$N$4:$Y$4,$N$2:$Y$2))/(Z599/($K599*$L599*$M599)),"")</f>
        <v/>
      </c>
      <c r="AC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1" t="n">
        <v>1</v>
      </c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7" t="n">
        <v>1</v>
      </c>
      <c r="Z600" s="13">
        <f>SUMPRODUCT(N600:Y600,$N$2:$Y$2)*$K600*$L600*$M600</f>
        <v/>
      </c>
      <c r="AA600" s="14">
        <f>SUM(N600:Y600)</f>
        <v/>
      </c>
      <c r="AB600" s="14">
        <f>IFERROR(IF(UPPER($E600)="L",SUMPRODUCT(N600:Y600,$N$3:$Y$3,$N$2:$Y$2),SUMPRODUCT(N600:Y600,$N$4:$Y$4,$N$2:$Y$2))/(Z600/($K600*$L600*$M600)),"")</f>
        <v/>
      </c>
      <c r="AC600" s="18" t="n"/>
    </row>
    <row r="601">
      <c r="A601" s="9" t="n">
        <v>701649</v>
      </c>
      <c r="B601" s="9" t="inlineStr">
        <is>
          <t>James Triantos</t>
        </is>
      </c>
      <c r="C601" s="9" t="inlineStr">
        <is>
          <t>CHC</t>
        </is>
      </c>
      <c r="D601" s="9" t="n">
        <v>24</v>
      </c>
      <c r="E601" s="16" t="inlineStr">
        <is>
          <t>R</t>
        </is>
      </c>
      <c r="F601" s="16" t="inlineStr">
        <is>
          <t>2B</t>
        </is>
      </c>
      <c r="G601" s="9" t="n">
        <v>9</v>
      </c>
      <c r="H601" s="9" t="n">
        <v>9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1" t="n">
        <v>1</v>
      </c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7" t="n">
        <v>1</v>
      </c>
      <c r="Z601" s="13">
        <f>SUMPRODUCT(N601:Y601,$N$2:$Y$2)*$K601*$L601*$M601</f>
        <v/>
      </c>
      <c r="AA601" s="14">
        <f>SUM(N601:Y601)</f>
        <v/>
      </c>
      <c r="AB601" s="14">
        <f>IFERROR(IF(UPPER($E601)="L",SUMPRODUCT(N601:Y601,$N$3:$Y$3,$N$2:$Y$2),SUMPRODUCT(N601:Y601,$N$4:$Y$4,$N$2:$Y$2))/(Z601/($K601*$L601*$M601)),"")</f>
        <v/>
      </c>
      <c r="AC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1" t="n">
        <v>1</v>
      </c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7" t="n">
        <v>1</v>
      </c>
      <c r="Z602" s="13">
        <f>SUMPRODUCT(N602:Y602,$N$2:$Y$2)*$K602*$L602*$M602</f>
        <v/>
      </c>
      <c r="AA602" s="14">
        <f>SUM(N602:Y602)</f>
        <v/>
      </c>
      <c r="AB602" s="14">
        <f>IFERROR(IF(UPPER($E602)="L",SUMPRODUCT(N602:Y602,$N$3:$Y$3,$N$2:$Y$2),SUMPRODUCT(N602:Y602,$N$4:$Y$4,$N$2:$Y$2))/(Z602/($K602*$L602*$M602)),"")</f>
        <v/>
      </c>
      <c r="AC602" s="18" t="n"/>
    </row>
    <row r="603">
      <c r="A603" s="9" t="n">
        <v>842711</v>
      </c>
      <c r="B603" s="9" t="inlineStr">
        <is>
          <t>Owen Henne</t>
        </is>
      </c>
      <c r="C603" s="9" t="inlineStr">
        <is>
          <t>STL</t>
        </is>
      </c>
      <c r="D603" s="9" t="n">
        <v>25</v>
      </c>
      <c r="E603" s="16" t="inlineStr">
        <is>
          <t>R</t>
        </is>
      </c>
      <c r="F603" s="16" t="n"/>
      <c r="G603" s="9" t="n">
        <v>7.876923076923077</v>
      </c>
      <c r="H603" s="9" t="n">
        <v>7.876923076923077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1" t="n">
        <v>1</v>
      </c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7" t="n">
        <v>1</v>
      </c>
      <c r="Z603" s="13">
        <f>SUMPRODUCT(N603:Y603,$N$2:$Y$2)*$K603*$L603*$M603</f>
        <v/>
      </c>
      <c r="AA603" s="14">
        <f>SUM(N603:Y603)</f>
        <v/>
      </c>
      <c r="AB603" s="14">
        <f>IFERROR(IF(UPPER($E603)="L",SUMPRODUCT(N603:Y603,$N$3:$Y$3,$N$2:$Y$2),SUMPRODUCT(N603:Y603,$N$4:$Y$4,$N$2:$Y$2))/(Z603/($K603*$L603*$M603)),"")</f>
        <v/>
      </c>
      <c r="AC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1" t="n">
        <v>1</v>
      </c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7" t="n">
        <v>1</v>
      </c>
      <c r="Z604" s="13">
        <f>SUMPRODUCT(N604:Y604,$N$2:$Y$2)*$K604*$L604*$M604</f>
        <v/>
      </c>
      <c r="AA604" s="14">
        <f>SUM(N604:Y604)</f>
        <v/>
      </c>
      <c r="AB604" s="14">
        <f>IFERROR(IF(UPPER($E604)="L",SUMPRODUCT(N604:Y604,$N$3:$Y$3,$N$2:$Y$2),SUMPRODUCT(N604:Y604,$N$4:$Y$4,$N$2:$Y$2))/(Z604/($K604*$L604*$M604)),"")</f>
        <v/>
      </c>
      <c r="AC604" s="18" t="n"/>
    </row>
    <row r="605">
      <c r="A605" s="9" t="n">
        <v>663624</v>
      </c>
      <c r="B605" s="9" t="inlineStr">
        <is>
          <t>Ryan Mountcastle</t>
        </is>
      </c>
      <c r="C605" s="9" t="inlineStr">
        <is>
          <t>BAL</t>
        </is>
      </c>
      <c r="D605" s="9" t="n">
        <v>30</v>
      </c>
      <c r="E605" s="16" t="inlineStr">
        <is>
          <t>R</t>
        </is>
      </c>
      <c r="F605" s="16" t="inlineStr">
        <is>
          <t>1B</t>
        </is>
      </c>
      <c r="G605" s="9" t="n">
        <v>15</v>
      </c>
      <c r="H605" s="9" t="n">
        <v>1958</v>
      </c>
      <c r="I605" s="9" t="inlineStr">
        <is>
          <t>Full Time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1" t="n">
        <v>0.6389185628881817</v>
      </c>
      <c r="N605" s="17" t="n">
        <v>1</v>
      </c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7" t="n"/>
      <c r="Z605" s="13">
        <f>SUMPRODUCT(N605:Y605,$N$2:$Y$2)*$K605*$L605*$M605</f>
        <v/>
      </c>
      <c r="AA605" s="14">
        <f>SUM(N605:Y605)</f>
        <v/>
      </c>
      <c r="AB605" s="14">
        <f>IFERROR(IF(UPPER($E605)="L",SUMPRODUCT(N605:Y605,$N$3:$Y$3,$N$2:$Y$2),SUMPRODUCT(N605:Y605,$N$4:$Y$4,$N$2:$Y$2))/(Z605/($K605*$L605*$M605)),"")</f>
        <v/>
      </c>
      <c r="AC605" s="18" t="n"/>
    </row>
    <row r="606">
      <c r="A606" s="9" t="n">
        <v>683490</v>
      </c>
      <c r="B606" s="9" t="inlineStr">
        <is>
          <t>J.J. D'Orazio</t>
        </is>
      </c>
      <c r="C606" s="9" t="inlineStr">
        <is>
          <t>LAA</t>
        </is>
      </c>
      <c r="D606" s="9" t="n">
        <v>25</v>
      </c>
      <c r="E606" s="16" t="inlineStr">
        <is>
          <t>R</t>
        </is>
      </c>
      <c r="F606" s="16" t="n"/>
      <c r="G606" s="9" t="n">
        <v>57.43589743589744</v>
      </c>
      <c r="H606" s="9" t="n">
        <v>57.43589743589744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1" t="n">
        <v>1</v>
      </c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7" t="n">
        <v>1</v>
      </c>
      <c r="Z606" s="13">
        <f>SUMPRODUCT(N606:Y606,$N$2:$Y$2)*$K606*$L606*$M606</f>
        <v/>
      </c>
      <c r="AA606" s="14">
        <f>SUM(N606:Y606)</f>
        <v/>
      </c>
      <c r="AB606" s="14">
        <f>IFERROR(IF(UPPER($E606)="L",SUMPRODUCT(N606:Y606,$N$3:$Y$3,$N$2:$Y$2),SUMPRODUCT(N606:Y606,$N$4:$Y$4,$N$2:$Y$2))/(Z606/($K606*$L606*$M606)),"")</f>
        <v/>
      </c>
      <c r="AC606" s="18" t="n"/>
    </row>
    <row r="607">
      <c r="A607" s="9" t="n">
        <v>689425</v>
      </c>
      <c r="B607" s="9" t="inlineStr">
        <is>
          <t>Charlie Muniz</t>
        </is>
      </c>
      <c r="C607" s="9" t="inlineStr">
        <is>
          <t>SF</t>
        </is>
      </c>
      <c r="D607" s="9" t="n">
        <v>25</v>
      </c>
      <c r="E607" s="16" t="inlineStr">
        <is>
          <t>R</t>
        </is>
      </c>
      <c r="F607" s="16" t="n"/>
      <c r="G607" s="9" t="n">
        <v>3.487179487179488</v>
      </c>
      <c r="H607" s="9" t="n">
        <v>3.487179487179488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1" t="n">
        <v>1</v>
      </c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7" t="n">
        <v>1</v>
      </c>
      <c r="Z607" s="13">
        <f>SUMPRODUCT(N607:Y607,$N$2:$Y$2)*$K607*$L607*$M607</f>
        <v/>
      </c>
      <c r="AA607" s="14">
        <f>SUM(N607:Y607)</f>
        <v/>
      </c>
      <c r="AB607" s="14">
        <f>IFERROR(IF(UPPER($E607)="L",SUMPRODUCT(N607:Y607,$N$3:$Y$3,$N$2:$Y$2),SUMPRODUCT(N607:Y607,$N$4:$Y$4,$N$2:$Y$2))/(Z607/($K607*$L607*$M607)),"")</f>
        <v/>
      </c>
      <c r="AC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1" t="n">
        <v>1</v>
      </c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7" t="n">
        <v>1</v>
      </c>
      <c r="Z608" s="13">
        <f>SUMPRODUCT(N608:Y608,$N$2:$Y$2)*$K608*$L608*$M608</f>
        <v/>
      </c>
      <c r="AA608" s="14">
        <f>SUM(N608:Y608)</f>
        <v/>
      </c>
      <c r="AB608" s="14">
        <f>IFERROR(IF(UPPER($E608)="L",SUMPRODUCT(N608:Y608,$N$3:$Y$3,$N$2:$Y$2),SUMPRODUCT(N608:Y608,$N$4:$Y$4,$N$2:$Y$2))/(Z608/($K608*$L608*$M608)),"")</f>
        <v/>
      </c>
      <c r="AC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25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Late Season (~Sept)</t>
        </is>
      </c>
      <c r="K609" s="11">
        <f>IFERROR(INDEX(Roles!$B$17:$B$20,MATCH(J609,Roles!$A$17:$A$20,0)),1)</f>
        <v/>
      </c>
      <c r="L609" s="17" t="n">
        <v>1</v>
      </c>
      <c r="M609" s="11" t="n">
        <v>1</v>
      </c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7" t="n">
        <v>1</v>
      </c>
      <c r="Z609" s="13">
        <f>SUMPRODUCT(N609:Y609,$N$2:$Y$2)*$K609*$L609*$M609</f>
        <v/>
      </c>
      <c r="AA609" s="14">
        <f>SUM(N609:Y609)</f>
        <v/>
      </c>
      <c r="AB609" s="14">
        <f>IFERROR(IF(UPPER($E609)="L",SUMPRODUCT(N609:Y609,$N$3:$Y$3,$N$2:$Y$2),SUMPRODUCT(N609:Y609,$N$4:$Y$4,$N$2:$Y$2))/(Z609/($K609*$L609*$M609)),"")</f>
        <v/>
      </c>
      <c r="AC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1" t="n">
        <v>1</v>
      </c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7" t="n">
        <v>1</v>
      </c>
      <c r="Z610" s="13">
        <f>SUMPRODUCT(N610:Y610,$N$2:$Y$2)*$K610*$L610*$M610</f>
        <v/>
      </c>
      <c r="AA610" s="14">
        <f>SUM(N610:Y610)</f>
        <v/>
      </c>
      <c r="AB610" s="14">
        <f>IFERROR(IF(UPPER($E610)="L",SUMPRODUCT(N610:Y610,$N$3:$Y$3,$N$2:$Y$2),SUMPRODUCT(N610:Y610,$N$4:$Y$4,$N$2:$Y$2))/(Z610/($K610*$L610*$M610)),"")</f>
        <v/>
      </c>
      <c r="AC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inlineStr">
        <is>
          <t>C</t>
        </is>
      </c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1" t="n">
        <v>1</v>
      </c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7" t="n">
        <v>1</v>
      </c>
      <c r="Z611" s="13">
        <f>SUMPRODUCT(N611:Y611,$N$2:$Y$2)*$K611*$L611*$M611</f>
        <v/>
      </c>
      <c r="AA611" s="14">
        <f>SUM(N611:Y611)</f>
        <v/>
      </c>
      <c r="AB611" s="14">
        <f>IFERROR(IF(UPPER($E611)="L",SUMPRODUCT(N611:Y611,$N$3:$Y$3,$N$2:$Y$2),SUMPRODUCT(N611:Y611,$N$4:$Y$4,$N$2:$Y$2))/(Z611/($K611*$L611*$M611)),"")</f>
        <v/>
      </c>
      <c r="AC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1" t="n">
        <v>1</v>
      </c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7" t="n">
        <v>1</v>
      </c>
      <c r="Z612" s="13">
        <f>SUMPRODUCT(N612:Y612,$N$2:$Y$2)*$K612*$L612*$M612</f>
        <v/>
      </c>
      <c r="AA612" s="14">
        <f>SUM(N612:Y612)</f>
        <v/>
      </c>
      <c r="AB612" s="14">
        <f>IFERROR(IF(UPPER($E612)="L",SUMPRODUCT(N612:Y612,$N$3:$Y$3,$N$2:$Y$2),SUMPRODUCT(N612:Y612,$N$4:$Y$4,$N$2:$Y$2))/(Z612/($K612*$L612*$M612)),"")</f>
        <v/>
      </c>
      <c r="AC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1" t="n">
        <v>1</v>
      </c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7" t="n">
        <v>1</v>
      </c>
      <c r="Z613" s="13">
        <f>SUMPRODUCT(N613:Y613,$N$2:$Y$2)*$K613*$L613*$M613</f>
        <v/>
      </c>
      <c r="AA613" s="14">
        <f>SUM(N613:Y613)</f>
        <v/>
      </c>
      <c r="AB613" s="14">
        <f>IFERROR(IF(UPPER($E613)="L",SUMPRODUCT(N613:Y613,$N$3:$Y$3,$N$2:$Y$2),SUMPRODUCT(N613:Y613,$N$4:$Y$4,$N$2:$Y$2))/(Z613/($K613*$L613*$M613)),"")</f>
        <v/>
      </c>
      <c r="AC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1" t="n">
        <v>1</v>
      </c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7" t="n">
        <v>1</v>
      </c>
      <c r="Z614" s="13">
        <f>SUMPRODUCT(N614:Y614,$N$2:$Y$2)*$K614*$L614*$M614</f>
        <v/>
      </c>
      <c r="AA614" s="14">
        <f>SUM(N614:Y614)</f>
        <v/>
      </c>
      <c r="AB614" s="14">
        <f>IFERROR(IF(UPPER($E614)="L",SUMPRODUCT(N614:Y614,$N$3:$Y$3,$N$2:$Y$2),SUMPRODUCT(N614:Y614,$N$4:$Y$4,$N$2:$Y$2))/(Z614/($K614*$L614*$M614)),"")</f>
        <v/>
      </c>
      <c r="AC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1" t="n">
        <v>1</v>
      </c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7" t="n">
        <v>1</v>
      </c>
      <c r="Z615" s="13">
        <f>SUMPRODUCT(N615:Y615,$N$2:$Y$2)*$K615*$L615*$M615</f>
        <v/>
      </c>
      <c r="AA615" s="14">
        <f>SUM(N615:Y615)</f>
        <v/>
      </c>
      <c r="AB615" s="14">
        <f>IFERROR(IF(UPPER($E615)="L",SUMPRODUCT(N615:Y615,$N$3:$Y$3,$N$2:$Y$2),SUMPRODUCT(N615:Y615,$N$4:$Y$4,$N$2:$Y$2))/(Z615/($K615*$L615*$M615)),"")</f>
        <v/>
      </c>
      <c r="AC615" s="18" t="n"/>
    </row>
    <row r="616">
      <c r="A616" s="9" t="n">
        <v>691405</v>
      </c>
      <c r="B616" s="9" t="inlineStr">
        <is>
          <t>Juan Benjamin</t>
        </is>
      </c>
      <c r="C616" s="9" t="inlineStr">
        <is>
          <t>CLE</t>
        </is>
      </c>
      <c r="D616" s="9" t="n">
        <v>25</v>
      </c>
      <c r="E616" s="16" t="inlineStr">
        <is>
          <t>S</t>
        </is>
      </c>
      <c r="F616" s="16" t="n"/>
      <c r="G616" s="9" t="n">
        <v>29.33333333333334</v>
      </c>
      <c r="H616" s="9" t="n">
        <v>29.33333333333334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1" t="n">
        <v>1</v>
      </c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7" t="n">
        <v>1</v>
      </c>
      <c r="Z616" s="13">
        <f>SUMPRODUCT(N616:Y616,$N$2:$Y$2)*$K616*$L616*$M616</f>
        <v/>
      </c>
      <c r="AA616" s="14">
        <f>SUM(N616:Y616)</f>
        <v/>
      </c>
      <c r="AB616" s="14">
        <f>IFERROR(IF(UPPER($E616)="L",SUMPRODUCT(N616:Y616,$N$3:$Y$3,$N$2:$Y$2),SUMPRODUCT(N616:Y616,$N$4:$Y$4,$N$2:$Y$2))/(Z616/($K616*$L616*$M616)),"")</f>
        <v/>
      </c>
      <c r="AC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1" t="n">
        <v>1</v>
      </c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7" t="n">
        <v>1</v>
      </c>
      <c r="Z617" s="13">
        <f>SUMPRODUCT(N617:Y617,$N$2:$Y$2)*$K617*$L617*$M617</f>
        <v/>
      </c>
      <c r="AA617" s="14">
        <f>SUM(N617:Y617)</f>
        <v/>
      </c>
      <c r="AB617" s="14">
        <f>IFERROR(IF(UPPER($E617)="L",SUMPRODUCT(N617:Y617,$N$3:$Y$3,$N$2:$Y$2),SUMPRODUCT(N617:Y617,$N$4:$Y$4,$N$2:$Y$2))/(Z617/($K617*$L617*$M617)),"")</f>
        <v/>
      </c>
      <c r="AC617" s="18" t="n"/>
    </row>
    <row r="618">
      <c r="A618" s="9" t="n">
        <v>803033</v>
      </c>
      <c r="B618" s="9" t="inlineStr">
        <is>
          <t>Matthew Etzel</t>
        </is>
      </c>
      <c r="C618" s="9" t="inlineStr">
        <is>
          <t>MIA</t>
        </is>
      </c>
      <c r="D618" s="9" t="n">
        <v>25</v>
      </c>
      <c r="E618" s="16" t="inlineStr">
        <is>
          <t>L</t>
        </is>
      </c>
      <c r="F618" s="16" t="n"/>
      <c r="G618" s="9" t="n">
        <v>281.4871794871795</v>
      </c>
      <c r="H618" s="9" t="n">
        <v>281.4871794871795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1" t="n">
        <v>1</v>
      </c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7" t="n">
        <v>1</v>
      </c>
      <c r="Z618" s="13">
        <f>SUMPRODUCT(N618:Y618,$N$2:$Y$2)*$K618*$L618*$M618</f>
        <v/>
      </c>
      <c r="AA618" s="14">
        <f>SUM(N618:Y618)</f>
        <v/>
      </c>
      <c r="AB618" s="14">
        <f>IFERROR(IF(UPPER($E618)="L",SUMPRODUCT(N618:Y618,$N$3:$Y$3,$N$2:$Y$2),SUMPRODUCT(N618:Y618,$N$4:$Y$4,$N$2:$Y$2))/(Z618/($K618*$L618*$M618)),"")</f>
        <v/>
      </c>
      <c r="AC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1" t="n">
        <v>1</v>
      </c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7" t="n">
        <v>1</v>
      </c>
      <c r="Z619" s="13">
        <f>SUMPRODUCT(N619:Y619,$N$2:$Y$2)*$K619*$L619*$M619</f>
        <v/>
      </c>
      <c r="AA619" s="14">
        <f>SUM(N619:Y619)</f>
        <v/>
      </c>
      <c r="AB619" s="14">
        <f>IFERROR(IF(UPPER($E619)="L",SUMPRODUCT(N619:Y619,$N$3:$Y$3,$N$2:$Y$2),SUMPRODUCT(N619:Y619,$N$4:$Y$4,$N$2:$Y$2))/(Z619/($K619*$L619*$M619)),"")</f>
        <v/>
      </c>
      <c r="AC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1" t="n">
        <v>1</v>
      </c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7" t="n">
        <v>1</v>
      </c>
      <c r="Z620" s="13">
        <f>SUMPRODUCT(N620:Y620,$N$2:$Y$2)*$K620*$L620*$M620</f>
        <v/>
      </c>
      <c r="AA620" s="14">
        <f>SUM(N620:Y620)</f>
        <v/>
      </c>
      <c r="AB620" s="14">
        <f>IFERROR(IF(UPPER($E620)="L",SUMPRODUCT(N620:Y620,$N$3:$Y$3,$N$2:$Y$2),SUMPRODUCT(N620:Y620,$N$4:$Y$4,$N$2:$Y$2))/(Z620/($K620*$L620*$M620)),"")</f>
        <v/>
      </c>
      <c r="AC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1" t="n">
        <v>1</v>
      </c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7" t="n">
        <v>1</v>
      </c>
      <c r="Z621" s="13">
        <f>SUMPRODUCT(N621:Y621,$N$2:$Y$2)*$K621*$L621*$M621</f>
        <v/>
      </c>
      <c r="AA621" s="14">
        <f>SUM(N621:Y621)</f>
        <v/>
      </c>
      <c r="AB621" s="14">
        <f>IFERROR(IF(UPPER($E621)="L",SUMPRODUCT(N621:Y621,$N$3:$Y$3,$N$2:$Y$2),SUMPRODUCT(N621:Y621,$N$4:$Y$4,$N$2:$Y$2))/(Z621/($K621*$L621*$M621)),"")</f>
        <v/>
      </c>
      <c r="AC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1" t="n">
        <v>1</v>
      </c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7" t="n">
        <v>1</v>
      </c>
      <c r="Z622" s="13">
        <f>SUMPRODUCT(N622:Y622,$N$2:$Y$2)*$K622*$L622*$M622</f>
        <v/>
      </c>
      <c r="AA622" s="14">
        <f>SUM(N622:Y622)</f>
        <v/>
      </c>
      <c r="AB622" s="14">
        <f>IFERROR(IF(UPPER($E622)="L",SUMPRODUCT(N622:Y622,$N$3:$Y$3,$N$2:$Y$2),SUMPRODUCT(N622:Y622,$N$4:$Y$4,$N$2:$Y$2))/(Z622/($K622*$L622*$M622)),"")</f>
        <v/>
      </c>
      <c r="AC622" s="18" t="n"/>
    </row>
    <row r="623">
      <c r="A623" s="9" t="n">
        <v>672478</v>
      </c>
      <c r="B623" s="9" t="inlineStr">
        <is>
          <t>Jordan Diaz</t>
        </is>
      </c>
      <c r="C623" s="9" t="inlineStr">
        <is>
          <t>OAK</t>
        </is>
      </c>
      <c r="D623" s="9" t="n">
        <v>26</v>
      </c>
      <c r="E623" s="16" t="inlineStr">
        <is>
          <t>R</t>
        </is>
      </c>
      <c r="F623" s="16" t="inlineStr">
        <is>
          <t>3B</t>
        </is>
      </c>
      <c r="G623" s="9" t="n">
        <v>293</v>
      </c>
      <c r="H623" s="9" t="n">
        <v>344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1" t="n">
        <v>1</v>
      </c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7" t="n">
        <v>1</v>
      </c>
      <c r="Z623" s="13">
        <f>SUMPRODUCT(N623:Y623,$N$2:$Y$2)*$K623*$L623*$M623</f>
        <v/>
      </c>
      <c r="AA623" s="14">
        <f>SUM(N623:Y623)</f>
        <v/>
      </c>
      <c r="AB623" s="14">
        <f>IFERROR(IF(UPPER($E623)="L",SUMPRODUCT(N623:Y623,$N$3:$Y$3,$N$2:$Y$2),SUMPRODUCT(N623:Y623,$N$4:$Y$4,$N$2:$Y$2))/(Z623/($K623*$L623*$M623)),"")</f>
        <v/>
      </c>
      <c r="AC623" s="18" t="n"/>
    </row>
    <row r="624">
      <c r="A624" s="9" t="n">
        <v>690804</v>
      </c>
      <c r="B624" s="9" t="inlineStr">
        <is>
          <t>Ryan Nicholson</t>
        </is>
      </c>
      <c r="C624" s="9" t="inlineStr">
        <is>
          <t>LAA</t>
        </is>
      </c>
      <c r="D624" s="9" t="n">
        <v>25</v>
      </c>
      <c r="E624" s="16" t="inlineStr">
        <is>
          <t>L</t>
        </is>
      </c>
      <c r="F624" s="16" t="n"/>
      <c r="G624" s="9" t="n">
        <v>44.56410256410257</v>
      </c>
      <c r="H624" s="9" t="n">
        <v>44.56410256410257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1" t="n">
        <v>1</v>
      </c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7" t="n">
        <v>1</v>
      </c>
      <c r="Z624" s="13">
        <f>SUMPRODUCT(N624:Y624,$N$2:$Y$2)*$K624*$L624*$M624</f>
        <v/>
      </c>
      <c r="AA624" s="14">
        <f>SUM(N624:Y624)</f>
        <v/>
      </c>
      <c r="AB624" s="14">
        <f>IFERROR(IF(UPPER($E624)="L",SUMPRODUCT(N624:Y624,$N$3:$Y$3,$N$2:$Y$2),SUMPRODUCT(N624:Y624,$N$4:$Y$4,$N$2:$Y$2))/(Z624/($K624*$L624*$M624)),"")</f>
        <v/>
      </c>
      <c r="AC624" s="18" t="n"/>
    </row>
    <row r="625">
      <c r="A625" s="9" t="n">
        <v>683609</v>
      </c>
      <c r="B625" s="9" t="inlineStr">
        <is>
          <t>Victor Duarte</t>
        </is>
      </c>
      <c r="C625" s="9" t="inlineStr">
        <is>
          <t>SD</t>
        </is>
      </c>
      <c r="D625" s="9" t="n">
        <v>25</v>
      </c>
      <c r="E625" s="16" t="inlineStr">
        <is>
          <t>R</t>
        </is>
      </c>
      <c r="F625" s="16" t="n"/>
      <c r="G625" s="9" t="n">
        <v>29.33333333333334</v>
      </c>
      <c r="H625" s="9" t="n">
        <v>29.33333333333334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1" t="n">
        <v>1</v>
      </c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7" t="n">
        <v>1</v>
      </c>
      <c r="Z625" s="13">
        <f>SUMPRODUCT(N625:Y625,$N$2:$Y$2)*$K625*$L625*$M625</f>
        <v/>
      </c>
      <c r="AA625" s="14">
        <f>SUM(N625:Y625)</f>
        <v/>
      </c>
      <c r="AB625" s="14">
        <f>IFERROR(IF(UPPER($E625)="L",SUMPRODUCT(N625:Y625,$N$3:$Y$3,$N$2:$Y$2),SUMPRODUCT(N625:Y625,$N$4:$Y$4,$N$2:$Y$2))/(Z625/($K625*$L625*$M625)),"")</f>
        <v/>
      </c>
      <c r="AC625" s="18" t="n"/>
    </row>
    <row r="626">
      <c r="A626" s="9" t="n">
        <v>822324</v>
      </c>
      <c r="B626" s="9" t="inlineStr">
        <is>
          <t>Blake Penso</t>
        </is>
      </c>
      <c r="C626" s="9" t="inlineStr">
        <is>
          <t>COL</t>
        </is>
      </c>
      <c r="D626" s="9" t="n">
        <v>25</v>
      </c>
      <c r="E626" s="16" t="inlineStr">
        <is>
          <t>R</t>
        </is>
      </c>
      <c r="F626" s="16" t="n"/>
      <c r="G626" s="9" t="n">
        <v>4.102564102564103</v>
      </c>
      <c r="H626" s="9" t="n">
        <v>4.102564102564103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1" t="n">
        <v>1</v>
      </c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7" t="n">
        <v>1</v>
      </c>
      <c r="Z626" s="13">
        <f>SUMPRODUCT(N626:Y626,$N$2:$Y$2)*$K626*$L626*$M626</f>
        <v/>
      </c>
      <c r="AA626" s="14">
        <f>SUM(N626:Y626)</f>
        <v/>
      </c>
      <c r="AB626" s="14">
        <f>IFERROR(IF(UPPER($E626)="L",SUMPRODUCT(N626:Y626,$N$3:$Y$3,$N$2:$Y$2),SUMPRODUCT(N626:Y626,$N$4:$Y$4,$N$2:$Y$2))/(Z626/($K626*$L626*$M626)),"")</f>
        <v/>
      </c>
      <c r="AC626" s="18" t="n"/>
    </row>
    <row r="627">
      <c r="A627" s="9" t="n">
        <v>828333</v>
      </c>
      <c r="B627" s="9" t="inlineStr">
        <is>
          <t>John Smith III</t>
        </is>
      </c>
      <c r="C627" s="9" t="inlineStr">
        <is>
          <t>NYM</t>
        </is>
      </c>
      <c r="D627" s="9" t="n">
        <v>25</v>
      </c>
      <c r="E627" s="16" t="inlineStr">
        <is>
          <t>R</t>
        </is>
      </c>
      <c r="F627" s="16" t="n"/>
      <c r="G627" s="9" t="n">
        <v>4.102564102564103</v>
      </c>
      <c r="H627" s="9" t="n">
        <v>4.102564102564103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1" t="n">
        <v>1</v>
      </c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7" t="n">
        <v>1</v>
      </c>
      <c r="Z627" s="13">
        <f>SUMPRODUCT(N627:Y627,$N$2:$Y$2)*$K627*$L627*$M627</f>
        <v/>
      </c>
      <c r="AA627" s="14">
        <f>SUM(N627:Y627)</f>
        <v/>
      </c>
      <c r="AB627" s="14">
        <f>IFERROR(IF(UPPER($E627)="L",SUMPRODUCT(N627:Y627,$N$3:$Y$3,$N$2:$Y$2),SUMPRODUCT(N627:Y627,$N$4:$Y$4,$N$2:$Y$2))/(Z627/($K627*$L627*$M627)),"")</f>
        <v/>
      </c>
      <c r="AC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1" t="n">
        <v>1</v>
      </c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7" t="n">
        <v>1</v>
      </c>
      <c r="Z628" s="13">
        <f>SUMPRODUCT(N628:Y628,$N$2:$Y$2)*$K628*$L628*$M628</f>
        <v/>
      </c>
      <c r="AA628" s="14">
        <f>SUM(N628:Y628)</f>
        <v/>
      </c>
      <c r="AB628" s="14">
        <f>IFERROR(IF(UPPER($E628)="L",SUMPRODUCT(N628:Y628,$N$3:$Y$3,$N$2:$Y$2),SUMPRODUCT(N628:Y628,$N$4:$Y$4,$N$2:$Y$2))/(Z628/($K628*$L628*$M628)),"")</f>
        <v/>
      </c>
      <c r="AC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25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Late Season (~Sept)</t>
        </is>
      </c>
      <c r="K629" s="11">
        <f>IFERROR(INDEX(Roles!$B$17:$B$20,MATCH(J629,Roles!$A$17:$A$20,0)),1)</f>
        <v/>
      </c>
      <c r="L629" s="17" t="n">
        <v>1</v>
      </c>
      <c r="M629" s="11" t="n">
        <v>1</v>
      </c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7" t="n">
        <v>1</v>
      </c>
      <c r="Z629" s="13">
        <f>SUMPRODUCT(N629:Y629,$N$2:$Y$2)*$K629*$L629*$M629</f>
        <v/>
      </c>
      <c r="AA629" s="14">
        <f>SUM(N629:Y629)</f>
        <v/>
      </c>
      <c r="AB629" s="14">
        <f>IFERROR(IF(UPPER($E629)="L",SUMPRODUCT(N629:Y629,$N$3:$Y$3,$N$2:$Y$2),SUMPRODUCT(N629:Y629,$N$4:$Y$4,$N$2:$Y$2))/(Z629/($K629*$L629*$M629)),"")</f>
        <v/>
      </c>
      <c r="AC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1" t="n">
        <v>1</v>
      </c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7" t="n">
        <v>1</v>
      </c>
      <c r="Z630" s="13">
        <f>SUMPRODUCT(N630:Y630,$N$2:$Y$2)*$K630*$L630*$M630</f>
        <v/>
      </c>
      <c r="AA630" s="14">
        <f>SUM(N630:Y630)</f>
        <v/>
      </c>
      <c r="AB630" s="14">
        <f>IFERROR(IF(UPPER($E630)="L",SUMPRODUCT(N630:Y630,$N$3:$Y$3,$N$2:$Y$2),SUMPRODUCT(N630:Y630,$N$4:$Y$4,$N$2:$Y$2))/(Z630/($K630*$L630*$M630)),"")</f>
        <v/>
      </c>
      <c r="AC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25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Late Season (~Sept)</t>
        </is>
      </c>
      <c r="K631" s="11">
        <f>IFERROR(INDEX(Roles!$B$17:$B$20,MATCH(J631,Roles!$A$17:$A$20,0)),1)</f>
        <v/>
      </c>
      <c r="L631" s="17" t="n">
        <v>1</v>
      </c>
      <c r="M631" s="11" t="n">
        <v>1</v>
      </c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7" t="n">
        <v>1</v>
      </c>
      <c r="Z631" s="13">
        <f>SUMPRODUCT(N631:Y631,$N$2:$Y$2)*$K631*$L631*$M631</f>
        <v/>
      </c>
      <c r="AA631" s="14">
        <f>SUM(N631:Y631)</f>
        <v/>
      </c>
      <c r="AB631" s="14">
        <f>IFERROR(IF(UPPER($E631)="L",SUMPRODUCT(N631:Y631,$N$3:$Y$3,$N$2:$Y$2),SUMPRODUCT(N631:Y631,$N$4:$Y$4,$N$2:$Y$2))/(Z631/($K631*$L631*$M631)),"")</f>
        <v/>
      </c>
      <c r="AC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1" t="n">
        <v>1</v>
      </c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7" t="n">
        <v>1</v>
      </c>
      <c r="Z632" s="13">
        <f>SUMPRODUCT(N632:Y632,$N$2:$Y$2)*$K632*$L632*$M632</f>
        <v/>
      </c>
      <c r="AA632" s="14">
        <f>SUM(N632:Y632)</f>
        <v/>
      </c>
      <c r="AB632" s="14">
        <f>IFERROR(IF(UPPER($E632)="L",SUMPRODUCT(N632:Y632,$N$3:$Y$3,$N$2:$Y$2),SUMPRODUCT(N632:Y632,$N$4:$Y$4,$N$2:$Y$2))/(Z632/($K632*$L632*$M632)),"")</f>
        <v/>
      </c>
      <c r="AC632" s="18" t="n"/>
    </row>
    <row r="633">
      <c r="A633" s="9" t="n">
        <v>806919</v>
      </c>
      <c r="B633" s="9" t="inlineStr">
        <is>
          <t>Jose Gonzalez</t>
        </is>
      </c>
      <c r="C633" s="9" t="inlineStr">
        <is>
          <t>LAD</t>
        </is>
      </c>
      <c r="D633" s="9" t="n">
        <v>25</v>
      </c>
      <c r="E633" s="16" t="inlineStr">
        <is>
          <t>L</t>
        </is>
      </c>
      <c r="F633" s="16" t="n"/>
      <c r="G633" s="9" t="n">
        <v>2.338461538461539</v>
      </c>
      <c r="H633" s="9" t="n">
        <v>2.338461538461539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1" t="n">
        <v>1</v>
      </c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7" t="n">
        <v>1</v>
      </c>
      <c r="Z633" s="13">
        <f>SUMPRODUCT(N633:Y633,$N$2:$Y$2)*$K633*$L633*$M633</f>
        <v/>
      </c>
      <c r="AA633" s="14">
        <f>SUM(N633:Y633)</f>
        <v/>
      </c>
      <c r="AB633" s="14">
        <f>IFERROR(IF(UPPER($E633)="L",SUMPRODUCT(N633:Y633,$N$3:$Y$3,$N$2:$Y$2),SUMPRODUCT(N633:Y633,$N$4:$Y$4,$N$2:$Y$2))/(Z633/($K633*$L633*$M633)),"")</f>
        <v/>
      </c>
      <c r="AC633" s="18" t="n"/>
    </row>
    <row r="634">
      <c r="A634" s="9" t="n">
        <v>669236</v>
      </c>
      <c r="B634" s="9" t="inlineStr">
        <is>
          <t>Jeremiah Jackson</t>
        </is>
      </c>
      <c r="C634" s="9" t="inlineStr">
        <is>
          <t>BAL</t>
        </is>
      </c>
      <c r="D634" s="9" t="n">
        <v>27</v>
      </c>
      <c r="E634" s="16" t="inlineStr">
        <is>
          <t>R</t>
        </is>
      </c>
      <c r="F634" s="16" t="inlineStr">
        <is>
          <t>2B</t>
        </is>
      </c>
      <c r="G634" s="9" t="n">
        <v>293</v>
      </c>
      <c r="H634" s="9" t="n">
        <v>476</v>
      </c>
      <c r="I634" s="9" t="inlineStr">
        <is>
          <t>Full Time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1" t="n">
        <v>1</v>
      </c>
      <c r="N634" s="17" t="n">
        <v>0.6</v>
      </c>
      <c r="O634" s="17" t="n"/>
      <c r="P634" s="17" t="n"/>
      <c r="Q634" s="17" t="n"/>
      <c r="R634" s="17" t="n"/>
      <c r="S634" s="17" t="n"/>
      <c r="T634" s="17" t="n"/>
      <c r="U634" s="17" t="n">
        <v>0.4</v>
      </c>
      <c r="V634" s="17" t="n"/>
      <c r="W634" s="17" t="n"/>
      <c r="X634" s="17" t="n"/>
      <c r="Y634" s="17" t="n"/>
      <c r="Z634" s="13">
        <f>SUMPRODUCT(N634:Y634,$N$2:$Y$2)*$K634*$L634*$M634</f>
        <v/>
      </c>
      <c r="AA634" s="14">
        <f>SUM(N634:Y634)</f>
        <v/>
      </c>
      <c r="AB634" s="14">
        <f>IFERROR(IF(UPPER($E634)="L",SUMPRODUCT(N634:Y634,$N$3:$Y$3,$N$2:$Y$2),SUMPRODUCT(N634:Y634,$N$4:$Y$4,$N$2:$Y$2))/(Z634/($K634*$L634*$M634)),"")</f>
        <v/>
      </c>
      <c r="AC634" s="18" t="n"/>
    </row>
    <row r="635">
      <c r="A635" s="9" t="n">
        <v>809730</v>
      </c>
      <c r="B635" s="9" t="inlineStr">
        <is>
          <t>Weber Neels</t>
        </is>
      </c>
      <c r="C635" s="9" t="inlineStr">
        <is>
          <t>ARI</t>
        </is>
      </c>
      <c r="D635" s="9" t="n">
        <v>25</v>
      </c>
      <c r="E635" s="16" t="inlineStr">
        <is>
          <t>R</t>
        </is>
      </c>
      <c r="F635" s="16" t="n"/>
      <c r="G635" s="9" t="n">
        <v>6.646153846153847</v>
      </c>
      <c r="H635" s="9" t="n">
        <v>6.646153846153847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1" t="n">
        <v>1</v>
      </c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7" t="n">
        <v>1</v>
      </c>
      <c r="Z635" s="13">
        <f>SUMPRODUCT(N635:Y635,$N$2:$Y$2)*$K635*$L635*$M635</f>
        <v/>
      </c>
      <c r="AA635" s="14">
        <f>SUM(N635:Y635)</f>
        <v/>
      </c>
      <c r="AB635" s="14">
        <f>IFERROR(IF(UPPER($E635)="L",SUMPRODUCT(N635:Y635,$N$3:$Y$3,$N$2:$Y$2),SUMPRODUCT(N635:Y635,$N$4:$Y$4,$N$2:$Y$2))/(Z635/($K635*$L635*$M635)),"")</f>
        <v/>
      </c>
      <c r="AC635" s="18" t="n"/>
    </row>
    <row r="636">
      <c r="A636" s="9" t="n">
        <v>695301</v>
      </c>
      <c r="B636" s="9" t="inlineStr">
        <is>
          <t>Ryland Zaborowski</t>
        </is>
      </c>
      <c r="C636" s="9" t="inlineStr">
        <is>
          <t>LAA</t>
        </is>
      </c>
      <c r="D636" s="9" t="n">
        <v>25</v>
      </c>
      <c r="E636" s="16" t="inlineStr">
        <is>
          <t>R</t>
        </is>
      </c>
      <c r="F636" s="16" t="n"/>
      <c r="G636" s="9" t="n">
        <v>8.410256410256411</v>
      </c>
      <c r="H636" s="9" t="n">
        <v>8.410256410256411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1" t="n">
        <v>1</v>
      </c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7" t="n">
        <v>1</v>
      </c>
      <c r="Z636" s="13">
        <f>SUMPRODUCT(N636:Y636,$N$2:$Y$2)*$K636*$L636*$M636</f>
        <v/>
      </c>
      <c r="AA636" s="14">
        <f>SUM(N636:Y636)</f>
        <v/>
      </c>
      <c r="AB636" s="14">
        <f>IFERROR(IF(UPPER($E636)="L",SUMPRODUCT(N636:Y636,$N$3:$Y$3,$N$2:$Y$2),SUMPRODUCT(N636:Y636,$N$4:$Y$4,$N$2:$Y$2))/(Z636/($K636*$L636*$M636)),"")</f>
        <v/>
      </c>
      <c r="AC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1" t="n">
        <v>1</v>
      </c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7" t="n">
        <v>1</v>
      </c>
      <c r="Z637" s="13">
        <f>SUMPRODUCT(N637:Y637,$N$2:$Y$2)*$K637*$L637*$M637</f>
        <v/>
      </c>
      <c r="AA637" s="14">
        <f>SUM(N637:Y637)</f>
        <v/>
      </c>
      <c r="AB637" s="14">
        <f>IFERROR(IF(UPPER($E637)="L",SUMPRODUCT(N637:Y637,$N$3:$Y$3,$N$2:$Y$2),SUMPRODUCT(N637:Y637,$N$4:$Y$4,$N$2:$Y$2))/(Z637/($K637*$L637*$M637)),"")</f>
        <v/>
      </c>
      <c r="AC637" s="18" t="n"/>
    </row>
    <row r="638">
      <c r="A638" s="9" t="n">
        <v>814457</v>
      </c>
      <c r="B638" s="9" t="inlineStr">
        <is>
          <t>Jake Casey</t>
        </is>
      </c>
      <c r="C638" s="9" t="inlineStr">
        <is>
          <t>TOR</t>
        </is>
      </c>
      <c r="D638" s="9" t="n">
        <v>25</v>
      </c>
      <c r="E638" s="16" t="inlineStr">
        <is>
          <t>L</t>
        </is>
      </c>
      <c r="F638" s="16" t="n"/>
      <c r="G638" s="9" t="n">
        <v>48.41025641025641</v>
      </c>
      <c r="H638" s="9" t="n">
        <v>48.41025641025641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1" t="n">
        <v>1</v>
      </c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7" t="n">
        <v>1</v>
      </c>
      <c r="Z638" s="13">
        <f>SUMPRODUCT(N638:Y638,$N$2:$Y$2)*$K638*$L638*$M638</f>
        <v/>
      </c>
      <c r="AA638" s="14">
        <f>SUM(N638:Y638)</f>
        <v/>
      </c>
      <c r="AB638" s="14">
        <f>IFERROR(IF(UPPER($E638)="L",SUMPRODUCT(N638:Y638,$N$3:$Y$3,$N$2:$Y$2),SUMPRODUCT(N638:Y638,$N$4:$Y$4,$N$2:$Y$2))/(Z638/($K638*$L638*$M638)),"")</f>
        <v/>
      </c>
      <c r="AC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1" t="n">
        <v>1</v>
      </c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7" t="n">
        <v>1</v>
      </c>
      <c r="Z639" s="13">
        <f>SUMPRODUCT(N639:Y639,$N$2:$Y$2)*$K639*$L639*$M639</f>
        <v/>
      </c>
      <c r="AA639" s="14">
        <f>SUM(N639:Y639)</f>
        <v/>
      </c>
      <c r="AB639" s="14">
        <f>IFERROR(IF(UPPER($E639)="L",SUMPRODUCT(N639:Y639,$N$3:$Y$3,$N$2:$Y$2),SUMPRODUCT(N639:Y639,$N$4:$Y$4,$N$2:$Y$2))/(Z639/($K639*$L639*$M639)),"")</f>
        <v/>
      </c>
      <c r="AC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1" t="n">
        <v>1</v>
      </c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7" t="n">
        <v>1</v>
      </c>
      <c r="Z640" s="13">
        <f>SUMPRODUCT(N640:Y640,$N$2:$Y$2)*$K640*$L640*$M640</f>
        <v/>
      </c>
      <c r="AA640" s="14">
        <f>SUM(N640:Y640)</f>
        <v/>
      </c>
      <c r="AB640" s="14">
        <f>IFERROR(IF(UPPER($E640)="L",SUMPRODUCT(N640:Y640,$N$3:$Y$3,$N$2:$Y$2),SUMPRODUCT(N640:Y640,$N$4:$Y$4,$N$2:$Y$2))/(Z640/($K640*$L640*$M640)),"")</f>
        <v/>
      </c>
      <c r="AC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1" t="n">
        <v>1</v>
      </c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7" t="n">
        <v>1</v>
      </c>
      <c r="Z641" s="13">
        <f>SUMPRODUCT(N641:Y641,$N$2:$Y$2)*$K641*$L641*$M641</f>
        <v/>
      </c>
      <c r="AA641" s="14">
        <f>SUM(N641:Y641)</f>
        <v/>
      </c>
      <c r="AB641" s="14">
        <f>IFERROR(IF(UPPER($E641)="L",SUMPRODUCT(N641:Y641,$N$3:$Y$3,$N$2:$Y$2),SUMPRODUCT(N641:Y641,$N$4:$Y$4,$N$2:$Y$2))/(Z641/($K641*$L641*$M641)),"")</f>
        <v/>
      </c>
      <c r="AC641" s="18" t="n"/>
    </row>
    <row r="642">
      <c r="A642" s="9" t="n">
        <v>835409</v>
      </c>
      <c r="B642" s="9" t="inlineStr">
        <is>
          <t>Erasmi Rodriguez</t>
        </is>
      </c>
      <c r="C642" s="9" t="inlineStr">
        <is>
          <t>CWS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1" t="n">
        <v>1</v>
      </c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7" t="n">
        <v>1</v>
      </c>
      <c r="Z642" s="13">
        <f>SUMPRODUCT(N642:Y642,$N$2:$Y$2)*$K642*$L642*$M642</f>
        <v/>
      </c>
      <c r="AA642" s="14">
        <f>SUM(N642:Y642)</f>
        <v/>
      </c>
      <c r="AB642" s="14">
        <f>IFERROR(IF(UPPER($E642)="L",SUMPRODUCT(N642:Y642,$N$3:$Y$3,$N$2:$Y$2),SUMPRODUCT(N642:Y642,$N$4:$Y$4,$N$2:$Y$2))/(Z642/($K642*$L642*$M642)),"")</f>
        <v/>
      </c>
      <c r="AC642" s="18" t="n"/>
    </row>
    <row r="643">
      <c r="A643" s="9" t="n">
        <v>686617</v>
      </c>
      <c r="B643" s="9" t="inlineStr">
        <is>
          <t>Christian Fagnant</t>
        </is>
      </c>
      <c r="C643" s="9" t="inlineStr">
        <is>
          <t>WSH</t>
        </is>
      </c>
      <c r="D643" s="9" t="n">
        <v>25</v>
      </c>
      <c r="E643" s="16" t="inlineStr">
        <is>
          <t>L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1" t="n">
        <v>1</v>
      </c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7" t="n">
        <v>1</v>
      </c>
      <c r="Z643" s="13">
        <f>SUMPRODUCT(N643:Y643,$N$2:$Y$2)*$K643*$L643*$M643</f>
        <v/>
      </c>
      <c r="AA643" s="14">
        <f>SUM(N643:Y643)</f>
        <v/>
      </c>
      <c r="AB643" s="14">
        <f>IFERROR(IF(UPPER($E643)="L",SUMPRODUCT(N643:Y643,$N$3:$Y$3,$N$2:$Y$2),SUMPRODUCT(N643:Y643,$N$4:$Y$4,$N$2:$Y$2))/(Z643/($K643*$L643*$M643)),"")</f>
        <v/>
      </c>
      <c r="AC643" s="18" t="n"/>
    </row>
    <row r="644">
      <c r="A644" s="9" t="n">
        <v>801307</v>
      </c>
      <c r="B644" s="9" t="inlineStr">
        <is>
          <t>Gregory Bozzo</t>
        </is>
      </c>
      <c r="C644" s="9" t="inlineStr">
        <is>
          <t>NYY</t>
        </is>
      </c>
      <c r="D644" s="9" t="n">
        <v>25</v>
      </c>
      <c r="E644" s="16" t="inlineStr">
        <is>
          <t>R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1" t="n">
        <v>1</v>
      </c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7" t="n">
        <v>1</v>
      </c>
      <c r="Z644" s="13">
        <f>SUMPRODUCT(N644:Y644,$N$2:$Y$2)*$K644*$L644*$M644</f>
        <v/>
      </c>
      <c r="AA644" s="14">
        <f>SUM(N644:Y644)</f>
        <v/>
      </c>
      <c r="AB644" s="14">
        <f>IFERROR(IF(UPPER($E644)="L",SUMPRODUCT(N644:Y644,$N$3:$Y$3,$N$2:$Y$2),SUMPRODUCT(N644:Y644,$N$4:$Y$4,$N$2:$Y$2))/(Z644/($K644*$L644*$M644)),"")</f>
        <v/>
      </c>
      <c r="AC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25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Late Season (~Sept)</t>
        </is>
      </c>
      <c r="K645" s="11">
        <f>IFERROR(INDEX(Roles!$B$17:$B$20,MATCH(J645,Roles!$A$17:$A$20,0)),1)</f>
        <v/>
      </c>
      <c r="L645" s="17" t="n">
        <v>1</v>
      </c>
      <c r="M645" s="11" t="n">
        <v>1</v>
      </c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7" t="n">
        <v>1</v>
      </c>
      <c r="Z645" s="13">
        <f>SUMPRODUCT(N645:Y645,$N$2:$Y$2)*$K645*$L645*$M645</f>
        <v/>
      </c>
      <c r="AA645" s="14">
        <f>SUM(N645:Y645)</f>
        <v/>
      </c>
      <c r="AB645" s="14">
        <f>IFERROR(IF(UPPER($E645)="L",SUMPRODUCT(N645:Y645,$N$3:$Y$3,$N$2:$Y$2),SUMPRODUCT(N645:Y645,$N$4:$Y$4,$N$2:$Y$2))/(Z645/($K645*$L645*$M645)),"")</f>
        <v/>
      </c>
      <c r="AC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1" t="n">
        <v>1</v>
      </c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7" t="n">
        <v>1</v>
      </c>
      <c r="Z646" s="13">
        <f>SUMPRODUCT(N646:Y646,$N$2:$Y$2)*$K646*$L646*$M646</f>
        <v/>
      </c>
      <c r="AA646" s="14">
        <f>SUM(N646:Y646)</f>
        <v/>
      </c>
      <c r="AB646" s="14">
        <f>IFERROR(IF(UPPER($E646)="L",SUMPRODUCT(N646:Y646,$N$3:$Y$3,$N$2:$Y$2),SUMPRODUCT(N646:Y646,$N$4:$Y$4,$N$2:$Y$2))/(Z646/($K646*$L646*$M646)),"")</f>
        <v/>
      </c>
      <c r="AC646" s="18" t="n"/>
    </row>
    <row r="647">
      <c r="A647" s="9" t="n">
        <v>701820</v>
      </c>
      <c r="B647" s="9" t="inlineStr">
        <is>
          <t>Jacob Friend</t>
        </is>
      </c>
      <c r="C647" s="9" t="inlineStr">
        <is>
          <t>CIN</t>
        </is>
      </c>
      <c r="D647" s="9" t="n">
        <v>25</v>
      </c>
      <c r="E647" s="16" t="inlineStr">
        <is>
          <t>L</t>
        </is>
      </c>
      <c r="F647" s="16" t="n"/>
      <c r="G647" s="9" t="n">
        <v>55.7948717948718</v>
      </c>
      <c r="H647" s="9" t="n">
        <v>55.7948717948718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1" t="n">
        <v>1</v>
      </c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7" t="n">
        <v>1</v>
      </c>
      <c r="Z647" s="13">
        <f>SUMPRODUCT(N647:Y647,$N$2:$Y$2)*$K647*$L647*$M647</f>
        <v/>
      </c>
      <c r="AA647" s="14">
        <f>SUM(N647:Y647)</f>
        <v/>
      </c>
      <c r="AB647" s="14">
        <f>IFERROR(IF(UPPER($E647)="L",SUMPRODUCT(N647:Y647,$N$3:$Y$3,$N$2:$Y$2),SUMPRODUCT(N647:Y647,$N$4:$Y$4,$N$2:$Y$2))/(Z647/($K647*$L647*$M647)),"")</f>
        <v/>
      </c>
      <c r="AC647" s="18" t="n"/>
    </row>
    <row r="648">
      <c r="A648" s="9" t="n">
        <v>700815</v>
      </c>
      <c r="B648" s="9" t="inlineStr">
        <is>
          <t>Matthew Ellis</t>
        </is>
      </c>
      <c r="C648" s="9" t="inlineStr">
        <is>
          <t>SEA</t>
        </is>
      </c>
      <c r="D648" s="9" t="n">
        <v>25</v>
      </c>
      <c r="E648" s="16" t="inlineStr">
        <is>
          <t>L</t>
        </is>
      </c>
      <c r="F648" s="16" t="n"/>
      <c r="G648" s="9" t="n">
        <v>68.30769230769231</v>
      </c>
      <c r="H648" s="9" t="n">
        <v>68.30769230769231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1" t="n">
        <v>1</v>
      </c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7" t="n">
        <v>1</v>
      </c>
      <c r="Z648" s="13">
        <f>SUMPRODUCT(N648:Y648,$N$2:$Y$2)*$K648*$L648*$M648</f>
        <v/>
      </c>
      <c r="AA648" s="14">
        <f>SUM(N648:Y648)</f>
        <v/>
      </c>
      <c r="AB648" s="14">
        <f>IFERROR(IF(UPPER($E648)="L",SUMPRODUCT(N648:Y648,$N$3:$Y$3,$N$2:$Y$2),SUMPRODUCT(N648:Y648,$N$4:$Y$4,$N$2:$Y$2))/(Z648/($K648*$L648*$M648)),"")</f>
        <v/>
      </c>
      <c r="AC648" s="18" t="n"/>
    </row>
    <row r="649">
      <c r="A649" s="9" t="n">
        <v>670231</v>
      </c>
      <c r="B649" s="9" t="inlineStr">
        <is>
          <t>John Rave</t>
        </is>
      </c>
      <c r="C649" s="9" t="inlineStr">
        <is>
          <t>KC</t>
        </is>
      </c>
      <c r="D649" s="9" t="n">
        <v>29</v>
      </c>
      <c r="E649" s="16" t="inlineStr">
        <is>
          <t>L</t>
        </is>
      </c>
      <c r="F649" s="16" t="inlineStr">
        <is>
          <t>RF</t>
        </is>
      </c>
      <c r="G649" s="9" t="n">
        <v>161</v>
      </c>
      <c r="H649" s="9" t="n">
        <v>336</v>
      </c>
      <c r="I649" s="9" t="inlineStr">
        <is>
          <t>Strong Side Platoon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1" t="n">
        <v>1</v>
      </c>
      <c r="N649" s="17" t="n">
        <v>0.4</v>
      </c>
      <c r="O649" s="17" t="n"/>
      <c r="P649" s="17" t="n">
        <v>0.6</v>
      </c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7" t="n"/>
      <c r="Z649" s="13">
        <f>SUMPRODUCT(N649:Y649,$N$2:$Y$2)*$K649*$L649*$M649</f>
        <v/>
      </c>
      <c r="AA649" s="14">
        <f>SUM(N649:Y649)</f>
        <v/>
      </c>
      <c r="AB649" s="14">
        <f>IFERROR(IF(UPPER($E649)="L",SUMPRODUCT(N649:Y649,$N$3:$Y$3,$N$2:$Y$2),SUMPRODUCT(N649:Y649,$N$4:$Y$4,$N$2:$Y$2))/(Z649/($K649*$L649*$M649)),"")</f>
        <v/>
      </c>
      <c r="AC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1" t="n">
        <v>1</v>
      </c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7" t="n">
        <v>1</v>
      </c>
      <c r="Z650" s="13">
        <f>SUMPRODUCT(N650:Y650,$N$2:$Y$2)*$K650*$L650*$M650</f>
        <v/>
      </c>
      <c r="AA650" s="14">
        <f>SUM(N650:Y650)</f>
        <v/>
      </c>
      <c r="AB650" s="14">
        <f>IFERROR(IF(UPPER($E650)="L",SUMPRODUCT(N650:Y650,$N$3:$Y$3,$N$2:$Y$2),SUMPRODUCT(N650:Y650,$N$4:$Y$4,$N$2:$Y$2))/(Z650/($K650*$L650*$M650)),"")</f>
        <v/>
      </c>
      <c r="AC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1" t="n">
        <v>1</v>
      </c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7" t="n">
        <v>1</v>
      </c>
      <c r="Z651" s="13">
        <f>SUMPRODUCT(N651:Y651,$N$2:$Y$2)*$K651*$L651*$M651</f>
        <v/>
      </c>
      <c r="AA651" s="14">
        <f>SUM(N651:Y651)</f>
        <v/>
      </c>
      <c r="AB651" s="14">
        <f>IFERROR(IF(UPPER($E651)="L",SUMPRODUCT(N651:Y651,$N$3:$Y$3,$N$2:$Y$2),SUMPRODUCT(N651:Y651,$N$4:$Y$4,$N$2:$Y$2))/(Z651/($K651*$L651*$M651)),"")</f>
        <v/>
      </c>
      <c r="AC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1" t="n">
        <v>1</v>
      </c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7" t="n">
        <v>1</v>
      </c>
      <c r="Z652" s="13">
        <f>SUMPRODUCT(N652:Y652,$N$2:$Y$2)*$K652*$L652*$M652</f>
        <v/>
      </c>
      <c r="AA652" s="14">
        <f>SUM(N652:Y652)</f>
        <v/>
      </c>
      <c r="AB652" s="14">
        <f>IFERROR(IF(UPPER($E652)="L",SUMPRODUCT(N652:Y652,$N$3:$Y$3,$N$2:$Y$2),SUMPRODUCT(N652:Y652,$N$4:$Y$4,$N$2:$Y$2))/(Z652/($K652*$L652*$M652)),"")</f>
        <v/>
      </c>
      <c r="AC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inlineStr">
        <is>
          <t>C</t>
        </is>
      </c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1" t="n">
        <v>1</v>
      </c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>
        <v>0.7</v>
      </c>
      <c r="X653" s="17" t="n">
        <v>0.3</v>
      </c>
      <c r="Y653" s="17" t="n"/>
      <c r="Z653" s="13">
        <f>SUMPRODUCT(N653:Y653,$N$2:$Y$2)*$K653*$L653*$M653</f>
        <v/>
      </c>
      <c r="AA653" s="14">
        <f>SUM(N653:Y653)</f>
        <v/>
      </c>
      <c r="AB653" s="14">
        <f>IFERROR(IF(UPPER($E653)="L",SUMPRODUCT(N653:Y653,$N$3:$Y$3,$N$2:$Y$2),SUMPRODUCT(N653:Y653,$N$4:$Y$4,$N$2:$Y$2))/(Z653/($K653*$L653*$M653)),"")</f>
        <v/>
      </c>
      <c r="AC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inlineStr">
        <is>
          <t>C</t>
        </is>
      </c>
      <c r="G654" s="9" t="n">
        <v>85</v>
      </c>
      <c r="H654" s="9" t="n">
        <v>384</v>
      </c>
      <c r="I654" s="9" t="inlineStr">
        <is>
          <t>Bench Bat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1" t="n">
        <v>1</v>
      </c>
      <c r="N654" s="17" t="n"/>
      <c r="O654" s="17" t="n"/>
      <c r="P654" s="17" t="n"/>
      <c r="Q654" s="17" t="n"/>
      <c r="R654" s="17" t="n"/>
      <c r="S654" s="17" t="n"/>
      <c r="T654" s="17" t="n">
        <v>0.4</v>
      </c>
      <c r="U654" s="17" t="n"/>
      <c r="V654" s="17" t="n"/>
      <c r="W654" s="17" t="n">
        <v>0.6</v>
      </c>
      <c r="X654" s="17" t="n"/>
      <c r="Y654" s="17" t="n"/>
      <c r="Z654" s="13">
        <f>SUMPRODUCT(N654:Y654,$N$2:$Y$2)*$K654*$L654*$M654</f>
        <v/>
      </c>
      <c r="AA654" s="14">
        <f>SUM(N654:Y654)</f>
        <v/>
      </c>
      <c r="AB654" s="14">
        <f>IFERROR(IF(UPPER($E654)="L",SUMPRODUCT(N654:Y654,$N$3:$Y$3,$N$2:$Y$2),SUMPRODUCT(N654:Y654,$N$4:$Y$4,$N$2:$Y$2))/(Z654/($K654*$L654*$M654)),"")</f>
        <v/>
      </c>
      <c r="AC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25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Late Season (~Sept)</t>
        </is>
      </c>
      <c r="K655" s="11">
        <f>IFERROR(INDEX(Roles!$B$17:$B$20,MATCH(J655,Roles!$A$17:$A$20,0)),1)</f>
        <v/>
      </c>
      <c r="L655" s="17" t="n">
        <v>1</v>
      </c>
      <c r="M655" s="11" t="n">
        <v>1</v>
      </c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7" t="n">
        <v>1</v>
      </c>
      <c r="Z655" s="13">
        <f>SUMPRODUCT(N655:Y655,$N$2:$Y$2)*$K655*$L655*$M655</f>
        <v/>
      </c>
      <c r="AA655" s="14">
        <f>SUM(N655:Y655)</f>
        <v/>
      </c>
      <c r="AB655" s="14">
        <f>IFERROR(IF(UPPER($E655)="L",SUMPRODUCT(N655:Y655,$N$3:$Y$3,$N$2:$Y$2),SUMPRODUCT(N655:Y655,$N$4:$Y$4,$N$2:$Y$2))/(Z655/($K655*$L655*$M655)),"")</f>
        <v/>
      </c>
      <c r="AC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1" t="n">
        <v>1</v>
      </c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7" t="n">
        <v>1</v>
      </c>
      <c r="Z656" s="13">
        <f>SUMPRODUCT(N656:Y656,$N$2:$Y$2)*$K656*$L656*$M656</f>
        <v/>
      </c>
      <c r="AA656" s="14">
        <f>SUM(N656:Y656)</f>
        <v/>
      </c>
      <c r="AB656" s="14">
        <f>IFERROR(IF(UPPER($E656)="L",SUMPRODUCT(N656:Y656,$N$3:$Y$3,$N$2:$Y$2),SUMPRODUCT(N656:Y656,$N$4:$Y$4,$N$2:$Y$2))/(Z656/($K656*$L656*$M656)),"")</f>
        <v/>
      </c>
      <c r="AC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1" t="n">
        <v>1</v>
      </c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7" t="n">
        <v>1</v>
      </c>
      <c r="Z657" s="13">
        <f>SUMPRODUCT(N657:Y657,$N$2:$Y$2)*$K657*$L657*$M657</f>
        <v/>
      </c>
      <c r="AA657" s="14">
        <f>SUM(N657:Y657)</f>
        <v/>
      </c>
      <c r="AB657" s="14">
        <f>IFERROR(IF(UPPER($E657)="L",SUMPRODUCT(N657:Y657,$N$3:$Y$3,$N$2:$Y$2),SUMPRODUCT(N657:Y657,$N$4:$Y$4,$N$2:$Y$2))/(Z657/($K657*$L657*$M657)),"")</f>
        <v/>
      </c>
      <c r="AC657" s="18" t="n"/>
    </row>
    <row r="658">
      <c r="A658" s="9" t="n">
        <v>805212</v>
      </c>
      <c r="B658" s="9" t="inlineStr">
        <is>
          <t>Jacob Galloway</t>
        </is>
      </c>
      <c r="C658" s="9" t="inlineStr">
        <is>
          <t>SEA</t>
        </is>
      </c>
      <c r="D658" s="9" t="n">
        <v>25</v>
      </c>
      <c r="E658" s="16" t="inlineStr">
        <is>
          <t>L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1" t="n">
        <v>1</v>
      </c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7" t="n">
        <v>1</v>
      </c>
      <c r="Z658" s="13">
        <f>SUMPRODUCT(N658:Y658,$N$2:$Y$2)*$K658*$L658*$M658</f>
        <v/>
      </c>
      <c r="AA658" s="14">
        <f>SUM(N658:Y658)</f>
        <v/>
      </c>
      <c r="AB658" s="14">
        <f>IFERROR(IF(UPPER($E658)="L",SUMPRODUCT(N658:Y658,$N$3:$Y$3,$N$2:$Y$2),SUMPRODUCT(N658:Y658,$N$4:$Y$4,$N$2:$Y$2))/(Z658/($K658*$L658*$M658)),"")</f>
        <v/>
      </c>
      <c r="AC658" s="18" t="n"/>
    </row>
    <row r="659">
      <c r="A659" s="9" t="n">
        <v>814453</v>
      </c>
      <c r="B659" s="9" t="inlineStr">
        <is>
          <t>Nathan Archer</t>
        </is>
      </c>
      <c r="C659" s="9" t="inlineStr">
        <is>
          <t>CWS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1" t="n">
        <v>1</v>
      </c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7" t="n">
        <v>1</v>
      </c>
      <c r="Z659" s="13">
        <f>SUMPRODUCT(N659:Y659,$N$2:$Y$2)*$K659*$L659*$M659</f>
        <v/>
      </c>
      <c r="AA659" s="14">
        <f>SUM(N659:Y659)</f>
        <v/>
      </c>
      <c r="AB659" s="14">
        <f>IFERROR(IF(UPPER($E659)="L",SUMPRODUCT(N659:Y659,$N$3:$Y$3,$N$2:$Y$2),SUMPRODUCT(N659:Y659,$N$4:$Y$4,$N$2:$Y$2))/(Z659/($K659*$L659*$M659)),"")</f>
        <v/>
      </c>
      <c r="AC659" s="18" t="n"/>
    </row>
    <row r="660">
      <c r="A660" s="9" t="n">
        <v>842160</v>
      </c>
      <c r="B660" s="9" t="inlineStr">
        <is>
          <t>Owen Clyne</t>
        </is>
      </c>
      <c r="C660" s="9" t="inlineStr">
        <is>
          <t>PHI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1" t="n">
        <v>1</v>
      </c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7" t="n">
        <v>1</v>
      </c>
      <c r="Z660" s="13">
        <f>SUMPRODUCT(N660:Y660,$N$2:$Y$2)*$K660*$L660*$M660</f>
        <v/>
      </c>
      <c r="AA660" s="14">
        <f>SUM(N660:Y660)</f>
        <v/>
      </c>
      <c r="AB660" s="14">
        <f>IFERROR(IF(UPPER($E660)="L",SUMPRODUCT(N660:Y660,$N$3:$Y$3,$N$2:$Y$2),SUMPRODUCT(N660:Y660,$N$4:$Y$4,$N$2:$Y$2))/(Z660/($K660*$L660*$M660)),"")</f>
        <v/>
      </c>
      <c r="AC660" s="18" t="n"/>
    </row>
    <row r="661">
      <c r="A661" s="9" t="n">
        <v>808033</v>
      </c>
      <c r="B661" s="9" t="inlineStr">
        <is>
          <t>Jonathan Rivero</t>
        </is>
      </c>
      <c r="C661" s="9" t="inlineStr">
        <is>
          <t>PIT</t>
        </is>
      </c>
      <c r="D661" s="9" t="n">
        <v>25</v>
      </c>
      <c r="E661" s="16" t="inlineStr">
        <is>
          <t>L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1" t="n">
        <v>1</v>
      </c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7" t="n">
        <v>1</v>
      </c>
      <c r="Z661" s="13">
        <f>SUMPRODUCT(N661:Y661,$N$2:$Y$2)*$K661*$L661*$M661</f>
        <v/>
      </c>
      <c r="AA661" s="14">
        <f>SUM(N661:Y661)</f>
        <v/>
      </c>
      <c r="AB661" s="14">
        <f>IFERROR(IF(UPPER($E661)="L",SUMPRODUCT(N661:Y661,$N$3:$Y$3,$N$2:$Y$2),SUMPRODUCT(N661:Y661,$N$4:$Y$4,$N$2:$Y$2))/(Z661/($K661*$L661*$M661)),"")</f>
        <v/>
      </c>
      <c r="AC661" s="18" t="n"/>
    </row>
    <row r="662">
      <c r="A662" s="9" t="n">
        <v>808153</v>
      </c>
      <c r="B662" s="9" t="inlineStr">
        <is>
          <t>Luis Merejo</t>
        </is>
      </c>
      <c r="C662" s="9" t="inlineStr">
        <is>
          <t>CLE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1" t="n">
        <v>1</v>
      </c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7" t="n">
        <v>1</v>
      </c>
      <c r="Z662" s="13">
        <f>SUMPRODUCT(N662:Y662,$N$2:$Y$2)*$K662*$L662*$M662</f>
        <v/>
      </c>
      <c r="AA662" s="14">
        <f>SUM(N662:Y662)</f>
        <v/>
      </c>
      <c r="AB662" s="14">
        <f>IFERROR(IF(UPPER($E662)="L",SUMPRODUCT(N662:Y662,$N$3:$Y$3,$N$2:$Y$2),SUMPRODUCT(N662:Y662,$N$4:$Y$4,$N$2:$Y$2))/(Z662/($K662*$L662*$M662)),"")</f>
        <v/>
      </c>
      <c r="AC662" s="18" t="n"/>
    </row>
    <row r="663">
      <c r="A663" s="9" t="n">
        <v>801854</v>
      </c>
      <c r="B663" s="9" t="inlineStr">
        <is>
          <t>Ben Wilmes</t>
        </is>
      </c>
      <c r="C663" s="9" t="inlineStr">
        <is>
          <t>COL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1" t="n">
        <v>1</v>
      </c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7" t="n">
        <v>1</v>
      </c>
      <c r="Z663" s="13">
        <f>SUMPRODUCT(N663:Y663,$N$2:$Y$2)*$K663*$L663*$M663</f>
        <v/>
      </c>
      <c r="AA663" s="14">
        <f>SUM(N663:Y663)</f>
        <v/>
      </c>
      <c r="AB663" s="14">
        <f>IFERROR(IF(UPPER($E663)="L",SUMPRODUCT(N663:Y663,$N$3:$Y$3,$N$2:$Y$2),SUMPRODUCT(N663:Y663,$N$4:$Y$4,$N$2:$Y$2))/(Z663/($K663*$L663*$M663)),"")</f>
        <v/>
      </c>
      <c r="AC663" s="18" t="n"/>
    </row>
    <row r="664">
      <c r="A664" s="9" t="n">
        <v>593833</v>
      </c>
      <c r="B664" s="9" t="inlineStr">
        <is>
          <t>Wander Suero</t>
        </is>
      </c>
      <c r="C664" s="9" t="inlineStr">
        <is>
          <t>OAK</t>
        </is>
      </c>
      <c r="D664" s="9" t="n">
        <v>25</v>
      </c>
      <c r="E664" s="16" t="inlineStr">
        <is>
          <t>R</t>
        </is>
      </c>
      <c r="F664" s="16" t="inlineStr">
        <is>
          <t>P</t>
        </is>
      </c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1" t="n">
        <v>1</v>
      </c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7" t="n">
        <v>1</v>
      </c>
      <c r="Z664" s="13">
        <f>SUMPRODUCT(N664:Y664,$N$2:$Y$2)*$K664*$L664*$M664</f>
        <v/>
      </c>
      <c r="AA664" s="14">
        <f>SUM(N664:Y664)</f>
        <v/>
      </c>
      <c r="AB664" s="14">
        <f>IFERROR(IF(UPPER($E664)="L",SUMPRODUCT(N664:Y664,$N$3:$Y$3,$N$2:$Y$2),SUMPRODUCT(N664:Y664,$N$4:$Y$4,$N$2:$Y$2))/(Z664/($K664*$L664*$M664)),"")</f>
        <v/>
      </c>
      <c r="AC664" s="18" t="n"/>
    </row>
    <row r="665">
      <c r="A665" s="9" t="n">
        <v>831590</v>
      </c>
      <c r="B665" s="9" t="inlineStr">
        <is>
          <t>Taylor Darden</t>
        </is>
      </c>
      <c r="C665" s="9" t="inlineStr">
        <is>
          <t>NYM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1" t="n">
        <v>1</v>
      </c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7" t="n">
        <v>1</v>
      </c>
      <c r="Z665" s="13">
        <f>SUMPRODUCT(N665:Y665,$N$2:$Y$2)*$K665*$L665*$M665</f>
        <v/>
      </c>
      <c r="AA665" s="14">
        <f>SUM(N665:Y665)</f>
        <v/>
      </c>
      <c r="AB665" s="14">
        <f>IFERROR(IF(UPPER($E665)="L",SUMPRODUCT(N665:Y665,$N$3:$Y$3,$N$2:$Y$2),SUMPRODUCT(N665:Y665,$N$4:$Y$4,$N$2:$Y$2))/(Z665/($K665*$L665*$M665)),"")</f>
        <v/>
      </c>
      <c r="AC665" s="18" t="n"/>
    </row>
    <row r="666">
      <c r="A666" s="9" t="n">
        <v>802085</v>
      </c>
      <c r="B666" s="9" t="inlineStr">
        <is>
          <t>Geury Rodriguez</t>
        </is>
      </c>
      <c r="C666" s="9" t="inlineStr">
        <is>
          <t>TEX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1" t="n">
        <v>1</v>
      </c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7" t="n">
        <v>1</v>
      </c>
      <c r="Z666" s="13">
        <f>SUMPRODUCT(N666:Y666,$N$2:$Y$2)*$K666*$L666*$M666</f>
        <v/>
      </c>
      <c r="AA666" s="14">
        <f>SUM(N666:Y666)</f>
        <v/>
      </c>
      <c r="AB666" s="14">
        <f>IFERROR(IF(UPPER($E666)="L",SUMPRODUCT(N666:Y666,$N$3:$Y$3,$N$2:$Y$2),SUMPRODUCT(N666:Y666,$N$4:$Y$4,$N$2:$Y$2))/(Z666/($K666*$L666*$M666)),"")</f>
        <v/>
      </c>
      <c r="AC666" s="18" t="n"/>
    </row>
    <row r="667">
      <c r="A667" s="9" t="n">
        <v>815694</v>
      </c>
      <c r="B667" s="9" t="inlineStr">
        <is>
          <t>Lou Albrecht</t>
        </is>
      </c>
      <c r="C667" s="9" t="inlineStr">
        <is>
          <t>PHI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1" t="n">
        <v>1</v>
      </c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7" t="n">
        <v>1</v>
      </c>
      <c r="Z667" s="13">
        <f>SUMPRODUCT(N667:Y667,$N$2:$Y$2)*$K667*$L667*$M667</f>
        <v/>
      </c>
      <c r="AA667" s="14">
        <f>SUM(N667:Y667)</f>
        <v/>
      </c>
      <c r="AB667" s="14">
        <f>IFERROR(IF(UPPER($E667)="L",SUMPRODUCT(N667:Y667,$N$3:$Y$3,$N$2:$Y$2),SUMPRODUCT(N667:Y667,$N$4:$Y$4,$N$2:$Y$2))/(Z667/($K667*$L667*$M667)),"")</f>
        <v/>
      </c>
      <c r="AC667" s="18" t="n"/>
    </row>
    <row r="668">
      <c r="A668" s="9" t="n">
        <v>838338</v>
      </c>
      <c r="B668" s="9" t="inlineStr">
        <is>
          <t>Giaconino Lasaracina</t>
        </is>
      </c>
      <c r="C668" s="9" t="inlineStr">
        <is>
          <t>TOR</t>
        </is>
      </c>
      <c r="D668" s="9" t="n">
        <v>25</v>
      </c>
      <c r="E668" s="16" t="inlineStr">
        <is>
          <t>R</t>
        </is>
      </c>
      <c r="F668" s="16" t="n"/>
      <c r="G668" s="9" t="n">
        <v>17.84615384615385</v>
      </c>
      <c r="H668" s="9" t="n">
        <v>17.84615384615385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1" t="n">
        <v>1</v>
      </c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7" t="n">
        <v>1</v>
      </c>
      <c r="Z668" s="13">
        <f>SUMPRODUCT(N668:Y668,$N$2:$Y$2)*$K668*$L668*$M668</f>
        <v/>
      </c>
      <c r="AA668" s="14">
        <f>SUM(N668:Y668)</f>
        <v/>
      </c>
      <c r="AB668" s="14">
        <f>IFERROR(IF(UPPER($E668)="L",SUMPRODUCT(N668:Y668,$N$3:$Y$3,$N$2:$Y$2),SUMPRODUCT(N668:Y668,$N$4:$Y$4,$N$2:$Y$2))/(Z668/($K668*$L668*$M668)),"")</f>
        <v/>
      </c>
      <c r="AC668" s="18" t="n"/>
    </row>
    <row r="669">
      <c r="A669" s="9" t="n">
        <v>801525</v>
      </c>
      <c r="B669" s="9" t="inlineStr">
        <is>
          <t>Wady Mendez</t>
        </is>
      </c>
      <c r="C669" s="9" t="inlineStr">
        <is>
          <t>TEX</t>
        </is>
      </c>
      <c r="D669" s="9" t="n">
        <v>25</v>
      </c>
      <c r="E669" s="16" t="inlineStr">
        <is>
          <t>L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1" t="n">
        <v>1</v>
      </c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7" t="n">
        <v>1</v>
      </c>
      <c r="Z669" s="13">
        <f>SUMPRODUCT(N669:Y669,$N$2:$Y$2)*$K669*$L669*$M669</f>
        <v/>
      </c>
      <c r="AA669" s="14">
        <f>SUM(N669:Y669)</f>
        <v/>
      </c>
      <c r="AB669" s="14">
        <f>IFERROR(IF(UPPER($E669)="L",SUMPRODUCT(N669:Y669,$N$3:$Y$3,$N$2:$Y$2),SUMPRODUCT(N669:Y669,$N$4:$Y$4,$N$2:$Y$2))/(Z669/($K669*$L669*$M669)),"")</f>
        <v/>
      </c>
      <c r="AC669" s="18" t="n"/>
    </row>
    <row r="670">
      <c r="A670" s="9" t="n">
        <v>815004</v>
      </c>
      <c r="B670" s="9" t="inlineStr">
        <is>
          <t>Maylerson Casanova</t>
        </is>
      </c>
      <c r="C670" s="9" t="inlineStr">
        <is>
          <t>PHI</t>
        </is>
      </c>
      <c r="D670" s="9" t="n">
        <v>25</v>
      </c>
      <c r="E670" s="16" t="inlineStr">
        <is>
          <t>R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1" t="n">
        <v>1</v>
      </c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7" t="n">
        <v>1</v>
      </c>
      <c r="Z670" s="13">
        <f>SUMPRODUCT(N670:Y670,$N$2:$Y$2)*$K670*$L670*$M670</f>
        <v/>
      </c>
      <c r="AA670" s="14">
        <f>SUM(N670:Y670)</f>
        <v/>
      </c>
      <c r="AB670" s="14">
        <f>IFERROR(IF(UPPER($E670)="L",SUMPRODUCT(N670:Y670,$N$3:$Y$3,$N$2:$Y$2),SUMPRODUCT(N670:Y670,$N$4:$Y$4,$N$2:$Y$2))/(Z670/($K670*$L670*$M670)),"")</f>
        <v/>
      </c>
      <c r="AC670" s="18" t="n"/>
    </row>
    <row r="671">
      <c r="A671" s="9" t="n">
        <v>815009</v>
      </c>
      <c r="B671" s="9" t="inlineStr">
        <is>
          <t>Cesar Mujica</t>
        </is>
      </c>
      <c r="C671" s="9" t="inlineStr">
        <is>
          <t>PHI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1" t="n">
        <v>1</v>
      </c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7" t="n">
        <v>1</v>
      </c>
      <c r="Z671" s="13">
        <f>SUMPRODUCT(N671:Y671,$N$2:$Y$2)*$K671*$L671*$M671</f>
        <v/>
      </c>
      <c r="AA671" s="14">
        <f>SUM(N671:Y671)</f>
        <v/>
      </c>
      <c r="AB671" s="14">
        <f>IFERROR(IF(UPPER($E671)="L",SUMPRODUCT(N671:Y671,$N$3:$Y$3,$N$2:$Y$2),SUMPRODUCT(N671:Y671,$N$4:$Y$4,$N$2:$Y$2))/(Z671/($K671*$L671*$M671)),"")</f>
        <v/>
      </c>
      <c r="AC671" s="18" t="n"/>
    </row>
    <row r="672">
      <c r="A672" s="9" t="n">
        <v>800615</v>
      </c>
      <c r="B672" s="9" t="inlineStr">
        <is>
          <t>Luke Scherrer</t>
        </is>
      </c>
      <c r="C672" s="9" t="inlineStr">
        <is>
          <t>PIT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1" t="n">
        <v>1</v>
      </c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7" t="n">
        <v>1</v>
      </c>
      <c r="Z672" s="13">
        <f>SUMPRODUCT(N672:Y672,$N$2:$Y$2)*$K672*$L672*$M672</f>
        <v/>
      </c>
      <c r="AA672" s="14">
        <f>SUM(N672:Y672)</f>
        <v/>
      </c>
      <c r="AB672" s="14">
        <f>IFERROR(IF(UPPER($E672)="L",SUMPRODUCT(N672:Y672,$N$3:$Y$3,$N$2:$Y$2),SUMPRODUCT(N672:Y672,$N$4:$Y$4,$N$2:$Y$2))/(Z672/($K672*$L672*$M672)),"")</f>
        <v/>
      </c>
      <c r="AC672" s="18" t="n"/>
    </row>
    <row r="673">
      <c r="A673" s="9" t="n">
        <v>805145</v>
      </c>
      <c r="B673" s="9" t="inlineStr">
        <is>
          <t>Jake Bold</t>
        </is>
      </c>
      <c r="C673" s="9" t="inlineStr">
        <is>
          <t>SD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1" t="n">
        <v>1</v>
      </c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7" t="n">
        <v>1</v>
      </c>
      <c r="Z673" s="13">
        <f>SUMPRODUCT(N673:Y673,$N$2:$Y$2)*$K673*$L673*$M673</f>
        <v/>
      </c>
      <c r="AA673" s="14">
        <f>SUM(N673:Y673)</f>
        <v/>
      </c>
      <c r="AB673" s="14">
        <f>IFERROR(IF(UPPER($E673)="L",SUMPRODUCT(N673:Y673,$N$3:$Y$3,$N$2:$Y$2),SUMPRODUCT(N673:Y673,$N$4:$Y$4,$N$2:$Y$2))/(Z673/($K673*$L673*$M673)),"")</f>
        <v/>
      </c>
      <c r="AC673" s="18" t="n"/>
    </row>
    <row r="674">
      <c r="A674" s="9" t="n">
        <v>806166</v>
      </c>
      <c r="B674" s="9" t="inlineStr">
        <is>
          <t>Tyler Minnick</t>
        </is>
      </c>
      <c r="C674" s="9" t="inlineStr">
        <is>
          <t>PHI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1" t="n">
        <v>1</v>
      </c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7" t="n">
        <v>1</v>
      </c>
      <c r="Z674" s="13">
        <f>SUMPRODUCT(N674:Y674,$N$2:$Y$2)*$K674*$L674*$M674</f>
        <v/>
      </c>
      <c r="AA674" s="14">
        <f>SUM(N674:Y674)</f>
        <v/>
      </c>
      <c r="AB674" s="14">
        <f>IFERROR(IF(UPPER($E674)="L",SUMPRODUCT(N674:Y674,$N$3:$Y$3,$N$2:$Y$2),SUMPRODUCT(N674:Y674,$N$4:$Y$4,$N$2:$Y$2))/(Z674/($K674*$L674*$M674)),"")</f>
        <v/>
      </c>
      <c r="AC674" s="18" t="n"/>
    </row>
    <row r="675">
      <c r="A675" s="9" t="n">
        <v>808538</v>
      </c>
      <c r="B675" s="9" t="inlineStr">
        <is>
          <t>Luis Parababire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1" t="n">
        <v>1</v>
      </c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7" t="n">
        <v>1</v>
      </c>
      <c r="Z675" s="13">
        <f>SUMPRODUCT(N675:Y675,$N$2:$Y$2)*$K675*$L675*$M675</f>
        <v/>
      </c>
      <c r="AA675" s="14">
        <f>SUM(N675:Y675)</f>
        <v/>
      </c>
      <c r="AB675" s="14">
        <f>IFERROR(IF(UPPER($E675)="L",SUMPRODUCT(N675:Y675,$N$3:$Y$3,$N$2:$Y$2),SUMPRODUCT(N675:Y675,$N$4:$Y$4,$N$2:$Y$2))/(Z675/($K675*$L675*$M675)),"")</f>
        <v/>
      </c>
      <c r="AC675" s="18" t="n"/>
    </row>
    <row r="676">
      <c r="A676" s="9" t="n">
        <v>815586</v>
      </c>
      <c r="B676" s="9" t="inlineStr">
        <is>
          <t>Joe Olsavsky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1" t="n">
        <v>1</v>
      </c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7" t="n">
        <v>1</v>
      </c>
      <c r="Z676" s="13">
        <f>SUMPRODUCT(N676:Y676,$N$2:$Y$2)*$K676*$L676*$M676</f>
        <v/>
      </c>
      <c r="AA676" s="14">
        <f>SUM(N676:Y676)</f>
        <v/>
      </c>
      <c r="AB676" s="14">
        <f>IFERROR(IF(UPPER($E676)="L",SUMPRODUCT(N676:Y676,$N$3:$Y$3,$N$2:$Y$2),SUMPRODUCT(N676:Y676,$N$4:$Y$4,$N$2:$Y$2))/(Z676/($K676*$L676*$M676)),"")</f>
        <v/>
      </c>
      <c r="AC676" s="18" t="n"/>
    </row>
    <row r="677">
      <c r="A677" s="9" t="n">
        <v>640454</v>
      </c>
      <c r="B677" s="9" t="inlineStr">
        <is>
          <t>Matt Krook</t>
        </is>
      </c>
      <c r="C677" s="9" t="inlineStr">
        <is>
          <t>OAK</t>
        </is>
      </c>
      <c r="D677" s="9" t="n">
        <v>25</v>
      </c>
      <c r="E677" s="16" t="inlineStr">
        <is>
          <t>L</t>
        </is>
      </c>
      <c r="F677" s="16" t="inlineStr">
        <is>
          <t>P</t>
        </is>
      </c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1" t="n">
        <v>1</v>
      </c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7" t="n">
        <v>1</v>
      </c>
      <c r="Z677" s="13">
        <f>SUMPRODUCT(N677:Y677,$N$2:$Y$2)*$K677*$L677*$M677</f>
        <v/>
      </c>
      <c r="AA677" s="14">
        <f>SUM(N677:Y677)</f>
        <v/>
      </c>
      <c r="AB677" s="14">
        <f>IFERROR(IF(UPPER($E677)="L",SUMPRODUCT(N677:Y677,$N$3:$Y$3,$N$2:$Y$2),SUMPRODUCT(N677:Y677,$N$4:$Y$4,$N$2:$Y$2))/(Z677/($K677*$L677*$M677)),"")</f>
        <v/>
      </c>
      <c r="AC677" s="18" t="n"/>
    </row>
    <row r="678">
      <c r="A678" s="9" t="n">
        <v>691464</v>
      </c>
      <c r="B678" s="9" t="inlineStr">
        <is>
          <t>Fernando Caldera</t>
        </is>
      </c>
      <c r="C678" s="9" t="inlineStr">
        <is>
          <t>HOU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1" t="n">
        <v>1</v>
      </c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7" t="n">
        <v>1</v>
      </c>
      <c r="Z678" s="13">
        <f>SUMPRODUCT(N678:Y678,$N$2:$Y$2)*$K678*$L678*$M678</f>
        <v/>
      </c>
      <c r="AA678" s="14">
        <f>SUM(N678:Y678)</f>
        <v/>
      </c>
      <c r="AB678" s="14">
        <f>IFERROR(IF(UPPER($E678)="L",SUMPRODUCT(N678:Y678,$N$3:$Y$3,$N$2:$Y$2),SUMPRODUCT(N678:Y678,$N$4:$Y$4,$N$2:$Y$2))/(Z678/($K678*$L678*$M678)),"")</f>
        <v/>
      </c>
      <c r="AC678" s="18" t="n"/>
    </row>
    <row r="679">
      <c r="A679" s="9" t="n">
        <v>703447</v>
      </c>
      <c r="B679" s="9" t="inlineStr">
        <is>
          <t>Jacob Jarrell</t>
        </is>
      </c>
      <c r="C679" s="9" t="inlineStr">
        <is>
          <t>ATL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1" t="n">
        <v>1</v>
      </c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7" t="n">
        <v>1</v>
      </c>
      <c r="Z679" s="13">
        <f>SUMPRODUCT(N679:Y679,$N$2:$Y$2)*$K679*$L679*$M679</f>
        <v/>
      </c>
      <c r="AA679" s="14">
        <f>SUM(N679:Y679)</f>
        <v/>
      </c>
      <c r="AB679" s="14">
        <f>IFERROR(IF(UPPER($E679)="L",SUMPRODUCT(N679:Y679,$N$3:$Y$3,$N$2:$Y$2),SUMPRODUCT(N679:Y679,$N$4:$Y$4,$N$2:$Y$2))/(Z679/($K679*$L679*$M679)),"")</f>
        <v/>
      </c>
      <c r="AC679" s="18" t="n"/>
    </row>
    <row r="680">
      <c r="A680" s="9" t="n">
        <v>703152</v>
      </c>
      <c r="B680" s="9" t="inlineStr">
        <is>
          <t>Anthony Gutierrez</t>
        </is>
      </c>
      <c r="C680" s="9" t="inlineStr">
        <is>
          <t>TEX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1" t="n">
        <v>1</v>
      </c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7" t="n">
        <v>1</v>
      </c>
      <c r="Z680" s="13">
        <f>SUMPRODUCT(N680:Y680,$N$2:$Y$2)*$K680*$L680*$M680</f>
        <v/>
      </c>
      <c r="AA680" s="14">
        <f>SUM(N680:Y680)</f>
        <v/>
      </c>
      <c r="AB680" s="14">
        <f>IFERROR(IF(UPPER($E680)="L",SUMPRODUCT(N680:Y680,$N$3:$Y$3,$N$2:$Y$2),SUMPRODUCT(N680:Y680,$N$4:$Y$4,$N$2:$Y$2))/(Z680/($K680*$L680*$M680)),"")</f>
        <v/>
      </c>
      <c r="AC680" s="18" t="n"/>
    </row>
    <row r="681">
      <c r="A681" s="9" t="n">
        <v>808233</v>
      </c>
      <c r="B681" s="9" t="inlineStr">
        <is>
          <t>Alfredo Rodriguez</t>
        </is>
      </c>
      <c r="C681" s="9" t="inlineStr">
        <is>
          <t>TB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1" t="n">
        <v>1</v>
      </c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7" t="n">
        <v>1</v>
      </c>
      <c r="Z681" s="13">
        <f>SUMPRODUCT(N681:Y681,$N$2:$Y$2)*$K681*$L681*$M681</f>
        <v/>
      </c>
      <c r="AA681" s="14">
        <f>SUM(N681:Y681)</f>
        <v/>
      </c>
      <c r="AB681" s="14">
        <f>IFERROR(IF(UPPER($E681)="L",SUMPRODUCT(N681:Y681,$N$3:$Y$3,$N$2:$Y$2),SUMPRODUCT(N681:Y681,$N$4:$Y$4,$N$2:$Y$2))/(Z681/($K681*$L681*$M681)),"")</f>
        <v/>
      </c>
      <c r="AC681" s="18" t="n"/>
    </row>
    <row r="682">
      <c r="A682" s="9" t="n">
        <v>828408</v>
      </c>
      <c r="B682" s="9" t="inlineStr">
        <is>
          <t>Evan Bouldin</t>
        </is>
      </c>
      <c r="C682" s="9" t="inlineStr">
        <is>
          <t>PHI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1" t="n">
        <v>1</v>
      </c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7" t="n">
        <v>1</v>
      </c>
      <c r="Z682" s="13">
        <f>SUMPRODUCT(N682:Y682,$N$2:$Y$2)*$K682*$L682*$M682</f>
        <v/>
      </c>
      <c r="AA682" s="14">
        <f>SUM(N682:Y682)</f>
        <v/>
      </c>
      <c r="AB682" s="14">
        <f>IFERROR(IF(UPPER($E682)="L",SUMPRODUCT(N682:Y682,$N$3:$Y$3,$N$2:$Y$2),SUMPRODUCT(N682:Y682,$N$4:$Y$4,$N$2:$Y$2))/(Z682/($K682*$L682*$M682)),"")</f>
        <v/>
      </c>
      <c r="AC682" s="18" t="n"/>
    </row>
    <row r="683">
      <c r="A683" s="9" t="n">
        <v>821348</v>
      </c>
      <c r="B683" s="9" t="inlineStr">
        <is>
          <t>Brent Iredale</t>
        </is>
      </c>
      <c r="C683" s="9" t="inlineStr">
        <is>
          <t>PIT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1" t="n">
        <v>1</v>
      </c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7" t="n">
        <v>1</v>
      </c>
      <c r="Z683" s="13">
        <f>SUMPRODUCT(N683:Y683,$N$2:$Y$2)*$K683*$L683*$M683</f>
        <v/>
      </c>
      <c r="AA683" s="14">
        <f>SUM(N683:Y683)</f>
        <v/>
      </c>
      <c r="AB683" s="14">
        <f>IFERROR(IF(UPPER($E683)="L",SUMPRODUCT(N683:Y683,$N$3:$Y$3,$N$2:$Y$2),SUMPRODUCT(N683:Y683,$N$4:$Y$4,$N$2:$Y$2))/(Z683/($K683*$L683*$M683)),"")</f>
        <v/>
      </c>
      <c r="AC683" s="18" t="n"/>
    </row>
    <row r="684">
      <c r="A684" s="9" t="n">
        <v>656686</v>
      </c>
      <c r="B684" s="9" t="inlineStr">
        <is>
          <t>Corbin Martin</t>
        </is>
      </c>
      <c r="C684" s="9" t="inlineStr">
        <is>
          <t>CHC</t>
        </is>
      </c>
      <c r="D684" s="9" t="n">
        <v>25</v>
      </c>
      <c r="E684" s="16" t="inlineStr">
        <is>
          <t>R</t>
        </is>
      </c>
      <c r="F684" s="16" t="inlineStr">
        <is>
          <t>P</t>
        </is>
      </c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1" t="n">
        <v>1</v>
      </c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7" t="n">
        <v>1</v>
      </c>
      <c r="Z684" s="13">
        <f>SUMPRODUCT(N684:Y684,$N$2:$Y$2)*$K684*$L684*$M684</f>
        <v/>
      </c>
      <c r="AA684" s="14">
        <f>SUM(N684:Y684)</f>
        <v/>
      </c>
      <c r="AB684" s="14">
        <f>IFERROR(IF(UPPER($E684)="L",SUMPRODUCT(N684:Y684,$N$3:$Y$3,$N$2:$Y$2),SUMPRODUCT(N684:Y684,$N$4:$Y$4,$N$2:$Y$2))/(Z684/($K684*$L684*$M684)),"")</f>
        <v/>
      </c>
      <c r="AC684" s="18" t="n"/>
    </row>
    <row r="685">
      <c r="A685" s="9" t="n">
        <v>690523</v>
      </c>
      <c r="B685" s="9" t="inlineStr">
        <is>
          <t>Joe Campagna</t>
        </is>
      </c>
      <c r="C685" s="9" t="inlineStr">
        <is>
          <t>DET</t>
        </is>
      </c>
      <c r="D685" s="9" t="n">
        <v>25</v>
      </c>
      <c r="E685" s="16" t="inlineStr">
        <is>
          <t>R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1" t="n">
        <v>1</v>
      </c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7" t="n">
        <v>1</v>
      </c>
      <c r="Z685" s="13">
        <f>SUMPRODUCT(N685:Y685,$N$2:$Y$2)*$K685*$L685*$M685</f>
        <v/>
      </c>
      <c r="AA685" s="14">
        <f>SUM(N685:Y685)</f>
        <v/>
      </c>
      <c r="AB685" s="14">
        <f>IFERROR(IF(UPPER($E685)="L",SUMPRODUCT(N685:Y685,$N$3:$Y$3,$N$2:$Y$2),SUMPRODUCT(N685:Y685,$N$4:$Y$4,$N$2:$Y$2))/(Z685/($K685*$L685*$M685)),"")</f>
        <v/>
      </c>
      <c r="AC685" s="18" t="n"/>
    </row>
    <row r="686">
      <c r="A686" s="9" t="n">
        <v>827412</v>
      </c>
      <c r="B686" s="9" t="inlineStr">
        <is>
          <t>Gabriel Flores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1" t="n">
        <v>1</v>
      </c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7" t="n">
        <v>1</v>
      </c>
      <c r="Z686" s="13">
        <f>SUMPRODUCT(N686:Y686,$N$2:$Y$2)*$K686*$L686*$M686</f>
        <v/>
      </c>
      <c r="AA686" s="14">
        <f>SUM(N686:Y686)</f>
        <v/>
      </c>
      <c r="AB686" s="14">
        <f>IFERROR(IF(UPPER($E686)="L",SUMPRODUCT(N686:Y686,$N$3:$Y$3,$N$2:$Y$2),SUMPRODUCT(N686:Y686,$N$4:$Y$4,$N$2:$Y$2))/(Z686/($K686*$L686*$M686)),"")</f>
        <v/>
      </c>
      <c r="AC686" s="18" t="n"/>
    </row>
    <row r="687">
      <c r="A687" s="9" t="n">
        <v>808343</v>
      </c>
      <c r="B687" s="9" t="inlineStr">
        <is>
          <t>Jormy Nivar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1" t="n">
        <v>1</v>
      </c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7" t="n">
        <v>1</v>
      </c>
      <c r="Z687" s="13">
        <f>SUMPRODUCT(N687:Y687,$N$2:$Y$2)*$K687*$L687*$M687</f>
        <v/>
      </c>
      <c r="AA687" s="14">
        <f>SUM(N687:Y687)</f>
        <v/>
      </c>
      <c r="AB687" s="14">
        <f>IFERROR(IF(UPPER($E687)="L",SUMPRODUCT(N687:Y687,$N$3:$Y$3,$N$2:$Y$2),SUMPRODUCT(N687:Y687,$N$4:$Y$4,$N$2:$Y$2))/(Z687/($K687*$L687*$M687)),"")</f>
        <v/>
      </c>
      <c r="AC687" s="18" t="n"/>
    </row>
    <row r="688">
      <c r="A688" s="9" t="n">
        <v>691384</v>
      </c>
      <c r="B688" s="9" t="inlineStr">
        <is>
          <t>Luis Perales</t>
        </is>
      </c>
      <c r="C688" s="9" t="inlineStr">
        <is>
          <t>WSH</t>
        </is>
      </c>
      <c r="D688" s="9" t="n">
        <v>25</v>
      </c>
      <c r="E688" s="16" t="inlineStr">
        <is>
          <t>R</t>
        </is>
      </c>
      <c r="F688" s="16" t="inlineStr">
        <is>
          <t>P</t>
        </is>
      </c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1" t="n">
        <v>1</v>
      </c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7" t="n">
        <v>1</v>
      </c>
      <c r="Z688" s="13">
        <f>SUMPRODUCT(N688:Y688,$N$2:$Y$2)*$K688*$L688*$M688</f>
        <v/>
      </c>
      <c r="AA688" s="14">
        <f>SUM(N688:Y688)</f>
        <v/>
      </c>
      <c r="AB688" s="14">
        <f>IFERROR(IF(UPPER($E688)="L",SUMPRODUCT(N688:Y688,$N$3:$Y$3,$N$2:$Y$2),SUMPRODUCT(N688:Y688,$N$4:$Y$4,$N$2:$Y$2))/(Z688/($K688*$L688*$M688)),"")</f>
        <v/>
      </c>
      <c r="AC688" s="18" t="n"/>
    </row>
    <row r="689">
      <c r="A689" s="9" t="n">
        <v>683176</v>
      </c>
      <c r="B689" s="9" t="inlineStr">
        <is>
          <t>Nate Rombach</t>
        </is>
      </c>
      <c r="C689" s="9" t="inlineStr">
        <is>
          <t>WSH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1" t="n">
        <v>1</v>
      </c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7" t="n">
        <v>1</v>
      </c>
      <c r="Z689" s="13">
        <f>SUMPRODUCT(N689:Y689,$N$2:$Y$2)*$K689*$L689*$M689</f>
        <v/>
      </c>
      <c r="AA689" s="14">
        <f>SUM(N689:Y689)</f>
        <v/>
      </c>
      <c r="AB689" s="14">
        <f>IFERROR(IF(UPPER($E689)="L",SUMPRODUCT(N689:Y689,$N$3:$Y$3,$N$2:$Y$2),SUMPRODUCT(N689:Y689,$N$4:$Y$4,$N$2:$Y$2))/(Z689/($K689*$L689*$M689)),"")</f>
        <v/>
      </c>
      <c r="AC689" s="18" t="n"/>
    </row>
    <row r="690">
      <c r="A690" s="9" t="n">
        <v>821672</v>
      </c>
      <c r="B690" s="9" t="inlineStr">
        <is>
          <t>Eduardo Rojas</t>
        </is>
      </c>
      <c r="C690" s="9" t="inlineStr">
        <is>
          <t>LAD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1" t="n">
        <v>1</v>
      </c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7" t="n">
        <v>1</v>
      </c>
      <c r="Z690" s="13">
        <f>SUMPRODUCT(N690:Y690,$N$2:$Y$2)*$K690*$L690*$M690</f>
        <v/>
      </c>
      <c r="AA690" s="14">
        <f>SUM(N690:Y690)</f>
        <v/>
      </c>
      <c r="AB690" s="14">
        <f>IFERROR(IF(UPPER($E690)="L",SUMPRODUCT(N690:Y690,$N$3:$Y$3,$N$2:$Y$2),SUMPRODUCT(N690:Y690,$N$4:$Y$4,$N$2:$Y$2))/(Z690/($K690*$L690*$M690)),"")</f>
        <v/>
      </c>
      <c r="AC690" s="18" t="n"/>
    </row>
    <row r="691">
      <c r="A691" s="9" t="n">
        <v>815899</v>
      </c>
      <c r="B691" s="9" t="inlineStr">
        <is>
          <t>Jose Perdomo</t>
        </is>
      </c>
      <c r="C691" s="9" t="inlineStr">
        <is>
          <t>ATL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1" t="n">
        <v>1</v>
      </c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7" t="n">
        <v>1</v>
      </c>
      <c r="Z691" s="13">
        <f>SUMPRODUCT(N691:Y691,$N$2:$Y$2)*$K691*$L691*$M691</f>
        <v/>
      </c>
      <c r="AA691" s="14">
        <f>SUM(N691:Y691)</f>
        <v/>
      </c>
      <c r="AB691" s="14">
        <f>IFERROR(IF(UPPER($E691)="L",SUMPRODUCT(N691:Y691,$N$3:$Y$3,$N$2:$Y$2),SUMPRODUCT(N691:Y691,$N$4:$Y$4,$N$2:$Y$2))/(Z691/($K691*$L691*$M691)),"")</f>
        <v/>
      </c>
      <c r="AC691" s="18" t="n"/>
    </row>
    <row r="692">
      <c r="A692" s="9" t="n">
        <v>805990</v>
      </c>
      <c r="B692" s="9" t="inlineStr">
        <is>
          <t>Grant Kipp</t>
        </is>
      </c>
      <c r="C692" s="9" t="inlineStr">
        <is>
          <t>CHC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1" t="n">
        <v>1</v>
      </c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7" t="n">
        <v>1</v>
      </c>
      <c r="Z692" s="13">
        <f>SUMPRODUCT(N692:Y692,$N$2:$Y$2)*$K692*$L692*$M692</f>
        <v/>
      </c>
      <c r="AA692" s="14">
        <f>SUM(N692:Y692)</f>
        <v/>
      </c>
      <c r="AB692" s="14">
        <f>IFERROR(IF(UPPER($E692)="L",SUMPRODUCT(N692:Y692,$N$3:$Y$3,$N$2:$Y$2),SUMPRODUCT(N692:Y692,$N$4:$Y$4,$N$2:$Y$2))/(Z692/($K692*$L692*$M692)),"")</f>
        <v/>
      </c>
      <c r="AC692" s="18" t="n"/>
    </row>
    <row r="693">
      <c r="A693" s="9" t="n">
        <v>820856</v>
      </c>
      <c r="B693" s="9" t="inlineStr">
        <is>
          <t>Alexander Mambel</t>
        </is>
      </c>
      <c r="C693" s="9" t="inlineStr">
        <is>
          <t>BOS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1" t="n">
        <v>1</v>
      </c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7" t="n">
        <v>1</v>
      </c>
      <c r="Z693" s="13">
        <f>SUMPRODUCT(N693:Y693,$N$2:$Y$2)*$K693*$L693*$M693</f>
        <v/>
      </c>
      <c r="AA693" s="14">
        <f>SUM(N693:Y693)</f>
        <v/>
      </c>
      <c r="AB693" s="14">
        <f>IFERROR(IF(UPPER($E693)="L",SUMPRODUCT(N693:Y693,$N$3:$Y$3,$N$2:$Y$2),SUMPRODUCT(N693:Y693,$N$4:$Y$4,$N$2:$Y$2))/(Z693/($K693*$L693*$M693)),"")</f>
        <v/>
      </c>
      <c r="AC693" s="18" t="n"/>
    </row>
    <row r="694">
      <c r="A694" s="9" t="n">
        <v>821523</v>
      </c>
      <c r="B694" s="9" t="inlineStr">
        <is>
          <t>Victor Leal</t>
        </is>
      </c>
      <c r="C694" s="9" t="inlineStr">
        <is>
          <t>MIN</t>
        </is>
      </c>
      <c r="D694" s="9" t="n">
        <v>25</v>
      </c>
      <c r="E694" s="16" t="inlineStr">
        <is>
          <t>R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1" t="n">
        <v>1</v>
      </c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7" t="n">
        <v>1</v>
      </c>
      <c r="Z694" s="13">
        <f>SUMPRODUCT(N694:Y694,$N$2:$Y$2)*$K694*$L694*$M694</f>
        <v/>
      </c>
      <c r="AA694" s="14">
        <f>SUM(N694:Y694)</f>
        <v/>
      </c>
      <c r="AB694" s="14">
        <f>IFERROR(IF(UPPER($E694)="L",SUMPRODUCT(N694:Y694,$N$3:$Y$3,$N$2:$Y$2),SUMPRODUCT(N694:Y694,$N$4:$Y$4,$N$2:$Y$2))/(Z694/($K694*$L694*$M694)),"")</f>
        <v/>
      </c>
      <c r="AC694" s="18" t="n"/>
    </row>
    <row r="695">
      <c r="A695" s="9" t="n">
        <v>681172</v>
      </c>
      <c r="B695" s="9" t="inlineStr">
        <is>
          <t>Tyler Tolve</t>
        </is>
      </c>
      <c r="C695" s="9" t="inlineStr">
        <is>
          <t>ATL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1" t="n">
        <v>1</v>
      </c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7" t="n">
        <v>1</v>
      </c>
      <c r="Z695" s="13">
        <f>SUMPRODUCT(N695:Y695,$N$2:$Y$2)*$K695*$L695*$M695</f>
        <v/>
      </c>
      <c r="AA695" s="14">
        <f>SUM(N695:Y695)</f>
        <v/>
      </c>
      <c r="AB695" s="14">
        <f>IFERROR(IF(UPPER($E695)="L",SUMPRODUCT(N695:Y695,$N$3:$Y$3,$N$2:$Y$2),SUMPRODUCT(N695:Y695,$N$4:$Y$4,$N$2:$Y$2))/(Z695/($K695*$L695*$M695)),"")</f>
        <v/>
      </c>
      <c r="AC695" s="18" t="n"/>
    </row>
    <row r="696">
      <c r="A696" s="9" t="n">
        <v>800331</v>
      </c>
      <c r="B696" s="9" t="inlineStr">
        <is>
          <t>Francisco Toledo</t>
        </is>
      </c>
      <c r="C696" s="9" t="inlineStr">
        <is>
          <t>NYM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1" t="n">
        <v>1</v>
      </c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7" t="n">
        <v>1</v>
      </c>
      <c r="Z696" s="13">
        <f>SUMPRODUCT(N696:Y696,$N$2:$Y$2)*$K696*$L696*$M696</f>
        <v/>
      </c>
      <c r="AA696" s="14">
        <f>SUM(N696:Y696)</f>
        <v/>
      </c>
      <c r="AB696" s="14">
        <f>IFERROR(IF(UPPER($E696)="L",SUMPRODUCT(N696:Y696,$N$3:$Y$3,$N$2:$Y$2),SUMPRODUCT(N696:Y696,$N$4:$Y$4,$N$2:$Y$2))/(Z696/($K696*$L696*$M696)),"")</f>
        <v/>
      </c>
      <c r="AC696" s="18" t="n"/>
    </row>
    <row r="697">
      <c r="A697" s="9" t="n">
        <v>621389</v>
      </c>
      <c r="B697" s="9" t="inlineStr">
        <is>
          <t>Ty Blach</t>
        </is>
      </c>
      <c r="C697" s="9" t="inlineStr">
        <is>
          <t>CHC</t>
        </is>
      </c>
      <c r="D697" s="9" t="n">
        <v>25</v>
      </c>
      <c r="E697" s="16" t="inlineStr">
        <is>
          <t>R</t>
        </is>
      </c>
      <c r="F697" s="16" t="inlineStr">
        <is>
          <t>P</t>
        </is>
      </c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1" t="n">
        <v>1</v>
      </c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7" t="n">
        <v>1</v>
      </c>
      <c r="Z697" s="13">
        <f>SUMPRODUCT(N697:Y697,$N$2:$Y$2)*$K697*$L697*$M697</f>
        <v/>
      </c>
      <c r="AA697" s="14">
        <f>SUM(N697:Y697)</f>
        <v/>
      </c>
      <c r="AB697" s="14">
        <f>IFERROR(IF(UPPER($E697)="L",SUMPRODUCT(N697:Y697,$N$3:$Y$3,$N$2:$Y$2),SUMPRODUCT(N697:Y697,$N$4:$Y$4,$N$2:$Y$2))/(Z697/($K697*$L697*$M697)),"")</f>
        <v/>
      </c>
      <c r="AC697" s="18" t="n"/>
    </row>
    <row r="698">
      <c r="A698" s="9" t="n">
        <v>815917</v>
      </c>
      <c r="B698" s="9" t="inlineStr">
        <is>
          <t>Angel Guzman</t>
        </is>
      </c>
      <c r="C698" s="9" t="inlineStr">
        <is>
          <t>TOR</t>
        </is>
      </c>
      <c r="D698" s="9" t="n">
        <v>25</v>
      </c>
      <c r="E698" s="16" t="inlineStr">
        <is>
          <t>S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1" t="n">
        <v>1</v>
      </c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7" t="n">
        <v>1</v>
      </c>
      <c r="Z698" s="13">
        <f>SUMPRODUCT(N698:Y698,$N$2:$Y$2)*$K698*$L698*$M698</f>
        <v/>
      </c>
      <c r="AA698" s="14">
        <f>SUM(N698:Y698)</f>
        <v/>
      </c>
      <c r="AB698" s="14">
        <f>IFERROR(IF(UPPER($E698)="L",SUMPRODUCT(N698:Y698,$N$3:$Y$3,$N$2:$Y$2),SUMPRODUCT(N698:Y698,$N$4:$Y$4,$N$2:$Y$2))/(Z698/($K698*$L698*$M698)),"")</f>
        <v/>
      </c>
      <c r="AC698" s="18" t="n"/>
    </row>
    <row r="699">
      <c r="A699" s="9" t="n">
        <v>816111</v>
      </c>
      <c r="B699" s="9" t="inlineStr">
        <is>
          <t>Tate Southisene</t>
        </is>
      </c>
      <c r="C699" s="9" t="inlineStr">
        <is>
          <t>ATL</t>
        </is>
      </c>
      <c r="D699" s="9" t="n">
        <v>25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Bench Bat</t>
        </is>
      </c>
      <c r="J699" s="16" t="inlineStr">
        <is>
          <t>Mid Season (~July)</t>
        </is>
      </c>
      <c r="K699" s="11">
        <f>IFERROR(INDEX(Roles!$B$17:$B$20,MATCH(J699,Roles!$A$17:$A$20,0)),1)</f>
        <v/>
      </c>
      <c r="L699" s="17" t="n">
        <v>1</v>
      </c>
      <c r="M699" s="11" t="n">
        <v>1</v>
      </c>
      <c r="N699" s="17" t="n">
        <v>0.25</v>
      </c>
      <c r="O699" s="17" t="n"/>
      <c r="P699" s="17" t="n">
        <v>0.3</v>
      </c>
      <c r="Q699" s="17" t="n"/>
      <c r="R699" s="17" t="n"/>
      <c r="S699" s="17" t="n"/>
      <c r="T699" s="17" t="n"/>
      <c r="U699" s="17" t="n"/>
      <c r="V699" s="17" t="n"/>
      <c r="W699" s="17" t="n">
        <v>0.45</v>
      </c>
      <c r="X699" s="17" t="n"/>
      <c r="Y699" s="17" t="n"/>
      <c r="Z699" s="13">
        <f>SUMPRODUCT(N699:Y699,$N$2:$Y$2)*$K699*$L699*$M699</f>
        <v/>
      </c>
      <c r="AA699" s="14">
        <f>SUM(N699:Y699)</f>
        <v/>
      </c>
      <c r="AB699" s="14">
        <f>IFERROR(IF(UPPER($E699)="L",SUMPRODUCT(N699:Y699,$N$3:$Y$3,$N$2:$Y$2),SUMPRODUCT(N699:Y699,$N$4:$Y$4,$N$2:$Y$2))/(Z699/($K699*$L699*$M699)),"")</f>
        <v/>
      </c>
      <c r="AC699" s="18" t="n"/>
    </row>
    <row r="700">
      <c r="A700" s="9" t="n">
        <v>830412</v>
      </c>
      <c r="B700" s="9" t="inlineStr">
        <is>
          <t>Renyel Campos</t>
        </is>
      </c>
      <c r="C700" s="9" t="inlineStr">
        <is>
          <t>TOR</t>
        </is>
      </c>
      <c r="D700" s="9" t="n">
        <v>25</v>
      </c>
      <c r="E700" s="16" t="inlineStr">
        <is>
          <t>L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1" t="n">
        <v>1</v>
      </c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7" t="n">
        <v>1</v>
      </c>
      <c r="Z700" s="13">
        <f>SUMPRODUCT(N700:Y700,$N$2:$Y$2)*$K700*$L700*$M700</f>
        <v/>
      </c>
      <c r="AA700" s="14">
        <f>SUM(N700:Y700)</f>
        <v/>
      </c>
      <c r="AB700" s="14">
        <f>IFERROR(IF(UPPER($E700)="L",SUMPRODUCT(N700:Y700,$N$3:$Y$3,$N$2:$Y$2),SUMPRODUCT(N700:Y700,$N$4:$Y$4,$N$2:$Y$2))/(Z700/($K700*$L700*$M700)),"")</f>
        <v/>
      </c>
      <c r="AC700" s="18" t="n"/>
    </row>
    <row r="701">
      <c r="A701" s="9" t="n">
        <v>829702</v>
      </c>
      <c r="B701" s="9" t="inlineStr">
        <is>
          <t>Edgardo Figueroa</t>
        </is>
      </c>
      <c r="C701" s="9" t="inlineStr">
        <is>
          <t>WSH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1" t="n">
        <v>1</v>
      </c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7" t="n">
        <v>1</v>
      </c>
      <c r="Z701" s="13">
        <f>SUMPRODUCT(N701:Y701,$N$2:$Y$2)*$K701*$L701*$M701</f>
        <v/>
      </c>
      <c r="AA701" s="14">
        <f>SUM(N701:Y701)</f>
        <v/>
      </c>
      <c r="AB701" s="14">
        <f>IFERROR(IF(UPPER($E701)="L",SUMPRODUCT(N701:Y701,$N$3:$Y$3,$N$2:$Y$2),SUMPRODUCT(N701:Y701,$N$4:$Y$4,$N$2:$Y$2))/(Z701/($K701*$L701*$M701)),"")</f>
        <v/>
      </c>
      <c r="AC701" s="18" t="n"/>
    </row>
    <row r="702">
      <c r="A702" s="9" t="n">
        <v>829716</v>
      </c>
      <c r="B702" s="9" t="inlineStr">
        <is>
          <t>Darell Morel</t>
        </is>
      </c>
      <c r="C702" s="9" t="inlineStr">
        <is>
          <t>PIT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1" t="n">
        <v>1</v>
      </c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7" t="n">
        <v>1</v>
      </c>
      <c r="Z702" s="13">
        <f>SUMPRODUCT(N702:Y702,$N$2:$Y$2)*$K702*$L702*$M702</f>
        <v/>
      </c>
      <c r="AA702" s="14">
        <f>SUM(N702:Y702)</f>
        <v/>
      </c>
      <c r="AB702" s="14">
        <f>IFERROR(IF(UPPER($E702)="L",SUMPRODUCT(N702:Y702,$N$3:$Y$3,$N$2:$Y$2),SUMPRODUCT(N702:Y702,$N$4:$Y$4,$N$2:$Y$2))/(Z702/($K702*$L702*$M702)),"")</f>
        <v/>
      </c>
      <c r="AC702" s="18" t="n"/>
    </row>
    <row r="703">
      <c r="A703" s="9" t="n">
        <v>800508</v>
      </c>
      <c r="B703" s="9" t="inlineStr">
        <is>
          <t>Franyerber Montilla</t>
        </is>
      </c>
      <c r="C703" s="9" t="inlineStr">
        <is>
          <t>DET</t>
        </is>
      </c>
      <c r="D703" s="9" t="n">
        <v>25</v>
      </c>
      <c r="E703" s="16" t="inlineStr">
        <is>
          <t>S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1" t="n">
        <v>1</v>
      </c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7" t="n">
        <v>1</v>
      </c>
      <c r="Z703" s="13">
        <f>SUMPRODUCT(N703:Y703,$N$2:$Y$2)*$K703*$L703*$M703</f>
        <v/>
      </c>
      <c r="AA703" s="14">
        <f>SUM(N703:Y703)</f>
        <v/>
      </c>
      <c r="AB703" s="14">
        <f>IFERROR(IF(UPPER($E703)="L",SUMPRODUCT(N703:Y703,$N$3:$Y$3,$N$2:$Y$2),SUMPRODUCT(N703:Y703,$N$4:$Y$4,$N$2:$Y$2))/(Z703/($K703*$L703*$M703)),"")</f>
        <v/>
      </c>
      <c r="AC703" s="18" t="n"/>
    </row>
    <row r="704">
      <c r="A704" s="9" t="n">
        <v>802599</v>
      </c>
      <c r="B704" s="9" t="inlineStr">
        <is>
          <t>Jack Penney</t>
        </is>
      </c>
      <c r="C704" s="9" t="inlineStr">
        <is>
          <t>DET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1" t="n">
        <v>1</v>
      </c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7" t="n">
        <v>1</v>
      </c>
      <c r="Z704" s="13">
        <f>SUMPRODUCT(N704:Y704,$N$2:$Y$2)*$K704*$L704*$M704</f>
        <v/>
      </c>
      <c r="AA704" s="14">
        <f>SUM(N704:Y704)</f>
        <v/>
      </c>
      <c r="AB704" s="14">
        <f>IFERROR(IF(UPPER($E704)="L",SUMPRODUCT(N704:Y704,$N$3:$Y$3,$N$2:$Y$2),SUMPRODUCT(N704:Y704,$N$4:$Y$4,$N$2:$Y$2))/(Z704/($K704*$L704*$M704)),"")</f>
        <v/>
      </c>
      <c r="AC704" s="18" t="n"/>
    </row>
    <row r="705">
      <c r="A705" s="9" t="n">
        <v>800188</v>
      </c>
      <c r="B705" s="9" t="inlineStr">
        <is>
          <t>Dario Laverde</t>
        </is>
      </c>
      <c r="C705" s="9" t="inlineStr">
        <is>
          <t>LAA</t>
        </is>
      </c>
      <c r="D705" s="9" t="n">
        <v>25</v>
      </c>
      <c r="E705" s="16" t="inlineStr">
        <is>
          <t>L</t>
        </is>
      </c>
      <c r="F705" s="16" t="n"/>
      <c r="G705" s="9" t="n">
        <v>1.025641025641026</v>
      </c>
      <c r="H705" s="9" t="n">
        <v>1.025641025641026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1" t="n">
        <v>1</v>
      </c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7" t="n">
        <v>1</v>
      </c>
      <c r="Z705" s="13">
        <f>SUMPRODUCT(N705:Y705,$N$2:$Y$2)*$K705*$L705*$M705</f>
        <v/>
      </c>
      <c r="AA705" s="14">
        <f>SUM(N705:Y705)</f>
        <v/>
      </c>
      <c r="AB705" s="14">
        <f>IFERROR(IF(UPPER($E705)="L",SUMPRODUCT(N705:Y705,$N$3:$Y$3,$N$2:$Y$2),SUMPRODUCT(N705:Y705,$N$4:$Y$4,$N$2:$Y$2))/(Z705/($K705*$L705*$M705)),"")</f>
        <v/>
      </c>
      <c r="AC705" s="18" t="n"/>
    </row>
    <row r="706">
      <c r="A706" s="9" t="n">
        <v>801563</v>
      </c>
      <c r="B706" s="9" t="inlineStr">
        <is>
          <t>Austin Smith</t>
        </is>
      </c>
      <c r="C706" s="9" t="inlineStr">
        <is>
          <t>TOR</t>
        </is>
      </c>
      <c r="D706" s="9" t="n">
        <v>25</v>
      </c>
      <c r="E706" s="16" t="inlineStr">
        <is>
          <t>L</t>
        </is>
      </c>
      <c r="F706" s="16" t="n"/>
      <c r="G706" s="9" t="n">
        <v>21.94871794871795</v>
      </c>
      <c r="H706" s="9" t="n">
        <v>21.94871794871795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1" t="n">
        <v>1</v>
      </c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7" t="n">
        <v>1</v>
      </c>
      <c r="Z706" s="13">
        <f>SUMPRODUCT(N706:Y706,$N$2:$Y$2)*$K706*$L706*$M706</f>
        <v/>
      </c>
      <c r="AA706" s="14">
        <f>SUM(N706:Y706)</f>
        <v/>
      </c>
      <c r="AB706" s="14">
        <f>IFERROR(IF(UPPER($E706)="L",SUMPRODUCT(N706:Y706,$N$3:$Y$3,$N$2:$Y$2),SUMPRODUCT(N706:Y706,$N$4:$Y$4,$N$2:$Y$2))/(Z706/($K706*$L706*$M706)),"")</f>
        <v/>
      </c>
      <c r="AC706" s="18" t="n"/>
    </row>
    <row r="707">
      <c r="A707" s="9" t="n">
        <v>805466</v>
      </c>
      <c r="B707" s="9" t="inlineStr">
        <is>
          <t>Cruzmel Arias</t>
        </is>
      </c>
      <c r="C707" s="9" t="inlineStr">
        <is>
          <t>COL</t>
        </is>
      </c>
      <c r="D707" s="9" t="n">
        <v>25</v>
      </c>
      <c r="E707" s="16" t="inlineStr">
        <is>
          <t>R</t>
        </is>
      </c>
      <c r="F707" s="16" t="n"/>
      <c r="G707" s="9" t="n">
        <v>3.2</v>
      </c>
      <c r="H707" s="9" t="n">
        <v>3.2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1" t="n">
        <v>1</v>
      </c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7" t="n">
        <v>1</v>
      </c>
      <c r="Z707" s="13">
        <f>SUMPRODUCT(N707:Y707,$N$2:$Y$2)*$K707*$L707*$M707</f>
        <v/>
      </c>
      <c r="AA707" s="14">
        <f>SUM(N707:Y707)</f>
        <v/>
      </c>
      <c r="AB707" s="14">
        <f>IFERROR(IF(UPPER($E707)="L",SUMPRODUCT(N707:Y707,$N$3:$Y$3,$N$2:$Y$2),SUMPRODUCT(N707:Y707,$N$4:$Y$4,$N$2:$Y$2))/(Z707/($K707*$L707*$M707)),"")</f>
        <v/>
      </c>
      <c r="AC707" s="18" t="n"/>
    </row>
    <row r="708">
      <c r="A708" s="9" t="n">
        <v>814394</v>
      </c>
      <c r="B708" s="9" t="inlineStr">
        <is>
          <t>Colin Summerhill</t>
        </is>
      </c>
      <c r="C708" s="9" t="inlineStr">
        <is>
          <t>LAA</t>
        </is>
      </c>
      <c r="D708" s="9" t="n">
        <v>25</v>
      </c>
      <c r="E708" s="16" t="inlineStr">
        <is>
          <t>R</t>
        </is>
      </c>
      <c r="F708" s="16" t="n"/>
      <c r="G708" s="9" t="n">
        <v>1.025641025641026</v>
      </c>
      <c r="H708" s="9" t="n">
        <v>1.025641025641026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1" t="n">
        <v>1</v>
      </c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7" t="n">
        <v>1</v>
      </c>
      <c r="Z708" s="13">
        <f>SUMPRODUCT(N708:Y708,$N$2:$Y$2)*$K708*$L708*$M708</f>
        <v/>
      </c>
      <c r="AA708" s="14">
        <f>SUM(N708:Y708)</f>
        <v/>
      </c>
      <c r="AB708" s="14">
        <f>IFERROR(IF(UPPER($E708)="L",SUMPRODUCT(N708:Y708,$N$3:$Y$3,$N$2:$Y$2),SUMPRODUCT(N708:Y708,$N$4:$Y$4,$N$2:$Y$2))/(Z708/($K708*$L708*$M708)),"")</f>
        <v/>
      </c>
      <c r="AC708" s="18" t="n"/>
    </row>
    <row r="709">
      <c r="A709" s="9" t="n">
        <v>805692</v>
      </c>
      <c r="B709" s="9" t="inlineStr">
        <is>
          <t>Ricson Gonzalez</t>
        </is>
      </c>
      <c r="C709" s="9" t="inlineStr">
        <is>
          <t>KC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1" t="n">
        <v>1</v>
      </c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7" t="n">
        <v>1</v>
      </c>
      <c r="Z709" s="13">
        <f>SUMPRODUCT(N709:Y709,$N$2:$Y$2)*$K709*$L709*$M709</f>
        <v/>
      </c>
      <c r="AA709" s="14">
        <f>SUM(N709:Y709)</f>
        <v/>
      </c>
      <c r="AB709" s="14">
        <f>IFERROR(IF(UPPER($E709)="L",SUMPRODUCT(N709:Y709,$N$3:$Y$3,$N$2:$Y$2),SUMPRODUCT(N709:Y709,$N$4:$Y$4,$N$2:$Y$2))/(Z709/($K709*$L709*$M709)),"")</f>
        <v/>
      </c>
      <c r="AC709" s="18" t="n"/>
    </row>
    <row r="710">
      <c r="A710" s="9" t="n">
        <v>805587</v>
      </c>
      <c r="B710" s="9" t="inlineStr">
        <is>
          <t>Drew Wyers</t>
        </is>
      </c>
      <c r="C710" s="9" t="inlineStr">
        <is>
          <t>HOU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1" t="n">
        <v>1</v>
      </c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7" t="n">
        <v>1</v>
      </c>
      <c r="Z710" s="13">
        <f>SUMPRODUCT(N710:Y710,$N$2:$Y$2)*$K710*$L710*$M710</f>
        <v/>
      </c>
      <c r="AA710" s="14">
        <f>SUM(N710:Y710)</f>
        <v/>
      </c>
      <c r="AB710" s="14">
        <f>IFERROR(IF(UPPER($E710)="L",SUMPRODUCT(N710:Y710,$N$3:$Y$3,$N$2:$Y$2),SUMPRODUCT(N710:Y710,$N$4:$Y$4,$N$2:$Y$2))/(Z710/($K710*$L710*$M710)),"")</f>
        <v/>
      </c>
      <c r="AC710" s="18" t="n"/>
    </row>
    <row r="711">
      <c r="A711" s="9" t="n">
        <v>671925</v>
      </c>
      <c r="B711" s="9" t="inlineStr">
        <is>
          <t>Matt Coutney</t>
        </is>
      </c>
      <c r="C711" s="9" t="inlineStr">
        <is>
          <t>LAA</t>
        </is>
      </c>
      <c r="D711" s="9" t="n">
        <v>25</v>
      </c>
      <c r="E711" s="16" t="inlineStr">
        <is>
          <t>L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1" t="n">
        <v>1</v>
      </c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7" t="n">
        <v>1</v>
      </c>
      <c r="Z711" s="13">
        <f>SUMPRODUCT(N711:Y711,$N$2:$Y$2)*$K711*$L711*$M711</f>
        <v/>
      </c>
      <c r="AA711" s="14">
        <f>SUM(N711:Y711)</f>
        <v/>
      </c>
      <c r="AB711" s="14">
        <f>IFERROR(IF(UPPER($E711)="L",SUMPRODUCT(N711:Y711,$N$3:$Y$3,$N$2:$Y$2),SUMPRODUCT(N711:Y711,$N$4:$Y$4,$N$2:$Y$2))/(Z711/($K711*$L711*$M711)),"")</f>
        <v/>
      </c>
      <c r="AC711" s="18" t="n"/>
    </row>
    <row r="712">
      <c r="A712" s="9" t="n">
        <v>702632</v>
      </c>
      <c r="B712" s="9" t="inlineStr">
        <is>
          <t>Michael Gupton</t>
        </is>
      </c>
      <c r="C712" s="9" t="inlineStr">
        <is>
          <t>CHC</t>
        </is>
      </c>
      <c r="D712" s="9" t="n">
        <v>25</v>
      </c>
      <c r="E712" s="16" t="inlineStr">
        <is>
          <t>R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1" t="n">
        <v>1</v>
      </c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7" t="n">
        <v>1</v>
      </c>
      <c r="Z712" s="13">
        <f>SUMPRODUCT(N712:Y712,$N$2:$Y$2)*$K712*$L712*$M712</f>
        <v/>
      </c>
      <c r="AA712" s="14">
        <f>SUM(N712:Y712)</f>
        <v/>
      </c>
      <c r="AB712" s="14">
        <f>IFERROR(IF(UPPER($E712)="L",SUMPRODUCT(N712:Y712,$N$3:$Y$3,$N$2:$Y$2),SUMPRODUCT(N712:Y712,$N$4:$Y$4,$N$2:$Y$2))/(Z712/($K712*$L712*$M712)),"")</f>
        <v/>
      </c>
      <c r="AC712" s="18" t="n"/>
    </row>
    <row r="713">
      <c r="A713" s="9" t="n">
        <v>815931</v>
      </c>
      <c r="B713" s="9" t="inlineStr">
        <is>
          <t>Yolfran Castillo</t>
        </is>
      </c>
      <c r="C713" s="9" t="inlineStr">
        <is>
          <t>TEX</t>
        </is>
      </c>
      <c r="D713" s="9" t="n">
        <v>25</v>
      </c>
      <c r="E713" s="16" t="inlineStr">
        <is>
          <t>R</t>
        </is>
      </c>
      <c r="F713" s="16" t="n"/>
      <c r="G713" s="9" t="n">
        <v>1.025641025641026</v>
      </c>
      <c r="H713" s="9" t="n">
        <v>1.025641025641026</v>
      </c>
      <c r="I713" s="9" t="inlineStr">
        <is>
          <t>Depth (no MLB PA)</t>
        </is>
      </c>
      <c r="J713" s="16" t="inlineStr">
        <is>
          <t>Late Season (~Sept)</t>
        </is>
      </c>
      <c r="K713" s="11">
        <f>IFERROR(INDEX(Roles!$B$17:$B$20,MATCH(J713,Roles!$A$17:$A$20,0)),1)</f>
        <v/>
      </c>
      <c r="L713" s="17" t="n">
        <v>1</v>
      </c>
      <c r="M713" s="11" t="n">
        <v>1</v>
      </c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7" t="n">
        <v>1</v>
      </c>
      <c r="Z713" s="13">
        <f>SUMPRODUCT(N713:Y713,$N$2:$Y$2)*$K713*$L713*$M713</f>
        <v/>
      </c>
      <c r="AA713" s="14">
        <f>SUM(N713:Y713)</f>
        <v/>
      </c>
      <c r="AB713" s="14">
        <f>IFERROR(IF(UPPER($E713)="L",SUMPRODUCT(N713:Y713,$N$3:$Y$3,$N$2:$Y$2),SUMPRODUCT(N713:Y713,$N$4:$Y$4,$N$2:$Y$2))/(Z713/($K713*$L713*$M713)),"")</f>
        <v/>
      </c>
      <c r="AC713" s="18" t="n"/>
    </row>
    <row r="714">
      <c r="A714" s="9" t="n">
        <v>701816</v>
      </c>
      <c r="B714" s="9" t="inlineStr">
        <is>
          <t>John Cristino</t>
        </is>
      </c>
      <c r="C714" s="9" t="inlineStr">
        <is>
          <t>NYY</t>
        </is>
      </c>
      <c r="D714" s="9" t="n">
        <v>25</v>
      </c>
      <c r="E714" s="16" t="inlineStr">
        <is>
          <t>R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1" t="n">
        <v>1</v>
      </c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7" t="n">
        <v>1</v>
      </c>
      <c r="Z714" s="13">
        <f>SUMPRODUCT(N714:Y714,$N$2:$Y$2)*$K714*$L714*$M714</f>
        <v/>
      </c>
      <c r="AA714" s="14">
        <f>SUM(N714:Y714)</f>
        <v/>
      </c>
      <c r="AB714" s="14">
        <f>IFERROR(IF(UPPER($E714)="L",SUMPRODUCT(N714:Y714,$N$3:$Y$3,$N$2:$Y$2),SUMPRODUCT(N714:Y714,$N$4:$Y$4,$N$2:$Y$2))/(Z714/($K714*$L714*$M714)),"")</f>
        <v/>
      </c>
      <c r="AC714" s="18" t="n"/>
    </row>
    <row r="715">
      <c r="A715" s="9" t="n">
        <v>811294</v>
      </c>
      <c r="B715" s="9" t="inlineStr">
        <is>
          <t>Caden Sorrell</t>
        </is>
      </c>
      <c r="C715" s="9" t="inlineStr">
        <is>
          <t>CHC</t>
        </is>
      </c>
      <c r="D715" s="9" t="n">
        <v>25</v>
      </c>
      <c r="E715" s="16" t="inlineStr">
        <is>
          <t>L</t>
        </is>
      </c>
      <c r="F715" s="16" t="n"/>
      <c r="G715" s="9" t="n">
        <v>11.56923076923077</v>
      </c>
      <c r="H715" s="9" t="n">
        <v>11.56923076923077</v>
      </c>
      <c r="I715" s="9" t="inlineStr">
        <is>
          <t>Depth (no MLB PA)</t>
        </is>
      </c>
      <c r="J715" s="16" t="inlineStr">
        <is>
          <t>Late Season (~Sept)</t>
        </is>
      </c>
      <c r="K715" s="11">
        <f>IFERROR(INDEX(Roles!$B$17:$B$20,MATCH(J715,Roles!$A$17:$A$20,0)),1)</f>
        <v/>
      </c>
      <c r="L715" s="17" t="n">
        <v>1</v>
      </c>
      <c r="M715" s="11" t="n">
        <v>1</v>
      </c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7" t="n">
        <v>1</v>
      </c>
      <c r="Z715" s="13">
        <f>SUMPRODUCT(N715:Y715,$N$2:$Y$2)*$K715*$L715*$M715</f>
        <v/>
      </c>
      <c r="AA715" s="14">
        <f>SUM(N715:Y715)</f>
        <v/>
      </c>
      <c r="AB715" s="14">
        <f>IFERROR(IF(UPPER($E715)="L",SUMPRODUCT(N715:Y715,$N$3:$Y$3,$N$2:$Y$2),SUMPRODUCT(N715:Y715,$N$4:$Y$4,$N$2:$Y$2))/(Z715/($K715*$L715*$M715)),"")</f>
        <v/>
      </c>
      <c r="AC715" s="18" t="n"/>
    </row>
    <row r="716">
      <c r="A716" s="9" t="n">
        <v>836276</v>
      </c>
      <c r="B716" s="9" t="inlineStr">
        <is>
          <t>August Cuneo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1" t="n">
        <v>1</v>
      </c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7" t="n">
        <v>1</v>
      </c>
      <c r="Z716" s="13">
        <f>SUMPRODUCT(N716:Y716,$N$2:$Y$2)*$K716*$L716*$M716</f>
        <v/>
      </c>
      <c r="AA716" s="14">
        <f>SUM(N716:Y716)</f>
        <v/>
      </c>
      <c r="AB716" s="14">
        <f>IFERROR(IF(UPPER($E716)="L",SUMPRODUCT(N716:Y716,$N$3:$Y$3,$N$2:$Y$2),SUMPRODUCT(N716:Y716,$N$4:$Y$4,$N$2:$Y$2))/(Z716/($K716*$L716*$M716)),"")</f>
        <v/>
      </c>
      <c r="AC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1" t="n">
        <v>1</v>
      </c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7" t="n">
        <v>1</v>
      </c>
      <c r="Z717" s="13">
        <f>SUMPRODUCT(N717:Y717,$N$2:$Y$2)*$K717*$L717*$M717</f>
        <v/>
      </c>
      <c r="AA717" s="14">
        <f>SUM(N717:Y717)</f>
        <v/>
      </c>
      <c r="AB717" s="14">
        <f>IFERROR(IF(UPPER($E717)="L",SUMPRODUCT(N717:Y717,$N$3:$Y$3,$N$2:$Y$2),SUMPRODUCT(N717:Y717,$N$4:$Y$4,$N$2:$Y$2))/(Z717/($K717*$L717*$M717)),"")</f>
        <v/>
      </c>
      <c r="AC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1" t="n">
        <v>1</v>
      </c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7" t="n">
        <v>1</v>
      </c>
      <c r="Z718" s="13">
        <f>SUMPRODUCT(N718:Y718,$N$2:$Y$2)*$K718*$L718*$M718</f>
        <v/>
      </c>
      <c r="AA718" s="14">
        <f>SUM(N718:Y718)</f>
        <v/>
      </c>
      <c r="AB718" s="14">
        <f>IFERROR(IF(UPPER($E718)="L",SUMPRODUCT(N718:Y718,$N$3:$Y$3,$N$2:$Y$2),SUMPRODUCT(N718:Y718,$N$4:$Y$4,$N$2:$Y$2))/(Z718/($K718*$L718*$M718)),"")</f>
        <v/>
      </c>
      <c r="AC718" s="18" t="n"/>
    </row>
    <row r="719">
      <c r="A719" s="9" t="n">
        <v>806739</v>
      </c>
      <c r="B719" s="9" t="inlineStr">
        <is>
          <t>Jayden Kim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1" t="n">
        <v>1</v>
      </c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7" t="n">
        <v>1</v>
      </c>
      <c r="Z719" s="13">
        <f>SUMPRODUCT(N719:Y719,$N$2:$Y$2)*$K719*$L719*$M719</f>
        <v/>
      </c>
      <c r="AA719" s="14">
        <f>SUM(N719:Y719)</f>
        <v/>
      </c>
      <c r="AB719" s="14">
        <f>IFERROR(IF(UPPER($E719)="L",SUMPRODUCT(N719:Y719,$N$3:$Y$3,$N$2:$Y$2),SUMPRODUCT(N719:Y719,$N$4:$Y$4,$N$2:$Y$2))/(Z719/($K719*$L719*$M719)),"")</f>
        <v/>
      </c>
      <c r="AC719" s="18" t="n"/>
    </row>
    <row r="720">
      <c r="A720" s="9" t="n">
        <v>695603</v>
      </c>
      <c r="B720" s="9" t="inlineStr">
        <is>
          <t>Benny Montgomery</t>
        </is>
      </c>
      <c r="C720" s="9" t="inlineStr">
        <is>
          <t>COL</t>
        </is>
      </c>
      <c r="D720" s="9" t="n">
        <v>25</v>
      </c>
      <c r="E720" s="16" t="inlineStr">
        <is>
          <t>R</t>
        </is>
      </c>
      <c r="F720" s="16" t="n"/>
      <c r="G720" s="9" t="n">
        <v>58.15384615384615</v>
      </c>
      <c r="H720" s="9" t="n">
        <v>58.15384615384615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1" t="n">
        <v>1</v>
      </c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7" t="n">
        <v>1</v>
      </c>
      <c r="Z720" s="13">
        <f>SUMPRODUCT(N720:Y720,$N$2:$Y$2)*$K720*$L720*$M720</f>
        <v/>
      </c>
      <c r="AA720" s="14">
        <f>SUM(N720:Y720)</f>
        <v/>
      </c>
      <c r="AB720" s="14">
        <f>IFERROR(IF(UPPER($E720)="L",SUMPRODUCT(N720:Y720,$N$3:$Y$3,$N$2:$Y$2),SUMPRODUCT(N720:Y720,$N$4:$Y$4,$N$2:$Y$2))/(Z720/($K720*$L720*$M720)),"")</f>
        <v/>
      </c>
      <c r="AC720" s="18" t="n"/>
    </row>
    <row r="721">
      <c r="A721" s="9" t="n">
        <v>821244</v>
      </c>
      <c r="B721" s="9" t="inlineStr">
        <is>
          <t>Francisco Loreto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1" t="n">
        <v>1</v>
      </c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7" t="n">
        <v>1</v>
      </c>
      <c r="Z721" s="13">
        <f>SUMPRODUCT(N721:Y721,$N$2:$Y$2)*$K721*$L721*$M721</f>
        <v/>
      </c>
      <c r="AA721" s="14">
        <f>SUM(N721:Y721)</f>
        <v/>
      </c>
      <c r="AB721" s="14">
        <f>IFERROR(IF(UPPER($E721)="L",SUMPRODUCT(N721:Y721,$N$3:$Y$3,$N$2:$Y$2),SUMPRODUCT(N721:Y721,$N$4:$Y$4,$N$2:$Y$2))/(Z721/($K721*$L721*$M721)),"")</f>
        <v/>
      </c>
      <c r="AC721" s="18" t="n"/>
    </row>
    <row r="722">
      <c r="A722" s="9" t="n">
        <v>680779</v>
      </c>
      <c r="B722" s="9" t="inlineStr">
        <is>
          <t>Henry Davis</t>
        </is>
      </c>
      <c r="C722" s="9" t="inlineStr">
        <is>
          <t>PIT</t>
        </is>
      </c>
      <c r="D722" s="9" t="n">
        <v>27</v>
      </c>
      <c r="E722" s="16" t="inlineStr">
        <is>
          <t>R</t>
        </is>
      </c>
      <c r="F722" s="16" t="inlineStr">
        <is>
          <t>C</t>
        </is>
      </c>
      <c r="G722" s="9" t="n">
        <v>298</v>
      </c>
      <c r="H722" s="9" t="n">
        <v>958</v>
      </c>
      <c r="I722" s="9" t="inlineStr">
        <is>
          <t>Weak Side Platoon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1" t="n">
        <v>1</v>
      </c>
      <c r="N722" s="17" t="n"/>
      <c r="O722" s="17" t="n"/>
      <c r="P722" s="17" t="n"/>
      <c r="Q722" s="17" t="n">
        <v>0.6</v>
      </c>
      <c r="R722" s="17" t="n"/>
      <c r="S722" s="17" t="n"/>
      <c r="T722" s="17" t="n">
        <v>0.4</v>
      </c>
      <c r="U722" s="17" t="n"/>
      <c r="V722" s="17" t="n"/>
      <c r="W722" s="17" t="n"/>
      <c r="X722" s="17" t="n"/>
      <c r="Y722" s="17" t="n"/>
      <c r="Z722" s="13">
        <f>SUMPRODUCT(N722:Y722,$N$2:$Y$2)*$K722*$L722*$M722</f>
        <v/>
      </c>
      <c r="AA722" s="14">
        <f>SUM(N722:Y722)</f>
        <v/>
      </c>
      <c r="AB722" s="14">
        <f>IFERROR(IF(UPPER($E722)="L",SUMPRODUCT(N722:Y722,$N$3:$Y$3,$N$2:$Y$2),SUMPRODUCT(N722:Y722,$N$4:$Y$4,$N$2:$Y$2))/(Z722/($K722*$L722*$M722)),"")</f>
        <v/>
      </c>
      <c r="AC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1" t="n">
        <v>1</v>
      </c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7" t="n">
        <v>1</v>
      </c>
      <c r="Z723" s="13">
        <f>SUMPRODUCT(N723:Y723,$N$2:$Y$2)*$K723*$L723*$M723</f>
        <v/>
      </c>
      <c r="AA723" s="14">
        <f>SUM(N723:Y723)</f>
        <v/>
      </c>
      <c r="AB723" s="14">
        <f>IFERROR(IF(UPPER($E723)="L",SUMPRODUCT(N723:Y723,$N$3:$Y$3,$N$2:$Y$2),SUMPRODUCT(N723:Y723,$N$4:$Y$4,$N$2:$Y$2))/(Z723/($K723*$L723*$M723)),"")</f>
        <v/>
      </c>
      <c r="AC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1" t="n">
        <v>1</v>
      </c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7" t="n">
        <v>1</v>
      </c>
      <c r="Z724" s="13">
        <f>SUMPRODUCT(N724:Y724,$N$2:$Y$2)*$K724*$L724*$M724</f>
        <v/>
      </c>
      <c r="AA724" s="14">
        <f>SUM(N724:Y724)</f>
        <v/>
      </c>
      <c r="AB724" s="14">
        <f>IFERROR(IF(UPPER($E724)="L",SUMPRODUCT(N724:Y724,$N$3:$Y$3,$N$2:$Y$2),SUMPRODUCT(N724:Y724,$N$4:$Y$4,$N$2:$Y$2))/(Z724/($K724*$L724*$M724)),"")</f>
        <v/>
      </c>
      <c r="AC724" s="18" t="n"/>
    </row>
    <row r="725">
      <c r="A725" s="9" t="n">
        <v>822796</v>
      </c>
      <c r="B725" s="9" t="inlineStr">
        <is>
          <t>Scott Gell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1.107692307692308</v>
      </c>
      <c r="H725" s="9" t="n">
        <v>1.107692307692308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1" t="n">
        <v>1</v>
      </c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7" t="n">
        <v>1</v>
      </c>
      <c r="Z725" s="13">
        <f>SUMPRODUCT(N725:Y725,$N$2:$Y$2)*$K725*$L725*$M725</f>
        <v/>
      </c>
      <c r="AA725" s="14">
        <f>SUM(N725:Y725)</f>
        <v/>
      </c>
      <c r="AB725" s="14">
        <f>IFERROR(IF(UPPER($E725)="L",SUMPRODUCT(N725:Y725,$N$3:$Y$3,$N$2:$Y$2),SUMPRODUCT(N725:Y725,$N$4:$Y$4,$N$2:$Y$2))/(Z725/($K725*$L725*$M725)),"")</f>
        <v/>
      </c>
      <c r="AC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1" t="n">
        <v>1</v>
      </c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7" t="n">
        <v>1</v>
      </c>
      <c r="Z726" s="13">
        <f>SUMPRODUCT(N726:Y726,$N$2:$Y$2)*$K726*$L726*$M726</f>
        <v/>
      </c>
      <c r="AA726" s="14">
        <f>SUM(N726:Y726)</f>
        <v/>
      </c>
      <c r="AB726" s="14">
        <f>IFERROR(IF(UPPER($E726)="L",SUMPRODUCT(N726:Y726,$N$3:$Y$3,$N$2:$Y$2),SUMPRODUCT(N726:Y726,$N$4:$Y$4,$N$2:$Y$2))/(Z726/($K726*$L726*$M726)),"")</f>
        <v/>
      </c>
      <c r="AC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1" t="n">
        <v>1</v>
      </c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7" t="n">
        <v>1</v>
      </c>
      <c r="Z727" s="13">
        <f>SUMPRODUCT(N727:Y727,$N$2:$Y$2)*$K727*$L727*$M727</f>
        <v/>
      </c>
      <c r="AA727" s="14">
        <f>SUM(N727:Y727)</f>
        <v/>
      </c>
      <c r="AB727" s="14">
        <f>IFERROR(IF(UPPER($E727)="L",SUMPRODUCT(N727:Y727,$N$3:$Y$3,$N$2:$Y$2),SUMPRODUCT(N727:Y727,$N$4:$Y$4,$N$2:$Y$2))/(Z727/($K727*$L727*$M727)),"")</f>
        <v/>
      </c>
      <c r="AC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1" t="n">
        <v>1</v>
      </c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7" t="n">
        <v>1</v>
      </c>
      <c r="Z728" s="13">
        <f>SUMPRODUCT(N728:Y728,$N$2:$Y$2)*$K728*$L728*$M728</f>
        <v/>
      </c>
      <c r="AA728" s="14">
        <f>SUM(N728:Y728)</f>
        <v/>
      </c>
      <c r="AB728" s="14">
        <f>IFERROR(IF(UPPER($E728)="L",SUMPRODUCT(N728:Y728,$N$3:$Y$3,$N$2:$Y$2),SUMPRODUCT(N728:Y728,$N$4:$Y$4,$N$2:$Y$2))/(Z728/($K728*$L728*$M728)),"")</f>
        <v/>
      </c>
      <c r="AC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1" t="n">
        <v>1</v>
      </c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7" t="n">
        <v>1</v>
      </c>
      <c r="Z729" s="13">
        <f>SUMPRODUCT(N729:Y729,$N$2:$Y$2)*$K729*$L729*$M729</f>
        <v/>
      </c>
      <c r="AA729" s="14">
        <f>SUM(N729:Y729)</f>
        <v/>
      </c>
      <c r="AB729" s="14">
        <f>IFERROR(IF(UPPER($E729)="L",SUMPRODUCT(N729:Y729,$N$3:$Y$3,$N$2:$Y$2),SUMPRODUCT(N729:Y729,$N$4:$Y$4,$N$2:$Y$2))/(Z729/($K729*$L729*$M729)),"")</f>
        <v/>
      </c>
      <c r="AC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1" t="n">
        <v>1</v>
      </c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7" t="n">
        <v>1</v>
      </c>
      <c r="Z730" s="13">
        <f>SUMPRODUCT(N730:Y730,$N$2:$Y$2)*$K730*$L730*$M730</f>
        <v/>
      </c>
      <c r="AA730" s="14">
        <f>SUM(N730:Y730)</f>
        <v/>
      </c>
      <c r="AB730" s="14">
        <f>IFERROR(IF(UPPER($E730)="L",SUMPRODUCT(N730:Y730,$N$3:$Y$3,$N$2:$Y$2),SUMPRODUCT(N730:Y730,$N$4:$Y$4,$N$2:$Y$2))/(Z730/($K730*$L730*$M730)),"")</f>
        <v/>
      </c>
      <c r="AC730" s="18" t="n"/>
    </row>
    <row r="731">
      <c r="A731" s="9" t="n">
        <v>467793</v>
      </c>
      <c r="B731" s="9" t="inlineStr">
        <is>
          <t>Carlos Santana</t>
        </is>
      </c>
      <c r="C731" s="9" t="inlineStr">
        <is>
          <t>ARI</t>
        </is>
      </c>
      <c r="D731" s="9" t="n">
        <v>41</v>
      </c>
      <c r="E731" s="16" t="inlineStr">
        <is>
          <t>S</t>
        </is>
      </c>
      <c r="F731" s="16" t="inlineStr">
        <is>
          <t>1B</t>
        </is>
      </c>
      <c r="G731" s="9" t="n">
        <v>26</v>
      </c>
      <c r="H731" s="9" t="n">
        <v>2219</v>
      </c>
      <c r="I731" s="9" t="inlineStr">
        <is>
          <t>Everyday DH / 1B-DH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1" t="n">
        <v>0.7261159088730742</v>
      </c>
      <c r="N731" s="17" t="n"/>
      <c r="O731" s="17" t="n">
        <v>1</v>
      </c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7" t="n"/>
      <c r="Z731" s="13">
        <f>SUMPRODUCT(N731:Y731,$N$2:$Y$2)*$K731*$L731*$M731</f>
        <v/>
      </c>
      <c r="AA731" s="14">
        <f>SUM(N731:Y731)</f>
        <v/>
      </c>
      <c r="AB731" s="14">
        <f>IFERROR(IF(UPPER($E731)="L",SUMPRODUCT(N731:Y731,$N$3:$Y$3,$N$2:$Y$2),SUMPRODUCT(N731:Y731,$N$4:$Y$4,$N$2:$Y$2))/(Z731/($K731*$L731*$M731)),"")</f>
        <v/>
      </c>
      <c r="AC731" s="18" t="n"/>
    </row>
    <row r="732">
      <c r="A732" s="9" t="n">
        <v>800438</v>
      </c>
      <c r="B732" s="9" t="inlineStr">
        <is>
          <t>Andrés Nolaya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1" t="n">
        <v>1</v>
      </c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7" t="n">
        <v>1</v>
      </c>
      <c r="Z732" s="13">
        <f>SUMPRODUCT(N732:Y732,$N$2:$Y$2)*$K732*$L732*$M732</f>
        <v/>
      </c>
      <c r="AA732" s="14">
        <f>SUM(N732:Y732)</f>
        <v/>
      </c>
      <c r="AB732" s="14">
        <f>IFERROR(IF(UPPER($E732)="L",SUMPRODUCT(N732:Y732,$N$3:$Y$3,$N$2:$Y$2),SUMPRODUCT(N732:Y732,$N$4:$Y$4,$N$2:$Y$2))/(Z732/($K732*$L732*$M732)),"")</f>
        <v/>
      </c>
      <c r="AC732" s="18" t="n"/>
    </row>
    <row r="733">
      <c r="A733" s="9" t="n">
        <v>805801</v>
      </c>
      <c r="B733" s="9" t="inlineStr">
        <is>
          <t>Nazzan Zanetello</t>
        </is>
      </c>
      <c r="C733" s="9" t="inlineStr">
        <is>
          <t>BOS</t>
        </is>
      </c>
      <c r="D733" s="9" t="n">
        <v>25</v>
      </c>
      <c r="E733" s="16" t="inlineStr">
        <is>
          <t>R</t>
        </is>
      </c>
      <c r="F733" s="16" t="n"/>
      <c r="G733" s="9" t="n">
        <v>25.43589743589744</v>
      </c>
      <c r="H733" s="9" t="n">
        <v>25.43589743589744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1" t="n">
        <v>1</v>
      </c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7" t="n">
        <v>1</v>
      </c>
      <c r="Z733" s="13">
        <f>SUMPRODUCT(N733:Y733,$N$2:$Y$2)*$K733*$L733*$M733</f>
        <v/>
      </c>
      <c r="AA733" s="14">
        <f>SUM(N733:Y733)</f>
        <v/>
      </c>
      <c r="AB733" s="14">
        <f>IFERROR(IF(UPPER($E733)="L",SUMPRODUCT(N733:Y733,$N$3:$Y$3,$N$2:$Y$2),SUMPRODUCT(N733:Y733,$N$4:$Y$4,$N$2:$Y$2))/(Z733/($K733*$L733*$M733)),"")</f>
        <v/>
      </c>
      <c r="AC733" s="18" t="n"/>
    </row>
    <row r="734">
      <c r="A734" s="9" t="n">
        <v>808118</v>
      </c>
      <c r="B734" s="9" t="inlineStr">
        <is>
          <t>Félix Amparo</t>
        </is>
      </c>
      <c r="C734" s="9" t="inlineStr">
        <is>
          <t>BAL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1" t="n">
        <v>1</v>
      </c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7" t="n">
        <v>1</v>
      </c>
      <c r="Z734" s="13">
        <f>SUMPRODUCT(N734:Y734,$N$2:$Y$2)*$K734*$L734*$M734</f>
        <v/>
      </c>
      <c r="AA734" s="14">
        <f>SUM(N734:Y734)</f>
        <v/>
      </c>
      <c r="AB734" s="14">
        <f>IFERROR(IF(UPPER($E734)="L",SUMPRODUCT(N734:Y734,$N$3:$Y$3,$N$2:$Y$2),SUMPRODUCT(N734:Y734,$N$4:$Y$4,$N$2:$Y$2))/(Z734/($K734*$L734*$M734)),"")</f>
        <v/>
      </c>
      <c r="AC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1" t="n">
        <v>1</v>
      </c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7" t="n">
        <v>1</v>
      </c>
      <c r="Z735" s="13">
        <f>SUMPRODUCT(N735:Y735,$N$2:$Y$2)*$K735*$L735*$M735</f>
        <v/>
      </c>
      <c r="AA735" s="14">
        <f>SUM(N735:Y735)</f>
        <v/>
      </c>
      <c r="AB735" s="14">
        <f>IFERROR(IF(UPPER($E735)="L",SUMPRODUCT(N735:Y735,$N$3:$Y$3,$N$2:$Y$2),SUMPRODUCT(N735:Y735,$N$4:$Y$4,$N$2:$Y$2))/(Z735/($K735*$L735*$M735)),"")</f>
        <v/>
      </c>
      <c r="AC735" s="18" t="n"/>
    </row>
    <row r="736">
      <c r="A736" s="9" t="n">
        <v>691948</v>
      </c>
      <c r="B736" s="9" t="inlineStr">
        <is>
          <t>Jordan Thompson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1" t="n">
        <v>1</v>
      </c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7" t="n">
        <v>1</v>
      </c>
      <c r="Z736" s="13">
        <f>SUMPRODUCT(N736:Y736,$N$2:$Y$2)*$K736*$L736*$M736</f>
        <v/>
      </c>
      <c r="AA736" s="14">
        <f>SUM(N736:Y736)</f>
        <v/>
      </c>
      <c r="AB736" s="14">
        <f>IFERROR(IF(UPPER($E736)="L",SUMPRODUCT(N736:Y736,$N$3:$Y$3,$N$2:$Y$2),SUMPRODUCT(N736:Y736,$N$4:$Y$4,$N$2:$Y$2))/(Z736/($K736*$L736*$M736)),"")</f>
        <v/>
      </c>
      <c r="AC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1" t="n">
        <v>1</v>
      </c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7" t="n">
        <v>1</v>
      </c>
      <c r="Z737" s="13">
        <f>SUMPRODUCT(N737:Y737,$N$2:$Y$2)*$K737*$L737*$M737</f>
        <v/>
      </c>
      <c r="AA737" s="14">
        <f>SUM(N737:Y737)</f>
        <v/>
      </c>
      <c r="AB737" s="14">
        <f>IFERROR(IF(UPPER($E737)="L",SUMPRODUCT(N737:Y737,$N$3:$Y$3,$N$2:$Y$2),SUMPRODUCT(N737:Y737,$N$4:$Y$4,$N$2:$Y$2))/(Z737/($K737*$L737*$M737)),"")</f>
        <v/>
      </c>
      <c r="AC737" s="18" t="n"/>
    </row>
    <row r="738">
      <c r="A738" s="9" t="n">
        <v>811314</v>
      </c>
      <c r="B738" s="9" t="inlineStr">
        <is>
          <t>Bryan Gonzalez Garcia</t>
        </is>
      </c>
      <c r="C738" s="9" t="inlineStr">
        <is>
          <t>LAD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1" t="n">
        <v>1</v>
      </c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7" t="n">
        <v>1</v>
      </c>
      <c r="Z738" s="13">
        <f>SUMPRODUCT(N738:Y738,$N$2:$Y$2)*$K738*$L738*$M738</f>
        <v/>
      </c>
      <c r="AA738" s="14">
        <f>SUM(N738:Y738)</f>
        <v/>
      </c>
      <c r="AB738" s="14">
        <f>IFERROR(IF(UPPER($E738)="L",SUMPRODUCT(N738:Y738,$N$3:$Y$3,$N$2:$Y$2),SUMPRODUCT(N738:Y738,$N$4:$Y$4,$N$2:$Y$2))/(Z738/($K738*$L738*$M738)),"")</f>
        <v/>
      </c>
      <c r="AC738" s="18" t="n"/>
    </row>
    <row r="739">
      <c r="A739" s="9" t="n">
        <v>806873</v>
      </c>
      <c r="B739" s="9" t="inlineStr">
        <is>
          <t>Yael Romero</t>
        </is>
      </c>
      <c r="C739" s="9" t="inlineStr">
        <is>
          <t>CIN</t>
        </is>
      </c>
      <c r="D739" s="9" t="n">
        <v>25</v>
      </c>
      <c r="E739" s="16" t="inlineStr">
        <is>
          <t>L</t>
        </is>
      </c>
      <c r="F739" s="16" t="n"/>
      <c r="G739" s="9" t="n">
        <v>1.476923076923077</v>
      </c>
      <c r="H739" s="9" t="n">
        <v>1.476923076923077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1" t="n">
        <v>1</v>
      </c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7" t="n">
        <v>1</v>
      </c>
      <c r="Z739" s="13">
        <f>SUMPRODUCT(N739:Y739,$N$2:$Y$2)*$K739*$L739*$M739</f>
        <v/>
      </c>
      <c r="AA739" s="14">
        <f>SUM(N739:Y739)</f>
        <v/>
      </c>
      <c r="AB739" s="14">
        <f>IFERROR(IF(UPPER($E739)="L",SUMPRODUCT(N739:Y739,$N$3:$Y$3,$N$2:$Y$2),SUMPRODUCT(N739:Y739,$N$4:$Y$4,$N$2:$Y$2))/(Z739/($K739*$L739*$M739)),"")</f>
        <v/>
      </c>
      <c r="AC739" s="18" t="n"/>
    </row>
    <row r="740">
      <c r="A740" s="9" t="n">
        <v>685076</v>
      </c>
      <c r="B740" s="9" t="inlineStr">
        <is>
          <t>Jack Blomgren</t>
        </is>
      </c>
      <c r="C740" s="9" t="inlineStr">
        <is>
          <t>TEX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1" t="n">
        <v>1</v>
      </c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7" t="n">
        <v>1</v>
      </c>
      <c r="Z740" s="13">
        <f>SUMPRODUCT(N740:Y740,$N$2:$Y$2)*$K740*$L740*$M740</f>
        <v/>
      </c>
      <c r="AA740" s="14">
        <f>SUM(N740:Y740)</f>
        <v/>
      </c>
      <c r="AB740" s="14">
        <f>IFERROR(IF(UPPER($E740)="L",SUMPRODUCT(N740:Y740,$N$3:$Y$3,$N$2:$Y$2),SUMPRODUCT(N740:Y740,$N$4:$Y$4,$N$2:$Y$2))/(Z740/($K740*$L740*$M740)),"")</f>
        <v/>
      </c>
      <c r="AC740" s="18" t="n"/>
    </row>
    <row r="741">
      <c r="A741" s="9" t="n">
        <v>800179</v>
      </c>
      <c r="B741" s="9" t="inlineStr">
        <is>
          <t>Nolan Beltran</t>
        </is>
      </c>
      <c r="C741" s="9" t="inlineStr">
        <is>
          <t>PHI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1" t="n">
        <v>1</v>
      </c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7" t="n">
        <v>1</v>
      </c>
      <c r="Z741" s="13">
        <f>SUMPRODUCT(N741:Y741,$N$2:$Y$2)*$K741*$L741*$M741</f>
        <v/>
      </c>
      <c r="AA741" s="14">
        <f>SUM(N741:Y741)</f>
        <v/>
      </c>
      <c r="AB741" s="14">
        <f>IFERROR(IF(UPPER($E741)="L",SUMPRODUCT(N741:Y741,$N$3:$Y$3,$N$2:$Y$2),SUMPRODUCT(N741:Y741,$N$4:$Y$4,$N$2:$Y$2))/(Z741/($K741*$L741*$M741)),"")</f>
        <v/>
      </c>
      <c r="AC741" s="18" t="n"/>
    </row>
    <row r="742">
      <c r="A742" s="9" t="n">
        <v>800348</v>
      </c>
      <c r="B742" s="9" t="inlineStr">
        <is>
          <t>Edwin Amparo</t>
        </is>
      </c>
      <c r="C742" s="9" t="inlineStr">
        <is>
          <t>BAL</t>
        </is>
      </c>
      <c r="D742" s="9" t="n">
        <v>25</v>
      </c>
      <c r="E742" s="16" t="inlineStr">
        <is>
          <t>S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1" t="n">
        <v>1</v>
      </c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7" t="n">
        <v>1</v>
      </c>
      <c r="Z742" s="13">
        <f>SUMPRODUCT(N742:Y742,$N$2:$Y$2)*$K742*$L742*$M742</f>
        <v/>
      </c>
      <c r="AA742" s="14">
        <f>SUM(N742:Y742)</f>
        <v/>
      </c>
      <c r="AB742" s="14">
        <f>IFERROR(IF(UPPER($E742)="L",SUMPRODUCT(N742:Y742,$N$3:$Y$3,$N$2:$Y$2),SUMPRODUCT(N742:Y742,$N$4:$Y$4,$N$2:$Y$2))/(Z742/($K742*$L742*$M742)),"")</f>
        <v/>
      </c>
      <c r="AC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1" t="n">
        <v>1</v>
      </c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7" t="n">
        <v>1</v>
      </c>
      <c r="Z743" s="13">
        <f>SUMPRODUCT(N743:Y743,$N$2:$Y$2)*$K743*$L743*$M743</f>
        <v/>
      </c>
      <c r="AA743" s="14">
        <f>SUM(N743:Y743)</f>
        <v/>
      </c>
      <c r="AB743" s="14">
        <f>IFERROR(IF(UPPER($E743)="L",SUMPRODUCT(N743:Y743,$N$3:$Y$3,$N$2:$Y$2),SUMPRODUCT(N743:Y743,$N$4:$Y$4,$N$2:$Y$2))/(Z743/($K743*$L743*$M743)),"")</f>
        <v/>
      </c>
      <c r="AC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inlineStr">
        <is>
          <t>LF</t>
        </is>
      </c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1" t="n">
        <v>1</v>
      </c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7" t="n">
        <v>1</v>
      </c>
      <c r="Z744" s="13">
        <f>SUMPRODUCT(N744:Y744,$N$2:$Y$2)*$K744*$L744*$M744</f>
        <v/>
      </c>
      <c r="AA744" s="14">
        <f>SUM(N744:Y744)</f>
        <v/>
      </c>
      <c r="AB744" s="14">
        <f>IFERROR(IF(UPPER($E744)="L",SUMPRODUCT(N744:Y744,$N$3:$Y$3,$N$2:$Y$2),SUMPRODUCT(N744:Y744,$N$4:$Y$4,$N$2:$Y$2))/(Z744/($K744*$L744*$M744)),"")</f>
        <v/>
      </c>
      <c r="AC744" s="18" t="n"/>
    </row>
    <row r="745">
      <c r="A745" s="9" t="n">
        <v>834582</v>
      </c>
      <c r="B745" s="9" t="inlineStr">
        <is>
          <t>Jack Collins</t>
        </is>
      </c>
      <c r="C745" s="9" t="inlineStr">
        <is>
          <t>TEX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1" t="n">
        <v>1</v>
      </c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7" t="n">
        <v>1</v>
      </c>
      <c r="Z745" s="13">
        <f>SUMPRODUCT(N745:Y745,$N$2:$Y$2)*$K745*$L745*$M745</f>
        <v/>
      </c>
      <c r="AA745" s="14">
        <f>SUM(N745:Y745)</f>
        <v/>
      </c>
      <c r="AB745" s="14">
        <f>IFERROR(IF(UPPER($E745)="L",SUMPRODUCT(N745:Y745,$N$3:$Y$3,$N$2:$Y$2),SUMPRODUCT(N745:Y745,$N$4:$Y$4,$N$2:$Y$2))/(Z745/($K745*$L745*$M745)),"")</f>
        <v/>
      </c>
      <c r="AC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1" t="n">
        <v>1</v>
      </c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7" t="n">
        <v>1</v>
      </c>
      <c r="Z746" s="13">
        <f>SUMPRODUCT(N746:Y746,$N$2:$Y$2)*$K746*$L746*$M746</f>
        <v/>
      </c>
      <c r="AA746" s="14">
        <f>SUM(N746:Y746)</f>
        <v/>
      </c>
      <c r="AB746" s="14">
        <f>IFERROR(IF(UPPER($E746)="L",SUMPRODUCT(N746:Y746,$N$3:$Y$3,$N$2:$Y$2),SUMPRODUCT(N746:Y746,$N$4:$Y$4,$N$2:$Y$2))/(Z746/($K746*$L746*$M746)),"")</f>
        <v/>
      </c>
      <c r="AC746" s="18" t="n"/>
    </row>
    <row r="747">
      <c r="A747" s="9" t="n">
        <v>809452</v>
      </c>
      <c r="B747" s="9" t="inlineStr">
        <is>
          <t>Damian Ruiz</t>
        </is>
      </c>
      <c r="C747" s="9" t="inlineStr">
        <is>
          <t>CIN</t>
        </is>
      </c>
      <c r="D747" s="9" t="n">
        <v>25</v>
      </c>
      <c r="E747" s="16" t="inlineStr">
        <is>
          <t>R</t>
        </is>
      </c>
      <c r="F747" s="16" t="n"/>
      <c r="G747" s="9" t="n">
        <v>9.846153846153848</v>
      </c>
      <c r="H747" s="9" t="n">
        <v>9.846153846153848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1" t="n">
        <v>1</v>
      </c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7" t="n">
        <v>1</v>
      </c>
      <c r="Z747" s="13">
        <f>SUMPRODUCT(N747:Y747,$N$2:$Y$2)*$K747*$L747*$M747</f>
        <v/>
      </c>
      <c r="AA747" s="14">
        <f>SUM(N747:Y747)</f>
        <v/>
      </c>
      <c r="AB747" s="14">
        <f>IFERROR(IF(UPPER($E747)="L",SUMPRODUCT(N747:Y747,$N$3:$Y$3,$N$2:$Y$2),SUMPRODUCT(N747:Y747,$N$4:$Y$4,$N$2:$Y$2))/(Z747/($K747*$L747*$M747)),"")</f>
        <v/>
      </c>
      <c r="AC747" s="18" t="n"/>
    </row>
    <row r="748">
      <c r="A748" s="9" t="n">
        <v>828255</v>
      </c>
      <c r="B748" s="9" t="inlineStr">
        <is>
          <t>Ethan Conrad</t>
        </is>
      </c>
      <c r="C748" s="9" t="inlineStr">
        <is>
          <t>CHC</t>
        </is>
      </c>
      <c r="D748" s="9" t="n">
        <v>25</v>
      </c>
      <c r="E748" s="16" t="inlineStr">
        <is>
          <t>L</t>
        </is>
      </c>
      <c r="F748" s="16" t="n"/>
      <c r="G748" s="9" t="n">
        <v>1.641025641025641</v>
      </c>
      <c r="H748" s="9" t="n">
        <v>1.641025641025641</v>
      </c>
      <c r="I748" s="9" t="inlineStr">
        <is>
          <t>Depth (no MLB PA)</t>
        </is>
      </c>
      <c r="J748" s="16" t="inlineStr">
        <is>
          <t>Late Season (~Sept)</t>
        </is>
      </c>
      <c r="K748" s="11">
        <f>IFERROR(INDEX(Roles!$B$17:$B$20,MATCH(J748,Roles!$A$17:$A$20,0)),1)</f>
        <v/>
      </c>
      <c r="L748" s="17" t="n">
        <v>1</v>
      </c>
      <c r="M748" s="11" t="n">
        <v>1</v>
      </c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7" t="n">
        <v>1</v>
      </c>
      <c r="Z748" s="13">
        <f>SUMPRODUCT(N748:Y748,$N$2:$Y$2)*$K748*$L748*$M748</f>
        <v/>
      </c>
      <c r="AA748" s="14">
        <f>SUM(N748:Y748)</f>
        <v/>
      </c>
      <c r="AB748" s="14">
        <f>IFERROR(IF(UPPER($E748)="L",SUMPRODUCT(N748:Y748,$N$3:$Y$3,$N$2:$Y$2),SUMPRODUCT(N748:Y748,$N$4:$Y$4,$N$2:$Y$2))/(Z748/($K748*$L748*$M748)),"")</f>
        <v/>
      </c>
      <c r="AC748" s="18" t="n"/>
    </row>
    <row r="749">
      <c r="A749" s="9" t="n">
        <v>676560</v>
      </c>
      <c r="B749" s="9" t="inlineStr">
        <is>
          <t>Hemmanuel Rosario</t>
        </is>
      </c>
      <c r="C749" s="9" t="inlineStr">
        <is>
          <t>HOU</t>
        </is>
      </c>
      <c r="D749" s="9" t="n">
        <v>25</v>
      </c>
      <c r="E749" s="16" t="inlineStr">
        <is>
          <t>R</t>
        </is>
      </c>
      <c r="F749" s="16" t="n"/>
      <c r="G749" s="9" t="n">
        <v>1.692307692307692</v>
      </c>
      <c r="H749" s="9" t="n">
        <v>1.692307692307692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1" t="n">
        <v>1</v>
      </c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7" t="n">
        <v>1</v>
      </c>
      <c r="Z749" s="13">
        <f>SUMPRODUCT(N749:Y749,$N$2:$Y$2)*$K749*$L749*$M749</f>
        <v/>
      </c>
      <c r="AA749" s="14">
        <f>SUM(N749:Y749)</f>
        <v/>
      </c>
      <c r="AB749" s="14">
        <f>IFERROR(IF(UPPER($E749)="L",SUMPRODUCT(N749:Y749,$N$3:$Y$3,$N$2:$Y$2),SUMPRODUCT(N749:Y749,$N$4:$Y$4,$N$2:$Y$2))/(Z749/($K749*$L749*$M749)),"")</f>
        <v/>
      </c>
      <c r="AC749" s="18" t="n"/>
    </row>
    <row r="750">
      <c r="A750" s="9" t="n">
        <v>806498</v>
      </c>
      <c r="B750" s="9" t="inlineStr">
        <is>
          <t>Cam Kozeal</t>
        </is>
      </c>
      <c r="C750" s="9" t="inlineStr">
        <is>
          <t>MIA</t>
        </is>
      </c>
      <c r="D750" s="9" t="n">
        <v>25</v>
      </c>
      <c r="E750" s="16" t="inlineStr">
        <is>
          <t>L</t>
        </is>
      </c>
      <c r="F750" s="16" t="n"/>
      <c r="G750" s="9" t="n">
        <v>5.907692307692308</v>
      </c>
      <c r="H750" s="9" t="n">
        <v>5.907692307692308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1" t="n">
        <v>1</v>
      </c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7" t="n">
        <v>1</v>
      </c>
      <c r="Z750" s="13">
        <f>SUMPRODUCT(N750:Y750,$N$2:$Y$2)*$K750*$L750*$M750</f>
        <v/>
      </c>
      <c r="AA750" s="14">
        <f>SUM(N750:Y750)</f>
        <v/>
      </c>
      <c r="AB750" s="14">
        <f>IFERROR(IF(UPPER($E750)="L",SUMPRODUCT(N750:Y750,$N$3:$Y$3,$N$2:$Y$2),SUMPRODUCT(N750:Y750,$N$4:$Y$4,$N$2:$Y$2))/(Z750/($K750*$L750*$M750)),"")</f>
        <v/>
      </c>
      <c r="AC750" s="18" t="n"/>
    </row>
    <row r="751">
      <c r="A751" s="9" t="n">
        <v>806039</v>
      </c>
      <c r="B751" s="9" t="inlineStr">
        <is>
          <t>Drew Burress</t>
        </is>
      </c>
      <c r="C751" s="9" t="inlineStr">
        <is>
          <t>OAK</t>
        </is>
      </c>
      <c r="D751" s="9" t="n">
        <v>25</v>
      </c>
      <c r="E751" s="16" t="inlineStr">
        <is>
          <t>R</t>
        </is>
      </c>
      <c r="F751" s="16" t="n"/>
      <c r="G751" s="9" t="n">
        <v>16.36923076923077</v>
      </c>
      <c r="H751" s="9" t="n">
        <v>16.36923076923077</v>
      </c>
      <c r="I751" s="9" t="inlineStr">
        <is>
          <t>Depth (no MLB PA)</t>
        </is>
      </c>
      <c r="J751" s="16" t="inlineStr">
        <is>
          <t>Late Season (~Sept)</t>
        </is>
      </c>
      <c r="K751" s="11">
        <f>IFERROR(INDEX(Roles!$B$17:$B$20,MATCH(J751,Roles!$A$17:$A$20,0)),1)</f>
        <v/>
      </c>
      <c r="L751" s="17" t="n">
        <v>1</v>
      </c>
      <c r="M751" s="11" t="n">
        <v>1</v>
      </c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7" t="n">
        <v>1</v>
      </c>
      <c r="Z751" s="13">
        <f>SUMPRODUCT(N751:Y751,$N$2:$Y$2)*$K751*$L751*$M751</f>
        <v/>
      </c>
      <c r="AA751" s="14">
        <f>SUM(N751:Y751)</f>
        <v/>
      </c>
      <c r="AB751" s="14">
        <f>IFERROR(IF(UPPER($E751)="L",SUMPRODUCT(N751:Y751,$N$3:$Y$3,$N$2:$Y$2),SUMPRODUCT(N751:Y751,$N$4:$Y$4,$N$2:$Y$2))/(Z751/($K751*$L751*$M751)),"")</f>
        <v/>
      </c>
      <c r="AC751" s="18" t="n"/>
    </row>
    <row r="752">
      <c r="A752" s="9" t="n">
        <v>692944</v>
      </c>
      <c r="B752" s="9" t="inlineStr">
        <is>
          <t>Kevin Villavicencio</t>
        </is>
      </c>
      <c r="C752" s="9" t="inlineStr">
        <is>
          <t>NYM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1" t="n">
        <v>1</v>
      </c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7" t="n">
        <v>1</v>
      </c>
      <c r="Z752" s="13">
        <f>SUMPRODUCT(N752:Y752,$N$2:$Y$2)*$K752*$L752*$M752</f>
        <v/>
      </c>
      <c r="AA752" s="14">
        <f>SUM(N752:Y752)</f>
        <v/>
      </c>
      <c r="AB752" s="14">
        <f>IFERROR(IF(UPPER($E752)="L",SUMPRODUCT(N752:Y752,$N$3:$Y$3,$N$2:$Y$2),SUMPRODUCT(N752:Y752,$N$4:$Y$4,$N$2:$Y$2))/(Z752/($K752*$L752*$M752)),"")</f>
        <v/>
      </c>
      <c r="AC752" s="18" t="n"/>
    </row>
    <row r="753">
      <c r="A753" s="9" t="n">
        <v>801346</v>
      </c>
      <c r="B753" s="9" t="inlineStr">
        <is>
          <t>Luis Hernandez</t>
        </is>
      </c>
      <c r="C753" s="9" t="inlineStr">
        <is>
          <t>MIN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1" t="n">
        <v>1</v>
      </c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7" t="n">
        <v>1</v>
      </c>
      <c r="Z753" s="13">
        <f>SUMPRODUCT(N753:Y753,$N$2:$Y$2)*$K753*$L753*$M753</f>
        <v/>
      </c>
      <c r="AA753" s="14">
        <f>SUM(N753:Y753)</f>
        <v/>
      </c>
      <c r="AB753" s="14">
        <f>IFERROR(IF(UPPER($E753)="L",SUMPRODUCT(N753:Y753,$N$3:$Y$3,$N$2:$Y$2),SUMPRODUCT(N753:Y753,$N$4:$Y$4,$N$2:$Y$2))/(Z753/($K753*$L753*$M753)),"")</f>
        <v/>
      </c>
      <c r="AC753" s="18" t="n"/>
    </row>
    <row r="754">
      <c r="A754" s="9" t="n">
        <v>691710</v>
      </c>
      <c r="B754" s="9" t="inlineStr">
        <is>
          <t>Vincent Perozo</t>
        </is>
      </c>
      <c r="C754" s="9" t="inlineStr">
        <is>
          <t>NYM</t>
        </is>
      </c>
      <c r="D754" s="9" t="n">
        <v>25</v>
      </c>
      <c r="E754" s="16" t="inlineStr">
        <is>
          <t>L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1" t="n">
        <v>1</v>
      </c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7" t="n">
        <v>1</v>
      </c>
      <c r="Z754" s="13">
        <f>SUMPRODUCT(N754:Y754,$N$2:$Y$2)*$K754*$L754*$M754</f>
        <v/>
      </c>
      <c r="AA754" s="14">
        <f>SUM(N754:Y754)</f>
        <v/>
      </c>
      <c r="AB754" s="14">
        <f>IFERROR(IF(UPPER($E754)="L",SUMPRODUCT(N754:Y754,$N$3:$Y$3,$N$2:$Y$2),SUMPRODUCT(N754:Y754,$N$4:$Y$4,$N$2:$Y$2))/(Z754/($K754*$L754*$M754)),"")</f>
        <v/>
      </c>
      <c r="AC754" s="18" t="n"/>
    </row>
    <row r="755">
      <c r="A755" s="9" t="n">
        <v>518586</v>
      </c>
      <c r="B755" s="9" t="inlineStr">
        <is>
          <t>Charlie Culberson</t>
        </is>
      </c>
      <c r="C755" s="9" t="inlineStr">
        <is>
          <t>TEX</t>
        </is>
      </c>
      <c r="D755" s="9" t="n">
        <v>38</v>
      </c>
      <c r="E755" s="16" t="inlineStr">
        <is>
          <t>R</t>
        </is>
      </c>
      <c r="F755" s="16" t="inlineStr">
        <is>
          <t>3B</t>
        </is>
      </c>
      <c r="G755" s="9" t="n">
        <v>1</v>
      </c>
      <c r="H755" s="9" t="n">
        <v>125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1" t="n">
        <v>1</v>
      </c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7" t="n">
        <v>1</v>
      </c>
      <c r="Z755" s="13">
        <f>SUMPRODUCT(N755:Y755,$N$2:$Y$2)*$K755*$L755*$M755</f>
        <v/>
      </c>
      <c r="AA755" s="14">
        <f>SUM(N755:Y755)</f>
        <v/>
      </c>
      <c r="AB755" s="14">
        <f>IFERROR(IF(UPPER($E755)="L",SUMPRODUCT(N755:Y755,$N$3:$Y$3,$N$2:$Y$2),SUMPRODUCT(N755:Y755,$N$4:$Y$4,$N$2:$Y$2))/(Z755/($K755*$L755*$M755)),"")</f>
        <v/>
      </c>
      <c r="AC755" s="18" t="n"/>
    </row>
    <row r="756">
      <c r="A756" s="9" t="n">
        <v>836079</v>
      </c>
      <c r="B756" s="9" t="inlineStr">
        <is>
          <t>Rylan Mills</t>
        </is>
      </c>
      <c r="C756" s="9" t="inlineStr">
        <is>
          <t>MIL</t>
        </is>
      </c>
      <c r="D756" s="9" t="n">
        <v>25</v>
      </c>
      <c r="E756" s="16" t="inlineStr">
        <is>
          <t>R</t>
        </is>
      </c>
      <c r="F756" s="16" t="n"/>
      <c r="G756" s="9" t="n">
        <v>30.64615384615384</v>
      </c>
      <c r="H756" s="9" t="n">
        <v>30.64615384615384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1" t="n">
        <v>1</v>
      </c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7" t="n">
        <v>1</v>
      </c>
      <c r="Z756" s="13">
        <f>SUMPRODUCT(N756:Y756,$N$2:$Y$2)*$K756*$L756*$M756</f>
        <v/>
      </c>
      <c r="AA756" s="14">
        <f>SUM(N756:Y756)</f>
        <v/>
      </c>
      <c r="AB756" s="14">
        <f>IFERROR(IF(UPPER($E756)="L",SUMPRODUCT(N756:Y756,$N$3:$Y$3,$N$2:$Y$2),SUMPRODUCT(N756:Y756,$N$4:$Y$4,$N$2:$Y$2))/(Z756/($K756*$L756*$M756)),"")</f>
        <v/>
      </c>
      <c r="AC756" s="18" t="n"/>
    </row>
    <row r="757">
      <c r="A757" s="9" t="n">
        <v>694565</v>
      </c>
      <c r="B757" s="9" t="inlineStr">
        <is>
          <t>Alex Stone</t>
        </is>
      </c>
      <c r="C757" s="9" t="inlineStr">
        <is>
          <t>TOR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1" t="n">
        <v>1</v>
      </c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7" t="n">
        <v>1</v>
      </c>
      <c r="Z757" s="13">
        <f>SUMPRODUCT(N757:Y757,$N$2:$Y$2)*$K757*$L757*$M757</f>
        <v/>
      </c>
      <c r="AA757" s="14">
        <f>SUM(N757:Y757)</f>
        <v/>
      </c>
      <c r="AB757" s="14">
        <f>IFERROR(IF(UPPER($E757)="L",SUMPRODUCT(N757:Y757,$N$3:$Y$3,$N$2:$Y$2),SUMPRODUCT(N757:Y757,$N$4:$Y$4,$N$2:$Y$2))/(Z757/($K757*$L757*$M757)),"")</f>
        <v/>
      </c>
      <c r="AC757" s="18" t="n"/>
    </row>
    <row r="758">
      <c r="A758" s="9" t="n">
        <v>806273</v>
      </c>
      <c r="B758" s="9" t="inlineStr">
        <is>
          <t>Adam Retzbach</t>
        </is>
      </c>
      <c r="C758" s="9" t="inlineStr">
        <is>
          <t>BAL</t>
        </is>
      </c>
      <c r="D758" s="9" t="n">
        <v>25</v>
      </c>
      <c r="E758" s="16" t="inlineStr">
        <is>
          <t>R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1" t="n">
        <v>1</v>
      </c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7" t="n">
        <v>1</v>
      </c>
      <c r="Z758" s="13">
        <f>SUMPRODUCT(N758:Y758,$N$2:$Y$2)*$K758*$L758*$M758</f>
        <v/>
      </c>
      <c r="AA758" s="14">
        <f>SUM(N758:Y758)</f>
        <v/>
      </c>
      <c r="AB758" s="14">
        <f>IFERROR(IF(UPPER($E758)="L",SUMPRODUCT(N758:Y758,$N$3:$Y$3,$N$2:$Y$2),SUMPRODUCT(N758:Y758,$N$4:$Y$4,$N$2:$Y$2))/(Z758/($K758*$L758*$M758)),"")</f>
        <v/>
      </c>
      <c r="AC758" s="18" t="n"/>
    </row>
    <row r="759">
      <c r="A759" s="9" t="n">
        <v>825891</v>
      </c>
      <c r="B759" s="9" t="inlineStr">
        <is>
          <t>Trevor Condon</t>
        </is>
      </c>
      <c r="C759" s="9" t="inlineStr">
        <is>
          <t>STL</t>
        </is>
      </c>
      <c r="D759" s="9" t="n">
        <v>25</v>
      </c>
      <c r="E759" s="16" t="inlineStr">
        <is>
          <t>L</t>
        </is>
      </c>
      <c r="F759" s="16" t="n"/>
      <c r="G759" s="9" t="n">
        <v>3.815384615384615</v>
      </c>
      <c r="H759" s="9" t="n">
        <v>3.815384615384615</v>
      </c>
      <c r="I759" s="9" t="inlineStr">
        <is>
          <t>Depth (no MLB PA)</t>
        </is>
      </c>
      <c r="J759" s="16" t="inlineStr">
        <is>
          <t>Late Season (~Sept)</t>
        </is>
      </c>
      <c r="K759" s="11">
        <f>IFERROR(INDEX(Roles!$B$17:$B$20,MATCH(J759,Roles!$A$17:$A$20,0)),1)</f>
        <v/>
      </c>
      <c r="L759" s="17" t="n">
        <v>1</v>
      </c>
      <c r="M759" s="11" t="n">
        <v>1</v>
      </c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7" t="n">
        <v>1</v>
      </c>
      <c r="Z759" s="13">
        <f>SUMPRODUCT(N759:Y759,$N$2:$Y$2)*$K759*$L759*$M759</f>
        <v/>
      </c>
      <c r="AA759" s="14">
        <f>SUM(N759:Y759)</f>
        <v/>
      </c>
      <c r="AB759" s="14">
        <f>IFERROR(IF(UPPER($E759)="L",SUMPRODUCT(N759:Y759,$N$3:$Y$3,$N$2:$Y$2),SUMPRODUCT(N759:Y759,$N$4:$Y$4,$N$2:$Y$2))/(Z759/($K759*$L759*$M759)),"")</f>
        <v/>
      </c>
      <c r="AC759" s="18" t="n"/>
    </row>
    <row r="760">
      <c r="A760" s="9" t="n">
        <v>842420</v>
      </c>
      <c r="B760" s="9" t="inlineStr">
        <is>
          <t>Dominic Kibler</t>
        </is>
      </c>
      <c r="C760" s="9" t="inlineStr">
        <is>
          <t>ATL</t>
        </is>
      </c>
      <c r="D760" s="9" t="n">
        <v>25</v>
      </c>
      <c r="E760" s="16" t="inlineStr">
        <is>
          <t>L</t>
        </is>
      </c>
      <c r="F760" s="16" t="n"/>
      <c r="G760" s="9" t="n">
        <v>3.815384615384615</v>
      </c>
      <c r="H760" s="9" t="n">
        <v>3.815384615384615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1" t="n">
        <v>1</v>
      </c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7" t="n">
        <v>1</v>
      </c>
      <c r="Z760" s="13">
        <f>SUMPRODUCT(N760:Y760,$N$2:$Y$2)*$K760*$L760*$M760</f>
        <v/>
      </c>
      <c r="AA760" s="14">
        <f>SUM(N760:Y760)</f>
        <v/>
      </c>
      <c r="AB760" s="14">
        <f>IFERROR(IF(UPPER($E760)="L",SUMPRODUCT(N760:Y760,$N$3:$Y$3,$N$2:$Y$2),SUMPRODUCT(N760:Y760,$N$4:$Y$4,$N$2:$Y$2))/(Z760/($K760*$L760*$M760)),"")</f>
        <v/>
      </c>
      <c r="AC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1" t="n">
        <v>1</v>
      </c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7" t="n">
        <v>1</v>
      </c>
      <c r="Z761" s="13">
        <f>SUMPRODUCT(N761:Y761,$N$2:$Y$2)*$K761*$L761*$M761</f>
        <v/>
      </c>
      <c r="AA761" s="14">
        <f>SUM(N761:Y761)</f>
        <v/>
      </c>
      <c r="AB761" s="14">
        <f>IFERROR(IF(UPPER($E761)="L",SUMPRODUCT(N761:Y761,$N$3:$Y$3,$N$2:$Y$2),SUMPRODUCT(N761:Y761,$N$4:$Y$4,$N$2:$Y$2))/(Z761/($K761*$L761*$M761)),"")</f>
        <v/>
      </c>
      <c r="AC761" s="18" t="n"/>
    </row>
    <row r="762">
      <c r="A762" s="9" t="n">
        <v>821933</v>
      </c>
      <c r="B762" s="9" t="inlineStr">
        <is>
          <t>Landon Hodge</t>
        </is>
      </c>
      <c r="C762" s="9" t="inlineStr">
        <is>
          <t>CWS</t>
        </is>
      </c>
      <c r="D762" s="9" t="n">
        <v>25</v>
      </c>
      <c r="E762" s="16" t="inlineStr">
        <is>
          <t>L</t>
        </is>
      </c>
      <c r="F762" s="16" t="n"/>
      <c r="G762" s="9" t="n">
        <v>1.723076923076923</v>
      </c>
      <c r="H762" s="9" t="n">
        <v>1.723076923076923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1" t="n">
        <v>1</v>
      </c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7" t="n">
        <v>1</v>
      </c>
      <c r="Z762" s="13">
        <f>SUMPRODUCT(N762:Y762,$N$2:$Y$2)*$K762*$L762*$M762</f>
        <v/>
      </c>
      <c r="AA762" s="14">
        <f>SUM(N762:Y762)</f>
        <v/>
      </c>
      <c r="AB762" s="14">
        <f>IFERROR(IF(UPPER($E762)="L",SUMPRODUCT(N762:Y762,$N$3:$Y$3,$N$2:$Y$2),SUMPRODUCT(N762:Y762,$N$4:$Y$4,$N$2:$Y$2))/(Z762/($K762*$L762*$M762)),"")</f>
        <v/>
      </c>
      <c r="AC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1" t="n">
        <v>1</v>
      </c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7" t="n">
        <v>1</v>
      </c>
      <c r="Z763" s="13">
        <f>SUMPRODUCT(N763:Y763,$N$2:$Y$2)*$K763*$L763*$M763</f>
        <v/>
      </c>
      <c r="AA763" s="14">
        <f>SUM(N763:Y763)</f>
        <v/>
      </c>
      <c r="AB763" s="14">
        <f>IFERROR(IF(UPPER($E763)="L",SUMPRODUCT(N763:Y763,$N$3:$Y$3,$N$2:$Y$2),SUMPRODUCT(N763:Y763,$N$4:$Y$4,$N$2:$Y$2))/(Z763/($K763*$L763*$M763)),"")</f>
        <v/>
      </c>
      <c r="AC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25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Late Season (~Sept)</t>
        </is>
      </c>
      <c r="K764" s="11">
        <f>IFERROR(INDEX(Roles!$B$17:$B$20,MATCH(J764,Roles!$A$17:$A$20,0)),1)</f>
        <v/>
      </c>
      <c r="L764" s="17" t="n">
        <v>1</v>
      </c>
      <c r="M764" s="11" t="n">
        <v>1</v>
      </c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7" t="n">
        <v>1</v>
      </c>
      <c r="Z764" s="13">
        <f>SUMPRODUCT(N764:Y764,$N$2:$Y$2)*$K764*$L764*$M764</f>
        <v/>
      </c>
      <c r="AA764" s="14">
        <f>SUM(N764:Y764)</f>
        <v/>
      </c>
      <c r="AB764" s="14">
        <f>IFERROR(IF(UPPER($E764)="L",SUMPRODUCT(N764:Y764,$N$3:$Y$3,$N$2:$Y$2),SUMPRODUCT(N764:Y764,$N$4:$Y$4,$N$2:$Y$2))/(Z764/($K764*$L764*$M764)),"")</f>
        <v/>
      </c>
      <c r="AC764" s="18" t="n"/>
    </row>
    <row r="765">
      <c r="A765" s="9" t="n">
        <v>815924</v>
      </c>
      <c r="B765" s="9" t="inlineStr">
        <is>
          <t>Eduardo Beltre</t>
        </is>
      </c>
      <c r="C765" s="9" t="inlineStr">
        <is>
          <t>MIN</t>
        </is>
      </c>
      <c r="D765" s="9" t="n">
        <v>25</v>
      </c>
      <c r="E765" s="16" t="inlineStr">
        <is>
          <t>R</t>
        </is>
      </c>
      <c r="F765" s="16" t="n"/>
      <c r="G765" s="9" t="n">
        <v>8.246153846153845</v>
      </c>
      <c r="H765" s="9" t="n">
        <v>8.246153846153845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1" t="n">
        <v>1</v>
      </c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7" t="n">
        <v>1</v>
      </c>
      <c r="Z765" s="13">
        <f>SUMPRODUCT(N765:Y765,$N$2:$Y$2)*$K765*$L765*$M765</f>
        <v/>
      </c>
      <c r="AA765" s="14">
        <f>SUM(N765:Y765)</f>
        <v/>
      </c>
      <c r="AB765" s="14">
        <f>IFERROR(IF(UPPER($E765)="L",SUMPRODUCT(N765:Y765,$N$3:$Y$3,$N$2:$Y$2),SUMPRODUCT(N765:Y765,$N$4:$Y$4,$N$2:$Y$2))/(Z765/($K765*$L765*$M765)),"")</f>
        <v/>
      </c>
      <c r="AC765" s="18" t="n"/>
    </row>
    <row r="766">
      <c r="A766" s="9" t="n">
        <v>829191</v>
      </c>
      <c r="B766" s="9" t="inlineStr">
        <is>
          <t>Joephillip Guzman</t>
        </is>
      </c>
      <c r="C766" s="9" t="inlineStr">
        <is>
          <t>BAL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1" t="n">
        <v>1</v>
      </c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7" t="n">
        <v>1</v>
      </c>
      <c r="Z766" s="13">
        <f>SUMPRODUCT(N766:Y766,$N$2:$Y$2)*$K766*$L766*$M766</f>
        <v/>
      </c>
      <c r="AA766" s="14">
        <f>SUM(N766:Y766)</f>
        <v/>
      </c>
      <c r="AB766" s="14">
        <f>IFERROR(IF(UPPER($E766)="L",SUMPRODUCT(N766:Y766,$N$3:$Y$3,$N$2:$Y$2),SUMPRODUCT(N766:Y766,$N$4:$Y$4,$N$2:$Y$2))/(Z766/($K766*$L766*$M766)),"")</f>
        <v/>
      </c>
      <c r="AC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25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Late Season (~Sept)</t>
        </is>
      </c>
      <c r="K767" s="11">
        <f>IFERROR(INDEX(Roles!$B$17:$B$20,MATCH(J767,Roles!$A$17:$A$20,0)),1)</f>
        <v/>
      </c>
      <c r="L767" s="17" t="n">
        <v>1</v>
      </c>
      <c r="M767" s="11" t="n">
        <v>1</v>
      </c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7" t="n">
        <v>1</v>
      </c>
      <c r="Z767" s="13">
        <f>SUMPRODUCT(N767:Y767,$N$2:$Y$2)*$K767*$L767*$M767</f>
        <v/>
      </c>
      <c r="AA767" s="14">
        <f>SUM(N767:Y767)</f>
        <v/>
      </c>
      <c r="AB767" s="14">
        <f>IFERROR(IF(UPPER($E767)="L",SUMPRODUCT(N767:Y767,$N$3:$Y$3,$N$2:$Y$2),SUMPRODUCT(N767:Y767,$N$4:$Y$4,$N$2:$Y$2))/(Z767/($K767*$L767*$M767)),"")</f>
        <v/>
      </c>
      <c r="AC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1" t="n">
        <v>1</v>
      </c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7" t="n">
        <v>1</v>
      </c>
      <c r="Z768" s="13">
        <f>SUMPRODUCT(N768:Y768,$N$2:$Y$2)*$K768*$L768*$M768</f>
        <v/>
      </c>
      <c r="AA768" s="14">
        <f>SUM(N768:Y768)</f>
        <v/>
      </c>
      <c r="AB768" s="14">
        <f>IFERROR(IF(UPPER($E768)="L",SUMPRODUCT(N768:Y768,$N$3:$Y$3,$N$2:$Y$2),SUMPRODUCT(N768:Y768,$N$4:$Y$4,$N$2:$Y$2))/(Z768/($K768*$L768*$M768)),"")</f>
        <v/>
      </c>
      <c r="AC768" s="18" t="n"/>
    </row>
    <row r="769">
      <c r="A769" s="9" t="n">
        <v>541645</v>
      </c>
      <c r="B769" s="9" t="inlineStr">
        <is>
          <t>Avisaíl García</t>
        </is>
      </c>
      <c r="C769" s="9" t="inlineStr">
        <is>
          <t>MIA</t>
        </is>
      </c>
      <c r="D769" s="9" t="n">
        <v>36</v>
      </c>
      <c r="E769" s="16" t="inlineStr">
        <is>
          <t>R</t>
        </is>
      </c>
      <c r="F769" s="16" t="inlineStr">
        <is>
          <t>RF</t>
        </is>
      </c>
      <c r="G769" s="9" t="n">
        <v>51</v>
      </c>
      <c r="H769" s="9" t="n">
        <v>549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1" t="n">
        <v>1</v>
      </c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7" t="n">
        <v>1</v>
      </c>
      <c r="Z769" s="13">
        <f>SUMPRODUCT(N769:Y769,$N$2:$Y$2)*$K769*$L769*$M769</f>
        <v/>
      </c>
      <c r="AA769" s="14">
        <f>SUM(N769:Y769)</f>
        <v/>
      </c>
      <c r="AB769" s="14">
        <f>IFERROR(IF(UPPER($E769)="L",SUMPRODUCT(N769:Y769,$N$3:$Y$3,$N$2:$Y$2),SUMPRODUCT(N769:Y769,$N$4:$Y$4,$N$2:$Y$2))/(Z769/($K769*$L769*$M769)),"")</f>
        <v/>
      </c>
      <c r="AC769" s="18" t="n"/>
    </row>
    <row r="770">
      <c r="A770" s="9" t="n">
        <v>804133</v>
      </c>
      <c r="B770" s="9" t="inlineStr">
        <is>
          <t>Braden Holcomb</t>
        </is>
      </c>
      <c r="C770" s="9" t="inlineStr">
        <is>
          <t>CWS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1" t="n">
        <v>1</v>
      </c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7" t="n">
        <v>1</v>
      </c>
      <c r="Z770" s="13">
        <f>SUMPRODUCT(N770:Y770,$N$2:$Y$2)*$K770*$L770*$M770</f>
        <v/>
      </c>
      <c r="AA770" s="14">
        <f>SUM(N770:Y770)</f>
        <v/>
      </c>
      <c r="AB770" s="14">
        <f>IFERROR(IF(UPPER($E770)="L",SUMPRODUCT(N770:Y770,$N$3:$Y$3,$N$2:$Y$2),SUMPRODUCT(N770:Y770,$N$4:$Y$4,$N$2:$Y$2))/(Z770/($K770*$L770*$M770)),"")</f>
        <v/>
      </c>
      <c r="AC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1" t="n">
        <v>1</v>
      </c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7" t="n">
        <v>1</v>
      </c>
      <c r="Z771" s="13">
        <f>SUMPRODUCT(N771:Y771,$N$2:$Y$2)*$K771*$L771*$M771</f>
        <v/>
      </c>
      <c r="AA771" s="14">
        <f>SUM(N771:Y771)</f>
        <v/>
      </c>
      <c r="AB771" s="14">
        <f>IFERROR(IF(UPPER($E771)="L",SUMPRODUCT(N771:Y771,$N$3:$Y$3,$N$2:$Y$2),SUMPRODUCT(N771:Y771,$N$4:$Y$4,$N$2:$Y$2))/(Z771/($K771*$L771*$M771)),"")</f>
        <v/>
      </c>
      <c r="AC771" s="18" t="n"/>
    </row>
    <row r="772">
      <c r="A772" s="9" t="n">
        <v>807383</v>
      </c>
      <c r="B772" s="9" t="inlineStr">
        <is>
          <t>Randy Guzman</t>
        </is>
      </c>
      <c r="C772" s="9" t="inlineStr">
        <is>
          <t>NYM</t>
        </is>
      </c>
      <c r="D772" s="9" t="n">
        <v>25</v>
      </c>
      <c r="E772" s="16" t="inlineStr">
        <is>
          <t>R</t>
        </is>
      </c>
      <c r="F772" s="16" t="n"/>
      <c r="G772" s="9" t="n">
        <v>6.153846153846154</v>
      </c>
      <c r="H772" s="9" t="n">
        <v>6.153846153846154</v>
      </c>
      <c r="I772" s="9" t="inlineStr">
        <is>
          <t>Depth (no MLB PA)</t>
        </is>
      </c>
      <c r="J772" s="16" t="inlineStr">
        <is>
          <t>Late Season (~Sept)</t>
        </is>
      </c>
      <c r="K772" s="11">
        <f>IFERROR(INDEX(Roles!$B$17:$B$20,MATCH(J772,Roles!$A$17:$A$20,0)),1)</f>
        <v/>
      </c>
      <c r="L772" s="17" t="n">
        <v>1</v>
      </c>
      <c r="M772" s="11" t="n">
        <v>1</v>
      </c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7" t="n">
        <v>1</v>
      </c>
      <c r="Z772" s="13">
        <f>SUMPRODUCT(N772:Y772,$N$2:$Y$2)*$K772*$L772*$M772</f>
        <v/>
      </c>
      <c r="AA772" s="14">
        <f>SUM(N772:Y772)</f>
        <v/>
      </c>
      <c r="AB772" s="14">
        <f>IFERROR(IF(UPPER($E772)="L",SUMPRODUCT(N772:Y772,$N$3:$Y$3,$N$2:$Y$2),SUMPRODUCT(N772:Y772,$N$4:$Y$4,$N$2:$Y$2))/(Z772/($K772*$L772*$M772)),"")</f>
        <v/>
      </c>
      <c r="AC772" s="18" t="n"/>
    </row>
    <row r="773">
      <c r="A773" s="9" t="n">
        <v>806025</v>
      </c>
      <c r="B773" s="9" t="inlineStr">
        <is>
          <t>Brayden Bakes</t>
        </is>
      </c>
      <c r="C773" s="9" t="inlineStr">
        <is>
          <t>PHI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1" t="n">
        <v>1</v>
      </c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7" t="n">
        <v>1</v>
      </c>
      <c r="Z773" s="13">
        <f>SUMPRODUCT(N773:Y773,$N$2:$Y$2)*$K773*$L773*$M773</f>
        <v/>
      </c>
      <c r="AA773" s="14">
        <f>SUM(N773:Y773)</f>
        <v/>
      </c>
      <c r="AB773" s="14">
        <f>IFERROR(IF(UPPER($E773)="L",SUMPRODUCT(N773:Y773,$N$3:$Y$3,$N$2:$Y$2),SUMPRODUCT(N773:Y773,$N$4:$Y$4,$N$2:$Y$2))/(Z773/($K773*$L773*$M773)),"")</f>
        <v/>
      </c>
      <c r="AC773" s="18" t="n"/>
    </row>
    <row r="774">
      <c r="A774" s="9" t="n">
        <v>830337</v>
      </c>
      <c r="B774" s="9" t="inlineStr">
        <is>
          <t>Ben Tryon</t>
        </is>
      </c>
      <c r="C774" s="9" t="inlineStr">
        <is>
          <t>HOU</t>
        </is>
      </c>
      <c r="D774" s="9" t="n">
        <v>25</v>
      </c>
      <c r="E774" s="16" t="inlineStr">
        <is>
          <t>L</t>
        </is>
      </c>
      <c r="F774" s="16" t="n"/>
      <c r="G774" s="9" t="n">
        <v>6.276923076923077</v>
      </c>
      <c r="H774" s="9" t="n">
        <v>6.276923076923077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1" t="n">
        <v>1</v>
      </c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7" t="n">
        <v>1</v>
      </c>
      <c r="Z774" s="13">
        <f>SUMPRODUCT(N774:Y774,$N$2:$Y$2)*$K774*$L774*$M774</f>
        <v/>
      </c>
      <c r="AA774" s="14">
        <f>SUM(N774:Y774)</f>
        <v/>
      </c>
      <c r="AB774" s="14">
        <f>IFERROR(IF(UPPER($E774)="L",SUMPRODUCT(N774:Y774,$N$3:$Y$3,$N$2:$Y$2),SUMPRODUCT(N774:Y774,$N$4:$Y$4,$N$2:$Y$2))/(Z774/($K774*$L774*$M774)),"")</f>
        <v/>
      </c>
      <c r="AC774" s="18" t="n"/>
    </row>
    <row r="775">
      <c r="A775" s="9" t="n">
        <v>656775</v>
      </c>
      <c r="B775" s="9" t="inlineStr">
        <is>
          <t>Cedric Mullins</t>
        </is>
      </c>
      <c r="C775" s="9" t="inlineStr">
        <is>
          <t>TB</t>
        </is>
      </c>
      <c r="D775" s="9" t="n">
        <v>32</v>
      </c>
      <c r="E775" s="16" t="inlineStr">
        <is>
          <t>L</t>
        </is>
      </c>
      <c r="F775" s="16" t="inlineStr">
        <is>
          <t>CF</t>
        </is>
      </c>
      <c r="G775" s="9" t="n">
        <v>502</v>
      </c>
      <c r="H775" s="9" t="n">
        <v>2626</v>
      </c>
      <c r="I775" s="9" t="inlineStr">
        <is>
          <t>Bench Bat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1" t="n">
        <v>1.15</v>
      </c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>
        <v>0.4</v>
      </c>
      <c r="W775" s="17" t="n">
        <v>0.6</v>
      </c>
      <c r="X775" s="17" t="n"/>
      <c r="Y775" s="17" t="n"/>
      <c r="Z775" s="13">
        <f>SUMPRODUCT(N775:Y775,$N$2:$Y$2)*$K775*$L775*$M775</f>
        <v/>
      </c>
      <c r="AA775" s="14">
        <f>SUM(N775:Y775)</f>
        <v/>
      </c>
      <c r="AB775" s="14">
        <f>IFERROR(IF(UPPER($E775)="L",SUMPRODUCT(N775:Y775,$N$3:$Y$3,$N$2:$Y$2),SUMPRODUCT(N775:Y775,$N$4:$Y$4,$N$2:$Y$2))/(Z775/($K775*$L775*$M775)),"")</f>
        <v/>
      </c>
      <c r="AC775" s="18" t="n"/>
    </row>
    <row r="776">
      <c r="A776" s="9" t="n">
        <v>679972</v>
      </c>
      <c r="B776" s="9" t="inlineStr">
        <is>
          <t>Arturo De Freitas</t>
        </is>
      </c>
      <c r="C776" s="9" t="inlineStr">
        <is>
          <t>TEX</t>
        </is>
      </c>
      <c r="D776" s="9" t="n">
        <v>25</v>
      </c>
      <c r="E776" s="16" t="inlineStr">
        <is>
          <t>R</t>
        </is>
      </c>
      <c r="F776" s="16" t="n"/>
      <c r="G776" s="9" t="n">
        <v>22.15384615384616</v>
      </c>
      <c r="H776" s="9" t="n">
        <v>22.15384615384616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1" t="n">
        <v>1</v>
      </c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7" t="n">
        <v>1</v>
      </c>
      <c r="Z776" s="13">
        <f>SUMPRODUCT(N776:Y776,$N$2:$Y$2)*$K776*$L776*$M776</f>
        <v/>
      </c>
      <c r="AA776" s="14">
        <f>SUM(N776:Y776)</f>
        <v/>
      </c>
      <c r="AB776" s="14">
        <f>IFERROR(IF(UPPER($E776)="L",SUMPRODUCT(N776:Y776,$N$3:$Y$3,$N$2:$Y$2),SUMPRODUCT(N776:Y776,$N$4:$Y$4,$N$2:$Y$2))/(Z776/($K776*$L776*$M776)),"")</f>
        <v/>
      </c>
      <c r="AC776" s="18" t="n"/>
    </row>
    <row r="777">
      <c r="A777" s="9" t="n">
        <v>813852</v>
      </c>
      <c r="B777" s="9" t="inlineStr">
        <is>
          <t>Trey Paige</t>
        </is>
      </c>
      <c r="C777" s="9" t="inlineStr">
        <is>
          <t>STL</t>
        </is>
      </c>
      <c r="D777" s="9" t="n">
        <v>25</v>
      </c>
      <c r="E777" s="16" t="inlineStr">
        <is>
          <t>L</t>
        </is>
      </c>
      <c r="F777" s="16" t="n"/>
      <c r="G777" s="9" t="n">
        <v>32.71794871794872</v>
      </c>
      <c r="H777" s="9" t="n">
        <v>32.71794871794872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1" t="n">
        <v>1</v>
      </c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7" t="n">
        <v>1</v>
      </c>
      <c r="Z777" s="13">
        <f>SUMPRODUCT(N777:Y777,$N$2:$Y$2)*$K777*$L777*$M777</f>
        <v/>
      </c>
      <c r="AA777" s="14">
        <f>SUM(N777:Y777)</f>
        <v/>
      </c>
      <c r="AB777" s="14">
        <f>IFERROR(IF(UPPER($E777)="L",SUMPRODUCT(N777:Y777,$N$3:$Y$3,$N$2:$Y$2),SUMPRODUCT(N777:Y777,$N$4:$Y$4,$N$2:$Y$2))/(Z777/($K777*$L777*$M777)),"")</f>
        <v/>
      </c>
      <c r="AC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1" t="n">
        <v>1</v>
      </c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7" t="n">
        <v>1</v>
      </c>
      <c r="Z778" s="13">
        <f>SUMPRODUCT(N778:Y778,$N$2:$Y$2)*$K778*$L778*$M778</f>
        <v/>
      </c>
      <c r="AA778" s="14">
        <f>SUM(N778:Y778)</f>
        <v/>
      </c>
      <c r="AB778" s="14">
        <f>IFERROR(IF(UPPER($E778)="L",SUMPRODUCT(N778:Y778,$N$3:$Y$3,$N$2:$Y$2),SUMPRODUCT(N778:Y778,$N$4:$Y$4,$N$2:$Y$2))/(Z778/($K778*$L778*$M778)),"")</f>
        <v/>
      </c>
      <c r="AC778" s="18" t="n"/>
    </row>
    <row r="779">
      <c r="A779" s="9" t="n">
        <v>700385</v>
      </c>
      <c r="B779" s="9" t="inlineStr">
        <is>
          <t>Gabriel Silva</t>
        </is>
      </c>
      <c r="C779" s="9" t="inlineStr">
        <is>
          <t>KC</t>
        </is>
      </c>
      <c r="D779" s="9" t="n">
        <v>25</v>
      </c>
      <c r="E779" s="16" t="inlineStr">
        <is>
          <t>R</t>
        </is>
      </c>
      <c r="F779" s="16" t="n"/>
      <c r="G779" s="9" t="n">
        <v>8.36923076923077</v>
      </c>
      <c r="H779" s="9" t="n">
        <v>8.36923076923077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1" t="n">
        <v>1</v>
      </c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7" t="n">
        <v>1</v>
      </c>
      <c r="Z779" s="13">
        <f>SUMPRODUCT(N779:Y779,$N$2:$Y$2)*$K779*$L779*$M779</f>
        <v/>
      </c>
      <c r="AA779" s="14">
        <f>SUM(N779:Y779)</f>
        <v/>
      </c>
      <c r="AB779" s="14">
        <f>IFERROR(IF(UPPER($E779)="L",SUMPRODUCT(N779:Y779,$N$3:$Y$3,$N$2:$Y$2),SUMPRODUCT(N779:Y779,$N$4:$Y$4,$N$2:$Y$2))/(Z779/($K779*$L779*$M779)),"")</f>
        <v/>
      </c>
      <c r="AC779" s="18" t="n"/>
    </row>
    <row r="780">
      <c r="A780" s="9" t="n">
        <v>824765</v>
      </c>
      <c r="B780" s="9" t="inlineStr">
        <is>
          <t>Michael Martinez</t>
        </is>
      </c>
      <c r="C780" s="9" t="inlineStr">
        <is>
          <t>ATL</t>
        </is>
      </c>
      <c r="D780" s="9" t="n">
        <v>25</v>
      </c>
      <c r="E780" s="16" t="inlineStr">
        <is>
          <t>R</t>
        </is>
      </c>
      <c r="F780" s="16" t="n"/>
      <c r="G780" s="9" t="n">
        <v>16.73846153846154</v>
      </c>
      <c r="H780" s="9" t="n">
        <v>16.73846153846154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1" t="n">
        <v>1</v>
      </c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7" t="n">
        <v>1</v>
      </c>
      <c r="Z780" s="13">
        <f>SUMPRODUCT(N780:Y780,$N$2:$Y$2)*$K780*$L780*$M780</f>
        <v/>
      </c>
      <c r="AA780" s="14">
        <f>SUM(N780:Y780)</f>
        <v/>
      </c>
      <c r="AB780" s="14">
        <f>IFERROR(IF(UPPER($E780)="L",SUMPRODUCT(N780:Y780,$N$3:$Y$3,$N$2:$Y$2),SUMPRODUCT(N780:Y780,$N$4:$Y$4,$N$2:$Y$2))/(Z780/($K780*$L780*$M780)),"")</f>
        <v/>
      </c>
      <c r="AC780" s="18" t="n"/>
    </row>
    <row r="781">
      <c r="A781" s="9" t="n">
        <v>822496</v>
      </c>
      <c r="B781" s="9" t="inlineStr">
        <is>
          <t>Bayram Hot</t>
        </is>
      </c>
      <c r="C781" s="9" t="inlineStr">
        <is>
          <t>NYY</t>
        </is>
      </c>
      <c r="D781" s="9" t="n">
        <v>25</v>
      </c>
      <c r="E781" s="16" t="inlineStr">
        <is>
          <t>R</t>
        </is>
      </c>
      <c r="F781" s="16" t="n"/>
      <c r="G781" s="9" t="n">
        <v>2.092307692307692</v>
      </c>
      <c r="H781" s="9" t="n">
        <v>2.092307692307692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1" t="n">
        <v>1</v>
      </c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7" t="n">
        <v>1</v>
      </c>
      <c r="Z781" s="13">
        <f>SUMPRODUCT(N781:Y781,$N$2:$Y$2)*$K781*$L781*$M781</f>
        <v/>
      </c>
      <c r="AA781" s="14">
        <f>SUM(N781:Y781)</f>
        <v/>
      </c>
      <c r="AB781" s="14">
        <f>IFERROR(IF(UPPER($E781)="L",SUMPRODUCT(N781:Y781,$N$3:$Y$3,$N$2:$Y$2),SUMPRODUCT(N781:Y781,$N$4:$Y$4,$N$2:$Y$2))/(Z781/($K781*$L781*$M781)),"")</f>
        <v/>
      </c>
      <c r="AC781" s="18" t="n"/>
    </row>
    <row r="782">
      <c r="A782" s="9" t="n">
        <v>695426</v>
      </c>
      <c r="B782" s="9" t="inlineStr">
        <is>
          <t>Spencer Bramwell</t>
        </is>
      </c>
      <c r="C782" s="9" t="inlineStr">
        <is>
          <t>MIA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1" t="n">
        <v>1</v>
      </c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7" t="n">
        <v>1</v>
      </c>
      <c r="Z782" s="13">
        <f>SUMPRODUCT(N782:Y782,$N$2:$Y$2)*$K782*$L782*$M782</f>
        <v/>
      </c>
      <c r="AA782" s="14">
        <f>SUM(N782:Y782)</f>
        <v/>
      </c>
      <c r="AB782" s="14">
        <f>IFERROR(IF(UPPER($E782)="L",SUMPRODUCT(N782:Y782,$N$3:$Y$3,$N$2:$Y$2),SUMPRODUCT(N782:Y782,$N$4:$Y$4,$N$2:$Y$2))/(Z782/($K782*$L782*$M782)),"")</f>
        <v/>
      </c>
      <c r="AC782" s="18" t="n"/>
    </row>
    <row r="783">
      <c r="A783" s="9" t="n">
        <v>695742</v>
      </c>
      <c r="B783" s="9" t="inlineStr">
        <is>
          <t>Hudson White</t>
        </is>
      </c>
      <c r="C783" s="9" t="inlineStr">
        <is>
          <t>BOS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1" t="n">
        <v>1</v>
      </c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7" t="n">
        <v>1</v>
      </c>
      <c r="Z783" s="13">
        <f>SUMPRODUCT(N783:Y783,$N$2:$Y$2)*$K783*$L783*$M783</f>
        <v/>
      </c>
      <c r="AA783" s="14">
        <f>SUM(N783:Y783)</f>
        <v/>
      </c>
      <c r="AB783" s="14">
        <f>IFERROR(IF(UPPER($E783)="L",SUMPRODUCT(N783:Y783,$N$3:$Y$3,$N$2:$Y$2),SUMPRODUCT(N783:Y783,$N$4:$Y$4,$N$2:$Y$2))/(Z783/($K783*$L783*$M783)),"")</f>
        <v/>
      </c>
      <c r="AC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1" t="n">
        <v>1</v>
      </c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7" t="n">
        <v>1</v>
      </c>
      <c r="Z784" s="13">
        <f>SUMPRODUCT(N784:Y784,$N$2:$Y$2)*$K784*$L784*$M784</f>
        <v/>
      </c>
      <c r="AA784" s="14">
        <f>SUM(N784:Y784)</f>
        <v/>
      </c>
      <c r="AB784" s="14">
        <f>IFERROR(IF(UPPER($E784)="L",SUMPRODUCT(N784:Y784,$N$3:$Y$3,$N$2:$Y$2),SUMPRODUCT(N784:Y784,$N$4:$Y$4,$N$2:$Y$2))/(Z784/($K784*$L784*$M784)),"")</f>
        <v/>
      </c>
      <c r="AC784" s="18" t="n"/>
    </row>
    <row r="785">
      <c r="A785" s="9" t="n">
        <v>675382</v>
      </c>
      <c r="B785" s="9" t="inlineStr">
        <is>
          <t>Andrew Sojka</t>
        </is>
      </c>
      <c r="C785" s="9" t="inlineStr">
        <is>
          <t>DET</t>
        </is>
      </c>
      <c r="D785" s="9" t="n">
        <v>25</v>
      </c>
      <c r="E785" s="16" t="inlineStr">
        <is>
          <t>L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1" t="n">
        <v>1</v>
      </c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7" t="n">
        <v>1</v>
      </c>
      <c r="Z785" s="13">
        <f>SUMPRODUCT(N785:Y785,$N$2:$Y$2)*$K785*$L785*$M785</f>
        <v/>
      </c>
      <c r="AA785" s="14">
        <f>SUM(N785:Y785)</f>
        <v/>
      </c>
      <c r="AB785" s="14">
        <f>IFERROR(IF(UPPER($E785)="L",SUMPRODUCT(N785:Y785,$N$3:$Y$3,$N$2:$Y$2),SUMPRODUCT(N785:Y785,$N$4:$Y$4,$N$2:$Y$2))/(Z785/($K785*$L785*$M785)),"")</f>
        <v/>
      </c>
      <c r="AC785" s="18" t="n"/>
    </row>
    <row r="786">
      <c r="A786" s="9" t="n">
        <v>691392</v>
      </c>
      <c r="B786" s="9" t="inlineStr">
        <is>
          <t>Johnny Ascanio</t>
        </is>
      </c>
      <c r="C786" s="9" t="inlineStr">
        <is>
          <t>CIN</t>
        </is>
      </c>
      <c r="D786" s="9" t="n">
        <v>25</v>
      </c>
      <c r="E786" s="16" t="inlineStr">
        <is>
          <t>S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1" t="n">
        <v>1</v>
      </c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7" t="n">
        <v>1</v>
      </c>
      <c r="Z786" s="13">
        <f>SUMPRODUCT(N786:Y786,$N$2:$Y$2)*$K786*$L786*$M786</f>
        <v/>
      </c>
      <c r="AA786" s="14">
        <f>SUM(N786:Y786)</f>
        <v/>
      </c>
      <c r="AB786" s="14">
        <f>IFERROR(IF(UPPER($E786)="L",SUMPRODUCT(N786:Y786,$N$3:$Y$3,$N$2:$Y$2),SUMPRODUCT(N786:Y786,$N$4:$Y$4,$N$2:$Y$2))/(Z786/($K786*$L786*$M786)),"")</f>
        <v/>
      </c>
      <c r="AC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1" t="n">
        <v>1</v>
      </c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7" t="n">
        <v>1</v>
      </c>
      <c r="Z787" s="13">
        <f>SUMPRODUCT(N787:Y787,$N$2:$Y$2)*$K787*$L787*$M787</f>
        <v/>
      </c>
      <c r="AA787" s="14">
        <f>SUM(N787:Y787)</f>
        <v/>
      </c>
      <c r="AB787" s="14">
        <f>IFERROR(IF(UPPER($E787)="L",SUMPRODUCT(N787:Y787,$N$3:$Y$3,$N$2:$Y$2),SUMPRODUCT(N787:Y787,$N$4:$Y$4,$N$2:$Y$2))/(Z787/($K787*$L787*$M787)),"")</f>
        <v/>
      </c>
      <c r="AC787" s="18" t="n"/>
    </row>
    <row r="788">
      <c r="A788" s="9" t="n">
        <v>821877</v>
      </c>
      <c r="B788" s="9" t="inlineStr">
        <is>
          <t>Blake Schaaf</t>
        </is>
      </c>
      <c r="C788" s="9" t="inlineStr">
        <is>
          <t>NYY</t>
        </is>
      </c>
      <c r="D788" s="9" t="n">
        <v>25</v>
      </c>
      <c r="E788" s="16" t="inlineStr">
        <is>
          <t>L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1" t="n">
        <v>1</v>
      </c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7" t="n">
        <v>1</v>
      </c>
      <c r="Z788" s="13">
        <f>SUMPRODUCT(N788:Y788,$N$2:$Y$2)*$K788*$L788*$M788</f>
        <v/>
      </c>
      <c r="AA788" s="14">
        <f>SUM(N788:Y788)</f>
        <v/>
      </c>
      <c r="AB788" s="14">
        <f>IFERROR(IF(UPPER($E788)="L",SUMPRODUCT(N788:Y788,$N$3:$Y$3,$N$2:$Y$2),SUMPRODUCT(N788:Y788,$N$4:$Y$4,$N$2:$Y$2))/(Z788/($K788*$L788*$M788)),"")</f>
        <v/>
      </c>
      <c r="AC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1" t="n">
        <v>1</v>
      </c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7" t="n">
        <v>1</v>
      </c>
      <c r="Z789" s="13">
        <f>SUMPRODUCT(N789:Y789,$N$2:$Y$2)*$K789*$L789*$M789</f>
        <v/>
      </c>
      <c r="AA789" s="14">
        <f>SUM(N789:Y789)</f>
        <v/>
      </c>
      <c r="AB789" s="14">
        <f>IFERROR(IF(UPPER($E789)="L",SUMPRODUCT(N789:Y789,$N$3:$Y$3,$N$2:$Y$2),SUMPRODUCT(N789:Y789,$N$4:$Y$4,$N$2:$Y$2))/(Z789/($K789*$L789*$M789)),"")</f>
        <v/>
      </c>
      <c r="AC789" s="18" t="n"/>
    </row>
    <row r="790">
      <c r="A790" s="9" t="n">
        <v>821791</v>
      </c>
      <c r="B790" s="9" t="inlineStr">
        <is>
          <t>Angel Brachi</t>
        </is>
      </c>
      <c r="C790" s="9" t="inlineStr">
        <is>
          <t>MIA</t>
        </is>
      </c>
      <c r="D790" s="9" t="n">
        <v>25</v>
      </c>
      <c r="E790" s="16" t="inlineStr">
        <is>
          <t>R</t>
        </is>
      </c>
      <c r="F790" s="16" t="n"/>
      <c r="G790" s="9" t="n">
        <v>2.215384615384616</v>
      </c>
      <c r="H790" s="9" t="n">
        <v>2.215384615384616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1" t="n">
        <v>1</v>
      </c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7" t="n">
        <v>1</v>
      </c>
      <c r="Z790" s="13">
        <f>SUMPRODUCT(N790:Y790,$N$2:$Y$2)*$K790*$L790*$M790</f>
        <v/>
      </c>
      <c r="AA790" s="14">
        <f>SUM(N790:Y790)</f>
        <v/>
      </c>
      <c r="AB790" s="14">
        <f>IFERROR(IF(UPPER($E790)="L",SUMPRODUCT(N790:Y790,$N$3:$Y$3,$N$2:$Y$2),SUMPRODUCT(N790:Y790,$N$4:$Y$4,$N$2:$Y$2))/(Z790/($K790*$L790*$M790)),"")</f>
        <v/>
      </c>
      <c r="AC790" s="18" t="n"/>
    </row>
    <row r="791">
      <c r="A791" s="9" t="n">
        <v>687600</v>
      </c>
      <c r="B791" s="9" t="inlineStr">
        <is>
          <t>Kaden Hopson</t>
        </is>
      </c>
      <c r="C791" s="9" t="inlineStr">
        <is>
          <t>LAA</t>
        </is>
      </c>
      <c r="D791" s="9" t="n">
        <v>25</v>
      </c>
      <c r="E791" s="16" t="inlineStr">
        <is>
          <t>L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1" t="n">
        <v>1</v>
      </c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7" t="n">
        <v>1</v>
      </c>
      <c r="Z791" s="13">
        <f>SUMPRODUCT(N791:Y791,$N$2:$Y$2)*$K791*$L791*$M791</f>
        <v/>
      </c>
      <c r="AA791" s="14">
        <f>SUM(N791:Y791)</f>
        <v/>
      </c>
      <c r="AB791" s="14">
        <f>IFERROR(IF(UPPER($E791)="L",SUMPRODUCT(N791:Y791,$N$3:$Y$3,$N$2:$Y$2),SUMPRODUCT(N791:Y791,$N$4:$Y$4,$N$2:$Y$2))/(Z791/($K791*$L791*$M791)),"")</f>
        <v/>
      </c>
      <c r="AC791" s="18" t="n"/>
    </row>
    <row r="792">
      <c r="A792" s="9" t="n">
        <v>691276</v>
      </c>
      <c r="B792" s="9" t="inlineStr">
        <is>
          <t>Luis Caicuto</t>
        </is>
      </c>
      <c r="C792" s="9" t="inlineStr">
        <is>
          <t>PHI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1" t="n">
        <v>1</v>
      </c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7" t="n">
        <v>1</v>
      </c>
      <c r="Z792" s="13">
        <f>SUMPRODUCT(N792:Y792,$N$2:$Y$2)*$K792*$L792*$M792</f>
        <v/>
      </c>
      <c r="AA792" s="14">
        <f>SUM(N792:Y792)</f>
        <v/>
      </c>
      <c r="AB792" s="14">
        <f>IFERROR(IF(UPPER($E792)="L",SUMPRODUCT(N792:Y792,$N$3:$Y$3,$N$2:$Y$2),SUMPRODUCT(N792:Y792,$N$4:$Y$4,$N$2:$Y$2))/(Z792/($K792*$L792*$M792)),"")</f>
        <v/>
      </c>
      <c r="AC792" s="18" t="n"/>
    </row>
    <row r="793">
      <c r="A793" s="9" t="n">
        <v>671748</v>
      </c>
      <c r="B793" s="9" t="inlineStr">
        <is>
          <t>Casey Yamauchi</t>
        </is>
      </c>
      <c r="C793" s="9" t="inlineStr">
        <is>
          <t>OAK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1" t="n">
        <v>1</v>
      </c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7" t="n">
        <v>1</v>
      </c>
      <c r="Z793" s="13">
        <f>SUMPRODUCT(N793:Y793,$N$2:$Y$2)*$K793*$L793*$M793</f>
        <v/>
      </c>
      <c r="AA793" s="14">
        <f>SUM(N793:Y793)</f>
        <v/>
      </c>
      <c r="AB793" s="14">
        <f>IFERROR(IF(UPPER($E793)="L",SUMPRODUCT(N793:Y793,$N$3:$Y$3,$N$2:$Y$2),SUMPRODUCT(N793:Y793,$N$4:$Y$4,$N$2:$Y$2))/(Z793/($K793*$L793*$M793)),"")</f>
        <v/>
      </c>
      <c r="AC793" s="18" t="n"/>
    </row>
    <row r="794">
      <c r="A794" s="9" t="n">
        <v>806212</v>
      </c>
      <c r="B794" s="9" t="inlineStr">
        <is>
          <t>Stone Russell</t>
        </is>
      </c>
      <c r="C794" s="9" t="inlineStr">
        <is>
          <t>KC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1" t="n">
        <v>1</v>
      </c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7" t="n">
        <v>1</v>
      </c>
      <c r="Z794" s="13">
        <f>SUMPRODUCT(N794:Y794,$N$2:$Y$2)*$K794*$L794*$M794</f>
        <v/>
      </c>
      <c r="AA794" s="14">
        <f>SUM(N794:Y794)</f>
        <v/>
      </c>
      <c r="AB794" s="14">
        <f>IFERROR(IF(UPPER($E794)="L",SUMPRODUCT(N794:Y794,$N$3:$Y$3,$N$2:$Y$2),SUMPRODUCT(N794:Y794,$N$4:$Y$4,$N$2:$Y$2))/(Z794/($K794*$L794*$M794)),"")</f>
        <v/>
      </c>
      <c r="AC794" s="18" t="n"/>
    </row>
    <row r="795">
      <c r="A795" s="9" t="n">
        <v>808368</v>
      </c>
      <c r="B795" s="9" t="inlineStr">
        <is>
          <t>Juan Sulbaran</t>
        </is>
      </c>
      <c r="C795" s="9" t="inlineStr">
        <is>
          <t>TEX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1" t="n">
        <v>1</v>
      </c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7" t="n">
        <v>1</v>
      </c>
      <c r="Z795" s="13">
        <f>SUMPRODUCT(N795:Y795,$N$2:$Y$2)*$K795*$L795*$M795</f>
        <v/>
      </c>
      <c r="AA795" s="14">
        <f>SUM(N795:Y795)</f>
        <v/>
      </c>
      <c r="AB795" s="14">
        <f>IFERROR(IF(UPPER($E795)="L",SUMPRODUCT(N795:Y795,$N$3:$Y$3,$N$2:$Y$2),SUMPRODUCT(N795:Y795,$N$4:$Y$4,$N$2:$Y$2))/(Z795/($K795*$L795*$M795)),"")</f>
        <v/>
      </c>
      <c r="AC795" s="18" t="n"/>
    </row>
    <row r="796">
      <c r="A796" s="9" t="n">
        <v>691571</v>
      </c>
      <c r="B796" s="9" t="inlineStr">
        <is>
          <t>Johan Macias</t>
        </is>
      </c>
      <c r="C796" s="9" t="inlineStr">
        <is>
          <t>LAA</t>
        </is>
      </c>
      <c r="D796" s="9" t="n">
        <v>25</v>
      </c>
      <c r="E796" s="16" t="inlineStr">
        <is>
          <t>S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1" t="n">
        <v>1</v>
      </c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7" t="n">
        <v>1</v>
      </c>
      <c r="Z796" s="13">
        <f>SUMPRODUCT(N796:Y796,$N$2:$Y$2)*$K796*$L796*$M796</f>
        <v/>
      </c>
      <c r="AA796" s="14">
        <f>SUM(N796:Y796)</f>
        <v/>
      </c>
      <c r="AB796" s="14">
        <f>IFERROR(IF(UPPER($E796)="L",SUMPRODUCT(N796:Y796,$N$3:$Y$3,$N$2:$Y$2),SUMPRODUCT(N796:Y796,$N$4:$Y$4,$N$2:$Y$2))/(Z796/($K796*$L796*$M796)),"")</f>
        <v/>
      </c>
      <c r="AC796" s="18" t="n"/>
    </row>
    <row r="797">
      <c r="A797" s="9" t="n">
        <v>681317</v>
      </c>
      <c r="B797" s="9" t="inlineStr">
        <is>
          <t>Jeremiah Boyd</t>
        </is>
      </c>
      <c r="C797" s="9" t="inlineStr">
        <is>
          <t>ARI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1" t="n">
        <v>1</v>
      </c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7" t="n">
        <v>1</v>
      </c>
      <c r="Z797" s="13">
        <f>SUMPRODUCT(N797:Y797,$N$2:$Y$2)*$K797*$L797*$M797</f>
        <v/>
      </c>
      <c r="AA797" s="14">
        <f>SUM(N797:Y797)</f>
        <v/>
      </c>
      <c r="AB797" s="14">
        <f>IFERROR(IF(UPPER($E797)="L",SUMPRODUCT(N797:Y797,$N$3:$Y$3,$N$2:$Y$2),SUMPRODUCT(N797:Y797,$N$4:$Y$4,$N$2:$Y$2))/(Z797/($K797*$L797*$M797)),"")</f>
        <v/>
      </c>
      <c r="AC797" s="18" t="n"/>
    </row>
    <row r="798">
      <c r="A798" s="9" t="n">
        <v>821790</v>
      </c>
      <c r="B798" s="9" t="inlineStr">
        <is>
          <t>Ronald Ramirez</t>
        </is>
      </c>
      <c r="C798" s="9" t="inlineStr">
        <is>
          <t>DET</t>
        </is>
      </c>
      <c r="D798" s="9" t="n">
        <v>25</v>
      </c>
      <c r="E798" s="16" t="inlineStr">
        <is>
          <t>R</t>
        </is>
      </c>
      <c r="F798" s="16" t="n"/>
      <c r="G798" s="9" t="n">
        <v>4.430769230769231</v>
      </c>
      <c r="H798" s="9" t="n">
        <v>4.430769230769231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1" t="n">
        <v>1</v>
      </c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7" t="n">
        <v>1</v>
      </c>
      <c r="Z798" s="13">
        <f>SUMPRODUCT(N798:Y798,$N$2:$Y$2)*$K798*$L798*$M798</f>
        <v/>
      </c>
      <c r="AA798" s="14">
        <f>SUM(N798:Y798)</f>
        <v/>
      </c>
      <c r="AB798" s="14">
        <f>IFERROR(IF(UPPER($E798)="L",SUMPRODUCT(N798:Y798,$N$3:$Y$3,$N$2:$Y$2),SUMPRODUCT(N798:Y798,$N$4:$Y$4,$N$2:$Y$2))/(Z798/($K798*$L798*$M798)),"")</f>
        <v/>
      </c>
      <c r="AC798" s="18" t="n"/>
    </row>
    <row r="799">
      <c r="A799" s="9" t="n">
        <v>829089</v>
      </c>
      <c r="B799" s="9" t="inlineStr">
        <is>
          <t>Romeli Espinosa</t>
        </is>
      </c>
      <c r="C799" s="9" t="inlineStr">
        <is>
          <t>PHI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1" t="n">
        <v>1</v>
      </c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7" t="n">
        <v>1</v>
      </c>
      <c r="Z799" s="13">
        <f>SUMPRODUCT(N799:Y799,$N$2:$Y$2)*$K799*$L799*$M799</f>
        <v/>
      </c>
      <c r="AA799" s="14">
        <f>SUM(N799:Y799)</f>
        <v/>
      </c>
      <c r="AB799" s="14">
        <f>IFERROR(IF(UPPER($E799)="L",SUMPRODUCT(N799:Y799,$N$3:$Y$3,$N$2:$Y$2),SUMPRODUCT(N799:Y799,$N$4:$Y$4,$N$2:$Y$2))/(Z799/($K799*$L799*$M799)),"")</f>
        <v/>
      </c>
      <c r="AC799" s="18" t="n"/>
    </row>
    <row r="800">
      <c r="A800" s="9" t="n">
        <v>695494</v>
      </c>
      <c r="B800" s="9" t="inlineStr">
        <is>
          <t>Kevin Bazzell</t>
        </is>
      </c>
      <c r="C800" s="9" t="inlineStr">
        <is>
          <t>WSH</t>
        </is>
      </c>
      <c r="D800" s="9" t="n">
        <v>25</v>
      </c>
      <c r="E800" s="16" t="inlineStr">
        <is>
          <t>R</t>
        </is>
      </c>
      <c r="F800" s="16" t="n"/>
      <c r="G800" s="9" t="n">
        <v>19.38461538461538</v>
      </c>
      <c r="H800" s="9" t="n">
        <v>19.38461538461538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1" t="n">
        <v>1</v>
      </c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7" t="n">
        <v>1</v>
      </c>
      <c r="Z800" s="13">
        <f>SUMPRODUCT(N800:Y800,$N$2:$Y$2)*$K800*$L800*$M800</f>
        <v/>
      </c>
      <c r="AA800" s="14">
        <f>SUM(N800:Y800)</f>
        <v/>
      </c>
      <c r="AB800" s="14">
        <f>IFERROR(IF(UPPER($E800)="L",SUMPRODUCT(N800:Y800,$N$3:$Y$3,$N$2:$Y$2),SUMPRODUCT(N800:Y800,$N$4:$Y$4,$N$2:$Y$2))/(Z800/($K800*$L800*$M800)),"")</f>
        <v/>
      </c>
      <c r="AC800" s="18" t="n"/>
    </row>
    <row r="801">
      <c r="A801" s="9" t="n">
        <v>814362</v>
      </c>
      <c r="B801" s="9" t="inlineStr">
        <is>
          <t>Alberto Rios</t>
        </is>
      </c>
      <c r="C801" s="9" t="inlineStr">
        <is>
          <t>LAA</t>
        </is>
      </c>
      <c r="D801" s="9" t="n">
        <v>25</v>
      </c>
      <c r="E801" s="16" t="inlineStr">
        <is>
          <t>R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1" t="n">
        <v>1</v>
      </c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7" t="n">
        <v>1</v>
      </c>
      <c r="Z801" s="13">
        <f>SUMPRODUCT(N801:Y801,$N$2:$Y$2)*$K801*$L801*$M801</f>
        <v/>
      </c>
      <c r="AA801" s="14">
        <f>SUM(N801:Y801)</f>
        <v/>
      </c>
      <c r="AB801" s="14">
        <f>IFERROR(IF(UPPER($E801)="L",SUMPRODUCT(N801:Y801,$N$3:$Y$3,$N$2:$Y$2),SUMPRODUCT(N801:Y801,$N$4:$Y$4,$N$2:$Y$2))/(Z801/($K801*$L801*$M801)),"")</f>
        <v/>
      </c>
      <c r="AC801" s="18" t="n"/>
    </row>
    <row r="802">
      <c r="A802" s="9" t="n">
        <v>812430</v>
      </c>
      <c r="B802" s="9" t="inlineStr">
        <is>
          <t>Heriberto Caraballo</t>
        </is>
      </c>
      <c r="C802" s="9" t="inlineStr">
        <is>
          <t>STL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1" t="n">
        <v>1</v>
      </c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7" t="n">
        <v>1</v>
      </c>
      <c r="Z802" s="13">
        <f>SUMPRODUCT(N802:Y802,$N$2:$Y$2)*$K802*$L802*$M802</f>
        <v/>
      </c>
      <c r="AA802" s="14">
        <f>SUM(N802:Y802)</f>
        <v/>
      </c>
      <c r="AB802" s="14">
        <f>IFERROR(IF(UPPER($E802)="L",SUMPRODUCT(N802:Y802,$N$3:$Y$3,$N$2:$Y$2),SUMPRODUCT(N802:Y802,$N$4:$Y$4,$N$2:$Y$2))/(Z802/($K802*$L802*$M802)),"")</f>
        <v/>
      </c>
      <c r="AC802" s="18" t="n"/>
    </row>
    <row r="803">
      <c r="A803" s="9" t="n">
        <v>800643</v>
      </c>
      <c r="B803" s="9" t="inlineStr">
        <is>
          <t>Ty Hanchey</t>
        </is>
      </c>
      <c r="C803" s="9" t="inlineStr">
        <is>
          <t>SF</t>
        </is>
      </c>
      <c r="D803" s="9" t="n">
        <v>25</v>
      </c>
      <c r="E803" s="16" t="inlineStr">
        <is>
          <t>L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1" t="n">
        <v>1</v>
      </c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7" t="n">
        <v>1</v>
      </c>
      <c r="Z803" s="13">
        <f>SUMPRODUCT(N803:Y803,$N$2:$Y$2)*$K803*$L803*$M803</f>
        <v/>
      </c>
      <c r="AA803" s="14">
        <f>SUM(N803:Y803)</f>
        <v/>
      </c>
      <c r="AB803" s="14">
        <f>IFERROR(IF(UPPER($E803)="L",SUMPRODUCT(N803:Y803,$N$3:$Y$3,$N$2:$Y$2),SUMPRODUCT(N803:Y803,$N$4:$Y$4,$N$2:$Y$2))/(Z803/($K803*$L803*$M803)),"")</f>
        <v/>
      </c>
      <c r="AC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inlineStr">
        <is>
          <t>RF</t>
        </is>
      </c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1" t="n">
        <v>1.15</v>
      </c>
      <c r="N804" s="17" t="n">
        <v>1</v>
      </c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7" t="n"/>
      <c r="Z804" s="13">
        <f>SUMPRODUCT(N804:Y804,$N$2:$Y$2)*$K804*$L804*$M804</f>
        <v/>
      </c>
      <c r="AA804" s="14">
        <f>SUM(N804:Y804)</f>
        <v/>
      </c>
      <c r="AB804" s="14">
        <f>IFERROR(IF(UPPER($E804)="L",SUMPRODUCT(N804:Y804,$N$3:$Y$3,$N$2:$Y$2),SUMPRODUCT(N804:Y804,$N$4:$Y$4,$N$2:$Y$2))/(Z804/($K804*$L804*$M804)),"")</f>
        <v/>
      </c>
      <c r="AC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1" t="n">
        <v>1</v>
      </c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7" t="n">
        <v>1</v>
      </c>
      <c r="Z805" s="13">
        <f>SUMPRODUCT(N805:Y805,$N$2:$Y$2)*$K805*$L805*$M805</f>
        <v/>
      </c>
      <c r="AA805" s="14">
        <f>SUM(N805:Y805)</f>
        <v/>
      </c>
      <c r="AB805" s="14">
        <f>IFERROR(IF(UPPER($E805)="L",SUMPRODUCT(N805:Y805,$N$3:$Y$3,$N$2:$Y$2),SUMPRODUCT(N805:Y805,$N$4:$Y$4,$N$2:$Y$2))/(Z805/($K805*$L805*$M805)),"")</f>
        <v/>
      </c>
      <c r="AC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1" t="n">
        <v>1</v>
      </c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7" t="n">
        <v>1</v>
      </c>
      <c r="Z806" s="13">
        <f>SUMPRODUCT(N806:Y806,$N$2:$Y$2)*$K806*$L806*$M806</f>
        <v/>
      </c>
      <c r="AA806" s="14">
        <f>SUM(N806:Y806)</f>
        <v/>
      </c>
      <c r="AB806" s="14">
        <f>IFERROR(IF(UPPER($E806)="L",SUMPRODUCT(N806:Y806,$N$3:$Y$3,$N$2:$Y$2),SUMPRODUCT(N806:Y806,$N$4:$Y$4,$N$2:$Y$2))/(Z806/($K806*$L806*$M806)),"")</f>
        <v/>
      </c>
      <c r="AC806" s="18" t="n"/>
    </row>
    <row r="807">
      <c r="A807" s="9" t="n">
        <v>814452</v>
      </c>
      <c r="B807" s="9" t="inlineStr">
        <is>
          <t>Anthony Martinez</t>
        </is>
      </c>
      <c r="C807" s="9" t="inlineStr">
        <is>
          <t>CLE</t>
        </is>
      </c>
      <c r="D807" s="9" t="n">
        <v>25</v>
      </c>
      <c r="E807" s="16" t="inlineStr">
        <is>
          <t>L</t>
        </is>
      </c>
      <c r="F807" s="16" t="n"/>
      <c r="G807" s="9" t="n">
        <v>35.48717948717949</v>
      </c>
      <c r="H807" s="9" t="n">
        <v>35.48717948717949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1" t="n">
        <v>1</v>
      </c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7" t="n">
        <v>1</v>
      </c>
      <c r="Z807" s="13">
        <f>SUMPRODUCT(N807:Y807,$N$2:$Y$2)*$K807*$L807*$M807</f>
        <v/>
      </c>
      <c r="AA807" s="14">
        <f>SUM(N807:Y807)</f>
        <v/>
      </c>
      <c r="AB807" s="14">
        <f>IFERROR(IF(UPPER($E807)="L",SUMPRODUCT(N807:Y807,$N$3:$Y$3,$N$2:$Y$2),SUMPRODUCT(N807:Y807,$N$4:$Y$4,$N$2:$Y$2))/(Z807/($K807*$L807*$M807)),"")</f>
        <v/>
      </c>
      <c r="AC807" s="18" t="n"/>
    </row>
    <row r="808">
      <c r="A808" s="9" t="n">
        <v>808793</v>
      </c>
      <c r="B808" s="9" t="inlineStr">
        <is>
          <t>Henry Kaczmar</t>
        </is>
      </c>
      <c r="C808" s="9" t="inlineStr">
        <is>
          <t>SEA</t>
        </is>
      </c>
      <c r="D808" s="9" t="n">
        <v>25</v>
      </c>
      <c r="E808" s="16" t="inlineStr">
        <is>
          <t>L</t>
        </is>
      </c>
      <c r="F808" s="16" t="n"/>
      <c r="G808" s="9" t="n">
        <v>2.461538461538462</v>
      </c>
      <c r="H808" s="9" t="n">
        <v>2.461538461538462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1" t="n">
        <v>1</v>
      </c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7" t="n">
        <v>1</v>
      </c>
      <c r="Z808" s="13">
        <f>SUMPRODUCT(N808:Y808,$N$2:$Y$2)*$K808*$L808*$M808</f>
        <v/>
      </c>
      <c r="AA808" s="14">
        <f>SUM(N808:Y808)</f>
        <v/>
      </c>
      <c r="AB808" s="14">
        <f>IFERROR(IF(UPPER($E808)="L",SUMPRODUCT(N808:Y808,$N$3:$Y$3,$N$2:$Y$2),SUMPRODUCT(N808:Y808,$N$4:$Y$4,$N$2:$Y$2))/(Z808/($K808*$L808*$M808)),"")</f>
        <v/>
      </c>
      <c r="AC808" s="18" t="n"/>
    </row>
    <row r="809">
      <c r="A809" s="9" t="n">
        <v>408234</v>
      </c>
      <c r="B809" s="9" t="inlineStr">
        <is>
          <t>Miguel Cabrera</t>
        </is>
      </c>
      <c r="C809" s="9" t="inlineStr">
        <is>
          <t>DET</t>
        </is>
      </c>
      <c r="D809" s="9" t="n">
        <v>44</v>
      </c>
      <c r="E809" s="16" t="inlineStr">
        <is>
          <t>R</t>
        </is>
      </c>
      <c r="F809" s="16" t="inlineStr">
        <is>
          <t>1B</t>
        </is>
      </c>
      <c r="G809" s="9" t="n">
        <v>370</v>
      </c>
      <c r="H809" s="9" t="n">
        <v>803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1" t="n">
        <v>1</v>
      </c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7" t="n">
        <v>1</v>
      </c>
      <c r="Z809" s="13">
        <f>SUMPRODUCT(N809:Y809,$N$2:$Y$2)*$K809*$L809*$M809</f>
        <v/>
      </c>
      <c r="AA809" s="14">
        <f>SUM(N809:Y809)</f>
        <v/>
      </c>
      <c r="AB809" s="14">
        <f>IFERROR(IF(UPPER($E809)="L",SUMPRODUCT(N809:Y809,$N$3:$Y$3,$N$2:$Y$2),SUMPRODUCT(N809:Y809,$N$4:$Y$4,$N$2:$Y$2))/(Z809/($K809*$L809*$M809)),"")</f>
        <v/>
      </c>
      <c r="AC809" s="18" t="n"/>
    </row>
    <row r="810">
      <c r="A810" s="9" t="n">
        <v>642197</v>
      </c>
      <c r="B810" s="9" t="inlineStr">
        <is>
          <t>Jamie Westbrook</t>
        </is>
      </c>
      <c r="C810" s="9" t="inlineStr">
        <is>
          <t>BOS</t>
        </is>
      </c>
      <c r="D810" s="9" t="n">
        <v>32</v>
      </c>
      <c r="E810" s="16" t="inlineStr">
        <is>
          <t>R</t>
        </is>
      </c>
      <c r="F810" s="16" t="inlineStr">
        <is>
          <t>2B</t>
        </is>
      </c>
      <c r="G810" s="9" t="n">
        <v>48</v>
      </c>
      <c r="H810" s="9" t="n">
        <v>48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1" t="n">
        <v>1</v>
      </c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7" t="n">
        <v>1</v>
      </c>
      <c r="Z810" s="13">
        <f>SUMPRODUCT(N810:Y810,$N$2:$Y$2)*$K810*$L810*$M810</f>
        <v/>
      </c>
      <c r="AA810" s="14">
        <f>SUM(N810:Y810)</f>
        <v/>
      </c>
      <c r="AB810" s="14">
        <f>IFERROR(IF(UPPER($E810)="L",SUMPRODUCT(N810:Y810,$N$3:$Y$3,$N$2:$Y$2),SUMPRODUCT(N810:Y810,$N$4:$Y$4,$N$2:$Y$2))/(Z810/($K810*$L810*$M810)),"")</f>
        <v/>
      </c>
      <c r="AC810" s="18" t="n"/>
    </row>
    <row r="811">
      <c r="A811" s="9" t="n">
        <v>702668</v>
      </c>
      <c r="B811" s="9" t="inlineStr">
        <is>
          <t>Korbyn Dickerson</t>
        </is>
      </c>
      <c r="C811" s="9" t="inlineStr">
        <is>
          <t>SEA</t>
        </is>
      </c>
      <c r="D811" s="9" t="n">
        <v>25</v>
      </c>
      <c r="E811" s="16" t="inlineStr">
        <is>
          <t>R</t>
        </is>
      </c>
      <c r="F811" s="16" t="n"/>
      <c r="G811" s="9" t="n">
        <v>26.87179487179488</v>
      </c>
      <c r="H811" s="9" t="n">
        <v>26.87179487179488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1" t="n">
        <v>1</v>
      </c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7" t="n">
        <v>1</v>
      </c>
      <c r="Z811" s="13">
        <f>SUMPRODUCT(N811:Y811,$N$2:$Y$2)*$K811*$L811*$M811</f>
        <v/>
      </c>
      <c r="AA811" s="14">
        <f>SUM(N811:Y811)</f>
        <v/>
      </c>
      <c r="AB811" s="14">
        <f>IFERROR(IF(UPPER($E811)="L",SUMPRODUCT(N811:Y811,$N$3:$Y$3,$N$2:$Y$2),SUMPRODUCT(N811:Y811,$N$4:$Y$4,$N$2:$Y$2))/(Z811/($K811*$L811*$M811)),"")</f>
        <v/>
      </c>
      <c r="AC811" s="18" t="n"/>
    </row>
    <row r="812">
      <c r="A812" s="9" t="n">
        <v>808067</v>
      </c>
      <c r="B812" s="9" t="inlineStr">
        <is>
          <t>Branny De Oleo</t>
        </is>
      </c>
      <c r="C812" s="9" t="inlineStr">
        <is>
          <t>NYM</t>
        </is>
      </c>
      <c r="D812" s="9" t="n">
        <v>25</v>
      </c>
      <c r="E812" s="16" t="inlineStr">
        <is>
          <t>R</t>
        </is>
      </c>
      <c r="F812" s="16" t="n"/>
      <c r="G812" s="9" t="n">
        <v>2.512820512820513</v>
      </c>
      <c r="H812" s="9" t="n">
        <v>2.512820512820513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1" t="n">
        <v>1</v>
      </c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7" t="n">
        <v>1</v>
      </c>
      <c r="Z812" s="13">
        <f>SUMPRODUCT(N812:Y812,$N$2:$Y$2)*$K812*$L812*$M812</f>
        <v/>
      </c>
      <c r="AA812" s="14">
        <f>SUM(N812:Y812)</f>
        <v/>
      </c>
      <c r="AB812" s="14">
        <f>IFERROR(IF(UPPER($E812)="L",SUMPRODUCT(N812:Y812,$N$3:$Y$3,$N$2:$Y$2),SUMPRODUCT(N812:Y812,$N$4:$Y$4,$N$2:$Y$2))/(Z812/($K812*$L812*$M812)),"")</f>
        <v/>
      </c>
      <c r="AC812" s="18" t="n"/>
    </row>
    <row r="813">
      <c r="A813" s="9" t="n">
        <v>656821</v>
      </c>
      <c r="B813" s="9" t="inlineStr">
        <is>
          <t>Kevin Padlo</t>
        </is>
      </c>
      <c r="C813" s="9" t="inlineStr">
        <is>
          <t>PIT</t>
        </is>
      </c>
      <c r="D813" s="9" t="n">
        <v>30</v>
      </c>
      <c r="E813" s="16" t="inlineStr">
        <is>
          <t>R</t>
        </is>
      </c>
      <c r="F813" s="16" t="inlineStr">
        <is>
          <t>1B</t>
        </is>
      </c>
      <c r="G813" s="9" t="n">
        <v>8</v>
      </c>
      <c r="H813" s="9" t="n">
        <v>42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1" t="n">
        <v>1</v>
      </c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7" t="n">
        <v>1</v>
      </c>
      <c r="Z813" s="13">
        <f>SUMPRODUCT(N813:Y813,$N$2:$Y$2)*$K813*$L813*$M813</f>
        <v/>
      </c>
      <c r="AA813" s="14">
        <f>SUM(N813:Y813)</f>
        <v/>
      </c>
      <c r="AB813" s="14">
        <f>IFERROR(IF(UPPER($E813)="L",SUMPRODUCT(N813:Y813,$N$3:$Y$3,$N$2:$Y$2),SUMPRODUCT(N813:Y813,$N$4:$Y$4,$N$2:$Y$2))/(Z813/($K813*$L813*$M813)),"")</f>
        <v/>
      </c>
      <c r="AC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1" t="n">
        <v>1</v>
      </c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7" t="n">
        <v>1</v>
      </c>
      <c r="Z814" s="13">
        <f>SUMPRODUCT(N814:Y814,$N$2:$Y$2)*$K814*$L814*$M814</f>
        <v/>
      </c>
      <c r="AA814" s="14">
        <f>SUM(N814:Y814)</f>
        <v/>
      </c>
      <c r="AB814" s="14">
        <f>IFERROR(IF(UPPER($E814)="L",SUMPRODUCT(N814:Y814,$N$3:$Y$3,$N$2:$Y$2),SUMPRODUCT(N814:Y814,$N$4:$Y$4,$N$2:$Y$2))/(Z814/($K814*$L814*$M814)),"")</f>
        <v/>
      </c>
      <c r="AC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1" t="n">
        <v>1</v>
      </c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7" t="n">
        <v>1</v>
      </c>
      <c r="Z815" s="13">
        <f>SUMPRODUCT(N815:Y815,$N$2:$Y$2)*$K815*$L815*$M815</f>
        <v/>
      </c>
      <c r="AA815" s="14">
        <f>SUM(N815:Y815)</f>
        <v/>
      </c>
      <c r="AB815" s="14">
        <f>IFERROR(IF(UPPER($E815)="L",SUMPRODUCT(N815:Y815,$N$3:$Y$3,$N$2:$Y$2),SUMPRODUCT(N815:Y815,$N$4:$Y$4,$N$2:$Y$2))/(Z815/($K815*$L815*$M815)),"")</f>
        <v/>
      </c>
      <c r="AC815" s="18" t="n"/>
    </row>
    <row r="816">
      <c r="A816" s="9" t="n">
        <v>822518</v>
      </c>
      <c r="B816" s="9" t="inlineStr">
        <is>
          <t>Vahn Lackey</t>
        </is>
      </c>
      <c r="C816" s="9" t="inlineStr">
        <is>
          <t>MIN</t>
        </is>
      </c>
      <c r="D816" s="9" t="n">
        <v>25</v>
      </c>
      <c r="E816" s="16" t="inlineStr">
        <is>
          <t>R</t>
        </is>
      </c>
      <c r="F816" s="16" t="n"/>
      <c r="G816" s="9" t="n">
        <v>10.66666666666667</v>
      </c>
      <c r="H816" s="9" t="n">
        <v>10.66666666666667</v>
      </c>
      <c r="I816" s="9" t="inlineStr">
        <is>
          <t>Depth (no MLB PA)</t>
        </is>
      </c>
      <c r="J816" s="16" t="inlineStr">
        <is>
          <t>Late Season (~Sept)</t>
        </is>
      </c>
      <c r="K816" s="11">
        <f>IFERROR(INDEX(Roles!$B$17:$B$20,MATCH(J816,Roles!$A$17:$A$20,0)),1)</f>
        <v/>
      </c>
      <c r="L816" s="17" t="n">
        <v>1</v>
      </c>
      <c r="M816" s="11" t="n">
        <v>1</v>
      </c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7" t="n">
        <v>1</v>
      </c>
      <c r="Z816" s="13">
        <f>SUMPRODUCT(N816:Y816,$N$2:$Y$2)*$K816*$L816*$M816</f>
        <v/>
      </c>
      <c r="AA816" s="14">
        <f>SUM(N816:Y816)</f>
        <v/>
      </c>
      <c r="AB816" s="14">
        <f>IFERROR(IF(UPPER($E816)="L",SUMPRODUCT(N816:Y816,$N$3:$Y$3,$N$2:$Y$2),SUMPRODUCT(N816:Y816,$N$4:$Y$4,$N$2:$Y$2))/(Z816/($K816*$L816*$M816)),"")</f>
        <v/>
      </c>
      <c r="AC816" s="18" t="n"/>
    </row>
    <row r="817">
      <c r="A817" s="9" t="n">
        <v>699228</v>
      </c>
      <c r="B817" s="9" t="inlineStr">
        <is>
          <t>Jakey Josepha</t>
        </is>
      </c>
      <c r="C817" s="9" t="inlineStr">
        <is>
          <t>ARI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1" t="n">
        <v>1</v>
      </c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7" t="n">
        <v>1</v>
      </c>
      <c r="Z817" s="13">
        <f>SUMPRODUCT(N817:Y817,$N$2:$Y$2)*$K817*$L817*$M817</f>
        <v/>
      </c>
      <c r="AA817" s="14">
        <f>SUM(N817:Y817)</f>
        <v/>
      </c>
      <c r="AB817" s="14">
        <f>IFERROR(IF(UPPER($E817)="L",SUMPRODUCT(N817:Y817,$N$3:$Y$3,$N$2:$Y$2),SUMPRODUCT(N817:Y817,$N$4:$Y$4,$N$2:$Y$2))/(Z817/($K817*$L817*$M817)),"")</f>
        <v/>
      </c>
      <c r="AC817" s="18" t="n"/>
    </row>
    <row r="818">
      <c r="A818" s="9" t="n">
        <v>829073</v>
      </c>
      <c r="B818" s="9" t="inlineStr">
        <is>
          <t>Brailyn Antunez</t>
        </is>
      </c>
      <c r="C818" s="9" t="inlineStr">
        <is>
          <t>MIL</t>
        </is>
      </c>
      <c r="D818" s="9" t="n">
        <v>25</v>
      </c>
      <c r="E818" s="16" t="inlineStr">
        <is>
          <t>R</t>
        </is>
      </c>
      <c r="F818" s="16" t="n"/>
      <c r="G818" s="9" t="n">
        <v>17.35384615384615</v>
      </c>
      <c r="H818" s="9" t="n">
        <v>17.35384615384615</v>
      </c>
      <c r="I818" s="9" t="inlineStr">
        <is>
          <t>Depth (no MLB PA)</t>
        </is>
      </c>
      <c r="J818" s="16" t="inlineStr">
        <is>
          <t>Late Season (~Sept)</t>
        </is>
      </c>
      <c r="K818" s="11">
        <f>IFERROR(INDEX(Roles!$B$17:$B$20,MATCH(J818,Roles!$A$17:$A$20,0)),1)</f>
        <v/>
      </c>
      <c r="L818" s="17" t="n">
        <v>1</v>
      </c>
      <c r="M818" s="11" t="n">
        <v>1</v>
      </c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7" t="n">
        <v>1</v>
      </c>
      <c r="Z818" s="13">
        <f>SUMPRODUCT(N818:Y818,$N$2:$Y$2)*$K818*$L818*$M818</f>
        <v/>
      </c>
      <c r="AA818" s="14">
        <f>SUM(N818:Y818)</f>
        <v/>
      </c>
      <c r="AB818" s="14">
        <f>IFERROR(IF(UPPER($E818)="L",SUMPRODUCT(N818:Y818,$N$3:$Y$3,$N$2:$Y$2),SUMPRODUCT(N818:Y818,$N$4:$Y$4,$N$2:$Y$2))/(Z818/($K818*$L818*$M818)),"")</f>
        <v/>
      </c>
      <c r="AC818" s="18" t="n"/>
    </row>
    <row r="819">
      <c r="A819" s="9" t="n">
        <v>821648</v>
      </c>
      <c r="B819" s="9" t="inlineStr">
        <is>
          <t>Wilberson De Pena</t>
        </is>
      </c>
      <c r="C819" s="9" t="inlineStr">
        <is>
          <t>NYY</t>
        </is>
      </c>
      <c r="D819" s="9" t="n">
        <v>25</v>
      </c>
      <c r="E819" s="16" t="inlineStr">
        <is>
          <t>R</t>
        </is>
      </c>
      <c r="F819" s="16" t="n"/>
      <c r="G819" s="9" t="n">
        <v>11.07692307692308</v>
      </c>
      <c r="H819" s="9" t="n">
        <v>11.07692307692308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1" t="n">
        <v>1</v>
      </c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7" t="n">
        <v>1</v>
      </c>
      <c r="Z819" s="13">
        <f>SUMPRODUCT(N819:Y819,$N$2:$Y$2)*$K819*$L819*$M819</f>
        <v/>
      </c>
      <c r="AA819" s="14">
        <f>SUM(N819:Y819)</f>
        <v/>
      </c>
      <c r="AB819" s="14">
        <f>IFERROR(IF(UPPER($E819)="L",SUMPRODUCT(N819:Y819,$N$3:$Y$3,$N$2:$Y$2),SUMPRODUCT(N819:Y819,$N$4:$Y$4,$N$2:$Y$2))/(Z819/($K819*$L819*$M819)),"")</f>
        <v/>
      </c>
      <c r="AC819" s="18" t="n"/>
    </row>
    <row r="820">
      <c r="A820" s="9" t="n">
        <v>806499</v>
      </c>
      <c r="B820" s="9" t="inlineStr">
        <is>
          <t>Avery Ortiz</t>
        </is>
      </c>
      <c r="C820" s="9" t="inlineStr">
        <is>
          <t>WSH</t>
        </is>
      </c>
      <c r="D820" s="9" t="n">
        <v>25</v>
      </c>
      <c r="E820" s="16" t="inlineStr">
        <is>
          <t>R</t>
        </is>
      </c>
      <c r="F820" s="16" t="n"/>
      <c r="G820" s="9" t="n">
        <v>8.861538461538462</v>
      </c>
      <c r="H820" s="9" t="n">
        <v>8.861538461538462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1" t="n">
        <v>1</v>
      </c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7" t="n">
        <v>1</v>
      </c>
      <c r="Z820" s="13">
        <f>SUMPRODUCT(N820:Y820,$N$2:$Y$2)*$K820*$L820*$M820</f>
        <v/>
      </c>
      <c r="AA820" s="14">
        <f>SUM(N820:Y820)</f>
        <v/>
      </c>
      <c r="AB820" s="14">
        <f>IFERROR(IF(UPPER($E820)="L",SUMPRODUCT(N820:Y820,$N$3:$Y$3,$N$2:$Y$2),SUMPRODUCT(N820:Y820,$N$4:$Y$4,$N$2:$Y$2))/(Z820/($K820*$L820*$M820)),"")</f>
        <v/>
      </c>
      <c r="AC820" s="18" t="n"/>
    </row>
    <row r="821">
      <c r="A821" s="9" t="n">
        <v>690944</v>
      </c>
      <c r="B821" s="9" t="inlineStr">
        <is>
          <t>Curtis Washington Jr.</t>
        </is>
      </c>
      <c r="C821" s="9" t="inlineStr">
        <is>
          <t>SEA</t>
        </is>
      </c>
      <c r="D821" s="9" t="n">
        <v>25</v>
      </c>
      <c r="E821" s="16" t="inlineStr">
        <is>
          <t>R</t>
        </is>
      </c>
      <c r="F821" s="16" t="n"/>
      <c r="G821" s="9" t="n">
        <v>38.97435897435898</v>
      </c>
      <c r="H821" s="9" t="n">
        <v>38.97435897435898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1" t="n">
        <v>1</v>
      </c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7" t="n">
        <v>1</v>
      </c>
      <c r="Z821" s="13">
        <f>SUMPRODUCT(N821:Y821,$N$2:$Y$2)*$K821*$L821*$M821</f>
        <v/>
      </c>
      <c r="AA821" s="14">
        <f>SUM(N821:Y821)</f>
        <v/>
      </c>
      <c r="AB821" s="14">
        <f>IFERROR(IF(UPPER($E821)="L",SUMPRODUCT(N821:Y821,$N$3:$Y$3,$N$2:$Y$2),SUMPRODUCT(N821:Y821,$N$4:$Y$4,$N$2:$Y$2))/(Z821/($K821*$L821*$M821)),"")</f>
        <v/>
      </c>
      <c r="AC821" s="18" t="n"/>
    </row>
    <row r="822">
      <c r="A822" s="9" t="n">
        <v>821920</v>
      </c>
      <c r="B822" s="9" t="inlineStr">
        <is>
          <t>Kuhio Aloy</t>
        </is>
      </c>
      <c r="C822" s="9" t="inlineStr">
        <is>
          <t>NYM</t>
        </is>
      </c>
      <c r="D822" s="9" t="n">
        <v>25</v>
      </c>
      <c r="E822" s="16" t="inlineStr">
        <is>
          <t>R</t>
        </is>
      </c>
      <c r="F822" s="16" t="n"/>
      <c r="G822" s="9" t="n">
        <v>11.07692307692308</v>
      </c>
      <c r="H822" s="9" t="n">
        <v>11.07692307692308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1" t="n">
        <v>1</v>
      </c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7" t="n">
        <v>1</v>
      </c>
      <c r="Z822" s="13">
        <f>SUMPRODUCT(N822:Y822,$N$2:$Y$2)*$K822*$L822*$M822</f>
        <v/>
      </c>
      <c r="AA822" s="14">
        <f>SUM(N822:Y822)</f>
        <v/>
      </c>
      <c r="AB822" s="14">
        <f>IFERROR(IF(UPPER($E822)="L",SUMPRODUCT(N822:Y822,$N$3:$Y$3,$N$2:$Y$2),SUMPRODUCT(N822:Y822,$N$4:$Y$4,$N$2:$Y$2))/(Z822/($K822*$L822*$M822)),"")</f>
        <v/>
      </c>
      <c r="AC822" s="18" t="n"/>
    </row>
    <row r="823">
      <c r="A823" s="9" t="n">
        <v>831546</v>
      </c>
      <c r="B823" s="9" t="inlineStr">
        <is>
          <t>Kyeler Thompson</t>
        </is>
      </c>
      <c r="C823" s="9" t="inlineStr">
        <is>
          <t>LAD</t>
        </is>
      </c>
      <c r="D823" s="9" t="n">
        <v>25</v>
      </c>
      <c r="E823" s="16" t="inlineStr">
        <is>
          <t>R</t>
        </is>
      </c>
      <c r="F823" s="16" t="n"/>
      <c r="G823" s="9" t="n">
        <v>2.584615384615385</v>
      </c>
      <c r="H823" s="9" t="n">
        <v>2.584615384615385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1" t="n">
        <v>1</v>
      </c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7" t="n">
        <v>1</v>
      </c>
      <c r="Z823" s="13">
        <f>SUMPRODUCT(N823:Y823,$N$2:$Y$2)*$K823*$L823*$M823</f>
        <v/>
      </c>
      <c r="AA823" s="14">
        <f>SUM(N823:Y823)</f>
        <v/>
      </c>
      <c r="AB823" s="14">
        <f>IFERROR(IF(UPPER($E823)="L",SUMPRODUCT(N823:Y823,$N$3:$Y$3,$N$2:$Y$2),SUMPRODUCT(N823:Y823,$N$4:$Y$4,$N$2:$Y$2))/(Z823/($K823*$L823*$M823)),"")</f>
        <v/>
      </c>
      <c r="AC823" s="18" t="n"/>
    </row>
    <row r="824">
      <c r="A824" s="9" t="n">
        <v>800526</v>
      </c>
      <c r="B824" s="9" t="inlineStr">
        <is>
          <t>Ivan Sosa</t>
        </is>
      </c>
      <c r="C824" s="9" t="inlineStr">
        <is>
          <t>KC</t>
        </is>
      </c>
      <c r="D824" s="9" t="n">
        <v>25</v>
      </c>
      <c r="E824" s="16" t="inlineStr">
        <is>
          <t>R</t>
        </is>
      </c>
      <c r="F824" s="16" t="n"/>
      <c r="G824" s="9" t="n">
        <v>19.32307692307692</v>
      </c>
      <c r="H824" s="9" t="n">
        <v>19.32307692307692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1" t="n">
        <v>1</v>
      </c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7" t="n">
        <v>1</v>
      </c>
      <c r="Z824" s="13">
        <f>SUMPRODUCT(N824:Y824,$N$2:$Y$2)*$K824*$L824*$M824</f>
        <v/>
      </c>
      <c r="AA824" s="14">
        <f>SUM(N824:Y824)</f>
        <v/>
      </c>
      <c r="AB824" s="14">
        <f>IFERROR(IF(UPPER($E824)="L",SUMPRODUCT(N824:Y824,$N$3:$Y$3,$N$2:$Y$2),SUMPRODUCT(N824:Y824,$N$4:$Y$4,$N$2:$Y$2))/(Z824/($K824*$L824*$M824)),"")</f>
        <v/>
      </c>
      <c r="AC824" s="18" t="n"/>
    </row>
    <row r="825">
      <c r="A825" s="9" t="n">
        <v>805785</v>
      </c>
      <c r="B825" s="9" t="inlineStr">
        <is>
          <t>Ryder Helfrick</t>
        </is>
      </c>
      <c r="C825" s="9" t="inlineStr">
        <is>
          <t>ARI</t>
        </is>
      </c>
      <c r="D825" s="9" t="n">
        <v>25</v>
      </c>
      <c r="E825" s="16" t="inlineStr">
        <is>
          <t>R</t>
        </is>
      </c>
      <c r="F825" s="16" t="n"/>
      <c r="G825" s="9" t="n">
        <v>13.16923076923077</v>
      </c>
      <c r="H825" s="9" t="n">
        <v>13.16923076923077</v>
      </c>
      <c r="I825" s="9" t="inlineStr">
        <is>
          <t>Depth (no MLB PA)</t>
        </is>
      </c>
      <c r="J825" s="16" t="inlineStr">
        <is>
          <t>Late Season (~Sept)</t>
        </is>
      </c>
      <c r="K825" s="11">
        <f>IFERROR(INDEX(Roles!$B$17:$B$20,MATCH(J825,Roles!$A$17:$A$20,0)),1)</f>
        <v/>
      </c>
      <c r="L825" s="17" t="n">
        <v>1</v>
      </c>
      <c r="M825" s="11" t="n">
        <v>1</v>
      </c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7" t="n">
        <v>1</v>
      </c>
      <c r="Z825" s="13">
        <f>SUMPRODUCT(N825:Y825,$N$2:$Y$2)*$K825*$L825*$M825</f>
        <v/>
      </c>
      <c r="AA825" s="14">
        <f>SUM(N825:Y825)</f>
        <v/>
      </c>
      <c r="AB825" s="14">
        <f>IFERROR(IF(UPPER($E825)="L",SUMPRODUCT(N825:Y825,$N$3:$Y$3,$N$2:$Y$2),SUMPRODUCT(N825:Y825,$N$4:$Y$4,$N$2:$Y$2))/(Z825/($K825*$L825*$M825)),"")</f>
        <v/>
      </c>
      <c r="AC825" s="18" t="n"/>
    </row>
    <row r="826">
      <c r="A826" s="9" t="n">
        <v>808263</v>
      </c>
      <c r="B826" s="9" t="inlineStr">
        <is>
          <t>Daniel Rojas</t>
        </is>
      </c>
      <c r="C826" s="9" t="inlineStr">
        <is>
          <t>STL</t>
        </is>
      </c>
      <c r="D826" s="9" t="n">
        <v>25</v>
      </c>
      <c r="E826" s="16" t="inlineStr">
        <is>
          <t>R</t>
        </is>
      </c>
      <c r="F826" s="16" t="n"/>
      <c r="G826" s="9" t="n">
        <v>2.584615384615385</v>
      </c>
      <c r="H826" s="9" t="n">
        <v>2.584615384615385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1" t="n">
        <v>1</v>
      </c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7" t="n">
        <v>1</v>
      </c>
      <c r="Z826" s="13">
        <f>SUMPRODUCT(N826:Y826,$N$2:$Y$2)*$K826*$L826*$M826</f>
        <v/>
      </c>
      <c r="AA826" s="14">
        <f>SUM(N826:Y826)</f>
        <v/>
      </c>
      <c r="AB826" s="14">
        <f>IFERROR(IF(UPPER($E826)="L",SUMPRODUCT(N826:Y826,$N$3:$Y$3,$N$2:$Y$2),SUMPRODUCT(N826:Y826,$N$4:$Y$4,$N$2:$Y$2))/(Z826/($K826*$L826*$M826)),"")</f>
        <v/>
      </c>
      <c r="AC826" s="18" t="n"/>
    </row>
    <row r="827">
      <c r="A827" s="9" t="n">
        <v>622666</v>
      </c>
      <c r="B827" s="9" t="inlineStr">
        <is>
          <t>Johan Camargo</t>
        </is>
      </c>
      <c r="C827" s="9" t="inlineStr">
        <is>
          <t>PHI</t>
        </is>
      </c>
      <c r="D827" s="9" t="n">
        <v>33</v>
      </c>
      <c r="E827" s="16" t="inlineStr">
        <is>
          <t>S</t>
        </is>
      </c>
      <c r="F827" s="16" t="inlineStr">
        <is>
          <t>SS</t>
        </is>
      </c>
      <c r="G827" s="9" t="n">
        <v>20</v>
      </c>
      <c r="H827" s="9" t="n">
        <v>186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1" t="n">
        <v>1</v>
      </c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7" t="n">
        <v>1</v>
      </c>
      <c r="Z827" s="13">
        <f>SUMPRODUCT(N827:Y827,$N$2:$Y$2)*$K827*$L827*$M827</f>
        <v/>
      </c>
      <c r="AA827" s="14">
        <f>SUM(N827:Y827)</f>
        <v/>
      </c>
      <c r="AB827" s="14">
        <f>IFERROR(IF(UPPER($E827)="L",SUMPRODUCT(N827:Y827,$N$3:$Y$3,$N$2:$Y$2),SUMPRODUCT(N827:Y827,$N$4:$Y$4,$N$2:$Y$2))/(Z827/($K827*$L827*$M827)),"")</f>
        <v/>
      </c>
      <c r="AC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1" t="n">
        <v>1</v>
      </c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7" t="n">
        <v>1</v>
      </c>
      <c r="Z828" s="13">
        <f>SUMPRODUCT(N828:Y828,$N$2:$Y$2)*$K828*$L828*$M828</f>
        <v/>
      </c>
      <c r="AA828" s="14">
        <f>SUM(N828:Y828)</f>
        <v/>
      </c>
      <c r="AB828" s="14">
        <f>IFERROR(IF(UPPER($E828)="L",SUMPRODUCT(N828:Y828,$N$3:$Y$3,$N$2:$Y$2),SUMPRODUCT(N828:Y828,$N$4:$Y$4,$N$2:$Y$2))/(Z828/($K828*$L828*$M828)),"")</f>
        <v/>
      </c>
      <c r="AC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1" t="n">
        <v>1</v>
      </c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7" t="n">
        <v>1</v>
      </c>
      <c r="Z829" s="13">
        <f>SUMPRODUCT(N829:Y829,$N$2:$Y$2)*$K829*$L829*$M829</f>
        <v/>
      </c>
      <c r="AA829" s="14">
        <f>SUM(N829:Y829)</f>
        <v/>
      </c>
      <c r="AB829" s="14">
        <f>IFERROR(IF(UPPER($E829)="L",SUMPRODUCT(N829:Y829,$N$3:$Y$3,$N$2:$Y$2),SUMPRODUCT(N829:Y829,$N$4:$Y$4,$N$2:$Y$2))/(Z829/($K829*$L829*$M829)),"")</f>
        <v/>
      </c>
      <c r="AC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1" t="n">
        <v>1</v>
      </c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7" t="n">
        <v>1</v>
      </c>
      <c r="Z830" s="13">
        <f>SUMPRODUCT(N830:Y830,$N$2:$Y$2)*$K830*$L830*$M830</f>
        <v/>
      </c>
      <c r="AA830" s="14">
        <f>SUM(N830:Y830)</f>
        <v/>
      </c>
      <c r="AB830" s="14">
        <f>IFERROR(IF(UPPER($E830)="L",SUMPRODUCT(N830:Y830,$N$3:$Y$3,$N$2:$Y$2),SUMPRODUCT(N830:Y830,$N$4:$Y$4,$N$2:$Y$2))/(Z830/($K830*$L830*$M830)),"")</f>
        <v/>
      </c>
      <c r="AC830" s="18" t="n"/>
    </row>
    <row r="831">
      <c r="A831" s="9" t="n">
        <v>825130</v>
      </c>
      <c r="B831" s="9" t="inlineStr">
        <is>
          <t>Lane Haworth</t>
        </is>
      </c>
      <c r="C831" s="9" t="inlineStr">
        <is>
          <t>PHI</t>
        </is>
      </c>
      <c r="D831" s="9" t="n">
        <v>25</v>
      </c>
      <c r="E831" s="16" t="inlineStr">
        <is>
          <t>L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1" t="n">
        <v>1</v>
      </c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7" t="n">
        <v>1</v>
      </c>
      <c r="Z831" s="13">
        <f>SUMPRODUCT(N831:Y831,$N$2:$Y$2)*$K831*$L831*$M831</f>
        <v/>
      </c>
      <c r="AA831" s="14">
        <f>SUM(N831:Y831)</f>
        <v/>
      </c>
      <c r="AB831" s="14">
        <f>IFERROR(IF(UPPER($E831)="L",SUMPRODUCT(N831:Y831,$N$3:$Y$3,$N$2:$Y$2),SUMPRODUCT(N831:Y831,$N$4:$Y$4,$N$2:$Y$2))/(Z831/($K831*$L831*$M831)),"")</f>
        <v/>
      </c>
      <c r="AC831" s="18" t="n"/>
    </row>
    <row r="832">
      <c r="A832" s="9" t="n">
        <v>702444</v>
      </c>
      <c r="B832" s="9" t="inlineStr">
        <is>
          <t>Eric Martinez</t>
        </is>
      </c>
      <c r="C832" s="9" t="inlineStr">
        <is>
          <t>MIL</t>
        </is>
      </c>
      <c r="D832" s="9" t="n">
        <v>25</v>
      </c>
      <c r="E832" s="16" t="inlineStr">
        <is>
          <t>R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1" t="n">
        <v>1</v>
      </c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7" t="n">
        <v>1</v>
      </c>
      <c r="Z832" s="13">
        <f>SUMPRODUCT(N832:Y832,$N$2:$Y$2)*$K832*$L832*$M832</f>
        <v/>
      </c>
      <c r="AA832" s="14">
        <f>SUM(N832:Y832)</f>
        <v/>
      </c>
      <c r="AB832" s="14">
        <f>IFERROR(IF(UPPER($E832)="L",SUMPRODUCT(N832:Y832,$N$3:$Y$3,$N$2:$Y$2),SUMPRODUCT(N832:Y832,$N$4:$Y$4,$N$2:$Y$2))/(Z832/($K832*$L832*$M832)),"")</f>
        <v/>
      </c>
      <c r="AC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1" t="n">
        <v>1</v>
      </c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7" t="n">
        <v>1</v>
      </c>
      <c r="Z833" s="13">
        <f>SUMPRODUCT(N833:Y833,$N$2:$Y$2)*$K833*$L833*$M833</f>
        <v/>
      </c>
      <c r="AA833" s="14">
        <f>SUM(N833:Y833)</f>
        <v/>
      </c>
      <c r="AB833" s="14">
        <f>IFERROR(IF(UPPER($E833)="L",SUMPRODUCT(N833:Y833,$N$3:$Y$3,$N$2:$Y$2),SUMPRODUCT(N833:Y833,$N$4:$Y$4,$N$2:$Y$2))/(Z833/($K833*$L833*$M833)),"")</f>
        <v/>
      </c>
      <c r="AC833" s="18" t="n"/>
    </row>
    <row r="834">
      <c r="A834" s="9" t="n">
        <v>808278</v>
      </c>
      <c r="B834" s="9" t="inlineStr">
        <is>
          <t>Facundo Velásquez</t>
        </is>
      </c>
      <c r="C834" s="9" t="inlineStr">
        <is>
          <t>STL</t>
        </is>
      </c>
      <c r="D834" s="9" t="n">
        <v>25</v>
      </c>
      <c r="E834" s="16" t="inlineStr">
        <is>
          <t>S</t>
        </is>
      </c>
      <c r="F834" s="16" t="n"/>
      <c r="G834" s="9" t="n">
        <v>8.984615384615385</v>
      </c>
      <c r="H834" s="9" t="n">
        <v>8.984615384615385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1" t="n">
        <v>1</v>
      </c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7" t="n">
        <v>1</v>
      </c>
      <c r="Z834" s="13">
        <f>SUMPRODUCT(N834:Y834,$N$2:$Y$2)*$K834*$L834*$M834</f>
        <v/>
      </c>
      <c r="AA834" s="14">
        <f>SUM(N834:Y834)</f>
        <v/>
      </c>
      <c r="AB834" s="14">
        <f>IFERROR(IF(UPPER($E834)="L",SUMPRODUCT(N834:Y834,$N$3:$Y$3,$N$2:$Y$2),SUMPRODUCT(N834:Y834,$N$4:$Y$4,$N$2:$Y$2))/(Z834/($K834*$L834*$M834)),"")</f>
        <v/>
      </c>
      <c r="AC834" s="18" t="n"/>
    </row>
    <row r="835">
      <c r="A835" s="9" t="n">
        <v>833397</v>
      </c>
      <c r="B835" s="9" t="inlineStr">
        <is>
          <t>James Quinn-Irons</t>
        </is>
      </c>
      <c r="C835" s="9" t="inlineStr">
        <is>
          <t>TB</t>
        </is>
      </c>
      <c r="D835" s="9" t="n">
        <v>25</v>
      </c>
      <c r="E835" s="16" t="inlineStr">
        <is>
          <t>R</t>
        </is>
      </c>
      <c r="F835" s="16" t="n"/>
      <c r="G835" s="9" t="n">
        <v>2.707692307692308</v>
      </c>
      <c r="H835" s="9" t="n">
        <v>2.707692307692308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1" t="n">
        <v>1</v>
      </c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7" t="n">
        <v>1</v>
      </c>
      <c r="Z835" s="13">
        <f>SUMPRODUCT(N835:Y835,$N$2:$Y$2)*$K835*$L835*$M835</f>
        <v/>
      </c>
      <c r="AA835" s="14">
        <f>SUM(N835:Y835)</f>
        <v/>
      </c>
      <c r="AB835" s="14">
        <f>IFERROR(IF(UPPER($E835)="L",SUMPRODUCT(N835:Y835,$N$3:$Y$3,$N$2:$Y$2),SUMPRODUCT(N835:Y835,$N$4:$Y$4,$N$2:$Y$2))/(Z835/($K835*$L835*$M835)),"")</f>
        <v/>
      </c>
      <c r="AC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1" t="n">
        <v>1</v>
      </c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7" t="n">
        <v>1</v>
      </c>
      <c r="Z836" s="13">
        <f>SUMPRODUCT(N836:Y836,$N$2:$Y$2)*$K836*$L836*$M836</f>
        <v/>
      </c>
      <c r="AA836" s="14">
        <f>SUM(N836:Y836)</f>
        <v/>
      </c>
      <c r="AB836" s="14">
        <f>IFERROR(IF(UPPER($E836)="L",SUMPRODUCT(N836:Y836,$N$3:$Y$3,$N$2:$Y$2),SUMPRODUCT(N836:Y836,$N$4:$Y$4,$N$2:$Y$2))/(Z836/($K836*$L836*$M836)),"")</f>
        <v/>
      </c>
      <c r="AC836" s="18" t="n"/>
    </row>
    <row r="837">
      <c r="A837" s="9" t="n">
        <v>805025</v>
      </c>
      <c r="B837" s="9" t="inlineStr">
        <is>
          <t>Rylan Galvan</t>
        </is>
      </c>
      <c r="C837" s="9" t="inlineStr">
        <is>
          <t>CWS</t>
        </is>
      </c>
      <c r="D837" s="9" t="n">
        <v>25</v>
      </c>
      <c r="E837" s="16" t="inlineStr">
        <is>
          <t>R</t>
        </is>
      </c>
      <c r="F837" s="16" t="n"/>
      <c r="G837" s="9" t="n">
        <v>10.87179487179487</v>
      </c>
      <c r="H837" s="9" t="n">
        <v>10.87179487179487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1" t="n">
        <v>1</v>
      </c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7" t="n">
        <v>1</v>
      </c>
      <c r="Z837" s="13">
        <f>SUMPRODUCT(N837:Y837,$N$2:$Y$2)*$K837*$L837*$M837</f>
        <v/>
      </c>
      <c r="AA837" s="14">
        <f>SUM(N837:Y837)</f>
        <v/>
      </c>
      <c r="AB837" s="14">
        <f>IFERROR(IF(UPPER($E837)="L",SUMPRODUCT(N837:Y837,$N$3:$Y$3,$N$2:$Y$2),SUMPRODUCT(N837:Y837,$N$4:$Y$4,$N$2:$Y$2))/(Z837/($K837*$L837*$M837)),"")</f>
        <v/>
      </c>
      <c r="AC837" s="18" t="n"/>
    </row>
    <row r="838">
      <c r="A838" s="9" t="n">
        <v>806227</v>
      </c>
      <c r="B838" s="9" t="inlineStr">
        <is>
          <t>Alex Sosa</t>
        </is>
      </c>
      <c r="C838" s="9" t="inlineStr">
        <is>
          <t>OAK</t>
        </is>
      </c>
      <c r="D838" s="9" t="n">
        <v>25</v>
      </c>
      <c r="E838" s="16" t="inlineStr">
        <is>
          <t>L</t>
        </is>
      </c>
      <c r="F838" s="16" t="n"/>
      <c r="G838" s="9" t="n">
        <v>9.23076923076923</v>
      </c>
      <c r="H838" s="9" t="n">
        <v>9.23076923076923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1" t="n">
        <v>1</v>
      </c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7" t="n">
        <v>1</v>
      </c>
      <c r="Z838" s="13">
        <f>SUMPRODUCT(N838:Y838,$N$2:$Y$2)*$K838*$L838*$M838</f>
        <v/>
      </c>
      <c r="AA838" s="14">
        <f>SUM(N838:Y838)</f>
        <v/>
      </c>
      <c r="AB838" s="14">
        <f>IFERROR(IF(UPPER($E838)="L",SUMPRODUCT(N838:Y838,$N$3:$Y$3,$N$2:$Y$2),SUMPRODUCT(N838:Y838,$N$4:$Y$4,$N$2:$Y$2))/(Z838/($K838*$L838*$M838)),"")</f>
        <v/>
      </c>
      <c r="AC838" s="18" t="n"/>
    </row>
    <row r="839">
      <c r="A839" s="9" t="n">
        <v>828811</v>
      </c>
      <c r="B839" s="9" t="inlineStr">
        <is>
          <t>Tyler Spangler</t>
        </is>
      </c>
      <c r="C839" s="9" t="inlineStr">
        <is>
          <t>PHI</t>
        </is>
      </c>
      <c r="D839" s="9" t="n">
        <v>25</v>
      </c>
      <c r="E839" s="16" t="inlineStr">
        <is>
          <t>L</t>
        </is>
      </c>
      <c r="F839" s="16" t="n"/>
      <c r="G839" s="9" t="n">
        <v>4.923076923076923</v>
      </c>
      <c r="H839" s="9" t="n">
        <v>4.923076923076923</v>
      </c>
      <c r="I839" s="9" t="inlineStr">
        <is>
          <t>Depth (no MLB PA)</t>
        </is>
      </c>
      <c r="J839" s="16" t="inlineStr">
        <is>
          <t>Late Season (~Sept)</t>
        </is>
      </c>
      <c r="K839" s="11">
        <f>IFERROR(INDEX(Roles!$B$17:$B$20,MATCH(J839,Roles!$A$17:$A$20,0)),1)</f>
        <v/>
      </c>
      <c r="L839" s="17" t="n">
        <v>1</v>
      </c>
      <c r="M839" s="11" t="n">
        <v>1</v>
      </c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7" t="n">
        <v>1</v>
      </c>
      <c r="Z839" s="13">
        <f>SUMPRODUCT(N839:Y839,$N$2:$Y$2)*$K839*$L839*$M839</f>
        <v/>
      </c>
      <c r="AA839" s="14">
        <f>SUM(N839:Y839)</f>
        <v/>
      </c>
      <c r="AB839" s="14">
        <f>IFERROR(IF(UPPER($E839)="L",SUMPRODUCT(N839:Y839,$N$3:$Y$3,$N$2:$Y$2),SUMPRODUCT(N839:Y839,$N$4:$Y$4,$N$2:$Y$2))/(Z839/($K839*$L839*$M839)),"")</f>
        <v/>
      </c>
      <c r="AC839" s="18" t="n"/>
    </row>
    <row r="840">
      <c r="A840" s="9" t="n">
        <v>687731</v>
      </c>
      <c r="B840" s="9" t="inlineStr">
        <is>
          <t>Trevor Werner</t>
        </is>
      </c>
      <c r="C840" s="9" t="inlineStr">
        <is>
          <t>KC</t>
        </is>
      </c>
      <c r="D840" s="9" t="n">
        <v>25</v>
      </c>
      <c r="E840" s="16" t="inlineStr">
        <is>
          <t>R</t>
        </is>
      </c>
      <c r="F840" s="16" t="n"/>
      <c r="G840" s="9" t="n">
        <v>31.17948717948718</v>
      </c>
      <c r="H840" s="9" t="n">
        <v>31.17948717948718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1" t="n">
        <v>1</v>
      </c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7" t="n">
        <v>1</v>
      </c>
      <c r="Z840" s="13">
        <f>SUMPRODUCT(N840:Y840,$N$2:$Y$2)*$K840*$L840*$M840</f>
        <v/>
      </c>
      <c r="AA840" s="14">
        <f>SUM(N840:Y840)</f>
        <v/>
      </c>
      <c r="AB840" s="14">
        <f>IFERROR(IF(UPPER($E840)="L",SUMPRODUCT(N840:Y840,$N$3:$Y$3,$N$2:$Y$2),SUMPRODUCT(N840:Y840,$N$4:$Y$4,$N$2:$Y$2))/(Z840/($K840*$L840*$M840)),"")</f>
        <v/>
      </c>
      <c r="AC840" s="18" t="n"/>
    </row>
    <row r="841">
      <c r="A841" s="9" t="n">
        <v>822904</v>
      </c>
      <c r="B841" s="9" t="inlineStr">
        <is>
          <t>Rashawn Galloway</t>
        </is>
      </c>
      <c r="C841" s="9" t="inlineStr">
        <is>
          <t>HOU</t>
        </is>
      </c>
      <c r="D841" s="9" t="n">
        <v>25</v>
      </c>
      <c r="E841" s="16" t="inlineStr">
        <is>
          <t>R</t>
        </is>
      </c>
      <c r="F841" s="16" t="n"/>
      <c r="G841" s="9" t="n">
        <v>2.830769230769231</v>
      </c>
      <c r="H841" s="9" t="n">
        <v>2.830769230769231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1" t="n">
        <v>1</v>
      </c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7" t="n">
        <v>1</v>
      </c>
      <c r="Z841" s="13">
        <f>SUMPRODUCT(N841:Y841,$N$2:$Y$2)*$K841*$L841*$M841</f>
        <v/>
      </c>
      <c r="AA841" s="14">
        <f>SUM(N841:Y841)</f>
        <v/>
      </c>
      <c r="AB841" s="14">
        <f>IFERROR(IF(UPPER($E841)="L",SUMPRODUCT(N841:Y841,$N$3:$Y$3,$N$2:$Y$2),SUMPRODUCT(N841:Y841,$N$4:$Y$4,$N$2:$Y$2))/(Z841/($K841*$L841*$M841)),"")</f>
        <v/>
      </c>
      <c r="AC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1" t="n">
        <v>1</v>
      </c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7" t="n">
        <v>1</v>
      </c>
      <c r="Z842" s="13">
        <f>SUMPRODUCT(N842:Y842,$N$2:$Y$2)*$K842*$L842*$M842</f>
        <v/>
      </c>
      <c r="AA842" s="14">
        <f>SUM(N842:Y842)</f>
        <v/>
      </c>
      <c r="AB842" s="14">
        <f>IFERROR(IF(UPPER($E842)="L",SUMPRODUCT(N842:Y842,$N$3:$Y$3,$N$2:$Y$2),SUMPRODUCT(N842:Y842,$N$4:$Y$4,$N$2:$Y$2))/(Z842/($K842*$L842*$M842)),"")</f>
        <v/>
      </c>
      <c r="AC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1" t="n">
        <v>1</v>
      </c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7" t="n">
        <v>1</v>
      </c>
      <c r="Z843" s="13">
        <f>SUMPRODUCT(N843:Y843,$N$2:$Y$2)*$K843*$L843*$M843</f>
        <v/>
      </c>
      <c r="AA843" s="14">
        <f>SUM(N843:Y843)</f>
        <v/>
      </c>
      <c r="AB843" s="14">
        <f>IFERROR(IF(UPPER($E843)="L",SUMPRODUCT(N843:Y843,$N$3:$Y$3,$N$2:$Y$2),SUMPRODUCT(N843:Y843,$N$4:$Y$4,$N$2:$Y$2))/(Z843/($K843*$L843*$M843)),"")</f>
        <v/>
      </c>
      <c r="AC843" s="18" t="n"/>
    </row>
    <row r="844">
      <c r="A844" s="9" t="n">
        <v>801592</v>
      </c>
      <c r="B844" s="9" t="inlineStr">
        <is>
          <t>Zander Darby</t>
        </is>
      </c>
      <c r="C844" s="9" t="inlineStr">
        <is>
          <t>SF</t>
        </is>
      </c>
      <c r="D844" s="9" t="n">
        <v>25</v>
      </c>
      <c r="E844" s="16" t="inlineStr">
        <is>
          <t>L</t>
        </is>
      </c>
      <c r="F844" s="16" t="n"/>
      <c r="G844" s="9" t="n">
        <v>2.820512820512821</v>
      </c>
      <c r="H844" s="9" t="n">
        <v>2.820512820512821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1" t="n">
        <v>1</v>
      </c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7" t="n">
        <v>1</v>
      </c>
      <c r="Z844" s="13">
        <f>SUMPRODUCT(N844:Y844,$N$2:$Y$2)*$K844*$L844*$M844</f>
        <v/>
      </c>
      <c r="AA844" s="14">
        <f>SUM(N844:Y844)</f>
        <v/>
      </c>
      <c r="AB844" s="14">
        <f>IFERROR(IF(UPPER($E844)="L",SUMPRODUCT(N844:Y844,$N$3:$Y$3,$N$2:$Y$2),SUMPRODUCT(N844:Y844,$N$4:$Y$4,$N$2:$Y$2))/(Z844/($K844*$L844*$M844)),"")</f>
        <v/>
      </c>
      <c r="AC844" s="18" t="n"/>
    </row>
    <row r="845">
      <c r="A845" s="9" t="n">
        <v>807999</v>
      </c>
      <c r="B845" s="9" t="inlineStr">
        <is>
          <t>David Guzman</t>
        </is>
      </c>
      <c r="C845" s="9" t="inlineStr">
        <is>
          <t>TOR</t>
        </is>
      </c>
      <c r="D845" s="9" t="n">
        <v>25</v>
      </c>
      <c r="E845" s="16" t="inlineStr">
        <is>
          <t>L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1" t="n">
        <v>1</v>
      </c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7" t="n">
        <v>1</v>
      </c>
      <c r="Z845" s="13">
        <f>SUMPRODUCT(N845:Y845,$N$2:$Y$2)*$K845*$L845*$M845</f>
        <v/>
      </c>
      <c r="AA845" s="14">
        <f>SUM(N845:Y845)</f>
        <v/>
      </c>
      <c r="AB845" s="14">
        <f>IFERROR(IF(UPPER($E845)="L",SUMPRODUCT(N845:Y845,$N$3:$Y$3,$N$2:$Y$2),SUMPRODUCT(N845:Y845,$N$4:$Y$4,$N$2:$Y$2))/(Z845/($K845*$L845*$M845)),"")</f>
        <v/>
      </c>
      <c r="AC845" s="18" t="n"/>
    </row>
    <row r="846">
      <c r="A846" s="9" t="n">
        <v>800197</v>
      </c>
      <c r="B846" s="9" t="inlineStr">
        <is>
          <t>Richard Ramirez</t>
        </is>
      </c>
      <c r="C846" s="9" t="inlineStr">
        <is>
          <t>PIT</t>
        </is>
      </c>
      <c r="D846" s="9" t="n">
        <v>25</v>
      </c>
      <c r="E846" s="16" t="inlineStr">
        <is>
          <t>R</t>
        </is>
      </c>
      <c r="F846" s="16" t="n"/>
      <c r="G846" s="9" t="n">
        <v>6.974358974358975</v>
      </c>
      <c r="H846" s="9" t="n">
        <v>6.974358974358975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1" t="n">
        <v>1</v>
      </c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7" t="n">
        <v>1</v>
      </c>
      <c r="Z846" s="13">
        <f>SUMPRODUCT(N846:Y846,$N$2:$Y$2)*$K846*$L846*$M846</f>
        <v/>
      </c>
      <c r="AA846" s="14">
        <f>SUM(N846:Y846)</f>
        <v/>
      </c>
      <c r="AB846" s="14">
        <f>IFERROR(IF(UPPER($E846)="L",SUMPRODUCT(N846:Y846,$N$3:$Y$3,$N$2:$Y$2),SUMPRODUCT(N846:Y846,$N$4:$Y$4,$N$2:$Y$2))/(Z846/($K846*$L846*$M846)),"")</f>
        <v/>
      </c>
      <c r="AC846" s="18" t="n"/>
    </row>
    <row r="847">
      <c r="A847" s="9" t="n">
        <v>804751</v>
      </c>
      <c r="B847" s="9" t="inlineStr">
        <is>
          <t>Logan Poteet</t>
        </is>
      </c>
      <c r="C847" s="9" t="inlineStr">
        <is>
          <t>CHC</t>
        </is>
      </c>
      <c r="D847" s="9" t="n">
        <v>25</v>
      </c>
      <c r="E847" s="16" t="inlineStr">
        <is>
          <t>R</t>
        </is>
      </c>
      <c r="F847" s="16" t="n"/>
      <c r="G847" s="9" t="n">
        <v>30.97435897435897</v>
      </c>
      <c r="H847" s="9" t="n">
        <v>30.97435897435897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1" t="n">
        <v>1</v>
      </c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7" t="n">
        <v>1</v>
      </c>
      <c r="Z847" s="13">
        <f>SUMPRODUCT(N847:Y847,$N$2:$Y$2)*$K847*$L847*$M847</f>
        <v/>
      </c>
      <c r="AA847" s="14">
        <f>SUM(N847:Y847)</f>
        <v/>
      </c>
      <c r="AB847" s="14">
        <f>IFERROR(IF(UPPER($E847)="L",SUMPRODUCT(N847:Y847,$N$3:$Y$3,$N$2:$Y$2),SUMPRODUCT(N847:Y847,$N$4:$Y$4,$N$2:$Y$2))/(Z847/($K847*$L847*$M847)),"")</f>
        <v/>
      </c>
      <c r="AC847" s="18" t="n"/>
    </row>
    <row r="848">
      <c r="A848" s="9" t="n">
        <v>815966</v>
      </c>
      <c r="B848" s="9" t="inlineStr">
        <is>
          <t>Irvin Nunez</t>
        </is>
      </c>
      <c r="C848" s="9" t="inlineStr">
        <is>
          <t>MIN</t>
        </is>
      </c>
      <c r="D848" s="9" t="n">
        <v>25</v>
      </c>
      <c r="E848" s="16" t="inlineStr">
        <is>
          <t>R</t>
        </is>
      </c>
      <c r="F848" s="16" t="n"/>
      <c r="G848" s="9" t="n">
        <v>11.07692307692308</v>
      </c>
      <c r="H848" s="9" t="n">
        <v>11.07692307692308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1" t="n">
        <v>1</v>
      </c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7" t="n">
        <v>1</v>
      </c>
      <c r="Z848" s="13">
        <f>SUMPRODUCT(N848:Y848,$N$2:$Y$2)*$K848*$L848*$M848</f>
        <v/>
      </c>
      <c r="AA848" s="14">
        <f>SUM(N848:Y848)</f>
        <v/>
      </c>
      <c r="AB848" s="14">
        <f>IFERROR(IF(UPPER($E848)="L",SUMPRODUCT(N848:Y848,$N$3:$Y$3,$N$2:$Y$2),SUMPRODUCT(N848:Y848,$N$4:$Y$4,$N$2:$Y$2))/(Z848/($K848*$L848*$M848)),"")</f>
        <v/>
      </c>
      <c r="AC848" s="18" t="n"/>
    </row>
    <row r="849">
      <c r="A849" s="9" t="n">
        <v>695467</v>
      </c>
      <c r="B849" s="9" t="inlineStr">
        <is>
          <t>Juan Montero</t>
        </is>
      </c>
      <c r="C849" s="9" t="inlineStr">
        <is>
          <t>BOS</t>
        </is>
      </c>
      <c r="D849" s="9" t="n">
        <v>25</v>
      </c>
      <c r="E849" s="16" t="inlineStr">
        <is>
          <t>R</t>
        </is>
      </c>
      <c r="F849" s="16" t="n"/>
      <c r="G849" s="9" t="n">
        <v>2.820512820512821</v>
      </c>
      <c r="H849" s="9" t="n">
        <v>2.820512820512821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1" t="n">
        <v>1</v>
      </c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7" t="n">
        <v>1</v>
      </c>
      <c r="Z849" s="13">
        <f>SUMPRODUCT(N849:Y849,$N$2:$Y$2)*$K849*$L849*$M849</f>
        <v/>
      </c>
      <c r="AA849" s="14">
        <f>SUM(N849:Y849)</f>
        <v/>
      </c>
      <c r="AB849" s="14">
        <f>IFERROR(IF(UPPER($E849)="L",SUMPRODUCT(N849:Y849,$N$3:$Y$3,$N$2:$Y$2),SUMPRODUCT(N849:Y849,$N$4:$Y$4,$N$2:$Y$2))/(Z849/($K849*$L849*$M849)),"")</f>
        <v/>
      </c>
      <c r="AC849" s="18" t="n"/>
    </row>
    <row r="850">
      <c r="A850" s="9" t="n">
        <v>826163</v>
      </c>
      <c r="B850" s="9" t="inlineStr">
        <is>
          <t>Carter Dorighi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1" t="n">
        <v>1</v>
      </c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7" t="n">
        <v>1</v>
      </c>
      <c r="Z850" s="13">
        <f>SUMPRODUCT(N850:Y850,$N$2:$Y$2)*$K850*$L850*$M850</f>
        <v/>
      </c>
      <c r="AA850" s="14">
        <f>SUM(N850:Y850)</f>
        <v/>
      </c>
      <c r="AB850" s="14">
        <f>IFERROR(IF(UPPER($E850)="L",SUMPRODUCT(N850:Y850,$N$3:$Y$3,$N$2:$Y$2),SUMPRODUCT(N850:Y850,$N$4:$Y$4,$N$2:$Y$2))/(Z850/($K850*$L850*$M850)),"")</f>
        <v/>
      </c>
      <c r="AC850" s="18" t="n"/>
    </row>
    <row r="851">
      <c r="A851" s="9" t="n">
        <v>702610</v>
      </c>
      <c r="B851" s="9" t="inlineStr">
        <is>
          <t>Ike Irish</t>
        </is>
      </c>
      <c r="C851" s="9" t="inlineStr">
        <is>
          <t>BAL</t>
        </is>
      </c>
      <c r="D851" s="9" t="n">
        <v>25</v>
      </c>
      <c r="E851" s="16" t="inlineStr">
        <is>
          <t>L</t>
        </is>
      </c>
      <c r="F851" s="16" t="n"/>
      <c r="G851" s="9" t="n">
        <v>68.30769230769231</v>
      </c>
      <c r="H851" s="9" t="n">
        <v>68.30769230769231</v>
      </c>
      <c r="I851" s="9" t="inlineStr">
        <is>
          <t>Depth (no MLB PA)</t>
        </is>
      </c>
      <c r="J851" s="16" t="inlineStr">
        <is>
          <t>Late Season (~Sept)</t>
        </is>
      </c>
      <c r="K851" s="11">
        <f>IFERROR(INDEX(Roles!$B$17:$B$20,MATCH(J851,Roles!$A$17:$A$20,0)),1)</f>
        <v/>
      </c>
      <c r="L851" s="17" t="n">
        <v>1</v>
      </c>
      <c r="M851" s="11" t="n">
        <v>1</v>
      </c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7" t="n">
        <v>1</v>
      </c>
      <c r="Z851" s="13">
        <f>SUMPRODUCT(N851:Y851,$N$2:$Y$2)*$K851*$L851*$M851</f>
        <v/>
      </c>
      <c r="AA851" s="14">
        <f>SUM(N851:Y851)</f>
        <v/>
      </c>
      <c r="AB851" s="14">
        <f>IFERROR(IF(UPPER($E851)="L",SUMPRODUCT(N851:Y851,$N$3:$Y$3,$N$2:$Y$2),SUMPRODUCT(N851:Y851,$N$4:$Y$4,$N$2:$Y$2))/(Z851/($K851*$L851*$M851)),"")</f>
        <v/>
      </c>
      <c r="AC851" s="18" t="n"/>
    </row>
    <row r="852">
      <c r="A852" s="9" t="n">
        <v>681400</v>
      </c>
      <c r="B852" s="9" t="inlineStr">
        <is>
          <t>Danny Serretti</t>
        </is>
      </c>
      <c r="C852" s="9" t="inlineStr">
        <is>
          <t>ARI</t>
        </is>
      </c>
      <c r="D852" s="9" t="n">
        <v>25</v>
      </c>
      <c r="E852" s="16" t="inlineStr">
        <is>
          <t>S</t>
        </is>
      </c>
      <c r="F852" s="16" t="n"/>
      <c r="G852" s="9" t="n">
        <v>77.84615384615385</v>
      </c>
      <c r="H852" s="9" t="n">
        <v>77.84615384615385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1" t="n">
        <v>1</v>
      </c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7" t="n">
        <v>1</v>
      </c>
      <c r="Z852" s="13">
        <f>SUMPRODUCT(N852:Y852,$N$2:$Y$2)*$K852*$L852*$M852</f>
        <v/>
      </c>
      <c r="AA852" s="14">
        <f>SUM(N852:Y852)</f>
        <v/>
      </c>
      <c r="AB852" s="14">
        <f>IFERROR(IF(UPPER($E852)="L",SUMPRODUCT(N852:Y852,$N$3:$Y$3,$N$2:$Y$2),SUMPRODUCT(N852:Y852,$N$4:$Y$4,$N$2:$Y$2))/(Z852/($K852*$L852*$M852)),"")</f>
        <v/>
      </c>
      <c r="AC852" s="18" t="n"/>
    </row>
    <row r="853">
      <c r="A853" s="9" t="n">
        <v>703191</v>
      </c>
      <c r="B853" s="9" t="inlineStr">
        <is>
          <t>Yilber Herrera</t>
        </is>
      </c>
      <c r="C853" s="9" t="inlineStr">
        <is>
          <t>MIN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1" t="n">
        <v>1</v>
      </c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7" t="n">
        <v>1</v>
      </c>
      <c r="Z853" s="13">
        <f>SUMPRODUCT(N853:Y853,$N$2:$Y$2)*$K853*$L853*$M853</f>
        <v/>
      </c>
      <c r="AA853" s="14">
        <f>SUM(N853:Y853)</f>
        <v/>
      </c>
      <c r="AB853" s="14">
        <f>IFERROR(IF(UPPER($E853)="L",SUMPRODUCT(N853:Y853,$N$3:$Y$3,$N$2:$Y$2),SUMPRODUCT(N853:Y853,$N$4:$Y$4,$N$2:$Y$2))/(Z853/($K853*$L853*$M853)),"")</f>
        <v/>
      </c>
      <c r="AC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1" t="n">
        <v>1</v>
      </c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7" t="n">
        <v>1</v>
      </c>
      <c r="Z854" s="13">
        <f>SUMPRODUCT(N854:Y854,$N$2:$Y$2)*$K854*$L854*$M854</f>
        <v/>
      </c>
      <c r="AA854" s="14">
        <f>SUM(N854:Y854)</f>
        <v/>
      </c>
      <c r="AB854" s="14">
        <f>IFERROR(IF(UPPER($E854)="L",SUMPRODUCT(N854:Y854,$N$3:$Y$3,$N$2:$Y$2),SUMPRODUCT(N854:Y854,$N$4:$Y$4,$N$2:$Y$2))/(Z854/($K854*$L854*$M854)),"")</f>
        <v/>
      </c>
      <c r="AC854" s="18" t="n"/>
    </row>
    <row r="855">
      <c r="A855" s="9" t="n">
        <v>808380</v>
      </c>
      <c r="B855" s="9" t="inlineStr">
        <is>
          <t>Yosneiker Rivas</t>
        </is>
      </c>
      <c r="C855" s="9" t="inlineStr">
        <is>
          <t>SF</t>
        </is>
      </c>
      <c r="D855" s="9" t="n">
        <v>25</v>
      </c>
      <c r="E855" s="16" t="inlineStr">
        <is>
          <t>L</t>
        </is>
      </c>
      <c r="F855" s="16" t="n"/>
      <c r="G855" s="9" t="n">
        <v>5.046153846153846</v>
      </c>
      <c r="H855" s="9" t="n">
        <v>5.046153846153846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1" t="n">
        <v>1</v>
      </c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7" t="n">
        <v>1</v>
      </c>
      <c r="Z855" s="13">
        <f>SUMPRODUCT(N855:Y855,$N$2:$Y$2)*$K855*$L855*$M855</f>
        <v/>
      </c>
      <c r="AA855" s="14">
        <f>SUM(N855:Y855)</f>
        <v/>
      </c>
      <c r="AB855" s="14">
        <f>IFERROR(IF(UPPER($E855)="L",SUMPRODUCT(N855:Y855,$N$3:$Y$3,$N$2:$Y$2),SUMPRODUCT(N855:Y855,$N$4:$Y$4,$N$2:$Y$2))/(Z855/($K855*$L855*$M855)),"")</f>
        <v/>
      </c>
      <c r="AC855" s="18" t="n"/>
    </row>
    <row r="856">
      <c r="A856" s="9" t="n">
        <v>823703</v>
      </c>
      <c r="B856" s="9" t="inlineStr">
        <is>
          <t>Anthony Donofrio</t>
        </is>
      </c>
      <c r="C856" s="9" t="inlineStr">
        <is>
          <t>SEA</t>
        </is>
      </c>
      <c r="D856" s="9" t="n">
        <v>25</v>
      </c>
      <c r="E856" s="16" t="inlineStr">
        <is>
          <t>L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1" t="n">
        <v>1</v>
      </c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7" t="n">
        <v>1</v>
      </c>
      <c r="Z856" s="13">
        <f>SUMPRODUCT(N856:Y856,$N$2:$Y$2)*$K856*$L856*$M856</f>
        <v/>
      </c>
      <c r="AA856" s="14">
        <f>SUM(N856:Y856)</f>
        <v/>
      </c>
      <c r="AB856" s="14">
        <f>IFERROR(IF(UPPER($E856)="L",SUMPRODUCT(N856:Y856,$N$3:$Y$3,$N$2:$Y$2),SUMPRODUCT(N856:Y856,$N$4:$Y$4,$N$2:$Y$2))/(Z856/($K856*$L856*$M856)),"")</f>
        <v/>
      </c>
      <c r="AC856" s="18" t="n"/>
    </row>
    <row r="857">
      <c r="A857" s="9" t="n">
        <v>829768</v>
      </c>
      <c r="B857" s="9" t="inlineStr">
        <is>
          <t>Malvin Fernandez</t>
        </is>
      </c>
      <c r="C857" s="9" t="inlineStr">
        <is>
          <t>ATL</t>
        </is>
      </c>
      <c r="D857" s="9" t="n">
        <v>25</v>
      </c>
      <c r="E857" s="16" t="inlineStr">
        <is>
          <t>S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1" t="n">
        <v>1</v>
      </c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7" t="n">
        <v>1</v>
      </c>
      <c r="Z857" s="13">
        <f>SUMPRODUCT(N857:Y857,$N$2:$Y$2)*$K857*$L857*$M857</f>
        <v/>
      </c>
      <c r="AA857" s="14">
        <f>SUM(N857:Y857)</f>
        <v/>
      </c>
      <c r="AB857" s="14">
        <f>IFERROR(IF(UPPER($E857)="L",SUMPRODUCT(N857:Y857,$N$3:$Y$3,$N$2:$Y$2),SUMPRODUCT(N857:Y857,$N$4:$Y$4,$N$2:$Y$2))/(Z857/($K857*$L857*$M857)),"")</f>
        <v/>
      </c>
      <c r="AC857" s="18" t="n"/>
    </row>
    <row r="858">
      <c r="A858" s="9" t="n">
        <v>816000</v>
      </c>
      <c r="B858" s="9" t="inlineStr">
        <is>
          <t>Owen Gregg</t>
        </is>
      </c>
      <c r="C858" s="9" t="inlineStr">
        <is>
          <t>TOR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1" t="n">
        <v>1</v>
      </c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7" t="n">
        <v>1</v>
      </c>
      <c r="Z858" s="13">
        <f>SUMPRODUCT(N858:Y858,$N$2:$Y$2)*$K858*$L858*$M858</f>
        <v/>
      </c>
      <c r="AA858" s="14">
        <f>SUM(N858:Y858)</f>
        <v/>
      </c>
      <c r="AB858" s="14">
        <f>IFERROR(IF(UPPER($E858)="L",SUMPRODUCT(N858:Y858,$N$3:$Y$3,$N$2:$Y$2),SUMPRODUCT(N858:Y858,$N$4:$Y$4,$N$2:$Y$2))/(Z858/($K858*$L858*$M858)),"")</f>
        <v/>
      </c>
      <c r="AC858" s="18" t="n"/>
    </row>
    <row r="859">
      <c r="A859" s="9" t="n">
        <v>840371</v>
      </c>
      <c r="B859" s="9" t="inlineStr">
        <is>
          <t>Tyson LeBlanc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1" t="n">
        <v>1</v>
      </c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7" t="n">
        <v>1</v>
      </c>
      <c r="Z859" s="13">
        <f>SUMPRODUCT(N859:Y859,$N$2:$Y$2)*$K859*$L859*$M859</f>
        <v/>
      </c>
      <c r="AA859" s="14">
        <f>SUM(N859:Y859)</f>
        <v/>
      </c>
      <c r="AB859" s="14">
        <f>IFERROR(IF(UPPER($E859)="L",SUMPRODUCT(N859:Y859,$N$3:$Y$3,$N$2:$Y$2),SUMPRODUCT(N859:Y859,$N$4:$Y$4,$N$2:$Y$2))/(Z859/($K859*$L859*$M859)),"")</f>
        <v/>
      </c>
      <c r="AC859" s="18" t="n"/>
    </row>
    <row r="860">
      <c r="A860" s="9" t="n">
        <v>835318</v>
      </c>
      <c r="B860" s="9" t="inlineStr">
        <is>
          <t>Aidan Redahan</t>
        </is>
      </c>
      <c r="C860" s="9" t="inlineStr">
        <is>
          <t>COL</t>
        </is>
      </c>
      <c r="D860" s="9" t="n">
        <v>25</v>
      </c>
      <c r="E860" s="16" t="inlineStr">
        <is>
          <t>L</t>
        </is>
      </c>
      <c r="F860" s="16" t="n"/>
      <c r="G860" s="9" t="n">
        <v>5.16923076923077</v>
      </c>
      <c r="H860" s="9" t="n">
        <v>5.16923076923077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1" t="n">
        <v>1</v>
      </c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7" t="n">
        <v>1</v>
      </c>
      <c r="Z860" s="13">
        <f>SUMPRODUCT(N860:Y860,$N$2:$Y$2)*$K860*$L860*$M860</f>
        <v/>
      </c>
      <c r="AA860" s="14">
        <f>SUM(N860:Y860)</f>
        <v/>
      </c>
      <c r="AB860" s="14">
        <f>IFERROR(IF(UPPER($E860)="L",SUMPRODUCT(N860:Y860,$N$3:$Y$3,$N$2:$Y$2),SUMPRODUCT(N860:Y860,$N$4:$Y$4,$N$2:$Y$2))/(Z860/($K860*$L860*$M860)),"")</f>
        <v/>
      </c>
      <c r="AC860" s="18" t="n"/>
    </row>
    <row r="861">
      <c r="A861" s="9" t="n">
        <v>831384</v>
      </c>
      <c r="B861" s="9" t="inlineStr">
        <is>
          <t>Josh Owens</t>
        </is>
      </c>
      <c r="C861" s="9" t="inlineStr">
        <is>
          <t>TEX</t>
        </is>
      </c>
      <c r="D861" s="9" t="n">
        <v>25</v>
      </c>
      <c r="E861" s="16" t="inlineStr">
        <is>
          <t>L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1" t="n">
        <v>1</v>
      </c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7" t="n">
        <v>1</v>
      </c>
      <c r="Z861" s="13">
        <f>SUMPRODUCT(N861:Y861,$N$2:$Y$2)*$K861*$L861*$M861</f>
        <v/>
      </c>
      <c r="AA861" s="14">
        <f>SUM(N861:Y861)</f>
        <v/>
      </c>
      <c r="AB861" s="14">
        <f>IFERROR(IF(UPPER($E861)="L",SUMPRODUCT(N861:Y861,$N$3:$Y$3,$N$2:$Y$2),SUMPRODUCT(N861:Y861,$N$4:$Y$4,$N$2:$Y$2))/(Z861/($K861*$L861*$M861)),"")</f>
        <v/>
      </c>
      <c r="AC861" s="18" t="n"/>
    </row>
    <row r="862">
      <c r="A862" s="9" t="n">
        <v>682616</v>
      </c>
      <c r="B862" s="9" t="inlineStr">
        <is>
          <t>Diego Cartaya</t>
        </is>
      </c>
      <c r="C862" s="9" t="inlineStr">
        <is>
          <t>SF</t>
        </is>
      </c>
      <c r="D862" s="9" t="n">
        <v>25</v>
      </c>
      <c r="E862" s="16" t="inlineStr">
        <is>
          <t>R</t>
        </is>
      </c>
      <c r="F862" s="16" t="n"/>
      <c r="G862" s="9" t="n">
        <v>6.974358974358975</v>
      </c>
      <c r="H862" s="9" t="n">
        <v>6.974358974358975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1" t="n">
        <v>1</v>
      </c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7" t="n">
        <v>1</v>
      </c>
      <c r="Z862" s="13">
        <f>SUMPRODUCT(N862:Y862,$N$2:$Y$2)*$K862*$L862*$M862</f>
        <v/>
      </c>
      <c r="AA862" s="14">
        <f>SUM(N862:Y862)</f>
        <v/>
      </c>
      <c r="AB862" s="14">
        <f>IFERROR(IF(UPPER($E862)="L",SUMPRODUCT(N862:Y862,$N$3:$Y$3,$N$2:$Y$2),SUMPRODUCT(N862:Y862,$N$4:$Y$4,$N$2:$Y$2))/(Z862/($K862*$L862*$M862)),"")</f>
        <v/>
      </c>
      <c r="AC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1" t="n">
        <v>1</v>
      </c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7" t="n">
        <v>1</v>
      </c>
      <c r="Z863" s="13">
        <f>SUMPRODUCT(N863:Y863,$N$2:$Y$2)*$K863*$L863*$M863</f>
        <v/>
      </c>
      <c r="AA863" s="14">
        <f>SUM(N863:Y863)</f>
        <v/>
      </c>
      <c r="AB863" s="14">
        <f>IFERROR(IF(UPPER($E863)="L",SUMPRODUCT(N863:Y863,$N$3:$Y$3,$N$2:$Y$2),SUMPRODUCT(N863:Y863,$N$4:$Y$4,$N$2:$Y$2))/(Z863/($K863*$L863*$M863)),"")</f>
        <v/>
      </c>
      <c r="AC863" s="18" t="n"/>
    </row>
    <row r="864">
      <c r="A864" s="9" t="n">
        <v>814829</v>
      </c>
      <c r="B864" s="9" t="inlineStr">
        <is>
          <t>Maddox Molony</t>
        </is>
      </c>
      <c r="C864" s="9" t="inlineStr">
        <is>
          <t>DET</t>
        </is>
      </c>
      <c r="D864" s="9" t="n">
        <v>25</v>
      </c>
      <c r="E864" s="16" t="inlineStr">
        <is>
          <t>R</t>
        </is>
      </c>
      <c r="F864" s="16" t="n"/>
      <c r="G864" s="9" t="n">
        <v>2.953846153846154</v>
      </c>
      <c r="H864" s="9" t="n">
        <v>2.953846153846154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1" t="n">
        <v>1</v>
      </c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7" t="n">
        <v>1</v>
      </c>
      <c r="Z864" s="13">
        <f>SUMPRODUCT(N864:Y864,$N$2:$Y$2)*$K864*$L864*$M864</f>
        <v/>
      </c>
      <c r="AA864" s="14">
        <f>SUM(N864:Y864)</f>
        <v/>
      </c>
      <c r="AB864" s="14">
        <f>IFERROR(IF(UPPER($E864)="L",SUMPRODUCT(N864:Y864,$N$3:$Y$3,$N$2:$Y$2),SUMPRODUCT(N864:Y864,$N$4:$Y$4,$N$2:$Y$2))/(Z864/($K864*$L864*$M864)),"")</f>
        <v/>
      </c>
      <c r="AC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1" t="n">
        <v>1</v>
      </c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7" t="n">
        <v>1</v>
      </c>
      <c r="Z865" s="13">
        <f>SUMPRODUCT(N865:Y865,$N$2:$Y$2)*$K865*$L865*$M865</f>
        <v/>
      </c>
      <c r="AA865" s="14">
        <f>SUM(N865:Y865)</f>
        <v/>
      </c>
      <c r="AB865" s="14">
        <f>IFERROR(IF(UPPER($E865)="L",SUMPRODUCT(N865:Y865,$N$3:$Y$3,$N$2:$Y$2),SUMPRODUCT(N865:Y865,$N$4:$Y$4,$N$2:$Y$2))/(Z865/($K865*$L865*$M865)),"")</f>
        <v/>
      </c>
      <c r="AC865" s="18" t="n"/>
    </row>
    <row r="866">
      <c r="A866" s="9" t="n">
        <v>806884</v>
      </c>
      <c r="B866" s="9" t="inlineStr">
        <is>
          <t>Luis Escudero</t>
        </is>
      </c>
      <c r="C866" s="9" t="inlineStr">
        <is>
          <t>NYY</t>
        </is>
      </c>
      <c r="D866" s="9" t="n">
        <v>25</v>
      </c>
      <c r="E866" s="16" t="inlineStr">
        <is>
          <t>S</t>
        </is>
      </c>
      <c r="F866" s="16" t="n"/>
      <c r="G866" s="9" t="n">
        <v>24.36923076923077</v>
      </c>
      <c r="H866" s="9" t="n">
        <v>24.36923076923077</v>
      </c>
      <c r="I866" s="9" t="inlineStr">
        <is>
          <t>Depth (no MLB PA)</t>
        </is>
      </c>
      <c r="J866" s="16" t="inlineStr">
        <is>
          <t>Late Season (~Sept)</t>
        </is>
      </c>
      <c r="K866" s="11">
        <f>IFERROR(INDEX(Roles!$B$17:$B$20,MATCH(J866,Roles!$A$17:$A$20,0)),1)</f>
        <v/>
      </c>
      <c r="L866" s="17" t="n">
        <v>1</v>
      </c>
      <c r="M866" s="11" t="n">
        <v>1</v>
      </c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7" t="n">
        <v>1</v>
      </c>
      <c r="Z866" s="13">
        <f>SUMPRODUCT(N866:Y866,$N$2:$Y$2)*$K866*$L866*$M866</f>
        <v/>
      </c>
      <c r="AA866" s="14">
        <f>SUM(N866:Y866)</f>
        <v/>
      </c>
      <c r="AB866" s="14">
        <f>IFERROR(IF(UPPER($E866)="L",SUMPRODUCT(N866:Y866,$N$3:$Y$3,$N$2:$Y$2),SUMPRODUCT(N866:Y866,$N$4:$Y$4,$N$2:$Y$2))/(Z866/($K866*$L866*$M866)),"")</f>
        <v/>
      </c>
      <c r="AC866" s="18" t="n"/>
    </row>
    <row r="867">
      <c r="A867" s="9" t="n">
        <v>813314</v>
      </c>
      <c r="B867" s="9" t="inlineStr">
        <is>
          <t>Logan Hughes</t>
        </is>
      </c>
      <c r="C867" s="9" t="inlineStr">
        <is>
          <t>HOU</t>
        </is>
      </c>
      <c r="D867" s="9" t="n">
        <v>25</v>
      </c>
      <c r="E867" s="16" t="inlineStr">
        <is>
          <t>L</t>
        </is>
      </c>
      <c r="F867" s="16" t="n"/>
      <c r="G867" s="9" t="n">
        <v>11.56923076923077</v>
      </c>
      <c r="H867" s="9" t="n">
        <v>11.56923076923077</v>
      </c>
      <c r="I867" s="9" t="inlineStr">
        <is>
          <t>Depth (no MLB PA)</t>
        </is>
      </c>
      <c r="J867" s="16" t="inlineStr">
        <is>
          <t>Late Season (~Sept)</t>
        </is>
      </c>
      <c r="K867" s="11">
        <f>IFERROR(INDEX(Roles!$B$17:$B$20,MATCH(J867,Roles!$A$17:$A$20,0)),1)</f>
        <v/>
      </c>
      <c r="L867" s="17" t="n">
        <v>1</v>
      </c>
      <c r="M867" s="11" t="n">
        <v>1</v>
      </c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7" t="n">
        <v>1</v>
      </c>
      <c r="Z867" s="13">
        <f>SUMPRODUCT(N867:Y867,$N$2:$Y$2)*$K867*$L867*$M867</f>
        <v/>
      </c>
      <c r="AA867" s="14">
        <f>SUM(N867:Y867)</f>
        <v/>
      </c>
      <c r="AB867" s="14">
        <f>IFERROR(IF(UPPER($E867)="L",SUMPRODUCT(N867:Y867,$N$3:$Y$3,$N$2:$Y$2),SUMPRODUCT(N867:Y867,$N$4:$Y$4,$N$2:$Y$2))/(Z867/($K867*$L867*$M867)),"")</f>
        <v/>
      </c>
      <c r="AC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1" t="n">
        <v>1</v>
      </c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7" t="n">
        <v>1</v>
      </c>
      <c r="Z868" s="13">
        <f>SUMPRODUCT(N868:Y868,$N$2:$Y$2)*$K868*$L868*$M868</f>
        <v/>
      </c>
      <c r="AA868" s="14">
        <f>SUM(N868:Y868)</f>
        <v/>
      </c>
      <c r="AB868" s="14">
        <f>IFERROR(IF(UPPER($E868)="L",SUMPRODUCT(N868:Y868,$N$3:$Y$3,$N$2:$Y$2),SUMPRODUCT(N868:Y868,$N$4:$Y$4,$N$2:$Y$2))/(Z868/($K868*$L868*$M868)),"")</f>
        <v/>
      </c>
      <c r="AC868" s="18" t="n"/>
    </row>
    <row r="869">
      <c r="A869" s="9" t="n">
        <v>836068</v>
      </c>
      <c r="B869" s="9" t="inlineStr">
        <is>
          <t>Brayden Corn</t>
        </is>
      </c>
      <c r="C869" s="9" t="inlineStr">
        <is>
          <t>SEA</t>
        </is>
      </c>
      <c r="D869" s="9" t="n">
        <v>25</v>
      </c>
      <c r="E869" s="16" t="inlineStr">
        <is>
          <t>R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1" t="n">
        <v>1</v>
      </c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7" t="n">
        <v>1</v>
      </c>
      <c r="Z869" s="13">
        <f>SUMPRODUCT(N869:Y869,$N$2:$Y$2)*$K869*$L869*$M869</f>
        <v/>
      </c>
      <c r="AA869" s="14">
        <f>SUM(N869:Y869)</f>
        <v/>
      </c>
      <c r="AB869" s="14">
        <f>IFERROR(IF(UPPER($E869)="L",SUMPRODUCT(N869:Y869,$N$3:$Y$3,$N$2:$Y$2),SUMPRODUCT(N869:Y869,$N$4:$Y$4,$N$2:$Y$2))/(Z869/($K869*$L869*$M869)),"")</f>
        <v/>
      </c>
      <c r="AC869" s="18" t="n"/>
    </row>
    <row r="870">
      <c r="A870" s="9" t="n">
        <v>828808</v>
      </c>
      <c r="B870" s="9" t="inlineStr">
        <is>
          <t>Wessley Roberson</t>
        </is>
      </c>
      <c r="C870" s="9" t="inlineStr">
        <is>
          <t>MIA</t>
        </is>
      </c>
      <c r="D870" s="9" t="n">
        <v>25</v>
      </c>
      <c r="E870" s="16" t="inlineStr">
        <is>
          <t>L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Late Season (~Sept)</t>
        </is>
      </c>
      <c r="K870" s="11">
        <f>IFERROR(INDEX(Roles!$B$17:$B$20,MATCH(J870,Roles!$A$17:$A$20,0)),1)</f>
        <v/>
      </c>
      <c r="L870" s="17" t="n">
        <v>1</v>
      </c>
      <c r="M870" s="11" t="n">
        <v>1</v>
      </c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7" t="n">
        <v>1</v>
      </c>
      <c r="Z870" s="13">
        <f>SUMPRODUCT(N870:Y870,$N$2:$Y$2)*$K870*$L870*$M870</f>
        <v/>
      </c>
      <c r="AA870" s="14">
        <f>SUM(N870:Y870)</f>
        <v/>
      </c>
      <c r="AB870" s="14">
        <f>IFERROR(IF(UPPER($E870)="L",SUMPRODUCT(N870:Y870,$N$3:$Y$3,$N$2:$Y$2),SUMPRODUCT(N870:Y870,$N$4:$Y$4,$N$2:$Y$2))/(Z870/($K870*$L870*$M870)),"")</f>
        <v/>
      </c>
      <c r="AC870" s="18" t="n"/>
    </row>
    <row r="871">
      <c r="A871" s="9" t="n">
        <v>828395</v>
      </c>
      <c r="B871" s="9" t="inlineStr">
        <is>
          <t>Jason Schiavone</t>
        </is>
      </c>
      <c r="C871" s="9" t="inlineStr">
        <is>
          <t>HOU</t>
        </is>
      </c>
      <c r="D871" s="9" t="n">
        <v>25</v>
      </c>
      <c r="E871" s="16" t="inlineStr">
        <is>
          <t>R</t>
        </is>
      </c>
      <c r="F871" s="16" t="n"/>
      <c r="G871" s="9" t="n">
        <v>18.05128205128205</v>
      </c>
      <c r="H871" s="9" t="n">
        <v>18.05128205128205</v>
      </c>
      <c r="I871" s="9" t="inlineStr">
        <is>
          <t>Depth (no MLB PA)</t>
        </is>
      </c>
      <c r="J871" s="16" t="inlineStr">
        <is>
          <t>Early Season (~May)</t>
        </is>
      </c>
      <c r="K871" s="11">
        <f>IFERROR(INDEX(Roles!$B$17:$B$20,MATCH(J871,Roles!$A$17:$A$20,0)),1)</f>
        <v/>
      </c>
      <c r="L871" s="17" t="n">
        <v>1</v>
      </c>
      <c r="M871" s="11" t="n">
        <v>1</v>
      </c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7" t="n">
        <v>1</v>
      </c>
      <c r="Z871" s="13">
        <f>SUMPRODUCT(N871:Y871,$N$2:$Y$2)*$K871*$L871*$M871</f>
        <v/>
      </c>
      <c r="AA871" s="14">
        <f>SUM(N871:Y871)</f>
        <v/>
      </c>
      <c r="AB871" s="14">
        <f>IFERROR(IF(UPPER($E871)="L",SUMPRODUCT(N871:Y871,$N$3:$Y$3,$N$2:$Y$2),SUMPRODUCT(N871:Y871,$N$4:$Y$4,$N$2:$Y$2))/(Z871/($K871*$L871*$M871)),"")</f>
        <v/>
      </c>
      <c r="AC871" s="18" t="n"/>
    </row>
    <row r="872">
      <c r="A872" s="9" t="n">
        <v>806995</v>
      </c>
      <c r="B872" s="9" t="inlineStr">
        <is>
          <t>Filippo Di Turi</t>
        </is>
      </c>
      <c r="C872" s="9" t="inlineStr">
        <is>
          <t>MIL</t>
        </is>
      </c>
      <c r="D872" s="9" t="n">
        <v>25</v>
      </c>
      <c r="E872" s="16" t="inlineStr">
        <is>
          <t>S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1" t="n">
        <v>1</v>
      </c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7" t="n">
        <v>1</v>
      </c>
      <c r="Z872" s="13">
        <f>SUMPRODUCT(N872:Y872,$N$2:$Y$2)*$K872*$L872*$M872</f>
        <v/>
      </c>
      <c r="AA872" s="14">
        <f>SUM(N872:Y872)</f>
        <v/>
      </c>
      <c r="AB872" s="14">
        <f>IFERROR(IF(UPPER($E872)="L",SUMPRODUCT(N872:Y872,$N$3:$Y$3,$N$2:$Y$2),SUMPRODUCT(N872:Y872,$N$4:$Y$4,$N$2:$Y$2))/(Z872/($K872*$L872*$M872)),"")</f>
        <v/>
      </c>
      <c r="AC872" s="18" t="n"/>
    </row>
    <row r="873">
      <c r="A873" s="9" t="n">
        <v>808096</v>
      </c>
      <c r="B873" s="9" t="inlineStr">
        <is>
          <t>Reiner Herrera</t>
        </is>
      </c>
      <c r="C873" s="9" t="inlineStr">
        <is>
          <t>CLE</t>
        </is>
      </c>
      <c r="D873" s="9" t="n">
        <v>25</v>
      </c>
      <c r="E873" s="16" t="inlineStr">
        <is>
          <t>L</t>
        </is>
      </c>
      <c r="F873" s="16" t="n"/>
      <c r="G873" s="9" t="n">
        <v>18.09230769230769</v>
      </c>
      <c r="H873" s="9" t="n">
        <v>18.09230769230769</v>
      </c>
      <c r="I873" s="9" t="inlineStr">
        <is>
          <t>Depth (no MLB PA)</t>
        </is>
      </c>
      <c r="J873" s="16" t="inlineStr">
        <is>
          <t>Late Season (~Sept)</t>
        </is>
      </c>
      <c r="K873" s="11">
        <f>IFERROR(INDEX(Roles!$B$17:$B$20,MATCH(J873,Roles!$A$17:$A$20,0)),1)</f>
        <v/>
      </c>
      <c r="L873" s="17" t="n">
        <v>1</v>
      </c>
      <c r="M873" s="11" t="n">
        <v>1</v>
      </c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7" t="n">
        <v>1</v>
      </c>
      <c r="Z873" s="13">
        <f>SUMPRODUCT(N873:Y873,$N$2:$Y$2)*$K873*$L873*$M873</f>
        <v/>
      </c>
      <c r="AA873" s="14">
        <f>SUM(N873:Y873)</f>
        <v/>
      </c>
      <c r="AB873" s="14">
        <f>IFERROR(IF(UPPER($E873)="L",SUMPRODUCT(N873:Y873,$N$3:$Y$3,$N$2:$Y$2),SUMPRODUCT(N873:Y873,$N$4:$Y$4,$N$2:$Y$2))/(Z873/($K873*$L873*$M873)),"")</f>
        <v/>
      </c>
      <c r="AC873" s="18" t="n"/>
    </row>
    <row r="874">
      <c r="A874" s="9" t="n">
        <v>821156</v>
      </c>
      <c r="B874" s="9" t="inlineStr">
        <is>
          <t>Carl Calixte</t>
        </is>
      </c>
      <c r="C874" s="9" t="inlineStr">
        <is>
          <t>PIT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1" t="n">
        <v>1</v>
      </c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7" t="n">
        <v>1</v>
      </c>
      <c r="Z874" s="13">
        <f>SUMPRODUCT(N874:Y874,$N$2:$Y$2)*$K874*$L874*$M874</f>
        <v/>
      </c>
      <c r="AA874" s="14">
        <f>SUM(N874:Y874)</f>
        <v/>
      </c>
      <c r="AB874" s="14">
        <f>IFERROR(IF(UPPER($E874)="L",SUMPRODUCT(N874:Y874,$N$3:$Y$3,$N$2:$Y$2),SUMPRODUCT(N874:Y874,$N$4:$Y$4,$N$2:$Y$2))/(Z874/($K874*$L874*$M874)),"")</f>
        <v/>
      </c>
      <c r="AC874" s="18" t="n"/>
    </row>
    <row r="875">
      <c r="A875" s="9" t="n">
        <v>694953</v>
      </c>
      <c r="B875" s="9" t="inlineStr">
        <is>
          <t>C.J. Pittaro</t>
        </is>
      </c>
      <c r="C875" s="9" t="inlineStr">
        <is>
          <t>OAK</t>
        </is>
      </c>
      <c r="D875" s="9" t="n">
        <v>25</v>
      </c>
      <c r="E875" s="16" t="inlineStr">
        <is>
          <t>L</t>
        </is>
      </c>
      <c r="F875" s="16" t="n"/>
      <c r="G875" s="9" t="n">
        <v>3.230769230769231</v>
      </c>
      <c r="H875" s="9" t="n">
        <v>3.230769230769231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1" t="n">
        <v>1</v>
      </c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7" t="n">
        <v>1</v>
      </c>
      <c r="Z875" s="13">
        <f>SUMPRODUCT(N875:Y875,$N$2:$Y$2)*$K875*$L875*$M875</f>
        <v/>
      </c>
      <c r="AA875" s="14">
        <f>SUM(N875:Y875)</f>
        <v/>
      </c>
      <c r="AB875" s="14">
        <f>IFERROR(IF(UPPER($E875)="L",SUMPRODUCT(N875:Y875,$N$3:$Y$3,$N$2:$Y$2),SUMPRODUCT(N875:Y875,$N$4:$Y$4,$N$2:$Y$2))/(Z875/($K875*$L875*$M875)),"")</f>
        <v/>
      </c>
      <c r="AC875" s="18" t="n"/>
    </row>
    <row r="876">
      <c r="A876" s="9" t="n">
        <v>805890</v>
      </c>
      <c r="B876" s="9" t="inlineStr">
        <is>
          <t>Kaden Carpenter</t>
        </is>
      </c>
      <c r="C876" s="9" t="inlineStr">
        <is>
          <t>TEX</t>
        </is>
      </c>
      <c r="D876" s="9" t="n">
        <v>25</v>
      </c>
      <c r="E876" s="16" t="inlineStr">
        <is>
          <t>L</t>
        </is>
      </c>
      <c r="F876" s="16" t="n"/>
      <c r="G876" s="9" t="n">
        <v>15.87692307692308</v>
      </c>
      <c r="H876" s="9" t="n">
        <v>15.87692307692308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1" t="n">
        <v>1</v>
      </c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7" t="n">
        <v>1</v>
      </c>
      <c r="Z876" s="13">
        <f>SUMPRODUCT(N876:Y876,$N$2:$Y$2)*$K876*$L876*$M876</f>
        <v/>
      </c>
      <c r="AA876" s="14">
        <f>SUM(N876:Y876)</f>
        <v/>
      </c>
      <c r="AB876" s="14">
        <f>IFERROR(IF(UPPER($E876)="L",SUMPRODUCT(N876:Y876,$N$3:$Y$3,$N$2:$Y$2),SUMPRODUCT(N876:Y876,$N$4:$Y$4,$N$2:$Y$2))/(Z876/($K876*$L876*$M876)),"")</f>
        <v/>
      </c>
      <c r="AC876" s="18" t="n"/>
    </row>
    <row r="877">
      <c r="A877" s="9" t="n">
        <v>823775</v>
      </c>
      <c r="B877" s="9" t="inlineStr">
        <is>
          <t>DJ Newman</t>
        </is>
      </c>
      <c r="C877" s="9" t="inlineStr">
        <is>
          <t>HOU</t>
        </is>
      </c>
      <c r="D877" s="9" t="n">
        <v>25</v>
      </c>
      <c r="E877" s="16" t="inlineStr">
        <is>
          <t>R</t>
        </is>
      </c>
      <c r="F877" s="16" t="n"/>
      <c r="G877" s="9" t="n">
        <v>15.58974358974359</v>
      </c>
      <c r="H877" s="9" t="n">
        <v>15.58974358974359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1" t="n">
        <v>1</v>
      </c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7" t="n">
        <v>1</v>
      </c>
      <c r="Z877" s="13">
        <f>SUMPRODUCT(N877:Y877,$N$2:$Y$2)*$K877*$L877*$M877</f>
        <v/>
      </c>
      <c r="AA877" s="14">
        <f>SUM(N877:Y877)</f>
        <v/>
      </c>
      <c r="AB877" s="14">
        <f>IFERROR(IF(UPPER($E877)="L",SUMPRODUCT(N877:Y877,$N$3:$Y$3,$N$2:$Y$2),SUMPRODUCT(N877:Y877,$N$4:$Y$4,$N$2:$Y$2))/(Z877/($K877*$L877*$M877)),"")</f>
        <v/>
      </c>
      <c r="AC877" s="18" t="n"/>
    </row>
    <row r="878">
      <c r="A878" s="9" t="n">
        <v>824425</v>
      </c>
      <c r="B878" s="9" t="inlineStr">
        <is>
          <t>Diego Castellanos</t>
        </is>
      </c>
      <c r="C878" s="9" t="inlineStr">
        <is>
          <t>NYY</t>
        </is>
      </c>
      <c r="D878" s="9" t="n">
        <v>25</v>
      </c>
      <c r="E878" s="16" t="inlineStr">
        <is>
          <t>L</t>
        </is>
      </c>
      <c r="F878" s="16" t="n"/>
      <c r="G878" s="9" t="n">
        <v>9.723076923076922</v>
      </c>
      <c r="H878" s="9" t="n">
        <v>9.723076923076922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1" t="n">
        <v>1</v>
      </c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7" t="n">
        <v>1</v>
      </c>
      <c r="Z878" s="13">
        <f>SUMPRODUCT(N878:Y878,$N$2:$Y$2)*$K878*$L878*$M878</f>
        <v/>
      </c>
      <c r="AA878" s="14">
        <f>SUM(N878:Y878)</f>
        <v/>
      </c>
      <c r="AB878" s="14">
        <f>IFERROR(IF(UPPER($E878)="L",SUMPRODUCT(N878:Y878,$N$3:$Y$3,$N$2:$Y$2),SUMPRODUCT(N878:Y878,$N$4:$Y$4,$N$2:$Y$2))/(Z878/($K878*$L878*$M878)),"")</f>
        <v/>
      </c>
      <c r="AC878" s="18" t="n"/>
    </row>
    <row r="879">
      <c r="A879" s="9" t="n">
        <v>803284</v>
      </c>
      <c r="B879" s="9" t="inlineStr">
        <is>
          <t>Max Belyeu</t>
        </is>
      </c>
      <c r="C879" s="9" t="inlineStr">
        <is>
          <t>COL</t>
        </is>
      </c>
      <c r="D879" s="9" t="n">
        <v>25</v>
      </c>
      <c r="E879" s="16" t="inlineStr">
        <is>
          <t>L</t>
        </is>
      </c>
      <c r="F879" s="16" t="n"/>
      <c r="G879" s="9" t="n">
        <v>55.38461538461539</v>
      </c>
      <c r="H879" s="9" t="n">
        <v>55.38461538461539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1" t="n">
        <v>1</v>
      </c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7" t="n">
        <v>1</v>
      </c>
      <c r="Z879" s="13">
        <f>SUMPRODUCT(N879:Y879,$N$2:$Y$2)*$K879*$L879*$M879</f>
        <v/>
      </c>
      <c r="AA879" s="14">
        <f>SUM(N879:Y879)</f>
        <v/>
      </c>
      <c r="AB879" s="14">
        <f>IFERROR(IF(UPPER($E879)="L",SUMPRODUCT(N879:Y879,$N$3:$Y$3,$N$2:$Y$2),SUMPRODUCT(N879:Y879,$N$4:$Y$4,$N$2:$Y$2))/(Z879/($K879*$L879*$M879)),"")</f>
        <v/>
      </c>
      <c r="AC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1" t="n">
        <v>1</v>
      </c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7" t="n">
        <v>1</v>
      </c>
      <c r="Z880" s="13">
        <f>SUMPRODUCT(N880:Y880,$N$2:$Y$2)*$K880*$L880*$M880</f>
        <v/>
      </c>
      <c r="AA880" s="14">
        <f>SUM(N880:Y880)</f>
        <v/>
      </c>
      <c r="AB880" s="14">
        <f>IFERROR(IF(UPPER($E880)="L",SUMPRODUCT(N880:Y880,$N$3:$Y$3,$N$2:$Y$2),SUMPRODUCT(N880:Y880,$N$4:$Y$4,$N$2:$Y$2))/(Z880/($K880*$L880*$M880)),"")</f>
        <v/>
      </c>
      <c r="AC880" s="18" t="n"/>
    </row>
    <row r="881">
      <c r="A881" s="9" t="n">
        <v>806495</v>
      </c>
      <c r="B881" s="9" t="inlineStr">
        <is>
          <t>Kale Fountain</t>
        </is>
      </c>
      <c r="C881" s="9" t="inlineStr">
        <is>
          <t>SD</t>
        </is>
      </c>
      <c r="D881" s="9" t="n">
        <v>25</v>
      </c>
      <c r="E881" s="16" t="inlineStr">
        <is>
          <t>R</t>
        </is>
      </c>
      <c r="F881" s="16" t="n"/>
      <c r="G881" s="9" t="n">
        <v>7.507692307692307</v>
      </c>
      <c r="H881" s="9" t="n">
        <v>7.507692307692307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1" t="n">
        <v>1</v>
      </c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7" t="n">
        <v>1</v>
      </c>
      <c r="Z881" s="13">
        <f>SUMPRODUCT(N881:Y881,$N$2:$Y$2)*$K881*$L881*$M881</f>
        <v/>
      </c>
      <c r="AA881" s="14">
        <f>SUM(N881:Y881)</f>
        <v/>
      </c>
      <c r="AB881" s="14">
        <f>IFERROR(IF(UPPER($E881)="L",SUMPRODUCT(N881:Y881,$N$3:$Y$3,$N$2:$Y$2),SUMPRODUCT(N881:Y881,$N$4:$Y$4,$N$2:$Y$2))/(Z881/($K881*$L881*$M881)),"")</f>
        <v/>
      </c>
      <c r="AC881" s="18" t="n"/>
    </row>
    <row r="882">
      <c r="A882" s="9" t="n">
        <v>572138</v>
      </c>
      <c r="B882" s="9" t="inlineStr">
        <is>
          <t>Jon Singleton</t>
        </is>
      </c>
      <c r="C882" s="9" t="inlineStr">
        <is>
          <t>HOU</t>
        </is>
      </c>
      <c r="D882" s="9" t="n">
        <v>35</v>
      </c>
      <c r="E882" s="16" t="inlineStr">
        <is>
          <t>L</t>
        </is>
      </c>
      <c r="F882" s="16" t="inlineStr">
        <is>
          <t>1B</t>
        </is>
      </c>
      <c r="G882" s="9" t="n">
        <v>9</v>
      </c>
      <c r="H882" s="9" t="n">
        <v>519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1" t="n">
        <v>0.7955033272507619</v>
      </c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7" t="n">
        <v>1</v>
      </c>
      <c r="Z882" s="13">
        <f>SUMPRODUCT(N882:Y882,$N$2:$Y$2)*$K882*$L882*$M882</f>
        <v/>
      </c>
      <c r="AA882" s="14">
        <f>SUM(N882:Y882)</f>
        <v/>
      </c>
      <c r="AB882" s="14">
        <f>IFERROR(IF(UPPER($E882)="L",SUMPRODUCT(N882:Y882,$N$3:$Y$3,$N$2:$Y$2),SUMPRODUCT(N882:Y882,$N$4:$Y$4,$N$2:$Y$2))/(Z882/($K882*$L882*$M882)),"")</f>
        <v/>
      </c>
      <c r="AC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1" t="n">
        <v>1</v>
      </c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7" t="n">
        <v>1</v>
      </c>
      <c r="Z883" s="13">
        <f>SUMPRODUCT(N883:Y883,$N$2:$Y$2)*$K883*$L883*$M883</f>
        <v/>
      </c>
      <c r="AA883" s="14">
        <f>SUM(N883:Y883)</f>
        <v/>
      </c>
      <c r="AB883" s="14">
        <f>IFERROR(IF(UPPER($E883)="L",SUMPRODUCT(N883:Y883,$N$3:$Y$3,$N$2:$Y$2),SUMPRODUCT(N883:Y883,$N$4:$Y$4,$N$2:$Y$2))/(Z883/($K883*$L883*$M883)),"")</f>
        <v/>
      </c>
      <c r="AC883" s="18" t="n"/>
    </row>
    <row r="884">
      <c r="A884" s="9" t="n">
        <v>687084</v>
      </c>
      <c r="B884" s="9" t="inlineStr">
        <is>
          <t>Joshua Mears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3.230769230769231</v>
      </c>
      <c r="H884" s="9" t="n">
        <v>3.230769230769231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1" t="n">
        <v>1</v>
      </c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7" t="n">
        <v>1</v>
      </c>
      <c r="Z884" s="13">
        <f>SUMPRODUCT(N884:Y884,$N$2:$Y$2)*$K884*$L884*$M884</f>
        <v/>
      </c>
      <c r="AA884" s="14">
        <f>SUM(N884:Y884)</f>
        <v/>
      </c>
      <c r="AB884" s="14">
        <f>IFERROR(IF(UPPER($E884)="L",SUMPRODUCT(N884:Y884,$N$3:$Y$3,$N$2:$Y$2),SUMPRODUCT(N884:Y884,$N$4:$Y$4,$N$2:$Y$2))/(Z884/($K884*$L884*$M884)),"")</f>
        <v/>
      </c>
      <c r="AC884" s="18" t="n"/>
    </row>
    <row r="885">
      <c r="A885" s="9" t="n">
        <v>605421</v>
      </c>
      <c r="B885" s="9" t="inlineStr">
        <is>
          <t>Michael Pérez</t>
        </is>
      </c>
      <c r="C885" s="9" t="inlineStr">
        <is>
          <t>NYM</t>
        </is>
      </c>
      <c r="D885" s="9" t="n">
        <v>34</v>
      </c>
      <c r="E885" s="16" t="inlineStr">
        <is>
          <t>L</t>
        </is>
      </c>
      <c r="F885" s="16" t="inlineStr">
        <is>
          <t>C</t>
        </is>
      </c>
      <c r="G885" s="9" t="n">
        <v>8</v>
      </c>
      <c r="H885" s="9" t="n">
        <v>140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1" t="n">
        <v>1</v>
      </c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7" t="n">
        <v>1</v>
      </c>
      <c r="Z885" s="13">
        <f>SUMPRODUCT(N885:Y885,$N$2:$Y$2)*$K885*$L885*$M885</f>
        <v/>
      </c>
      <c r="AA885" s="14">
        <f>SUM(N885:Y885)</f>
        <v/>
      </c>
      <c r="AB885" s="14">
        <f>IFERROR(IF(UPPER($E885)="L",SUMPRODUCT(N885:Y885,$N$3:$Y$3,$N$2:$Y$2),SUMPRODUCT(N885:Y885,$N$4:$Y$4,$N$2:$Y$2))/(Z885/($K885*$L885*$M885)),"")</f>
        <v/>
      </c>
      <c r="AC885" s="18" t="n"/>
    </row>
    <row r="886">
      <c r="A886" s="9" t="n">
        <v>702270</v>
      </c>
      <c r="B886" s="9" t="inlineStr">
        <is>
          <t>Malcolm Moore</t>
        </is>
      </c>
      <c r="C886" s="9" t="inlineStr">
        <is>
          <t>TEX</t>
        </is>
      </c>
      <c r="D886" s="9" t="n">
        <v>25</v>
      </c>
      <c r="E886" s="16" t="inlineStr">
        <is>
          <t>L</t>
        </is>
      </c>
      <c r="F886" s="16" t="n"/>
      <c r="G886" s="9" t="n">
        <v>70.35897435897435</v>
      </c>
      <c r="H886" s="9" t="n">
        <v>70.35897435897435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1" t="n">
        <v>1</v>
      </c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7" t="n">
        <v>1</v>
      </c>
      <c r="Z886" s="13">
        <f>SUMPRODUCT(N886:Y886,$N$2:$Y$2)*$K886*$L886*$M886</f>
        <v/>
      </c>
      <c r="AA886" s="14">
        <f>SUM(N886:Y886)</f>
        <v/>
      </c>
      <c r="AB886" s="14">
        <f>IFERROR(IF(UPPER($E886)="L",SUMPRODUCT(N886:Y886,$N$3:$Y$3,$N$2:$Y$2),SUMPRODUCT(N886:Y886,$N$4:$Y$4,$N$2:$Y$2))/(Z886/($K886*$L886*$M886)),"")</f>
        <v/>
      </c>
      <c r="AC886" s="18" t="n"/>
    </row>
    <row r="887">
      <c r="A887" s="9" t="n">
        <v>821818</v>
      </c>
      <c r="B887" s="9" t="inlineStr">
        <is>
          <t>Luis Corobo</t>
        </is>
      </c>
      <c r="C887" s="9" t="inlineStr">
        <is>
          <t>MIL</t>
        </is>
      </c>
      <c r="D887" s="9" t="n">
        <v>25</v>
      </c>
      <c r="E887" s="16" t="inlineStr">
        <is>
          <t>R</t>
        </is>
      </c>
      <c r="F887" s="16" t="n"/>
      <c r="G887" s="9" t="n">
        <v>3.323076923076924</v>
      </c>
      <c r="H887" s="9" t="n">
        <v>3.323076923076924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1" t="n">
        <v>1</v>
      </c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7" t="n">
        <v>1</v>
      </c>
      <c r="Z887" s="13">
        <f>SUMPRODUCT(N887:Y887,$N$2:$Y$2)*$K887*$L887*$M887</f>
        <v/>
      </c>
      <c r="AA887" s="14">
        <f>SUM(N887:Y887)</f>
        <v/>
      </c>
      <c r="AB887" s="14">
        <f>IFERROR(IF(UPPER($E887)="L",SUMPRODUCT(N887:Y887,$N$3:$Y$3,$N$2:$Y$2),SUMPRODUCT(N887:Y887,$N$4:$Y$4,$N$2:$Y$2))/(Z887/($K887*$L887*$M887)),"")</f>
        <v/>
      </c>
      <c r="AC887" s="18" t="n"/>
    </row>
    <row r="888">
      <c r="A888" s="9" t="n">
        <v>813075</v>
      </c>
      <c r="B888" s="9" t="inlineStr">
        <is>
          <t>Jacob Lombard</t>
        </is>
      </c>
      <c r="C888" s="9" t="inlineStr">
        <is>
          <t>MIA</t>
        </is>
      </c>
      <c r="D888" s="9" t="n">
        <v>25</v>
      </c>
      <c r="E888" s="16" t="inlineStr">
        <is>
          <t>R</t>
        </is>
      </c>
      <c r="F888" s="16" t="n"/>
      <c r="G888" s="9" t="n">
        <v>11.69230769230769</v>
      </c>
      <c r="H888" s="9" t="n">
        <v>11.69230769230769</v>
      </c>
      <c r="I888" s="9" t="inlineStr">
        <is>
          <t>Depth (no MLB PA)</t>
        </is>
      </c>
      <c r="J888" s="16" t="inlineStr">
        <is>
          <t>Late Season (~Sept)</t>
        </is>
      </c>
      <c r="K888" s="11">
        <f>IFERROR(INDEX(Roles!$B$17:$B$20,MATCH(J888,Roles!$A$17:$A$20,0)),1)</f>
        <v/>
      </c>
      <c r="L888" s="17" t="n">
        <v>1</v>
      </c>
      <c r="M888" s="11" t="n">
        <v>1</v>
      </c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7" t="n">
        <v>1</v>
      </c>
      <c r="Z888" s="13">
        <f>SUMPRODUCT(N888:Y888,$N$2:$Y$2)*$K888*$L888*$M888</f>
        <v/>
      </c>
      <c r="AA888" s="14">
        <f>SUM(N888:Y888)</f>
        <v/>
      </c>
      <c r="AB888" s="14">
        <f>IFERROR(IF(UPPER($E888)="L",SUMPRODUCT(N888:Y888,$N$3:$Y$3,$N$2:$Y$2),SUMPRODUCT(N888:Y888,$N$4:$Y$4,$N$2:$Y$2))/(Z888/($K888*$L888*$M888)),"")</f>
        <v/>
      </c>
      <c r="AC888" s="18" t="n"/>
    </row>
    <row r="889">
      <c r="A889" s="9" t="n">
        <v>702686</v>
      </c>
      <c r="B889" s="9" t="inlineStr">
        <is>
          <t>Everett Cooper III</t>
        </is>
      </c>
      <c r="C889" s="9" t="inlineStr">
        <is>
          <t>WSH</t>
        </is>
      </c>
      <c r="D889" s="9" t="n">
        <v>25</v>
      </c>
      <c r="E889" s="16" t="inlineStr">
        <is>
          <t>L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1" t="n">
        <v>1</v>
      </c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7" t="n">
        <v>1</v>
      </c>
      <c r="Z889" s="13">
        <f>SUMPRODUCT(N889:Y889,$N$2:$Y$2)*$K889*$L889*$M889</f>
        <v/>
      </c>
      <c r="AA889" s="14">
        <f>SUM(N889:Y889)</f>
        <v/>
      </c>
      <c r="AB889" s="14">
        <f>IFERROR(IF(UPPER($E889)="L",SUMPRODUCT(N889:Y889,$N$3:$Y$3,$N$2:$Y$2),SUMPRODUCT(N889:Y889,$N$4:$Y$4,$N$2:$Y$2))/(Z889/($K889*$L889*$M889)),"")</f>
        <v/>
      </c>
      <c r="AC889" s="18" t="n"/>
    </row>
    <row r="890">
      <c r="A890" s="9" t="n">
        <v>702594</v>
      </c>
      <c r="B890" s="9" t="inlineStr">
        <is>
          <t>Jack Lausch</t>
        </is>
      </c>
      <c r="C890" s="9" t="inlineStr">
        <is>
          <t>CIN</t>
        </is>
      </c>
      <c r="D890" s="9" t="n">
        <v>25</v>
      </c>
      <c r="E890" s="16" t="inlineStr">
        <is>
          <t>L</t>
        </is>
      </c>
      <c r="F890" s="16" t="n"/>
      <c r="G890" s="9" t="n">
        <v>7.384615384615386</v>
      </c>
      <c r="H890" s="9" t="n">
        <v>7.384615384615386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1" t="n">
        <v>1</v>
      </c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7" t="n">
        <v>1</v>
      </c>
      <c r="Z890" s="13">
        <f>SUMPRODUCT(N890:Y890,$N$2:$Y$2)*$K890*$L890*$M890</f>
        <v/>
      </c>
      <c r="AA890" s="14">
        <f>SUM(N890:Y890)</f>
        <v/>
      </c>
      <c r="AB890" s="14">
        <f>IFERROR(IF(UPPER($E890)="L",SUMPRODUCT(N890:Y890,$N$3:$Y$3,$N$2:$Y$2),SUMPRODUCT(N890:Y890,$N$4:$Y$4,$N$2:$Y$2))/(Z890/($K890*$L890*$M890)),"")</f>
        <v/>
      </c>
      <c r="AC890" s="18" t="n"/>
    </row>
    <row r="891">
      <c r="A891" s="9" t="n">
        <v>687357</v>
      </c>
      <c r="B891" s="9" t="inlineStr">
        <is>
          <t>Jack Scanlon</t>
        </is>
      </c>
      <c r="C891" s="9" t="inlineStr">
        <is>
          <t>PIT</t>
        </is>
      </c>
      <c r="D891" s="9" t="n">
        <v>25</v>
      </c>
      <c r="E891" s="16" t="inlineStr">
        <is>
          <t>L</t>
        </is>
      </c>
      <c r="F891" s="16" t="n"/>
      <c r="G891" s="9" t="n">
        <v>9.6</v>
      </c>
      <c r="H891" s="9" t="n">
        <v>9.6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1" t="n">
        <v>1</v>
      </c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7" t="n">
        <v>1</v>
      </c>
      <c r="Z891" s="13">
        <f>SUMPRODUCT(N891:Y891,$N$2:$Y$2)*$K891*$L891*$M891</f>
        <v/>
      </c>
      <c r="AA891" s="14">
        <f>SUM(N891:Y891)</f>
        <v/>
      </c>
      <c r="AB891" s="14">
        <f>IFERROR(IF(UPPER($E891)="L",SUMPRODUCT(N891:Y891,$N$3:$Y$3,$N$2:$Y$2),SUMPRODUCT(N891:Y891,$N$4:$Y$4,$N$2:$Y$2))/(Z891/($K891*$L891*$M891)),"")</f>
        <v/>
      </c>
      <c r="AC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1" t="n">
        <v>1</v>
      </c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7" t="n">
        <v>1</v>
      </c>
      <c r="Z892" s="13">
        <f>SUMPRODUCT(N892:Y892,$N$2:$Y$2)*$K892*$L892*$M892</f>
        <v/>
      </c>
      <c r="AA892" s="14">
        <f>SUM(N892:Y892)</f>
        <v/>
      </c>
      <c r="AB892" s="14">
        <f>IFERROR(IF(UPPER($E892)="L",SUMPRODUCT(N892:Y892,$N$3:$Y$3,$N$2:$Y$2),SUMPRODUCT(N892:Y892,$N$4:$Y$4,$N$2:$Y$2))/(Z892/($K892*$L892*$M892)),"")</f>
        <v/>
      </c>
      <c r="AC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1" t="n">
        <v>1</v>
      </c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7" t="n">
        <v>1</v>
      </c>
      <c r="Z893" s="13">
        <f>SUMPRODUCT(N893:Y893,$N$2:$Y$2)*$K893*$L893*$M893</f>
        <v/>
      </c>
      <c r="AA893" s="14">
        <f>SUM(N893:Y893)</f>
        <v/>
      </c>
      <c r="AB893" s="14">
        <f>IFERROR(IF(UPPER($E893)="L",SUMPRODUCT(N893:Y893,$N$3:$Y$3,$N$2:$Y$2),SUMPRODUCT(N893:Y893,$N$4:$Y$4,$N$2:$Y$2))/(Z893/($K893*$L893*$M893)),"")</f>
        <v/>
      </c>
      <c r="AC893" s="18" t="n"/>
    </row>
    <row r="894">
      <c r="A894" s="9" t="n">
        <v>813697</v>
      </c>
      <c r="B894" s="9" t="inlineStr">
        <is>
          <t>Sam Biller</t>
        </is>
      </c>
      <c r="C894" s="9" t="inlineStr">
        <is>
          <t>NYM</t>
        </is>
      </c>
      <c r="D894" s="9" t="n">
        <v>25</v>
      </c>
      <c r="E894" s="16" t="inlineStr">
        <is>
          <t>L</t>
        </is>
      </c>
      <c r="F894" s="16" t="n"/>
      <c r="G894" s="9" t="n">
        <v>3.384615384615385</v>
      </c>
      <c r="H894" s="9" t="n">
        <v>3.384615384615385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1" t="n">
        <v>1</v>
      </c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7" t="n">
        <v>1</v>
      </c>
      <c r="Z894" s="13">
        <f>SUMPRODUCT(N894:Y894,$N$2:$Y$2)*$K894*$L894*$M894</f>
        <v/>
      </c>
      <c r="AA894" s="14">
        <f>SUM(N894:Y894)</f>
        <v/>
      </c>
      <c r="AB894" s="14">
        <f>IFERROR(IF(UPPER($E894)="L",SUMPRODUCT(N894:Y894,$N$3:$Y$3,$N$2:$Y$2),SUMPRODUCT(N894:Y894,$N$4:$Y$4,$N$2:$Y$2))/(Z894/($K894*$L894*$M894)),"")</f>
        <v/>
      </c>
      <c r="AC894" s="18" t="n"/>
    </row>
    <row r="895">
      <c r="A895" s="9" t="n">
        <v>690996</v>
      </c>
      <c r="B895" s="9" t="inlineStr">
        <is>
          <t>T.J. McCants</t>
        </is>
      </c>
      <c r="C895" s="9" t="inlineStr">
        <is>
          <t>CWS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1" t="n">
        <v>1</v>
      </c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7" t="n">
        <v>1</v>
      </c>
      <c r="Z895" s="13">
        <f>SUMPRODUCT(N895:Y895,$N$2:$Y$2)*$K895*$L895*$M895</f>
        <v/>
      </c>
      <c r="AA895" s="14">
        <f>SUM(N895:Y895)</f>
        <v/>
      </c>
      <c r="AB895" s="14">
        <f>IFERROR(IF(UPPER($E895)="L",SUMPRODUCT(N895:Y895,$N$3:$Y$3,$N$2:$Y$2),SUMPRODUCT(N895:Y895,$N$4:$Y$4,$N$2:$Y$2))/(Z895/($K895*$L895*$M895)),"")</f>
        <v/>
      </c>
      <c r="AC895" s="18" t="n"/>
    </row>
    <row r="896">
      <c r="A896" s="9" t="n">
        <v>677338</v>
      </c>
      <c r="B896" s="9" t="inlineStr">
        <is>
          <t>GJ Hill</t>
        </is>
      </c>
      <c r="C896" s="9" t="inlineStr">
        <is>
          <t>COL</t>
        </is>
      </c>
      <c r="D896" s="9" t="n">
        <v>25</v>
      </c>
      <c r="E896" s="16" t="inlineStr">
        <is>
          <t>S</t>
        </is>
      </c>
      <c r="F896" s="16" t="n"/>
      <c r="G896" s="9" t="n">
        <v>136.051282051282</v>
      </c>
      <c r="H896" s="9" t="n">
        <v>136.051282051282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1" t="n">
        <v>1</v>
      </c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7" t="n">
        <v>1</v>
      </c>
      <c r="Z896" s="13">
        <f>SUMPRODUCT(N896:Y896,$N$2:$Y$2)*$K896*$L896*$M896</f>
        <v/>
      </c>
      <c r="AA896" s="14">
        <f>SUM(N896:Y896)</f>
        <v/>
      </c>
      <c r="AB896" s="14">
        <f>IFERROR(IF(UPPER($E896)="L",SUMPRODUCT(N896:Y896,$N$3:$Y$3,$N$2:$Y$2),SUMPRODUCT(N896:Y896,$N$4:$Y$4,$N$2:$Y$2))/(Z896/($K896*$L896*$M896)),"")</f>
        <v/>
      </c>
      <c r="AC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1" t="n">
        <v>1</v>
      </c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7" t="n">
        <v>1</v>
      </c>
      <c r="Z897" s="13">
        <f>SUMPRODUCT(N897:Y897,$N$2:$Y$2)*$K897*$L897*$M897</f>
        <v/>
      </c>
      <c r="AA897" s="14">
        <f>SUM(N897:Y897)</f>
        <v/>
      </c>
      <c r="AB897" s="14">
        <f>IFERROR(IF(UPPER($E897)="L",SUMPRODUCT(N897:Y897,$N$3:$Y$3,$N$2:$Y$2),SUMPRODUCT(N897:Y897,$N$4:$Y$4,$N$2:$Y$2))/(Z897/($K897*$L897*$M897)),"")</f>
        <v/>
      </c>
      <c r="AC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1" t="n">
        <v>1</v>
      </c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7" t="n">
        <v>1</v>
      </c>
      <c r="Z898" s="13">
        <f>SUMPRODUCT(N898:Y898,$N$2:$Y$2)*$K898*$L898*$M898</f>
        <v/>
      </c>
      <c r="AA898" s="14">
        <f>SUM(N898:Y898)</f>
        <v/>
      </c>
      <c r="AB898" s="14">
        <f>IFERROR(IF(UPPER($E898)="L",SUMPRODUCT(N898:Y898,$N$3:$Y$3,$N$2:$Y$2),SUMPRODUCT(N898:Y898,$N$4:$Y$4,$N$2:$Y$2))/(Z898/($K898*$L898*$M898)),"")</f>
        <v/>
      </c>
      <c r="AC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1" t="n">
        <v>1</v>
      </c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7" t="n">
        <v>1</v>
      </c>
      <c r="Z899" s="13">
        <f>SUMPRODUCT(N899:Y899,$N$2:$Y$2)*$K899*$L899*$M899</f>
        <v/>
      </c>
      <c r="AA899" s="14">
        <f>SUM(N899:Y899)</f>
        <v/>
      </c>
      <c r="AB899" s="14">
        <f>IFERROR(IF(UPPER($E899)="L",SUMPRODUCT(N899:Y899,$N$3:$Y$3,$N$2:$Y$2),SUMPRODUCT(N899:Y899,$N$4:$Y$4,$N$2:$Y$2))/(Z899/($K899*$L899*$M899)),"")</f>
        <v/>
      </c>
      <c r="AC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1" t="n">
        <v>1</v>
      </c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7" t="n">
        <v>1</v>
      </c>
      <c r="Z900" s="13">
        <f>SUMPRODUCT(N900:Y900,$N$2:$Y$2)*$K900*$L900*$M900</f>
        <v/>
      </c>
      <c r="AA900" s="14">
        <f>SUM(N900:Y900)</f>
        <v/>
      </c>
      <c r="AB900" s="14">
        <f>IFERROR(IF(UPPER($E900)="L",SUMPRODUCT(N900:Y900,$N$3:$Y$3,$N$2:$Y$2),SUMPRODUCT(N900:Y900,$N$4:$Y$4,$N$2:$Y$2))/(Z900/($K900*$L900*$M900)),"")</f>
        <v/>
      </c>
      <c r="AC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1" t="n">
        <v>1</v>
      </c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7" t="n">
        <v>1</v>
      </c>
      <c r="Z901" s="13">
        <f>SUMPRODUCT(N901:Y901,$N$2:$Y$2)*$K901*$L901*$M901</f>
        <v/>
      </c>
      <c r="AA901" s="14">
        <f>SUM(N901:Y901)</f>
        <v/>
      </c>
      <c r="AB901" s="14">
        <f>IFERROR(IF(UPPER($E901)="L",SUMPRODUCT(N901:Y901,$N$3:$Y$3,$N$2:$Y$2),SUMPRODUCT(N901:Y901,$N$4:$Y$4,$N$2:$Y$2))/(Z901/($K901*$L901*$M901)),"")</f>
        <v/>
      </c>
      <c r="AC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1" t="n">
        <v>1</v>
      </c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7" t="n">
        <v>1</v>
      </c>
      <c r="Z902" s="13">
        <f>SUMPRODUCT(N902:Y902,$N$2:$Y$2)*$K902*$L902*$M902</f>
        <v/>
      </c>
      <c r="AA902" s="14">
        <f>SUM(N902:Y902)</f>
        <v/>
      </c>
      <c r="AB902" s="14">
        <f>IFERROR(IF(UPPER($E902)="L",SUMPRODUCT(N902:Y902,$N$3:$Y$3,$N$2:$Y$2),SUMPRODUCT(N902:Y902,$N$4:$Y$4,$N$2:$Y$2))/(Z902/($K902*$L902*$M902)),"")</f>
        <v/>
      </c>
      <c r="AC902" s="18" t="n"/>
    </row>
    <row r="903">
      <c r="A903" s="9" t="n">
        <v>801726</v>
      </c>
      <c r="B903" s="9" t="inlineStr">
        <is>
          <t>Santiago Gomez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3.58974358974359</v>
      </c>
      <c r="H903" s="9" t="n">
        <v>3.58974358974359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1" t="n">
        <v>1</v>
      </c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7" t="n">
        <v>1</v>
      </c>
      <c r="Z903" s="13">
        <f>SUMPRODUCT(N903:Y903,$N$2:$Y$2)*$K903*$L903*$M903</f>
        <v/>
      </c>
      <c r="AA903" s="14">
        <f>SUM(N903:Y903)</f>
        <v/>
      </c>
      <c r="AB903" s="14">
        <f>IFERROR(IF(UPPER($E903)="L",SUMPRODUCT(N903:Y903,$N$3:$Y$3,$N$2:$Y$2),SUMPRODUCT(N903:Y903,$N$4:$Y$4,$N$2:$Y$2))/(Z903/($K903*$L903*$M903)),"")</f>
        <v/>
      </c>
      <c r="AC903" s="18" t="n"/>
    </row>
    <row r="904">
      <c r="A904" s="9" t="n">
        <v>808094</v>
      </c>
      <c r="B904" s="9" t="inlineStr">
        <is>
          <t>Jhorvic Abreus</t>
        </is>
      </c>
      <c r="C904" s="9" t="inlineStr">
        <is>
          <t>CLE</t>
        </is>
      </c>
      <c r="D904" s="9" t="n">
        <v>25</v>
      </c>
      <c r="E904" s="16" t="inlineStr">
        <is>
          <t>S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1" t="n">
        <v>1</v>
      </c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7" t="n">
        <v>1</v>
      </c>
      <c r="Z904" s="13">
        <f>SUMPRODUCT(N904:Y904,$N$2:$Y$2)*$K904*$L904*$M904</f>
        <v/>
      </c>
      <c r="AA904" s="14">
        <f>SUM(N904:Y904)</f>
        <v/>
      </c>
      <c r="AB904" s="14">
        <f>IFERROR(IF(UPPER($E904)="L",SUMPRODUCT(N904:Y904,$N$3:$Y$3,$N$2:$Y$2),SUMPRODUCT(N904:Y904,$N$4:$Y$4,$N$2:$Y$2))/(Z904/($K904*$L904*$M904)),"")</f>
        <v/>
      </c>
      <c r="AC904" s="18" t="n"/>
    </row>
    <row r="905">
      <c r="A905" s="9" t="n">
        <v>809569</v>
      </c>
      <c r="B905" s="9" t="inlineStr">
        <is>
          <t>Maika Niu</t>
        </is>
      </c>
      <c r="C905" s="9" t="inlineStr">
        <is>
          <t>NYY</t>
        </is>
      </c>
      <c r="D905" s="9" t="n">
        <v>25</v>
      </c>
      <c r="E905" s="16" t="inlineStr">
        <is>
          <t>R</t>
        </is>
      </c>
      <c r="F905" s="16" t="n"/>
      <c r="G905" s="9" t="n">
        <v>19.89743589743589</v>
      </c>
      <c r="H905" s="9" t="n">
        <v>19.89743589743589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1" t="n">
        <v>1</v>
      </c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7" t="n">
        <v>1</v>
      </c>
      <c r="Z905" s="13">
        <f>SUMPRODUCT(N905:Y905,$N$2:$Y$2)*$K905*$L905*$M905</f>
        <v/>
      </c>
      <c r="AA905" s="14">
        <f>SUM(N905:Y905)</f>
        <v/>
      </c>
      <c r="AB905" s="14">
        <f>IFERROR(IF(UPPER($E905)="L",SUMPRODUCT(N905:Y905,$N$3:$Y$3,$N$2:$Y$2),SUMPRODUCT(N905:Y905,$N$4:$Y$4,$N$2:$Y$2))/(Z905/($K905*$L905*$M905)),"")</f>
        <v/>
      </c>
      <c r="AC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inlineStr">
        <is>
          <t>C</t>
        </is>
      </c>
      <c r="G906" s="9" t="n">
        <v>286</v>
      </c>
      <c r="H906" s="9" t="n">
        <v>729</v>
      </c>
      <c r="I906" s="9" t="inlineStr">
        <is>
          <t>Catcher - Tandem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1" t="n">
        <v>1</v>
      </c>
      <c r="N906" s="17" t="n"/>
      <c r="O906" s="17" t="n"/>
      <c r="P906" s="17" t="n"/>
      <c r="Q906" s="17" t="n"/>
      <c r="R906" s="17" t="n"/>
      <c r="S906" s="17" t="n">
        <v>1</v>
      </c>
      <c r="T906" s="17" t="n"/>
      <c r="U906" s="17" t="n"/>
      <c r="V906" s="17" t="n"/>
      <c r="W906" s="17" t="n"/>
      <c r="X906" s="17" t="n"/>
      <c r="Y906" s="17" t="n"/>
      <c r="Z906" s="13">
        <f>SUMPRODUCT(N906:Y906,$N$2:$Y$2)*$K906*$L906*$M906</f>
        <v/>
      </c>
      <c r="AA906" s="14">
        <f>SUM(N906:Y906)</f>
        <v/>
      </c>
      <c r="AB906" s="14">
        <f>IFERROR(IF(UPPER($E906)="L",SUMPRODUCT(N906:Y906,$N$3:$Y$3,$N$2:$Y$2),SUMPRODUCT(N906:Y906,$N$4:$Y$4,$N$2:$Y$2))/(Z906/($K906*$L906*$M906)),"")</f>
        <v/>
      </c>
      <c r="AC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1" t="n">
        <v>1</v>
      </c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7" t="n">
        <v>1</v>
      </c>
      <c r="Z907" s="13">
        <f>SUMPRODUCT(N907:Y907,$N$2:$Y$2)*$K907*$L907*$M907</f>
        <v/>
      </c>
      <c r="AA907" s="14">
        <f>SUM(N907:Y907)</f>
        <v/>
      </c>
      <c r="AB907" s="14">
        <f>IFERROR(IF(UPPER($E907)="L",SUMPRODUCT(N907:Y907,$N$3:$Y$3,$N$2:$Y$2),SUMPRODUCT(N907:Y907,$N$4:$Y$4,$N$2:$Y$2))/(Z907/($K907*$L907*$M907)),"")</f>
        <v/>
      </c>
      <c r="AC907" s="18" t="n"/>
    </row>
    <row r="908">
      <c r="A908" s="9" t="n">
        <v>835269</v>
      </c>
      <c r="B908" s="9" t="inlineStr">
        <is>
          <t>Judah Morris</t>
        </is>
      </c>
      <c r="C908" s="9" t="inlineStr">
        <is>
          <t>OAK</t>
        </is>
      </c>
      <c r="D908" s="9" t="n">
        <v>25</v>
      </c>
      <c r="E908" s="16" t="inlineStr">
        <is>
          <t>R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1" t="n">
        <v>1</v>
      </c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7" t="n">
        <v>1</v>
      </c>
      <c r="Z908" s="13">
        <f>SUMPRODUCT(N908:Y908,$N$2:$Y$2)*$K908*$L908*$M908</f>
        <v/>
      </c>
      <c r="AA908" s="14">
        <f>SUM(N908:Y908)</f>
        <v/>
      </c>
      <c r="AB908" s="14">
        <f>IFERROR(IF(UPPER($E908)="L",SUMPRODUCT(N908:Y908,$N$3:$Y$3,$N$2:$Y$2),SUMPRODUCT(N908:Y908,$N$4:$Y$4,$N$2:$Y$2))/(Z908/($K908*$L908*$M908)),"")</f>
        <v/>
      </c>
      <c r="AC908" s="18" t="n"/>
    </row>
    <row r="909">
      <c r="A909" s="9" t="n">
        <v>656577</v>
      </c>
      <c r="B909" s="9" t="inlineStr">
        <is>
          <t>Alex Jackson</t>
        </is>
      </c>
      <c r="C909" s="9" t="inlineStr">
        <is>
          <t>MIN</t>
        </is>
      </c>
      <c r="D909" s="9" t="n">
        <v>31</v>
      </c>
      <c r="E909" s="16" t="inlineStr">
        <is>
          <t>R</t>
        </is>
      </c>
      <c r="F909" s="16" t="inlineStr">
        <is>
          <t>C</t>
        </is>
      </c>
      <c r="G909" s="9" t="n">
        <v>73</v>
      </c>
      <c r="H909" s="9" t="n">
        <v>340</v>
      </c>
      <c r="I909" s="9" t="inlineStr">
        <is>
          <t>Catcher - Backup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1" t="n">
        <v>1</v>
      </c>
      <c r="N909" s="17" t="n"/>
      <c r="O909" s="17" t="n"/>
      <c r="P909" s="17" t="n"/>
      <c r="Q909" s="17" t="n"/>
      <c r="R909" s="17" t="n"/>
      <c r="S909" s="17" t="n"/>
      <c r="T909" s="17" t="n">
        <v>1</v>
      </c>
      <c r="U909" s="17" t="n"/>
      <c r="V909" s="17" t="n"/>
      <c r="W909" s="17" t="n"/>
      <c r="X909" s="17" t="n"/>
      <c r="Y909" s="17" t="n"/>
      <c r="Z909" s="13">
        <f>SUMPRODUCT(N909:Y909,$N$2:$Y$2)*$K909*$L909*$M909</f>
        <v/>
      </c>
      <c r="AA909" s="14">
        <f>SUM(N909:Y909)</f>
        <v/>
      </c>
      <c r="AB909" s="14">
        <f>IFERROR(IF(UPPER($E909)="L",SUMPRODUCT(N909:Y909,$N$3:$Y$3,$N$2:$Y$2),SUMPRODUCT(N909:Y909,$N$4:$Y$4,$N$2:$Y$2))/(Z909/($K909*$L909*$M909)),"")</f>
        <v/>
      </c>
      <c r="AC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1" t="n">
        <v>1</v>
      </c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7" t="n">
        <v>1</v>
      </c>
      <c r="Z910" s="13">
        <f>SUMPRODUCT(N910:Y910,$N$2:$Y$2)*$K910*$L910*$M910</f>
        <v/>
      </c>
      <c r="AA910" s="14">
        <f>SUM(N910:Y910)</f>
        <v/>
      </c>
      <c r="AB910" s="14">
        <f>IFERROR(IF(UPPER($E910)="L",SUMPRODUCT(N910:Y910,$N$3:$Y$3,$N$2:$Y$2),SUMPRODUCT(N910:Y910,$N$4:$Y$4,$N$2:$Y$2))/(Z910/($K910*$L910*$M910)),"")</f>
        <v/>
      </c>
      <c r="AC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1" t="n">
        <v>1</v>
      </c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7" t="n">
        <v>1</v>
      </c>
      <c r="Z911" s="13">
        <f>SUMPRODUCT(N911:Y911,$N$2:$Y$2)*$K911*$L911*$M911</f>
        <v/>
      </c>
      <c r="AA911" s="14">
        <f>SUM(N911:Y911)</f>
        <v/>
      </c>
      <c r="AB911" s="14">
        <f>IFERROR(IF(UPPER($E911)="L",SUMPRODUCT(N911:Y911,$N$3:$Y$3,$N$2:$Y$2),SUMPRODUCT(N911:Y911,$N$4:$Y$4,$N$2:$Y$2))/(Z911/($K911*$L911*$M911)),"")</f>
        <v/>
      </c>
      <c r="AC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1" t="n">
        <v>1</v>
      </c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7" t="n">
        <v>1</v>
      </c>
      <c r="Z912" s="13">
        <f>SUMPRODUCT(N912:Y912,$N$2:$Y$2)*$K912*$L912*$M912</f>
        <v/>
      </c>
      <c r="AA912" s="14">
        <f>SUM(N912:Y912)</f>
        <v/>
      </c>
      <c r="AB912" s="14">
        <f>IFERROR(IF(UPPER($E912)="L",SUMPRODUCT(N912:Y912,$N$3:$Y$3,$N$2:$Y$2),SUMPRODUCT(N912:Y912,$N$4:$Y$4,$N$2:$Y$2))/(Z912/($K912*$L912*$M912)),"")</f>
        <v/>
      </c>
      <c r="AC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1" t="n">
        <v>1</v>
      </c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7" t="n">
        <v>1</v>
      </c>
      <c r="Z913" s="13">
        <f>SUMPRODUCT(N913:Y913,$N$2:$Y$2)*$K913*$L913*$M913</f>
        <v/>
      </c>
      <c r="AA913" s="14">
        <f>SUM(N913:Y913)</f>
        <v/>
      </c>
      <c r="AB913" s="14">
        <f>IFERROR(IF(UPPER($E913)="L",SUMPRODUCT(N913:Y913,$N$3:$Y$3,$N$2:$Y$2),SUMPRODUCT(N913:Y913,$N$4:$Y$4,$N$2:$Y$2))/(Z913/($K913*$L913*$M913)),"")</f>
        <v/>
      </c>
      <c r="AC913" s="18" t="n"/>
    </row>
    <row r="914">
      <c r="A914" s="9" t="n">
        <v>806980</v>
      </c>
      <c r="B914" s="9" t="inlineStr">
        <is>
          <t>Angel Cepeda</t>
        </is>
      </c>
      <c r="C914" s="9" t="inlineStr">
        <is>
          <t>CHC</t>
        </is>
      </c>
      <c r="D914" s="9" t="n">
        <v>25</v>
      </c>
      <c r="E914" s="16" t="inlineStr">
        <is>
          <t>R</t>
        </is>
      </c>
      <c r="F914" s="16" t="n"/>
      <c r="G914" s="9" t="n">
        <v>3.948717948717949</v>
      </c>
      <c r="H914" s="9" t="n">
        <v>3.948717948717949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1" t="n">
        <v>1</v>
      </c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7" t="n">
        <v>1</v>
      </c>
      <c r="Z914" s="13">
        <f>SUMPRODUCT(N914:Y914,$N$2:$Y$2)*$K914*$L914*$M914</f>
        <v/>
      </c>
      <c r="AA914" s="14">
        <f>SUM(N914:Y914)</f>
        <v/>
      </c>
      <c r="AB914" s="14">
        <f>IFERROR(IF(UPPER($E914)="L",SUMPRODUCT(N914:Y914,$N$3:$Y$3,$N$2:$Y$2),SUMPRODUCT(N914:Y914,$N$4:$Y$4,$N$2:$Y$2))/(Z914/($K914*$L914*$M914)),"")</f>
        <v/>
      </c>
      <c r="AC914" s="18" t="n"/>
    </row>
    <row r="915">
      <c r="A915" s="9" t="n">
        <v>805795</v>
      </c>
      <c r="B915" s="9" t="inlineStr">
        <is>
          <t>Aidan Miller</t>
        </is>
      </c>
      <c r="C915" s="9" t="inlineStr">
        <is>
          <t>PHI</t>
        </is>
      </c>
      <c r="D915" s="9" t="n">
        <v>25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Full Time</t>
        </is>
      </c>
      <c r="J915" s="16" t="inlineStr">
        <is>
          <t>Early Season (~May)</t>
        </is>
      </c>
      <c r="K915" s="11">
        <f>IFERROR(INDEX(Roles!$B$17:$B$20,MATCH(J915,Roles!$A$17:$A$20,0)),1)</f>
        <v/>
      </c>
      <c r="L915" s="17" t="n">
        <v>1</v>
      </c>
      <c r="M915" s="11" t="n">
        <v>1</v>
      </c>
      <c r="N915" s="17" t="n">
        <v>0.4</v>
      </c>
      <c r="O915" s="17" t="n"/>
      <c r="P915" s="17" t="n">
        <v>0.25</v>
      </c>
      <c r="Q915" s="17" t="n"/>
      <c r="R915" s="17" t="n"/>
      <c r="S915" s="17" t="n"/>
      <c r="T915" s="17" t="n"/>
      <c r="U915" s="17" t="n"/>
      <c r="V915" s="17" t="n"/>
      <c r="W915" s="17" t="n">
        <v>0.35</v>
      </c>
      <c r="X915" s="17" t="n"/>
      <c r="Y915" s="17" t="n"/>
      <c r="Z915" s="13">
        <f>SUMPRODUCT(N915:Y915,$N$2:$Y$2)*$K915*$L915*$M915</f>
        <v/>
      </c>
      <c r="AA915" s="14">
        <f>SUM(N915:Y915)</f>
        <v/>
      </c>
      <c r="AB915" s="14">
        <f>IFERROR(IF(UPPER($E915)="L",SUMPRODUCT(N915:Y915,$N$3:$Y$3,$N$2:$Y$2),SUMPRODUCT(N915:Y915,$N$4:$Y$4,$N$2:$Y$2))/(Z915/($K915*$L915*$M915)),"")</f>
        <v/>
      </c>
      <c r="AC915" s="18" t="n"/>
    </row>
    <row r="916">
      <c r="A916" s="9" t="n">
        <v>808326</v>
      </c>
      <c r="B916" s="9" t="inlineStr">
        <is>
          <t>Pablo Guerrero</t>
        </is>
      </c>
      <c r="C916" s="9" t="inlineStr">
        <is>
          <t>TEX</t>
        </is>
      </c>
      <c r="D916" s="9" t="n">
        <v>25</v>
      </c>
      <c r="E916" s="16" t="inlineStr">
        <is>
          <t>R</t>
        </is>
      </c>
      <c r="F916" s="16" t="n"/>
      <c r="G916" s="9" t="n">
        <v>18.83076923076923</v>
      </c>
      <c r="H916" s="9" t="n">
        <v>18.83076923076923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1" t="n">
        <v>1</v>
      </c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7" t="n">
        <v>1</v>
      </c>
      <c r="Z916" s="13">
        <f>SUMPRODUCT(N916:Y916,$N$2:$Y$2)*$K916*$L916*$M916</f>
        <v/>
      </c>
      <c r="AA916" s="14">
        <f>SUM(N916:Y916)</f>
        <v/>
      </c>
      <c r="AB916" s="14">
        <f>IFERROR(IF(UPPER($E916)="L",SUMPRODUCT(N916:Y916,$N$3:$Y$3,$N$2:$Y$2),SUMPRODUCT(N916:Y916,$N$4:$Y$4,$N$2:$Y$2))/(Z916/($K916*$L916*$M916)),"")</f>
        <v/>
      </c>
      <c r="AC916" s="18" t="n"/>
    </row>
    <row r="917">
      <c r="A917" s="9" t="n">
        <v>815268</v>
      </c>
      <c r="B917" s="9" t="inlineStr">
        <is>
          <t>Patrick Lee</t>
        </is>
      </c>
      <c r="C917" s="9" t="inlineStr">
        <is>
          <t>DET</t>
        </is>
      </c>
      <c r="D917" s="9" t="n">
        <v>25</v>
      </c>
      <c r="E917" s="16" t="inlineStr">
        <is>
          <t>R</t>
        </is>
      </c>
      <c r="F917" s="16" t="n"/>
      <c r="G917" s="9" t="n">
        <v>53.12820512820512</v>
      </c>
      <c r="H917" s="9" t="n">
        <v>53.12820512820512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1" t="n">
        <v>1</v>
      </c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7" t="n">
        <v>1</v>
      </c>
      <c r="Z917" s="13">
        <f>SUMPRODUCT(N917:Y917,$N$2:$Y$2)*$K917*$L917*$M917</f>
        <v/>
      </c>
      <c r="AA917" s="14">
        <f>SUM(N917:Y917)</f>
        <v/>
      </c>
      <c r="AB917" s="14">
        <f>IFERROR(IF(UPPER($E917)="L",SUMPRODUCT(N917:Y917,$N$3:$Y$3,$N$2:$Y$2),SUMPRODUCT(N917:Y917,$N$4:$Y$4,$N$2:$Y$2))/(Z917/($K917*$L917*$M917)),"")</f>
        <v/>
      </c>
      <c r="AC917" s="18" t="n"/>
    </row>
    <row r="918">
      <c r="A918" s="9" t="n">
        <v>621493</v>
      </c>
      <c r="B918" s="9" t="inlineStr">
        <is>
          <t>Taylor Ward</t>
        </is>
      </c>
      <c r="C918" s="9" t="inlineStr">
        <is>
          <t>SEA</t>
        </is>
      </c>
      <c r="D918" s="9" t="n">
        <v>33</v>
      </c>
      <c r="E918" s="16" t="inlineStr">
        <is>
          <t>R</t>
        </is>
      </c>
      <c r="F918" s="16" t="inlineStr">
        <is>
          <t>LF</t>
        </is>
      </c>
      <c r="G918" s="9" t="n">
        <v>607</v>
      </c>
      <c r="H918" s="9" t="n">
        <v>2906</v>
      </c>
      <c r="I918" s="9" t="inlineStr">
        <is>
          <t>Full Time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1" t="n">
        <v>1.126792300804764</v>
      </c>
      <c r="N918" s="17" t="n">
        <v>1</v>
      </c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7" t="n"/>
      <c r="Z918" s="13">
        <f>SUMPRODUCT(N918:Y918,$N$2:$Y$2)*$K918*$L918*$M918</f>
        <v/>
      </c>
      <c r="AA918" s="14">
        <f>SUM(N918:Y918)</f>
        <v/>
      </c>
      <c r="AB918" s="14">
        <f>IFERROR(IF(UPPER($E918)="L",SUMPRODUCT(N918:Y918,$N$3:$Y$3,$N$2:$Y$2),SUMPRODUCT(N918:Y918,$N$4:$Y$4,$N$2:$Y$2))/(Z918/($K918*$L918*$M918)),"")</f>
        <v/>
      </c>
      <c r="AC918" s="18" t="n"/>
    </row>
    <row r="919">
      <c r="A919" s="9" t="n">
        <v>543939</v>
      </c>
      <c r="B919" s="9" t="inlineStr">
        <is>
          <t>Kolten Wong</t>
        </is>
      </c>
      <c r="C919" s="9" t="inlineStr">
        <is>
          <t>LAD</t>
        </is>
      </c>
      <c r="D919" s="9" t="n">
        <v>36</v>
      </c>
      <c r="E919" s="16" t="inlineStr">
        <is>
          <t>L</t>
        </is>
      </c>
      <c r="F919" s="16" t="inlineStr">
        <is>
          <t>2B</t>
        </is>
      </c>
      <c r="G919" s="9" t="n">
        <v>250</v>
      </c>
      <c r="H919" s="9" t="n">
        <v>747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1" t="n">
        <v>1</v>
      </c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7" t="n">
        <v>1</v>
      </c>
      <c r="Z919" s="13">
        <f>SUMPRODUCT(N919:Y919,$N$2:$Y$2)*$K919*$L919*$M919</f>
        <v/>
      </c>
      <c r="AA919" s="14">
        <f>SUM(N919:Y919)</f>
        <v/>
      </c>
      <c r="AB919" s="14">
        <f>IFERROR(IF(UPPER($E919)="L",SUMPRODUCT(N919:Y919,$N$3:$Y$3,$N$2:$Y$2),SUMPRODUCT(N919:Y919,$N$4:$Y$4,$N$2:$Y$2))/(Z919/($K919*$L919*$M919)),"")</f>
        <v/>
      </c>
      <c r="AC919" s="18" t="n"/>
    </row>
    <row r="920">
      <c r="A920" s="9" t="n">
        <v>800741</v>
      </c>
      <c r="B920" s="9" t="inlineStr">
        <is>
          <t>Logan Maxwell</t>
        </is>
      </c>
      <c r="C920" s="9" t="inlineStr">
        <is>
          <t>NYY</t>
        </is>
      </c>
      <c r="D920" s="9" t="n">
        <v>25</v>
      </c>
      <c r="E920" s="16" t="inlineStr">
        <is>
          <t>L</t>
        </is>
      </c>
      <c r="F920" s="16" t="n"/>
      <c r="G920" s="9" t="n">
        <v>14.64615384615385</v>
      </c>
      <c r="H920" s="9" t="n">
        <v>14.64615384615385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1" t="n">
        <v>1</v>
      </c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7" t="n">
        <v>1</v>
      </c>
      <c r="Z920" s="13">
        <f>SUMPRODUCT(N920:Y920,$N$2:$Y$2)*$K920*$L920*$M920</f>
        <v/>
      </c>
      <c r="AA920" s="14">
        <f>SUM(N920:Y920)</f>
        <v/>
      </c>
      <c r="AB920" s="14">
        <f>IFERROR(IF(UPPER($E920)="L",SUMPRODUCT(N920:Y920,$N$3:$Y$3,$N$2:$Y$2),SUMPRODUCT(N920:Y920,$N$4:$Y$4,$N$2:$Y$2))/(Z920/($K920*$L920*$M920)),"")</f>
        <v/>
      </c>
      <c r="AC920" s="18" t="n"/>
    </row>
    <row r="921">
      <c r="A921" s="9" t="n">
        <v>457705</v>
      </c>
      <c r="B921" s="9" t="inlineStr">
        <is>
          <t>Andrew McCutchen</t>
        </is>
      </c>
      <c r="C921" s="9" t="inlineStr">
        <is>
          <t>TEX</t>
        </is>
      </c>
      <c r="D921" s="9" t="n">
        <v>40</v>
      </c>
      <c r="E921" s="16" t="inlineStr">
        <is>
          <t>R</t>
        </is>
      </c>
      <c r="F921" s="16" t="inlineStr">
        <is>
          <t>RF</t>
        </is>
      </c>
      <c r="G921" s="9" t="n">
        <v>83</v>
      </c>
      <c r="H921" s="9" t="n">
        <v>2202</v>
      </c>
      <c r="I921" s="9" t="inlineStr">
        <is>
          <t>Full Time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1" t="n">
        <v>0.7834107849192252</v>
      </c>
      <c r="N921" s="17" t="n">
        <v>1</v>
      </c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7" t="n"/>
      <c r="Z921" s="13">
        <f>SUMPRODUCT(N921:Y921,$N$2:$Y$2)*$K921*$L921*$M921</f>
        <v/>
      </c>
      <c r="AA921" s="14">
        <f>SUM(N921:Y921)</f>
        <v/>
      </c>
      <c r="AB921" s="14">
        <f>IFERROR(IF(UPPER($E921)="L",SUMPRODUCT(N921:Y921,$N$3:$Y$3,$N$2:$Y$2),SUMPRODUCT(N921:Y921,$N$4:$Y$4,$N$2:$Y$2))/(Z921/($K921*$L921*$M921)),"")</f>
        <v/>
      </c>
      <c r="AC921" s="18" t="n"/>
    </row>
    <row r="922">
      <c r="A922" s="9" t="n">
        <v>800313</v>
      </c>
      <c r="B922" s="9" t="inlineStr">
        <is>
          <t>Alejandro Rios</t>
        </is>
      </c>
      <c r="C922" s="9" t="inlineStr">
        <is>
          <t>ARI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1" t="n">
        <v>1</v>
      </c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7" t="n">
        <v>1</v>
      </c>
      <c r="Z922" s="13">
        <f>SUMPRODUCT(N922:Y922,$N$2:$Y$2)*$K922*$L922*$M922</f>
        <v/>
      </c>
      <c r="AA922" s="14">
        <f>SUM(N922:Y922)</f>
        <v/>
      </c>
      <c r="AB922" s="14">
        <f>IFERROR(IF(UPPER($E922)="L",SUMPRODUCT(N922:Y922,$N$3:$Y$3,$N$2:$Y$2),SUMPRODUCT(N922:Y922,$N$4:$Y$4,$N$2:$Y$2))/(Z922/($K922*$L922*$M922)),"")</f>
        <v/>
      </c>
      <c r="AC922" s="18" t="n"/>
    </row>
    <row r="923">
      <c r="A923" s="9" t="n">
        <v>815928</v>
      </c>
      <c r="B923" s="9" t="inlineStr">
        <is>
          <t>Edward Lantigua</t>
        </is>
      </c>
      <c r="C923" s="9" t="inlineStr">
        <is>
          <t>NYM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1" t="n">
        <v>1</v>
      </c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7" t="n">
        <v>1</v>
      </c>
      <c r="Z923" s="13">
        <f>SUMPRODUCT(N923:Y923,$N$2:$Y$2)*$K923*$L923*$M923</f>
        <v/>
      </c>
      <c r="AA923" s="14">
        <f>SUM(N923:Y923)</f>
        <v/>
      </c>
      <c r="AB923" s="14">
        <f>IFERROR(IF(UPPER($E923)="L",SUMPRODUCT(N923:Y923,$N$3:$Y$3,$N$2:$Y$2),SUMPRODUCT(N923:Y923,$N$4:$Y$4,$N$2:$Y$2))/(Z923/($K923*$L923*$M923)),"")</f>
        <v/>
      </c>
      <c r="AC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1" t="n">
        <v>1</v>
      </c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7" t="n">
        <v>1</v>
      </c>
      <c r="Z924" s="13">
        <f>SUMPRODUCT(N924:Y924,$N$2:$Y$2)*$K924*$L924*$M924</f>
        <v/>
      </c>
      <c r="AA924" s="14">
        <f>SUM(N924:Y924)</f>
        <v/>
      </c>
      <c r="AB924" s="14">
        <f>IFERROR(IF(UPPER($E924)="L",SUMPRODUCT(N924:Y924,$N$3:$Y$3,$N$2:$Y$2),SUMPRODUCT(N924:Y924,$N$4:$Y$4,$N$2:$Y$2))/(Z924/($K924*$L924*$M924)),"")</f>
        <v/>
      </c>
      <c r="AC924" s="18" t="n"/>
    </row>
    <row r="925">
      <c r="A925" s="9" t="n">
        <v>807649</v>
      </c>
      <c r="B925" s="9" t="inlineStr">
        <is>
          <t>Yeycol Soriano</t>
        </is>
      </c>
      <c r="C925" s="9" t="inlineStr">
        <is>
          <t>CIN</t>
        </is>
      </c>
      <c r="D925" s="9" t="n">
        <v>25</v>
      </c>
      <c r="E925" s="16" t="inlineStr">
        <is>
          <t>L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1" t="n">
        <v>1</v>
      </c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7" t="n">
        <v>1</v>
      </c>
      <c r="Z925" s="13">
        <f>SUMPRODUCT(N925:Y925,$N$2:$Y$2)*$K925*$L925*$M925</f>
        <v/>
      </c>
      <c r="AA925" s="14">
        <f>SUM(N925:Y925)</f>
        <v/>
      </c>
      <c r="AB925" s="14">
        <f>IFERROR(IF(UPPER($E925)="L",SUMPRODUCT(N925:Y925,$N$3:$Y$3,$N$2:$Y$2),SUMPRODUCT(N925:Y925,$N$4:$Y$4,$N$2:$Y$2))/(Z925/($K925*$L925*$M925)),"")</f>
        <v/>
      </c>
      <c r="AC925" s="18" t="n"/>
    </row>
    <row r="926">
      <c r="A926" s="9" t="n">
        <v>702662</v>
      </c>
      <c r="B926" s="9" t="inlineStr">
        <is>
          <t>Dylan Dreiling</t>
        </is>
      </c>
      <c r="C926" s="9" t="inlineStr">
        <is>
          <t>TEX</t>
        </is>
      </c>
      <c r="D926" s="9" t="n">
        <v>25</v>
      </c>
      <c r="E926" s="16" t="inlineStr">
        <is>
          <t>L</t>
        </is>
      </c>
      <c r="F926" s="16" t="n"/>
      <c r="G926" s="9" t="n">
        <v>190.6153846153846</v>
      </c>
      <c r="H926" s="9" t="n">
        <v>190.6153846153846</v>
      </c>
      <c r="I926" s="9" t="inlineStr">
        <is>
          <t>Depth (no MLB PA)</t>
        </is>
      </c>
      <c r="J926" s="16" t="inlineStr">
        <is>
          <t>Mid Season (~July)</t>
        </is>
      </c>
      <c r="K926" s="11">
        <f>IFERROR(INDEX(Roles!$B$17:$B$20,MATCH(J926,Roles!$A$17:$A$20,0)),1)</f>
        <v/>
      </c>
      <c r="L926" s="17" t="n">
        <v>1</v>
      </c>
      <c r="M926" s="11" t="n">
        <v>1</v>
      </c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7" t="n">
        <v>1</v>
      </c>
      <c r="Z926" s="13">
        <f>SUMPRODUCT(N926:Y926,$N$2:$Y$2)*$K926*$L926*$M926</f>
        <v/>
      </c>
      <c r="AA926" s="14">
        <f>SUM(N926:Y926)</f>
        <v/>
      </c>
      <c r="AB926" s="14">
        <f>IFERROR(IF(UPPER($E926)="L",SUMPRODUCT(N926:Y926,$N$3:$Y$3,$N$2:$Y$2),SUMPRODUCT(N926:Y926,$N$4:$Y$4,$N$2:$Y$2))/(Z926/($K926*$L926*$M926)),"")</f>
        <v/>
      </c>
      <c r="AC926" s="18" t="n"/>
    </row>
    <row r="927">
      <c r="A927" s="9" t="n">
        <v>687625</v>
      </c>
      <c r="B927" s="9" t="inlineStr">
        <is>
          <t>Kai Murphy</t>
        </is>
      </c>
      <c r="C927" s="9" t="inlineStr">
        <is>
          <t>SD</t>
        </is>
      </c>
      <c r="D927" s="9" t="n">
        <v>25</v>
      </c>
      <c r="E927" s="16" t="inlineStr">
        <is>
          <t>L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1" t="n">
        <v>1</v>
      </c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7" t="n">
        <v>1</v>
      </c>
      <c r="Z927" s="13">
        <f>SUMPRODUCT(N927:Y927,$N$2:$Y$2)*$K927*$L927*$M927</f>
        <v/>
      </c>
      <c r="AA927" s="14">
        <f>SUM(N927:Y927)</f>
        <v/>
      </c>
      <c r="AB927" s="14">
        <f>IFERROR(IF(UPPER($E927)="L",SUMPRODUCT(N927:Y927,$N$3:$Y$3,$N$2:$Y$2),SUMPRODUCT(N927:Y927,$N$4:$Y$4,$N$2:$Y$2))/(Z927/($K927*$L927*$M927)),"")</f>
        <v/>
      </c>
      <c r="AC927" s="18" t="n"/>
    </row>
    <row r="928">
      <c r="A928" s="9" t="n">
        <v>821296</v>
      </c>
      <c r="B928" s="9" t="inlineStr">
        <is>
          <t>Connor McGinnis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1" t="n">
        <v>1</v>
      </c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7" t="n">
        <v>1</v>
      </c>
      <c r="Z928" s="13">
        <f>SUMPRODUCT(N928:Y928,$N$2:$Y$2)*$K928*$L928*$M928</f>
        <v/>
      </c>
      <c r="AA928" s="14">
        <f>SUM(N928:Y928)</f>
        <v/>
      </c>
      <c r="AB928" s="14">
        <f>IFERROR(IF(UPPER($E928)="L",SUMPRODUCT(N928:Y928,$N$3:$Y$3,$N$2:$Y$2),SUMPRODUCT(N928:Y928,$N$4:$Y$4,$N$2:$Y$2))/(Z928/($K928*$L928*$M928)),"")</f>
        <v/>
      </c>
      <c r="AC928" s="18" t="n"/>
    </row>
    <row r="929">
      <c r="A929" s="9" t="n">
        <v>695023</v>
      </c>
      <c r="B929" s="9" t="inlineStr">
        <is>
          <t>Eddie Park</t>
        </is>
      </c>
      <c r="C929" s="9" t="inlineStr">
        <is>
          <t>CWS</t>
        </is>
      </c>
      <c r="D929" s="9" t="n">
        <v>25</v>
      </c>
      <c r="E929" s="16" t="inlineStr">
        <is>
          <t>L</t>
        </is>
      </c>
      <c r="F929" s="16" t="n"/>
      <c r="G929" s="9" t="n">
        <v>3.948717948717949</v>
      </c>
      <c r="H929" s="9" t="n">
        <v>3.948717948717949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1" t="n">
        <v>1</v>
      </c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7" t="n">
        <v>1</v>
      </c>
      <c r="Z929" s="13">
        <f>SUMPRODUCT(N929:Y929,$N$2:$Y$2)*$K929*$L929*$M929</f>
        <v/>
      </c>
      <c r="AA929" s="14">
        <f>SUM(N929:Y929)</f>
        <v/>
      </c>
      <c r="AB929" s="14">
        <f>IFERROR(IF(UPPER($E929)="L",SUMPRODUCT(N929:Y929,$N$3:$Y$3,$N$2:$Y$2),SUMPRODUCT(N929:Y929,$N$4:$Y$4,$N$2:$Y$2))/(Z929/($K929*$L929*$M929)),"")</f>
        <v/>
      </c>
      <c r="AC929" s="18" t="n"/>
    </row>
    <row r="930">
      <c r="A930" s="9" t="n">
        <v>808553</v>
      </c>
      <c r="B930" s="9" t="inlineStr">
        <is>
          <t>John Estevez</t>
        </is>
      </c>
      <c r="C930" s="9" t="inlineStr">
        <is>
          <t>ATL</t>
        </is>
      </c>
      <c r="D930" s="9" t="n">
        <v>25</v>
      </c>
      <c r="E930" s="16" t="inlineStr">
        <is>
          <t>L</t>
        </is>
      </c>
      <c r="F930" s="16" t="n"/>
      <c r="G930" s="9" t="n">
        <v>3.897435897435898</v>
      </c>
      <c r="H930" s="9" t="n">
        <v>3.897435897435898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1" t="n">
        <v>1</v>
      </c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7" t="n">
        <v>1</v>
      </c>
      <c r="Z930" s="13">
        <f>SUMPRODUCT(N930:Y930,$N$2:$Y$2)*$K930*$L930*$M930</f>
        <v/>
      </c>
      <c r="AA930" s="14">
        <f>SUM(N930:Y930)</f>
        <v/>
      </c>
      <c r="AB930" s="14">
        <f>IFERROR(IF(UPPER($E930)="L",SUMPRODUCT(N930:Y930,$N$3:$Y$3,$N$2:$Y$2),SUMPRODUCT(N930:Y930,$N$4:$Y$4,$N$2:$Y$2))/(Z930/($K930*$L930*$M930)),"")</f>
        <v/>
      </c>
      <c r="AC930" s="18" t="n"/>
    </row>
    <row r="931">
      <c r="A931" s="9" t="n">
        <v>671272</v>
      </c>
      <c r="B931" s="9" t="inlineStr">
        <is>
          <t>David García</t>
        </is>
      </c>
      <c r="C931" s="9" t="inlineStr">
        <is>
          <t>MIL</t>
        </is>
      </c>
      <c r="D931" s="9" t="n">
        <v>25</v>
      </c>
      <c r="E931" s="16" t="inlineStr">
        <is>
          <t>S</t>
        </is>
      </c>
      <c r="F931" s="16" t="n"/>
      <c r="G931" s="9" t="n">
        <v>20.82051282051282</v>
      </c>
      <c r="H931" s="9" t="n">
        <v>20.82051282051282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1" t="n">
        <v>1</v>
      </c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7" t="n">
        <v>1</v>
      </c>
      <c r="Z931" s="13">
        <f>SUMPRODUCT(N931:Y931,$N$2:$Y$2)*$K931*$L931*$M931</f>
        <v/>
      </c>
      <c r="AA931" s="14">
        <f>SUM(N931:Y931)</f>
        <v/>
      </c>
      <c r="AB931" s="14">
        <f>IFERROR(IF(UPPER($E931)="L",SUMPRODUCT(N931:Y931,$N$3:$Y$3,$N$2:$Y$2),SUMPRODUCT(N931:Y931,$N$4:$Y$4,$N$2:$Y$2))/(Z931/($K931*$L931*$M931)),"")</f>
        <v/>
      </c>
      <c r="AC931" s="18" t="n"/>
    </row>
    <row r="932">
      <c r="A932" s="9" t="n">
        <v>702276</v>
      </c>
      <c r="B932" s="9" t="inlineStr">
        <is>
          <t>Carsten Sabathia III</t>
        </is>
      </c>
      <c r="C932" s="9" t="inlineStr">
        <is>
          <t>MIL</t>
        </is>
      </c>
      <c r="D932" s="9" t="n">
        <v>25</v>
      </c>
      <c r="E932" s="16" t="inlineStr">
        <is>
          <t>R</t>
        </is>
      </c>
      <c r="F932" s="16" t="n"/>
      <c r="G932" s="9" t="n">
        <v>10.33846153846154</v>
      </c>
      <c r="H932" s="9" t="n">
        <v>10.33846153846154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1" t="n">
        <v>1</v>
      </c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7" t="n">
        <v>1</v>
      </c>
      <c r="Z932" s="13">
        <f>SUMPRODUCT(N932:Y932,$N$2:$Y$2)*$K932*$L932*$M932</f>
        <v/>
      </c>
      <c r="AA932" s="14">
        <f>SUM(N932:Y932)</f>
        <v/>
      </c>
      <c r="AB932" s="14">
        <f>IFERROR(IF(UPPER($E932)="L",SUMPRODUCT(N932:Y932,$N$3:$Y$3,$N$2:$Y$2),SUMPRODUCT(N932:Y932,$N$4:$Y$4,$N$2:$Y$2))/(Z932/($K932*$L932*$M932)),"")</f>
        <v/>
      </c>
      <c r="AC932" s="18" t="n"/>
    </row>
    <row r="933">
      <c r="A933" s="9" t="n">
        <v>821199</v>
      </c>
      <c r="B933" s="9" t="inlineStr">
        <is>
          <t>Moises Polanco</t>
        </is>
      </c>
      <c r="C933" s="9" t="inlineStr">
        <is>
          <t>MIL</t>
        </is>
      </c>
      <c r="D933" s="9" t="n">
        <v>25</v>
      </c>
      <c r="E933" s="16" t="inlineStr">
        <is>
          <t>R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1" t="n">
        <v>1</v>
      </c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7" t="n">
        <v>1</v>
      </c>
      <c r="Z933" s="13">
        <f>SUMPRODUCT(N933:Y933,$N$2:$Y$2)*$K933*$L933*$M933</f>
        <v/>
      </c>
      <c r="AA933" s="14">
        <f>SUM(N933:Y933)</f>
        <v/>
      </c>
      <c r="AB933" s="14">
        <f>IFERROR(IF(UPPER($E933)="L",SUMPRODUCT(N933:Y933,$N$3:$Y$3,$N$2:$Y$2),SUMPRODUCT(N933:Y933,$N$4:$Y$4,$N$2:$Y$2))/(Z933/($K933*$L933*$M933)),"")</f>
        <v/>
      </c>
      <c r="AC933" s="18" t="n"/>
    </row>
    <row r="934">
      <c r="A934" s="9" t="n">
        <v>821101</v>
      </c>
      <c r="B934" s="9" t="inlineStr">
        <is>
          <t>Ezequiel Pena</t>
        </is>
      </c>
      <c r="C934" s="9" t="inlineStr">
        <is>
          <t>CHC</t>
        </is>
      </c>
      <c r="D934" s="9" t="n">
        <v>25</v>
      </c>
      <c r="E934" s="16" t="inlineStr">
        <is>
          <t>L</t>
        </is>
      </c>
      <c r="F934" s="16" t="n"/>
      <c r="G934" s="9" t="n">
        <v>3.938461538461538</v>
      </c>
      <c r="H934" s="9" t="n">
        <v>3.938461538461538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1" t="n">
        <v>1</v>
      </c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7" t="n">
        <v>1</v>
      </c>
      <c r="Z934" s="13">
        <f>SUMPRODUCT(N934:Y934,$N$2:$Y$2)*$K934*$L934*$M934</f>
        <v/>
      </c>
      <c r="AA934" s="14">
        <f>SUM(N934:Y934)</f>
        <v/>
      </c>
      <c r="AB934" s="14">
        <f>IFERROR(IF(UPPER($E934)="L",SUMPRODUCT(N934:Y934,$N$3:$Y$3,$N$2:$Y$2),SUMPRODUCT(N934:Y934,$N$4:$Y$4,$N$2:$Y$2))/(Z934/($K934*$L934*$M934)),"")</f>
        <v/>
      </c>
      <c r="AC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1" t="n">
        <v>1</v>
      </c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7" t="n">
        <v>1</v>
      </c>
      <c r="Z935" s="13">
        <f>SUMPRODUCT(N935:Y935,$N$2:$Y$2)*$K935*$L935*$M935</f>
        <v/>
      </c>
      <c r="AA935" s="14">
        <f>SUM(N935:Y935)</f>
        <v/>
      </c>
      <c r="AB935" s="14">
        <f>IFERROR(IF(UPPER($E935)="L",SUMPRODUCT(N935:Y935,$N$3:$Y$3,$N$2:$Y$2),SUMPRODUCT(N935:Y935,$N$4:$Y$4,$N$2:$Y$2))/(Z935/($K935*$L935*$M935)),"")</f>
        <v/>
      </c>
      <c r="AC935" s="18" t="n"/>
    </row>
    <row r="936">
      <c r="A936" s="9" t="n">
        <v>808220</v>
      </c>
      <c r="B936" s="9" t="inlineStr">
        <is>
          <t>Raimundo De Los Santos</t>
        </is>
      </c>
      <c r="C936" s="9" t="inlineStr">
        <is>
          <t>TOR</t>
        </is>
      </c>
      <c r="D936" s="9" t="n">
        <v>25</v>
      </c>
      <c r="E936" s="16" t="inlineStr">
        <is>
          <t>S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1" t="n">
        <v>1</v>
      </c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7" t="n">
        <v>1</v>
      </c>
      <c r="Z936" s="13">
        <f>SUMPRODUCT(N936:Y936,$N$2:$Y$2)*$K936*$L936*$M936</f>
        <v/>
      </c>
      <c r="AA936" s="14">
        <f>SUM(N936:Y936)</f>
        <v/>
      </c>
      <c r="AB936" s="14">
        <f>IFERROR(IF(UPPER($E936)="L",SUMPRODUCT(N936:Y936,$N$3:$Y$3,$N$2:$Y$2),SUMPRODUCT(N936:Y936,$N$4:$Y$4,$N$2:$Y$2))/(Z936/($K936*$L936*$M936)),"")</f>
        <v/>
      </c>
      <c r="AC936" s="18" t="n"/>
    </row>
    <row r="937">
      <c r="A937" s="9" t="n">
        <v>805951</v>
      </c>
      <c r="B937" s="9" t="inlineStr">
        <is>
          <t>Boston Baro</t>
        </is>
      </c>
      <c r="C937" s="9" t="inlineStr">
        <is>
          <t>NYM</t>
        </is>
      </c>
      <c r="D937" s="9" t="n">
        <v>25</v>
      </c>
      <c r="E937" s="16" t="inlineStr">
        <is>
          <t>L</t>
        </is>
      </c>
      <c r="F937" s="16" t="n"/>
      <c r="G937" s="9" t="n">
        <v>4.061538461538461</v>
      </c>
      <c r="H937" s="9" t="n">
        <v>4.061538461538461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1" t="n">
        <v>1</v>
      </c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7" t="n">
        <v>1</v>
      </c>
      <c r="Z937" s="13">
        <f>SUMPRODUCT(N937:Y937,$N$2:$Y$2)*$K937*$L937*$M937</f>
        <v/>
      </c>
      <c r="AA937" s="14">
        <f>SUM(N937:Y937)</f>
        <v/>
      </c>
      <c r="AB937" s="14">
        <f>IFERROR(IF(UPPER($E937)="L",SUMPRODUCT(N937:Y937,$N$3:$Y$3,$N$2:$Y$2),SUMPRODUCT(N937:Y937,$N$4:$Y$4,$N$2:$Y$2))/(Z937/($K937*$L937*$M937)),"")</f>
        <v/>
      </c>
      <c r="AC937" s="18" t="n"/>
    </row>
    <row r="938">
      <c r="A938" s="9" t="n">
        <v>808232</v>
      </c>
      <c r="B938" s="9" t="inlineStr">
        <is>
          <t>Alirio Ferrebus</t>
        </is>
      </c>
      <c r="C938" s="9" t="inlineStr">
        <is>
          <t>PHI</t>
        </is>
      </c>
      <c r="D938" s="9" t="n">
        <v>25</v>
      </c>
      <c r="E938" s="16" t="inlineStr">
        <is>
          <t>R</t>
        </is>
      </c>
      <c r="F938" s="16" t="n"/>
      <c r="G938" s="9" t="n">
        <v>4.102564102564103</v>
      </c>
      <c r="H938" s="9" t="n">
        <v>4.102564102564103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1" t="n">
        <v>1</v>
      </c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7" t="n">
        <v>1</v>
      </c>
      <c r="Z938" s="13">
        <f>SUMPRODUCT(N938:Y938,$N$2:$Y$2)*$K938*$L938*$M938</f>
        <v/>
      </c>
      <c r="AA938" s="14">
        <f>SUM(N938:Y938)</f>
        <v/>
      </c>
      <c r="AB938" s="14">
        <f>IFERROR(IF(UPPER($E938)="L",SUMPRODUCT(N938:Y938,$N$3:$Y$3,$N$2:$Y$2),SUMPRODUCT(N938:Y938,$N$4:$Y$4,$N$2:$Y$2))/(Z938/($K938*$L938*$M938)),"")</f>
        <v/>
      </c>
      <c r="AC938" s="18" t="n"/>
    </row>
    <row r="939">
      <c r="A939" s="9" t="n">
        <v>701616</v>
      </c>
      <c r="B939" s="9" t="inlineStr">
        <is>
          <t>Caleb Lomavita</t>
        </is>
      </c>
      <c r="C939" s="9" t="inlineStr">
        <is>
          <t>WSH</t>
        </is>
      </c>
      <c r="D939" s="9" t="n">
        <v>25</v>
      </c>
      <c r="E939" s="16" t="inlineStr">
        <is>
          <t>R</t>
        </is>
      </c>
      <c r="F939" s="16" t="n"/>
      <c r="G939" s="9" t="n">
        <v>122.4102564102564</v>
      </c>
      <c r="H939" s="9" t="n">
        <v>122.4102564102564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1" t="n">
        <v>1</v>
      </c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7" t="n">
        <v>1</v>
      </c>
      <c r="Z939" s="13">
        <f>SUMPRODUCT(N939:Y939,$N$2:$Y$2)*$K939*$L939*$M939</f>
        <v/>
      </c>
      <c r="AA939" s="14">
        <f>SUM(N939:Y939)</f>
        <v/>
      </c>
      <c r="AB939" s="14">
        <f>IFERROR(IF(UPPER($E939)="L",SUMPRODUCT(N939:Y939,$N$3:$Y$3,$N$2:$Y$2),SUMPRODUCT(N939:Y939,$N$4:$Y$4,$N$2:$Y$2))/(Z939/($K939*$L939*$M939)),"")</f>
        <v/>
      </c>
      <c r="AC939" s="18" t="n"/>
    </row>
    <row r="940">
      <c r="A940" s="9" t="n">
        <v>829040</v>
      </c>
      <c r="B940" s="9" t="inlineStr">
        <is>
          <t>Juan Cabada</t>
        </is>
      </c>
      <c r="C940" s="9" t="inlineStr">
        <is>
          <t>CHC</t>
        </is>
      </c>
      <c r="D940" s="9" t="n">
        <v>25</v>
      </c>
      <c r="E940" s="16" t="inlineStr">
        <is>
          <t>L</t>
        </is>
      </c>
      <c r="F940" s="16" t="n"/>
      <c r="G940" s="9" t="n">
        <v>8.36923076923077</v>
      </c>
      <c r="H940" s="9" t="n">
        <v>8.36923076923077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1" t="n">
        <v>1</v>
      </c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7" t="n">
        <v>1</v>
      </c>
      <c r="Z940" s="13">
        <f>SUMPRODUCT(N940:Y940,$N$2:$Y$2)*$K940*$L940*$M940</f>
        <v/>
      </c>
      <c r="AA940" s="14">
        <f>SUM(N940:Y940)</f>
        <v/>
      </c>
      <c r="AB940" s="14">
        <f>IFERROR(IF(UPPER($E940)="L",SUMPRODUCT(N940:Y940,$N$3:$Y$3,$N$2:$Y$2),SUMPRODUCT(N940:Y940,$N$4:$Y$4,$N$2:$Y$2))/(Z940/($K940*$L940*$M940)),"")</f>
        <v/>
      </c>
      <c r="AC940" s="18" t="n"/>
    </row>
    <row r="941">
      <c r="A941" s="9" t="n">
        <v>840390</v>
      </c>
      <c r="B941" s="9" t="inlineStr">
        <is>
          <t>Paul Schoenfeld</t>
        </is>
      </c>
      <c r="C941" s="9" t="inlineStr">
        <is>
          <t>ARI</t>
        </is>
      </c>
      <c r="D941" s="9" t="n">
        <v>25</v>
      </c>
      <c r="E941" s="16" t="inlineStr">
        <is>
          <t>L</t>
        </is>
      </c>
      <c r="F941" s="16" t="n"/>
      <c r="G941" s="9" t="n">
        <v>8.492307692307692</v>
      </c>
      <c r="H941" s="9" t="n">
        <v>8.492307692307692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1" t="n">
        <v>1</v>
      </c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7" t="n">
        <v>1</v>
      </c>
      <c r="Z941" s="13">
        <f>SUMPRODUCT(N941:Y941,$N$2:$Y$2)*$K941*$L941*$M941</f>
        <v/>
      </c>
      <c r="AA941" s="14">
        <f>SUM(N941:Y941)</f>
        <v/>
      </c>
      <c r="AB941" s="14">
        <f>IFERROR(IF(UPPER($E941)="L",SUMPRODUCT(N941:Y941,$N$3:$Y$3,$N$2:$Y$2),SUMPRODUCT(N941:Y941,$N$4:$Y$4,$N$2:$Y$2))/(Z941/($K941*$L941*$M941)),"")</f>
        <v/>
      </c>
      <c r="AC941" s="18" t="n"/>
    </row>
    <row r="942">
      <c r="A942" s="9" t="n">
        <v>701837</v>
      </c>
      <c r="B942" s="9" t="inlineStr">
        <is>
          <t>Kavares Tears</t>
        </is>
      </c>
      <c r="C942" s="9" t="inlineStr">
        <is>
          <t>SD</t>
        </is>
      </c>
      <c r="D942" s="9" t="n">
        <v>25</v>
      </c>
      <c r="E942" s="16" t="inlineStr">
        <is>
          <t>L</t>
        </is>
      </c>
      <c r="F942" s="16" t="n"/>
      <c r="G942" s="9" t="n">
        <v>56.41025641025641</v>
      </c>
      <c r="H942" s="9" t="n">
        <v>56.41025641025641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1" t="n">
        <v>1</v>
      </c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7" t="n">
        <v>1</v>
      </c>
      <c r="Z942" s="13">
        <f>SUMPRODUCT(N942:Y942,$N$2:$Y$2)*$K942*$L942*$M942</f>
        <v/>
      </c>
      <c r="AA942" s="14">
        <f>SUM(N942:Y942)</f>
        <v/>
      </c>
      <c r="AB942" s="14">
        <f>IFERROR(IF(UPPER($E942)="L",SUMPRODUCT(N942:Y942,$N$3:$Y$3,$N$2:$Y$2),SUMPRODUCT(N942:Y942,$N$4:$Y$4,$N$2:$Y$2))/(Z942/($K942*$L942*$M942)),"")</f>
        <v/>
      </c>
      <c r="AC942" s="18" t="n"/>
    </row>
    <row r="943">
      <c r="A943" s="9" t="n">
        <v>682177</v>
      </c>
      <c r="B943" s="9" t="inlineStr">
        <is>
          <t>Daniel Schneemann</t>
        </is>
      </c>
      <c r="C943" s="9" t="inlineStr">
        <is>
          <t>CLE</t>
        </is>
      </c>
      <c r="D943" s="9" t="n">
        <v>30</v>
      </c>
      <c r="E943" s="16" t="inlineStr">
        <is>
          <t>L</t>
        </is>
      </c>
      <c r="F943" s="16" t="inlineStr">
        <is>
          <t>3B</t>
        </is>
      </c>
      <c r="G943" s="9" t="n">
        <v>286</v>
      </c>
      <c r="H943" s="9" t="n">
        <v>929</v>
      </c>
      <c r="I943" s="9" t="inlineStr">
        <is>
          <t>Bench Bat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1" t="n">
        <v>1.15</v>
      </c>
      <c r="N943" s="17" t="n"/>
      <c r="O943" s="17" t="n"/>
      <c r="P943" s="17" t="n"/>
      <c r="Q943" s="17" t="n"/>
      <c r="R943" s="17" t="n"/>
      <c r="S943" s="17" t="n"/>
      <c r="T943" s="17" t="n"/>
      <c r="U943" s="17" t="n">
        <v>0.4</v>
      </c>
      <c r="V943" s="17" t="n"/>
      <c r="W943" s="17" t="n">
        <v>0.6</v>
      </c>
      <c r="X943" s="17" t="n"/>
      <c r="Y943" s="17" t="n"/>
      <c r="Z943" s="13">
        <f>SUMPRODUCT(N943:Y943,$N$2:$Y$2)*$K943*$L943*$M943</f>
        <v/>
      </c>
      <c r="AA943" s="14">
        <f>SUM(N943:Y943)</f>
        <v/>
      </c>
      <c r="AB943" s="14">
        <f>IFERROR(IF(UPPER($E943)="L",SUMPRODUCT(N943:Y943,$N$3:$Y$3,$N$2:$Y$2),SUMPRODUCT(N943:Y943,$N$4:$Y$4,$N$2:$Y$2))/(Z943/($K943*$L943*$M943)),"")</f>
        <v/>
      </c>
      <c r="AC943" s="18" t="n"/>
    </row>
    <row r="944">
      <c r="A944" s="9" t="n">
        <v>814188</v>
      </c>
      <c r="B944" s="9" t="inlineStr">
        <is>
          <t>Jayson Bass</t>
        </is>
      </c>
      <c r="C944" s="9" t="inlineStr">
        <is>
          <t>MIN</t>
        </is>
      </c>
      <c r="D944" s="9" t="n">
        <v>25</v>
      </c>
      <c r="E944" s="16" t="inlineStr">
        <is>
          <t>S</t>
        </is>
      </c>
      <c r="F944" s="16" t="n"/>
      <c r="G944" s="9" t="n">
        <v>16.41025641025641</v>
      </c>
      <c r="H944" s="9" t="n">
        <v>16.41025641025641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1" t="n">
        <v>1</v>
      </c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7" t="n">
        <v>1</v>
      </c>
      <c r="Z944" s="13">
        <f>SUMPRODUCT(N944:Y944,$N$2:$Y$2)*$K944*$L944*$M944</f>
        <v/>
      </c>
      <c r="AA944" s="14">
        <f>SUM(N944:Y944)</f>
        <v/>
      </c>
      <c r="AB944" s="14">
        <f>IFERROR(IF(UPPER($E944)="L",SUMPRODUCT(N944:Y944,$N$3:$Y$3,$N$2:$Y$2),SUMPRODUCT(N944:Y944,$N$4:$Y$4,$N$2:$Y$2))/(Z944/($K944*$L944*$M944)),"")</f>
        <v/>
      </c>
      <c r="AC944" s="18" t="n"/>
    </row>
    <row r="945">
      <c r="A945" s="9" t="n">
        <v>701373</v>
      </c>
      <c r="B945" s="9" t="inlineStr">
        <is>
          <t>Isaiah Barkett</t>
        </is>
      </c>
      <c r="C945" s="9" t="inlineStr">
        <is>
          <t>SF</t>
        </is>
      </c>
      <c r="D945" s="9" t="n">
        <v>25</v>
      </c>
      <c r="E945" s="16" t="inlineStr">
        <is>
          <t>R</t>
        </is>
      </c>
      <c r="F945" s="16" t="n"/>
      <c r="G945" s="9" t="n">
        <v>8.410256410256411</v>
      </c>
      <c r="H945" s="9" t="n">
        <v>8.410256410256411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1" t="n">
        <v>1</v>
      </c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7" t="n">
        <v>1</v>
      </c>
      <c r="Z945" s="13">
        <f>SUMPRODUCT(N945:Y945,$N$2:$Y$2)*$K945*$L945*$M945</f>
        <v/>
      </c>
      <c r="AA945" s="14">
        <f>SUM(N945:Y945)</f>
        <v/>
      </c>
      <c r="AB945" s="14">
        <f>IFERROR(IF(UPPER($E945)="L",SUMPRODUCT(N945:Y945,$N$3:$Y$3,$N$2:$Y$2),SUMPRODUCT(N945:Y945,$N$4:$Y$4,$N$2:$Y$2))/(Z945/($K945*$L945*$M945)),"")</f>
        <v/>
      </c>
      <c r="AC945" s="18" t="n"/>
    </row>
    <row r="946">
      <c r="A946" s="9" t="n">
        <v>800191</v>
      </c>
      <c r="B946" s="9" t="inlineStr">
        <is>
          <t>Eliezer Rivero</t>
        </is>
      </c>
      <c r="C946" s="9" t="inlineStr">
        <is>
          <t>LAA</t>
        </is>
      </c>
      <c r="D946" s="9" t="n">
        <v>25</v>
      </c>
      <c r="E946" s="16" t="inlineStr">
        <is>
          <t>R</t>
        </is>
      </c>
      <c r="F946" s="16" t="n"/>
      <c r="G946" s="9" t="n">
        <v>4.184615384615385</v>
      </c>
      <c r="H946" s="9" t="n">
        <v>4.184615384615385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1" t="n">
        <v>1</v>
      </c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7" t="n">
        <v>1</v>
      </c>
      <c r="Z946" s="13">
        <f>SUMPRODUCT(N946:Y946,$N$2:$Y$2)*$K946*$L946*$M946</f>
        <v/>
      </c>
      <c r="AA946" s="14">
        <f>SUM(N946:Y946)</f>
        <v/>
      </c>
      <c r="AB946" s="14">
        <f>IFERROR(IF(UPPER($E946)="L",SUMPRODUCT(N946:Y946,$N$3:$Y$3,$N$2:$Y$2),SUMPRODUCT(N946:Y946,$N$4:$Y$4,$N$2:$Y$2))/(Z946/($K946*$L946*$M946)),"")</f>
        <v/>
      </c>
      <c r="AC946" s="18" t="n"/>
    </row>
    <row r="947">
      <c r="A947" s="9" t="n">
        <v>692368</v>
      </c>
      <c r="B947" s="9" t="inlineStr">
        <is>
          <t>Adrián Sugastey</t>
        </is>
      </c>
      <c r="C947" s="9" t="inlineStr">
        <is>
          <t>SF</t>
        </is>
      </c>
      <c r="D947" s="9" t="n">
        <v>25</v>
      </c>
      <c r="E947" s="16" t="inlineStr">
        <is>
          <t>R</t>
        </is>
      </c>
      <c r="F947" s="16" t="n"/>
      <c r="G947" s="9" t="n">
        <v>51.33333333333334</v>
      </c>
      <c r="H947" s="9" t="n">
        <v>51.33333333333334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1" t="n">
        <v>1</v>
      </c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7" t="n">
        <v>1</v>
      </c>
      <c r="Z947" s="13">
        <f>SUMPRODUCT(N947:Y947,$N$2:$Y$2)*$K947*$L947*$M947</f>
        <v/>
      </c>
      <c r="AA947" s="14">
        <f>SUM(N947:Y947)</f>
        <v/>
      </c>
      <c r="AB947" s="14">
        <f>IFERROR(IF(UPPER($E947)="L",SUMPRODUCT(N947:Y947,$N$3:$Y$3,$N$2:$Y$2),SUMPRODUCT(N947:Y947,$N$4:$Y$4,$N$2:$Y$2))/(Z947/($K947*$L947*$M947)),"")</f>
        <v/>
      </c>
      <c r="AC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1" t="n">
        <v>1</v>
      </c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7" t="n">
        <v>1</v>
      </c>
      <c r="Z948" s="13">
        <f>SUMPRODUCT(N948:Y948,$N$2:$Y$2)*$K948*$L948*$M948</f>
        <v/>
      </c>
      <c r="AA948" s="14">
        <f>SUM(N948:Y948)</f>
        <v/>
      </c>
      <c r="AB948" s="14">
        <f>IFERROR(IF(UPPER($E948)="L",SUMPRODUCT(N948:Y948,$N$3:$Y$3,$N$2:$Y$2),SUMPRODUCT(N948:Y948,$N$4:$Y$4,$N$2:$Y$2))/(Z948/($K948*$L948*$M948)),"")</f>
        <v/>
      </c>
      <c r="AC948" s="18" t="n"/>
    </row>
    <row r="949">
      <c r="A949" s="9" t="n">
        <v>802500</v>
      </c>
      <c r="B949" s="9" t="inlineStr">
        <is>
          <t>Deiten Lachance</t>
        </is>
      </c>
      <c r="C949" s="9" t="inlineStr">
        <is>
          <t>CLE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1" t="n">
        <v>1</v>
      </c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7" t="n">
        <v>1</v>
      </c>
      <c r="Z949" s="13">
        <f>SUMPRODUCT(N949:Y949,$N$2:$Y$2)*$K949*$L949*$M949</f>
        <v/>
      </c>
      <c r="AA949" s="14">
        <f>SUM(N949:Y949)</f>
        <v/>
      </c>
      <c r="AB949" s="14">
        <f>IFERROR(IF(UPPER($E949)="L",SUMPRODUCT(N949:Y949,$N$3:$Y$3,$N$2:$Y$2),SUMPRODUCT(N949:Y949,$N$4:$Y$4,$N$2:$Y$2))/(Z949/($K949*$L949*$M949)),"")</f>
        <v/>
      </c>
      <c r="AC949" s="18" t="n"/>
    </row>
    <row r="950">
      <c r="A950" s="9" t="n">
        <v>823779</v>
      </c>
      <c r="B950" s="9" t="inlineStr">
        <is>
          <t>Ryan Sprock</t>
        </is>
      </c>
      <c r="C950" s="9" t="inlineStr">
        <is>
          <t>TOR</t>
        </is>
      </c>
      <c r="D950" s="9" t="n">
        <v>25</v>
      </c>
      <c r="E950" s="16" t="inlineStr">
        <is>
          <t>R</t>
        </is>
      </c>
      <c r="F950" s="16" t="n"/>
      <c r="G950" s="9" t="n">
        <v>29.12820512820513</v>
      </c>
      <c r="H950" s="9" t="n">
        <v>29.12820512820513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1" t="n">
        <v>1</v>
      </c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7" t="n">
        <v>1</v>
      </c>
      <c r="Z950" s="13">
        <f>SUMPRODUCT(N950:Y950,$N$2:$Y$2)*$K950*$L950*$M950</f>
        <v/>
      </c>
      <c r="AA950" s="14">
        <f>SUM(N950:Y950)</f>
        <v/>
      </c>
      <c r="AB950" s="14">
        <f>IFERROR(IF(UPPER($E950)="L",SUMPRODUCT(N950:Y950,$N$3:$Y$3,$N$2:$Y$2),SUMPRODUCT(N950:Y950,$N$4:$Y$4,$N$2:$Y$2))/(Z950/($K950*$L950*$M950)),"")</f>
        <v/>
      </c>
      <c r="AC950" s="18" t="n"/>
    </row>
    <row r="951">
      <c r="A951" s="9" t="n">
        <v>821696</v>
      </c>
      <c r="B951" s="9" t="inlineStr">
        <is>
          <t>Kendrick Herrera</t>
        </is>
      </c>
      <c r="C951" s="9" t="inlineStr">
        <is>
          <t>PIT</t>
        </is>
      </c>
      <c r="D951" s="9" t="n">
        <v>25</v>
      </c>
      <c r="E951" s="16" t="inlineStr">
        <is>
          <t>R</t>
        </is>
      </c>
      <c r="F951" s="16" t="n"/>
      <c r="G951" s="9" t="n">
        <v>4.184615384615385</v>
      </c>
      <c r="H951" s="9" t="n">
        <v>4.184615384615385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1" t="n">
        <v>1</v>
      </c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7" t="n">
        <v>1</v>
      </c>
      <c r="Z951" s="13">
        <f>SUMPRODUCT(N951:Y951,$N$2:$Y$2)*$K951*$L951*$M951</f>
        <v/>
      </c>
      <c r="AA951" s="14">
        <f>SUM(N951:Y951)</f>
        <v/>
      </c>
      <c r="AB951" s="14">
        <f>IFERROR(IF(UPPER($E951)="L",SUMPRODUCT(N951:Y951,$N$3:$Y$3,$N$2:$Y$2),SUMPRODUCT(N951:Y951,$N$4:$Y$4,$N$2:$Y$2))/(Z951/($K951*$L951*$M951)),"")</f>
        <v/>
      </c>
      <c r="AC951" s="18" t="n"/>
    </row>
    <row r="952">
      <c r="A952" s="9" t="n">
        <v>827290</v>
      </c>
      <c r="B952" s="9" t="inlineStr">
        <is>
          <t>Paul Gutierrez-Contreras II</t>
        </is>
      </c>
      <c r="C952" s="9" t="inlineStr">
        <is>
          <t>NYY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1" t="n">
        <v>1</v>
      </c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7" t="n">
        <v>1</v>
      </c>
      <c r="Z952" s="13">
        <f>SUMPRODUCT(N952:Y952,$N$2:$Y$2)*$K952*$L952*$M952</f>
        <v/>
      </c>
      <c r="AA952" s="14">
        <f>SUM(N952:Y952)</f>
        <v/>
      </c>
      <c r="AB952" s="14">
        <f>IFERROR(IF(UPPER($E952)="L",SUMPRODUCT(N952:Y952,$N$3:$Y$3,$N$2:$Y$2),SUMPRODUCT(N952:Y952,$N$4:$Y$4,$N$2:$Y$2))/(Z952/($K952*$L952*$M952)),"")</f>
        <v/>
      </c>
      <c r="AC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1" t="n">
        <v>1</v>
      </c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7" t="n">
        <v>1</v>
      </c>
      <c r="Z953" s="13">
        <f>SUMPRODUCT(N953:Y953,$N$2:$Y$2)*$K953*$L953*$M953</f>
        <v/>
      </c>
      <c r="AA953" s="14">
        <f>SUM(N953:Y953)</f>
        <v/>
      </c>
      <c r="AB953" s="14">
        <f>IFERROR(IF(UPPER($E953)="L",SUMPRODUCT(N953:Y953,$N$3:$Y$3,$N$2:$Y$2),SUMPRODUCT(N953:Y953,$N$4:$Y$4,$N$2:$Y$2))/(Z953/($K953*$L953*$M953)),"")</f>
        <v/>
      </c>
      <c r="AC953" s="18" t="n"/>
    </row>
    <row r="954">
      <c r="A954" s="9" t="n">
        <v>800299</v>
      </c>
      <c r="B954" s="9" t="inlineStr">
        <is>
          <t>Diomedes Hernandez</t>
        </is>
      </c>
      <c r="C954" s="9" t="inlineStr">
        <is>
          <t>NYY</t>
        </is>
      </c>
      <c r="D954" s="9" t="n">
        <v>25</v>
      </c>
      <c r="E954" s="16" t="inlineStr">
        <is>
          <t>R</t>
        </is>
      </c>
      <c r="F954" s="16" t="n"/>
      <c r="G954" s="9" t="n">
        <v>4.307692307692308</v>
      </c>
      <c r="H954" s="9" t="n">
        <v>4.307692307692308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1" t="n">
        <v>1</v>
      </c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7" t="n">
        <v>1</v>
      </c>
      <c r="Z954" s="13">
        <f>SUMPRODUCT(N954:Y954,$N$2:$Y$2)*$K954*$L954*$M954</f>
        <v/>
      </c>
      <c r="AA954" s="14">
        <f>SUM(N954:Y954)</f>
        <v/>
      </c>
      <c r="AB954" s="14">
        <f>IFERROR(IF(UPPER($E954)="L",SUMPRODUCT(N954:Y954,$N$3:$Y$3,$N$2:$Y$2),SUMPRODUCT(N954:Y954,$N$4:$Y$4,$N$2:$Y$2))/(Z954/($K954*$L954*$M954)),"")</f>
        <v/>
      </c>
      <c r="AC954" s="18" t="n"/>
    </row>
    <row r="955">
      <c r="A955" s="9" t="n">
        <v>803124</v>
      </c>
      <c r="B955" s="9" t="inlineStr">
        <is>
          <t>Tristan Bissetta</t>
        </is>
      </c>
      <c r="C955" s="9" t="inlineStr">
        <is>
          <t>STL</t>
        </is>
      </c>
      <c r="D955" s="9" t="n">
        <v>25</v>
      </c>
      <c r="E955" s="16" t="inlineStr">
        <is>
          <t>L</t>
        </is>
      </c>
      <c r="F955" s="16" t="n"/>
      <c r="G955" s="9" t="n">
        <v>16.41025641025641</v>
      </c>
      <c r="H955" s="9" t="n">
        <v>16.41025641025641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1" t="n">
        <v>1</v>
      </c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7" t="n">
        <v>1</v>
      </c>
      <c r="Z955" s="13">
        <f>SUMPRODUCT(N955:Y955,$N$2:$Y$2)*$K955*$L955*$M955</f>
        <v/>
      </c>
      <c r="AA955" s="14">
        <f>SUM(N955:Y955)</f>
        <v/>
      </c>
      <c r="AB955" s="14">
        <f>IFERROR(IF(UPPER($E955)="L",SUMPRODUCT(N955:Y955,$N$3:$Y$3,$N$2:$Y$2),SUMPRODUCT(N955:Y955,$N$4:$Y$4,$N$2:$Y$2))/(Z955/($K955*$L955*$M955)),"")</f>
        <v/>
      </c>
      <c r="AC955" s="18" t="n"/>
    </row>
    <row r="956">
      <c r="A956" s="9" t="n">
        <v>836153</v>
      </c>
      <c r="B956" s="9" t="inlineStr">
        <is>
          <t>Alex Ungar</t>
        </is>
      </c>
      <c r="C956" s="9" t="inlineStr">
        <is>
          <t>CWS</t>
        </is>
      </c>
      <c r="D956" s="9" t="n">
        <v>25</v>
      </c>
      <c r="E956" s="16" t="inlineStr">
        <is>
          <t>R</t>
        </is>
      </c>
      <c r="F956" s="16" t="n"/>
      <c r="G956" s="9" t="n">
        <v>32.82051282051282</v>
      </c>
      <c r="H956" s="9" t="n">
        <v>32.82051282051282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1" t="n">
        <v>1</v>
      </c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7" t="n">
        <v>1</v>
      </c>
      <c r="Z956" s="13">
        <f>SUMPRODUCT(N956:Y956,$N$2:$Y$2)*$K956*$L956*$M956</f>
        <v/>
      </c>
      <c r="AA956" s="14">
        <f>SUM(N956:Y956)</f>
        <v/>
      </c>
      <c r="AB956" s="14">
        <f>IFERROR(IF(UPPER($E956)="L",SUMPRODUCT(N956:Y956,$N$3:$Y$3,$N$2:$Y$2),SUMPRODUCT(N956:Y956,$N$4:$Y$4,$N$2:$Y$2))/(Z956/($K956*$L956*$M956)),"")</f>
        <v/>
      </c>
      <c r="AC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25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Late Season (~Sept)</t>
        </is>
      </c>
      <c r="K957" s="11">
        <f>IFERROR(INDEX(Roles!$B$17:$B$20,MATCH(J957,Roles!$A$17:$A$20,0)),1)</f>
        <v/>
      </c>
      <c r="L957" s="17" t="n">
        <v>1</v>
      </c>
      <c r="M957" s="11" t="n">
        <v>1</v>
      </c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7" t="n">
        <v>1</v>
      </c>
      <c r="Z957" s="13">
        <f>SUMPRODUCT(N957:Y957,$N$2:$Y$2)*$K957*$L957*$M957</f>
        <v/>
      </c>
      <c r="AA957" s="14">
        <f>SUM(N957:Y957)</f>
        <v/>
      </c>
      <c r="AB957" s="14">
        <f>IFERROR(IF(UPPER($E957)="L",SUMPRODUCT(N957:Y957,$N$3:$Y$3,$N$2:$Y$2),SUMPRODUCT(N957:Y957,$N$4:$Y$4,$N$2:$Y$2))/(Z957/($K957*$L957*$M957)),"")</f>
        <v/>
      </c>
      <c r="AC957" s="18" t="n"/>
    </row>
    <row r="958">
      <c r="A958" s="9" t="n">
        <v>695477</v>
      </c>
      <c r="B958" s="9" t="inlineStr">
        <is>
          <t>Slate Alford</t>
        </is>
      </c>
      <c r="C958" s="9" t="inlineStr">
        <is>
          <t>LAA</t>
        </is>
      </c>
      <c r="D958" s="9" t="n">
        <v>25</v>
      </c>
      <c r="E958" s="16" t="inlineStr">
        <is>
          <t>R</t>
        </is>
      </c>
      <c r="F958" s="16" t="n"/>
      <c r="G958" s="9" t="n">
        <v>8.410256410256411</v>
      </c>
      <c r="H958" s="9" t="n">
        <v>8.410256410256411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1" t="n">
        <v>1</v>
      </c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7" t="n">
        <v>1</v>
      </c>
      <c r="Z958" s="13">
        <f>SUMPRODUCT(N958:Y958,$N$2:$Y$2)*$K958*$L958*$M958</f>
        <v/>
      </c>
      <c r="AA958" s="14">
        <f>SUM(N958:Y958)</f>
        <v/>
      </c>
      <c r="AB958" s="14">
        <f>IFERROR(IF(UPPER($E958)="L",SUMPRODUCT(N958:Y958,$N$3:$Y$3,$N$2:$Y$2),SUMPRODUCT(N958:Y958,$N$4:$Y$4,$N$2:$Y$2))/(Z958/($K958*$L958*$M958)),"")</f>
        <v/>
      </c>
      <c r="AC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1" t="n">
        <v>1</v>
      </c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7" t="n">
        <v>1</v>
      </c>
      <c r="Z959" s="13">
        <f>SUMPRODUCT(N959:Y959,$N$2:$Y$2)*$K959*$L959*$M959</f>
        <v/>
      </c>
      <c r="AA959" s="14">
        <f>SUM(N959:Y959)</f>
        <v/>
      </c>
      <c r="AB959" s="14">
        <f>IFERROR(IF(UPPER($E959)="L",SUMPRODUCT(N959:Y959,$N$3:$Y$3,$N$2:$Y$2),SUMPRODUCT(N959:Y959,$N$4:$Y$4,$N$2:$Y$2))/(Z959/($K959*$L959*$M959)),"")</f>
        <v/>
      </c>
      <c r="AC959" s="18" t="n"/>
    </row>
    <row r="960">
      <c r="A960" s="9" t="n">
        <v>806174</v>
      </c>
      <c r="B960" s="9" t="inlineStr">
        <is>
          <t>Cameron Nelson</t>
        </is>
      </c>
      <c r="C960" s="9" t="inlineStr">
        <is>
          <t>COL</t>
        </is>
      </c>
      <c r="D960" s="9" t="n">
        <v>25</v>
      </c>
      <c r="E960" s="16" t="inlineStr">
        <is>
          <t>L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1" t="n">
        <v>1</v>
      </c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7" t="n">
        <v>1</v>
      </c>
      <c r="Z960" s="13">
        <f>SUMPRODUCT(N960:Y960,$N$2:$Y$2)*$K960*$L960*$M960</f>
        <v/>
      </c>
      <c r="AA960" s="14">
        <f>SUM(N960:Y960)</f>
        <v/>
      </c>
      <c r="AB960" s="14">
        <f>IFERROR(IF(UPPER($E960)="L",SUMPRODUCT(N960:Y960,$N$3:$Y$3,$N$2:$Y$2),SUMPRODUCT(N960:Y960,$N$4:$Y$4,$N$2:$Y$2))/(Z960/($K960*$L960*$M960)),"")</f>
        <v/>
      </c>
      <c r="AC960" s="18" t="n"/>
    </row>
    <row r="961">
      <c r="A961" s="9" t="n">
        <v>703569</v>
      </c>
      <c r="B961" s="9" t="inlineStr">
        <is>
          <t>Brandon Crabtree</t>
        </is>
      </c>
      <c r="C961" s="9" t="inlineStr">
        <is>
          <t>TEX</t>
        </is>
      </c>
      <c r="D961" s="9" t="n">
        <v>25</v>
      </c>
      <c r="E961" s="16" t="inlineStr">
        <is>
          <t>L</t>
        </is>
      </c>
      <c r="F961" s="16" t="n"/>
      <c r="G961" s="9" t="n">
        <v>4.512820512820514</v>
      </c>
      <c r="H961" s="9" t="n">
        <v>4.512820512820514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1" t="n">
        <v>1</v>
      </c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7" t="n">
        <v>1</v>
      </c>
      <c r="Z961" s="13">
        <f>SUMPRODUCT(N961:Y961,$N$2:$Y$2)*$K961*$L961*$M961</f>
        <v/>
      </c>
      <c r="AA961" s="14">
        <f>SUM(N961:Y961)</f>
        <v/>
      </c>
      <c r="AB961" s="14">
        <f>IFERROR(IF(UPPER($E961)="L",SUMPRODUCT(N961:Y961,$N$3:$Y$3,$N$2:$Y$2),SUMPRODUCT(N961:Y961,$N$4:$Y$4,$N$2:$Y$2))/(Z961/($K961*$L961*$M961)),"")</f>
        <v/>
      </c>
      <c r="AC961" s="18" t="n"/>
    </row>
    <row r="962">
      <c r="A962" s="9" t="n">
        <v>828318</v>
      </c>
      <c r="B962" s="9" t="inlineStr">
        <is>
          <t>Jaiden Lo Re</t>
        </is>
      </c>
      <c r="C962" s="9" t="inlineStr">
        <is>
          <t>BAL</t>
        </is>
      </c>
      <c r="D962" s="9" t="n">
        <v>25</v>
      </c>
      <c r="E962" s="16" t="inlineStr">
        <is>
          <t>R</t>
        </is>
      </c>
      <c r="F962" s="16" t="n"/>
      <c r="G962" s="9" t="n">
        <v>8.615384615384617</v>
      </c>
      <c r="H962" s="9" t="n">
        <v>8.615384615384617</v>
      </c>
      <c r="I962" s="9" t="inlineStr">
        <is>
          <t>Depth (no MLB PA)</t>
        </is>
      </c>
      <c r="J962" s="16" t="inlineStr">
        <is>
          <t>Late Season (~Sept)</t>
        </is>
      </c>
      <c r="K962" s="11">
        <f>IFERROR(INDEX(Roles!$B$17:$B$20,MATCH(J962,Roles!$A$17:$A$20,0)),1)</f>
        <v/>
      </c>
      <c r="L962" s="17" t="n">
        <v>1</v>
      </c>
      <c r="M962" s="11" t="n">
        <v>1</v>
      </c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7" t="n">
        <v>1</v>
      </c>
      <c r="Z962" s="13">
        <f>SUMPRODUCT(N962:Y962,$N$2:$Y$2)*$K962*$L962*$M962</f>
        <v/>
      </c>
      <c r="AA962" s="14">
        <f>SUM(N962:Y962)</f>
        <v/>
      </c>
      <c r="AB962" s="14">
        <f>IFERROR(IF(UPPER($E962)="L",SUMPRODUCT(N962:Y962,$N$3:$Y$3,$N$2:$Y$2),SUMPRODUCT(N962:Y962,$N$4:$Y$4,$N$2:$Y$2))/(Z962/($K962*$L962*$M962)),"")</f>
        <v/>
      </c>
      <c r="AC962" s="18" t="n"/>
    </row>
    <row r="963">
      <c r="A963" s="9" t="n">
        <v>695601</v>
      </c>
      <c r="B963" s="9" t="inlineStr">
        <is>
          <t>Chris Katz</t>
        </is>
      </c>
      <c r="C963" s="9" t="inlineStr">
        <is>
          <t>ARI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1" t="n">
        <v>1</v>
      </c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7" t="n">
        <v>1</v>
      </c>
      <c r="Z963" s="13">
        <f>SUMPRODUCT(N963:Y963,$N$2:$Y$2)*$K963*$L963*$M963</f>
        <v/>
      </c>
      <c r="AA963" s="14">
        <f>SUM(N963:Y963)</f>
        <v/>
      </c>
      <c r="AB963" s="14">
        <f>IFERROR(IF(UPPER($E963)="L",SUMPRODUCT(N963:Y963,$N$3:$Y$3,$N$2:$Y$2),SUMPRODUCT(N963:Y963,$N$4:$Y$4,$N$2:$Y$2))/(Z963/($K963*$L963*$M963)),"")</f>
        <v/>
      </c>
      <c r="AC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1" t="n">
        <v>1</v>
      </c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7" t="n">
        <v>1</v>
      </c>
      <c r="Z964" s="13">
        <f>SUMPRODUCT(N964:Y964,$N$2:$Y$2)*$K964*$L964*$M964</f>
        <v/>
      </c>
      <c r="AA964" s="14">
        <f>SUM(N964:Y964)</f>
        <v/>
      </c>
      <c r="AB964" s="14">
        <f>IFERROR(IF(UPPER($E964)="L",SUMPRODUCT(N964:Y964,$N$3:$Y$3,$N$2:$Y$2),SUMPRODUCT(N964:Y964,$N$4:$Y$4,$N$2:$Y$2))/(Z964/($K964*$L964*$M964)),"")</f>
        <v/>
      </c>
      <c r="AC964" s="18" t="n"/>
    </row>
    <row r="965">
      <c r="A965" s="9" t="n">
        <v>809057</v>
      </c>
      <c r="B965" s="9" t="inlineStr">
        <is>
          <t>Jack Toomey</t>
        </is>
      </c>
      <c r="C965" s="9" t="inlineStr">
        <is>
          <t>NYM</t>
        </is>
      </c>
      <c r="D965" s="9" t="n">
        <v>25</v>
      </c>
      <c r="E965" s="16" t="inlineStr">
        <is>
          <t>R</t>
        </is>
      </c>
      <c r="F965" s="16" t="n"/>
      <c r="G965" s="9" t="n">
        <v>6.523076923076923</v>
      </c>
      <c r="H965" s="9" t="n">
        <v>6.523076923076923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1" t="n">
        <v>1</v>
      </c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7" t="n">
        <v>1</v>
      </c>
      <c r="Z965" s="13">
        <f>SUMPRODUCT(N965:Y965,$N$2:$Y$2)*$K965*$L965*$M965</f>
        <v/>
      </c>
      <c r="AA965" s="14">
        <f>SUM(N965:Y965)</f>
        <v/>
      </c>
      <c r="AB965" s="14">
        <f>IFERROR(IF(UPPER($E965)="L",SUMPRODUCT(N965:Y965,$N$3:$Y$3,$N$2:$Y$2),SUMPRODUCT(N965:Y965,$N$4:$Y$4,$N$2:$Y$2))/(Z965/($K965*$L965*$M965)),"")</f>
        <v/>
      </c>
      <c r="AC965" s="18" t="n"/>
    </row>
    <row r="966">
      <c r="A966" s="9" t="n">
        <v>823173</v>
      </c>
      <c r="B966" s="9" t="inlineStr">
        <is>
          <t>James Taussig</t>
        </is>
      </c>
      <c r="C966" s="9" t="inlineStr">
        <is>
          <t>CWS</t>
        </is>
      </c>
      <c r="D966" s="9" t="n">
        <v>25</v>
      </c>
      <c r="E966" s="16" t="inlineStr">
        <is>
          <t>L</t>
        </is>
      </c>
      <c r="F966" s="16" t="n"/>
      <c r="G966" s="9" t="n">
        <v>21.17948717948718</v>
      </c>
      <c r="H966" s="9" t="n">
        <v>21.17948717948718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1" t="n">
        <v>1</v>
      </c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7" t="n">
        <v>1</v>
      </c>
      <c r="Z966" s="13">
        <f>SUMPRODUCT(N966:Y966,$N$2:$Y$2)*$K966*$L966*$M966</f>
        <v/>
      </c>
      <c r="AA966" s="14">
        <f>SUM(N966:Y966)</f>
        <v/>
      </c>
      <c r="AB966" s="14">
        <f>IFERROR(IF(UPPER($E966)="L",SUMPRODUCT(N966:Y966,$N$3:$Y$3,$N$2:$Y$2),SUMPRODUCT(N966:Y966,$N$4:$Y$4,$N$2:$Y$2))/(Z966/($K966*$L966*$M966)),"")</f>
        <v/>
      </c>
      <c r="AC966" s="18" t="n"/>
    </row>
    <row r="967">
      <c r="A967" s="9" t="n">
        <v>664057</v>
      </c>
      <c r="B967" s="9" t="inlineStr">
        <is>
          <t>Andrew Stevenson</t>
        </is>
      </c>
      <c r="C967" s="9" t="inlineStr">
        <is>
          <t>MIN</t>
        </is>
      </c>
      <c r="D967" s="9" t="n">
        <v>33</v>
      </c>
      <c r="E967" s="16" t="inlineStr">
        <is>
          <t>L</t>
        </is>
      </c>
      <c r="F967" s="16" t="inlineStr">
        <is>
          <t>CF</t>
        </is>
      </c>
      <c r="G967" s="9" t="n">
        <v>40</v>
      </c>
      <c r="H967" s="9" t="n">
        <v>40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1" t="n">
        <v>1</v>
      </c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7" t="n">
        <v>1</v>
      </c>
      <c r="Z967" s="13">
        <f>SUMPRODUCT(N967:Y967,$N$2:$Y$2)*$K967*$L967*$M967</f>
        <v/>
      </c>
      <c r="AA967" s="14">
        <f>SUM(N967:Y967)</f>
        <v/>
      </c>
      <c r="AB967" s="14">
        <f>IFERROR(IF(UPPER($E967)="L",SUMPRODUCT(N967:Y967,$N$3:$Y$3,$N$2:$Y$2),SUMPRODUCT(N967:Y967,$N$4:$Y$4,$N$2:$Y$2))/(Z967/($K967*$L967*$M967)),"")</f>
        <v/>
      </c>
      <c r="AC967" s="18" t="n"/>
    </row>
    <row r="968">
      <c r="A968" s="9" t="n">
        <v>828620</v>
      </c>
      <c r="B968" s="9" t="inlineStr">
        <is>
          <t>Parker Coddou</t>
        </is>
      </c>
      <c r="C968" s="9" t="inlineStr">
        <is>
          <t>COL</t>
        </is>
      </c>
      <c r="D968" s="9" t="n">
        <v>25</v>
      </c>
      <c r="E968" s="16" t="inlineStr">
        <is>
          <t>L</t>
        </is>
      </c>
      <c r="F968" s="16" t="n"/>
      <c r="G968" s="9" t="n">
        <v>4.512820512820514</v>
      </c>
      <c r="H968" s="9" t="n">
        <v>4.512820512820514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1" t="n">
        <v>1</v>
      </c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7" t="n">
        <v>1</v>
      </c>
      <c r="Z968" s="13">
        <f>SUMPRODUCT(N968:Y968,$N$2:$Y$2)*$K968*$L968*$M968</f>
        <v/>
      </c>
      <c r="AA968" s="14">
        <f>SUM(N968:Y968)</f>
        <v/>
      </c>
      <c r="AB968" s="14">
        <f>IFERROR(IF(UPPER($E968)="L",SUMPRODUCT(N968:Y968,$N$3:$Y$3,$N$2:$Y$2),SUMPRODUCT(N968:Y968,$N$4:$Y$4,$N$2:$Y$2))/(Z968/($K968*$L968*$M968)),"")</f>
        <v/>
      </c>
      <c r="AC968" s="18" t="n"/>
    </row>
    <row r="969">
      <c r="A969" s="9" t="n">
        <v>806223</v>
      </c>
      <c r="B969" s="9" t="inlineStr">
        <is>
          <t>Aidan Smith</t>
        </is>
      </c>
      <c r="C969" s="9" t="inlineStr">
        <is>
          <t>NYM</t>
        </is>
      </c>
      <c r="D969" s="9" t="n">
        <v>25</v>
      </c>
      <c r="E969" s="16" t="inlineStr">
        <is>
          <t>R</t>
        </is>
      </c>
      <c r="F969" s="16" t="n"/>
      <c r="G969" s="9" t="n">
        <v>65.23076923076924</v>
      </c>
      <c r="H969" s="9" t="n">
        <v>65.23076923076924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1" t="n">
        <v>1</v>
      </c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7" t="n">
        <v>1</v>
      </c>
      <c r="Z969" s="13">
        <f>SUMPRODUCT(N969:Y969,$N$2:$Y$2)*$K969*$L969*$M969</f>
        <v/>
      </c>
      <c r="AA969" s="14">
        <f>SUM(N969:Y969)</f>
        <v/>
      </c>
      <c r="AB969" s="14">
        <f>IFERROR(IF(UPPER($E969)="L",SUMPRODUCT(N969:Y969,$N$3:$Y$3,$N$2:$Y$2),SUMPRODUCT(N969:Y969,$N$4:$Y$4,$N$2:$Y$2))/(Z969/($K969*$L969*$M969)),"")</f>
        <v/>
      </c>
      <c r="AC969" s="18" t="n"/>
    </row>
    <row r="970">
      <c r="A970" s="9" t="n">
        <v>821299</v>
      </c>
      <c r="B970" s="9" t="inlineStr">
        <is>
          <t>Caden Ferraro</t>
        </is>
      </c>
      <c r="C970" s="9" t="inlineStr">
        <is>
          <t>STL</t>
        </is>
      </c>
      <c r="D970" s="9" t="n">
        <v>25</v>
      </c>
      <c r="E970" s="16" t="inlineStr">
        <is>
          <t>L</t>
        </is>
      </c>
      <c r="F970" s="16" t="n"/>
      <c r="G970" s="9" t="n">
        <v>17.02564102564103</v>
      </c>
      <c r="H970" s="9" t="n">
        <v>17.02564102564103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1" t="n">
        <v>1</v>
      </c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7" t="n">
        <v>1</v>
      </c>
      <c r="Z970" s="13">
        <f>SUMPRODUCT(N970:Y970,$N$2:$Y$2)*$K970*$L970*$M970</f>
        <v/>
      </c>
      <c r="AA970" s="14">
        <f>SUM(N970:Y970)</f>
        <v/>
      </c>
      <c r="AB970" s="14">
        <f>IFERROR(IF(UPPER($E970)="L",SUMPRODUCT(N970:Y970,$N$3:$Y$3,$N$2:$Y$2),SUMPRODUCT(N970:Y970,$N$4:$Y$4,$N$2:$Y$2))/(Z970/($K970*$L970*$M970)),"")</f>
        <v/>
      </c>
      <c r="AC970" s="18" t="n"/>
    </row>
    <row r="971">
      <c r="A971" s="9" t="n">
        <v>820991</v>
      </c>
      <c r="B971" s="9" t="inlineStr">
        <is>
          <t>Christofer Reyes</t>
        </is>
      </c>
      <c r="C971" s="9" t="inlineStr">
        <is>
          <t>NYY</t>
        </is>
      </c>
      <c r="D971" s="9" t="n">
        <v>25</v>
      </c>
      <c r="E971" s="16" t="inlineStr">
        <is>
          <t>R</t>
        </is>
      </c>
      <c r="F971" s="16" t="n"/>
      <c r="G971" s="9" t="n">
        <v>4.553846153846154</v>
      </c>
      <c r="H971" s="9" t="n">
        <v>4.553846153846154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1" t="n">
        <v>1</v>
      </c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7" t="n">
        <v>1</v>
      </c>
      <c r="Z971" s="13">
        <f>SUMPRODUCT(N971:Y971,$N$2:$Y$2)*$K971*$L971*$M971</f>
        <v/>
      </c>
      <c r="AA971" s="14">
        <f>SUM(N971:Y971)</f>
        <v/>
      </c>
      <c r="AB971" s="14">
        <f>IFERROR(IF(UPPER($E971)="L",SUMPRODUCT(N971:Y971,$N$3:$Y$3,$N$2:$Y$2),SUMPRODUCT(N971:Y971,$N$4:$Y$4,$N$2:$Y$2))/(Z971/($K971*$L971*$M971)),"")</f>
        <v/>
      </c>
      <c r="AC971" s="18" t="n"/>
    </row>
    <row r="972">
      <c r="A972" s="9" t="n">
        <v>822406</v>
      </c>
      <c r="B972" s="9" t="inlineStr">
        <is>
          <t>Dylan Carey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1" t="n">
        <v>1</v>
      </c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7" t="n">
        <v>1</v>
      </c>
      <c r="Z972" s="13">
        <f>SUMPRODUCT(N972:Y972,$N$2:$Y$2)*$K972*$L972*$M972</f>
        <v/>
      </c>
      <c r="AA972" s="14">
        <f>SUM(N972:Y972)</f>
        <v/>
      </c>
      <c r="AB972" s="14">
        <f>IFERROR(IF(UPPER($E972)="L",SUMPRODUCT(N972:Y972,$N$3:$Y$3,$N$2:$Y$2),SUMPRODUCT(N972:Y972,$N$4:$Y$4,$N$2:$Y$2))/(Z972/($K972*$L972*$M972)),"")</f>
        <v/>
      </c>
      <c r="AC972" s="18" t="n"/>
    </row>
    <row r="973">
      <c r="A973" s="9" t="n">
        <v>702555</v>
      </c>
      <c r="B973" s="9" t="inlineStr">
        <is>
          <t>Cannon Peebles</t>
        </is>
      </c>
      <c r="C973" s="9" t="inlineStr">
        <is>
          <t>CLE</t>
        </is>
      </c>
      <c r="D973" s="9" t="n">
        <v>25</v>
      </c>
      <c r="E973" s="16" t="inlineStr">
        <is>
          <t>S</t>
        </is>
      </c>
      <c r="F973" s="16" t="n"/>
      <c r="G973" s="9" t="n">
        <v>20.71794871794872</v>
      </c>
      <c r="H973" s="9" t="n">
        <v>20.71794871794872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1" t="n">
        <v>1</v>
      </c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7" t="n">
        <v>1</v>
      </c>
      <c r="Z973" s="13">
        <f>SUMPRODUCT(N973:Y973,$N$2:$Y$2)*$K973*$L973*$M973</f>
        <v/>
      </c>
      <c r="AA973" s="14">
        <f>SUM(N973:Y973)</f>
        <v/>
      </c>
      <c r="AB973" s="14">
        <f>IFERROR(IF(UPPER($E973)="L",SUMPRODUCT(N973:Y973,$N$3:$Y$3,$N$2:$Y$2),SUMPRODUCT(N973:Y973,$N$4:$Y$4,$N$2:$Y$2))/(Z973/($K973*$L973*$M973)),"")</f>
        <v/>
      </c>
      <c r="AC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1" t="n">
        <v>1</v>
      </c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7" t="n">
        <v>1</v>
      </c>
      <c r="Z974" s="13">
        <f>SUMPRODUCT(N974:Y974,$N$2:$Y$2)*$K974*$L974*$M974</f>
        <v/>
      </c>
      <c r="AA974" s="14">
        <f>SUM(N974:Y974)</f>
        <v/>
      </c>
      <c r="AB974" s="14">
        <f>IFERROR(IF(UPPER($E974)="L",SUMPRODUCT(N974:Y974,$N$3:$Y$3,$N$2:$Y$2),SUMPRODUCT(N974:Y974,$N$4:$Y$4,$N$2:$Y$2))/(Z974/($K974*$L974*$M974)),"")</f>
        <v/>
      </c>
      <c r="AC974" s="18" t="n"/>
    </row>
    <row r="975">
      <c r="A975" s="9" t="n">
        <v>813922</v>
      </c>
      <c r="B975" s="9" t="inlineStr">
        <is>
          <t>Jack Lines</t>
        </is>
      </c>
      <c r="C975" s="9" t="inlineStr">
        <is>
          <t>TB</t>
        </is>
      </c>
      <c r="D975" s="9" t="n">
        <v>25</v>
      </c>
      <c r="E975" s="16" t="inlineStr">
        <is>
          <t>L</t>
        </is>
      </c>
      <c r="F975" s="16" t="n"/>
      <c r="G975" s="9" t="n">
        <v>8.861538461538462</v>
      </c>
      <c r="H975" s="9" t="n">
        <v>8.861538461538462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1" t="n">
        <v>1</v>
      </c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7" t="n">
        <v>1</v>
      </c>
      <c r="Z975" s="13">
        <f>SUMPRODUCT(N975:Y975,$N$2:$Y$2)*$K975*$L975*$M975</f>
        <v/>
      </c>
      <c r="AA975" s="14">
        <f>SUM(N975:Y975)</f>
        <v/>
      </c>
      <c r="AB975" s="14">
        <f>IFERROR(IF(UPPER($E975)="L",SUMPRODUCT(N975:Y975,$N$3:$Y$3,$N$2:$Y$2),SUMPRODUCT(N975:Y975,$N$4:$Y$4,$N$2:$Y$2))/(Z975/($K975*$L975*$M975)),"")</f>
        <v/>
      </c>
      <c r="AC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1" t="n">
        <v>1</v>
      </c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7" t="n">
        <v>1</v>
      </c>
      <c r="Z976" s="13">
        <f>SUMPRODUCT(N976:Y976,$N$2:$Y$2)*$K976*$L976*$M976</f>
        <v/>
      </c>
      <c r="AA976" s="14">
        <f>SUM(N976:Y976)</f>
        <v/>
      </c>
      <c r="AB976" s="14">
        <f>IFERROR(IF(UPPER($E976)="L",SUMPRODUCT(N976:Y976,$N$3:$Y$3,$N$2:$Y$2),SUMPRODUCT(N976:Y976,$N$4:$Y$4,$N$2:$Y$2))/(Z976/($K976*$L976*$M976)),"")</f>
        <v/>
      </c>
      <c r="AC976" s="18" t="n"/>
    </row>
    <row r="977">
      <c r="A977" s="9" t="n">
        <v>800604</v>
      </c>
      <c r="B977" s="9" t="inlineStr">
        <is>
          <t>Roch Cholowsky</t>
        </is>
      </c>
      <c r="C977" s="9" t="inlineStr">
        <is>
          <t>CWS</t>
        </is>
      </c>
      <c r="D977" s="9" t="n">
        <v>25</v>
      </c>
      <c r="E977" s="16" t="inlineStr">
        <is>
          <t>R</t>
        </is>
      </c>
      <c r="F977" s="16" t="n"/>
      <c r="G977" s="9" t="n">
        <v>8.820512820512821</v>
      </c>
      <c r="H977" s="9" t="n">
        <v>8.820512820512821</v>
      </c>
      <c r="I977" s="9" t="inlineStr">
        <is>
          <t>Depth (no MLB PA)</t>
        </is>
      </c>
      <c r="J977" s="16" t="inlineStr">
        <is>
          <t>Late Season (~Sept)</t>
        </is>
      </c>
      <c r="K977" s="11">
        <f>IFERROR(INDEX(Roles!$B$17:$B$20,MATCH(J977,Roles!$A$17:$A$20,0)),1)</f>
        <v/>
      </c>
      <c r="L977" s="17" t="n">
        <v>1</v>
      </c>
      <c r="M977" s="11" t="n">
        <v>1</v>
      </c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7" t="n">
        <v>1</v>
      </c>
      <c r="Z977" s="13">
        <f>SUMPRODUCT(N977:Y977,$N$2:$Y$2)*$K977*$L977*$M977</f>
        <v/>
      </c>
      <c r="AA977" s="14">
        <f>SUM(N977:Y977)</f>
        <v/>
      </c>
      <c r="AB977" s="14">
        <f>IFERROR(IF(UPPER($E977)="L",SUMPRODUCT(N977:Y977,$N$3:$Y$3,$N$2:$Y$2),SUMPRODUCT(N977:Y977,$N$4:$Y$4,$N$2:$Y$2))/(Z977/($K977*$L977*$M977)),"")</f>
        <v/>
      </c>
      <c r="AC977" s="18" t="n"/>
    </row>
    <row r="978">
      <c r="A978" s="9" t="n">
        <v>670097</v>
      </c>
      <c r="B978" s="9" t="inlineStr">
        <is>
          <t>Zack Short</t>
        </is>
      </c>
      <c r="C978" s="9" t="inlineStr">
        <is>
          <t>NYM</t>
        </is>
      </c>
      <c r="D978" s="9" t="n">
        <v>32</v>
      </c>
      <c r="E978" s="16" t="inlineStr">
        <is>
          <t>R</t>
        </is>
      </c>
      <c r="F978" s="16" t="inlineStr">
        <is>
          <t>SS</t>
        </is>
      </c>
      <c r="G978" s="9" t="n">
        <v>62</v>
      </c>
      <c r="H978" s="9" t="n">
        <v>472</v>
      </c>
      <c r="I978" s="9" t="inlineStr">
        <is>
          <t>Bench Bat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1" t="n">
        <v>1</v>
      </c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>
        <v>1</v>
      </c>
      <c r="X978" s="17" t="n"/>
      <c r="Y978" s="17" t="n"/>
      <c r="Z978" s="13">
        <f>SUMPRODUCT(N978:Y978,$N$2:$Y$2)*$K978*$L978*$M978</f>
        <v/>
      </c>
      <c r="AA978" s="14">
        <f>SUM(N978:Y978)</f>
        <v/>
      </c>
      <c r="AB978" s="14">
        <f>IFERROR(IF(UPPER($E978)="L",SUMPRODUCT(N978:Y978,$N$3:$Y$3,$N$2:$Y$2),SUMPRODUCT(N978:Y978,$N$4:$Y$4,$N$2:$Y$2))/(Z978/($K978*$L978*$M978)),"")</f>
        <v/>
      </c>
      <c r="AC978" s="18" t="n"/>
    </row>
    <row r="979">
      <c r="A979" s="9" t="n">
        <v>803475</v>
      </c>
      <c r="B979" s="9" t="inlineStr">
        <is>
          <t>Colby Jones</t>
        </is>
      </c>
      <c r="C979" s="9" t="inlineStr">
        <is>
          <t>ATL</t>
        </is>
      </c>
      <c r="D979" s="9" t="n">
        <v>25</v>
      </c>
      <c r="E979" s="16" t="inlineStr">
        <is>
          <t>R</t>
        </is>
      </c>
      <c r="F979" s="16" t="n"/>
      <c r="G979" s="9" t="n">
        <v>4.666666666666667</v>
      </c>
      <c r="H979" s="9" t="n">
        <v>4.666666666666667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1" t="n">
        <v>1</v>
      </c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7" t="n">
        <v>1</v>
      </c>
      <c r="Z979" s="13">
        <f>SUMPRODUCT(N979:Y979,$N$2:$Y$2)*$K979*$L979*$M979</f>
        <v/>
      </c>
      <c r="AA979" s="14">
        <f>SUM(N979:Y979)</f>
        <v/>
      </c>
      <c r="AB979" s="14">
        <f>IFERROR(IF(UPPER($E979)="L",SUMPRODUCT(N979:Y979,$N$3:$Y$3,$N$2:$Y$2),SUMPRODUCT(N979:Y979,$N$4:$Y$4,$N$2:$Y$2))/(Z979/($K979*$L979*$M979)),"")</f>
        <v/>
      </c>
      <c r="AC979" s="18" t="n"/>
    </row>
    <row r="980">
      <c r="A980" s="9" t="n">
        <v>800503</v>
      </c>
      <c r="B980" s="9" t="inlineStr">
        <is>
          <t>Enderson Delgado</t>
        </is>
      </c>
      <c r="C980" s="9" t="inlineStr">
        <is>
          <t>DET</t>
        </is>
      </c>
      <c r="D980" s="9" t="n">
        <v>25</v>
      </c>
      <c r="E980" s="16" t="inlineStr">
        <is>
          <t>S</t>
        </is>
      </c>
      <c r="F980" s="16" t="n"/>
      <c r="G980" s="9" t="n">
        <v>4.717948717948718</v>
      </c>
      <c r="H980" s="9" t="n">
        <v>4.717948717948718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1" t="n">
        <v>1</v>
      </c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7" t="n">
        <v>1</v>
      </c>
      <c r="Z980" s="13">
        <f>SUMPRODUCT(N980:Y980,$N$2:$Y$2)*$K980*$L980*$M980</f>
        <v/>
      </c>
      <c r="AA980" s="14">
        <f>SUM(N980:Y980)</f>
        <v/>
      </c>
      <c r="AB980" s="14">
        <f>IFERROR(IF(UPPER($E980)="L",SUMPRODUCT(N980:Y980,$N$3:$Y$3,$N$2:$Y$2),SUMPRODUCT(N980:Y980,$N$4:$Y$4,$N$2:$Y$2))/(Z980/($K980*$L980*$M980)),"")</f>
        <v/>
      </c>
      <c r="AC980" s="18" t="n"/>
    </row>
    <row r="981">
      <c r="A981" s="9" t="n">
        <v>835215</v>
      </c>
      <c r="B981" s="9" t="inlineStr">
        <is>
          <t>Robbie Lavey</t>
        </is>
      </c>
      <c r="C981" s="9" t="inlineStr">
        <is>
          <t>SD</t>
        </is>
      </c>
      <c r="D981" s="9" t="n">
        <v>25</v>
      </c>
      <c r="E981" s="16" t="inlineStr">
        <is>
          <t>L</t>
        </is>
      </c>
      <c r="F981" s="16" t="n"/>
      <c r="G981" s="9" t="n">
        <v>12.92307692307692</v>
      </c>
      <c r="H981" s="9" t="n">
        <v>12.92307692307692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1" t="n">
        <v>1</v>
      </c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7" t="n">
        <v>1</v>
      </c>
      <c r="Z981" s="13">
        <f>SUMPRODUCT(N981:Y981,$N$2:$Y$2)*$K981*$L981*$M981</f>
        <v/>
      </c>
      <c r="AA981" s="14">
        <f>SUM(N981:Y981)</f>
        <v/>
      </c>
      <c r="AB981" s="14">
        <f>IFERROR(IF(UPPER($E981)="L",SUMPRODUCT(N981:Y981,$N$3:$Y$3,$N$2:$Y$2),SUMPRODUCT(N981:Y981,$N$4:$Y$4,$N$2:$Y$2))/(Z981/($K981*$L981*$M981)),"")</f>
        <v/>
      </c>
      <c r="AC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1" t="n">
        <v>1</v>
      </c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7" t="n">
        <v>1</v>
      </c>
      <c r="Z982" s="13">
        <f>SUMPRODUCT(N982:Y982,$N$2:$Y$2)*$K982*$L982*$M982</f>
        <v/>
      </c>
      <c r="AA982" s="14">
        <f>SUM(N982:Y982)</f>
        <v/>
      </c>
      <c r="AB982" s="14">
        <f>IFERROR(IF(UPPER($E982)="L",SUMPRODUCT(N982:Y982,$N$3:$Y$3,$N$2:$Y$2),SUMPRODUCT(N982:Y982,$N$4:$Y$4,$N$2:$Y$2))/(Z982/($K982*$L982*$M982)),"")</f>
        <v/>
      </c>
      <c r="AC982" s="18" t="n"/>
    </row>
    <row r="983">
      <c r="A983" s="9" t="n">
        <v>812818</v>
      </c>
      <c r="B983" s="9" t="inlineStr">
        <is>
          <t>Sherman Johnson</t>
        </is>
      </c>
      <c r="C983" s="9" t="inlineStr">
        <is>
          <t>CIN</t>
        </is>
      </c>
      <c r="D983" s="9" t="n">
        <v>25</v>
      </c>
      <c r="E983" s="16" t="inlineStr">
        <is>
          <t>R</t>
        </is>
      </c>
      <c r="F983" s="16" t="n"/>
      <c r="G983" s="9" t="n">
        <v>6.892307692307693</v>
      </c>
      <c r="H983" s="9" t="n">
        <v>6.892307692307693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1" t="n">
        <v>1</v>
      </c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7" t="n">
        <v>1</v>
      </c>
      <c r="Z983" s="13">
        <f>SUMPRODUCT(N983:Y983,$N$2:$Y$2)*$K983*$L983*$M983</f>
        <v/>
      </c>
      <c r="AA983" s="14">
        <f>SUM(N983:Y983)</f>
        <v/>
      </c>
      <c r="AB983" s="14">
        <f>IFERROR(IF(UPPER($E983)="L",SUMPRODUCT(N983:Y983,$N$3:$Y$3,$N$2:$Y$2),SUMPRODUCT(N983:Y983,$N$4:$Y$4,$N$2:$Y$2))/(Z983/($K983*$L983*$M983)),"")</f>
        <v/>
      </c>
      <c r="AC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1" t="n">
        <v>1</v>
      </c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7" t="n">
        <v>1</v>
      </c>
      <c r="Z984" s="13">
        <f>SUMPRODUCT(N984:Y984,$N$2:$Y$2)*$K984*$L984*$M984</f>
        <v/>
      </c>
      <c r="AA984" s="14">
        <f>SUM(N984:Y984)</f>
        <v/>
      </c>
      <c r="AB984" s="14">
        <f>IFERROR(IF(UPPER($E984)="L",SUMPRODUCT(N984:Y984,$N$3:$Y$3,$N$2:$Y$2),SUMPRODUCT(N984:Y984,$N$4:$Y$4,$N$2:$Y$2))/(Z984/($K984*$L984*$M984)),"")</f>
        <v/>
      </c>
      <c r="AC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1" t="n">
        <v>1</v>
      </c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7" t="n">
        <v>1</v>
      </c>
      <c r="Z985" s="13">
        <f>SUMPRODUCT(N985:Y985,$N$2:$Y$2)*$K985*$L985*$M985</f>
        <v/>
      </c>
      <c r="AA985" s="14">
        <f>SUM(N985:Y985)</f>
        <v/>
      </c>
      <c r="AB985" s="14">
        <f>IFERROR(IF(UPPER($E985)="L",SUMPRODUCT(N985:Y985,$N$3:$Y$3,$N$2:$Y$2),SUMPRODUCT(N985:Y985,$N$4:$Y$4,$N$2:$Y$2))/(Z985/($K985*$L985*$M985)),"")</f>
        <v/>
      </c>
      <c r="AC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1" t="n">
        <v>1</v>
      </c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7" t="n">
        <v>1</v>
      </c>
      <c r="Z986" s="13">
        <f>SUMPRODUCT(N986:Y986,$N$2:$Y$2)*$K986*$L986*$M986</f>
        <v/>
      </c>
      <c r="AA986" s="14">
        <f>SUM(N986:Y986)</f>
        <v/>
      </c>
      <c r="AB986" s="14">
        <f>IFERROR(IF(UPPER($E986)="L",SUMPRODUCT(N986:Y986,$N$3:$Y$3,$N$2:$Y$2),SUMPRODUCT(N986:Y986,$N$4:$Y$4,$N$2:$Y$2))/(Z986/($K986*$L986*$M986)),"")</f>
        <v/>
      </c>
      <c r="AC986" s="18" t="n"/>
    </row>
    <row r="987">
      <c r="A987" s="9" t="n">
        <v>678218</v>
      </c>
      <c r="B987" s="9" t="inlineStr">
        <is>
          <t>Brandon Valenzuela</t>
        </is>
      </c>
      <c r="C987" s="9" t="inlineStr">
        <is>
          <t>TOR</t>
        </is>
      </c>
      <c r="D987" s="9" t="n">
        <v>26</v>
      </c>
      <c r="E987" s="16" t="inlineStr">
        <is>
          <t>S</t>
        </is>
      </c>
      <c r="F987" s="16" t="inlineStr">
        <is>
          <t>C</t>
        </is>
      </c>
      <c r="G987" s="9" t="n">
        <v>271</v>
      </c>
      <c r="H987" s="9" t="n">
        <v>271</v>
      </c>
      <c r="I987" s="9" t="inlineStr">
        <is>
          <t>Bench Bat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1" t="n">
        <v>1</v>
      </c>
      <c r="N987" s="17" t="n"/>
      <c r="O987" s="17" t="n"/>
      <c r="P987" s="17" t="n"/>
      <c r="Q987" s="17" t="n"/>
      <c r="R987" s="17" t="n"/>
      <c r="S987" s="17" t="n"/>
      <c r="T987" s="17" t="n">
        <v>0.4</v>
      </c>
      <c r="U987" s="17" t="n"/>
      <c r="V987" s="17" t="n"/>
      <c r="W987" s="17" t="n">
        <v>0.6</v>
      </c>
      <c r="X987" s="17" t="n"/>
      <c r="Y987" s="17" t="n"/>
      <c r="Z987" s="13">
        <f>SUMPRODUCT(N987:Y987,$N$2:$Y$2)*$K987*$L987*$M987</f>
        <v/>
      </c>
      <c r="AA987" s="14">
        <f>SUM(N987:Y987)</f>
        <v/>
      </c>
      <c r="AB987" s="14">
        <f>IFERROR(IF(UPPER($E987)="L",SUMPRODUCT(N987:Y987,$N$3:$Y$3,$N$2:$Y$2),SUMPRODUCT(N987:Y987,$N$4:$Y$4,$N$2:$Y$2))/(Z987/($K987*$L987*$M987)),"")</f>
        <v/>
      </c>
      <c r="AC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25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Late Season (~Sept)</t>
        </is>
      </c>
      <c r="K988" s="11">
        <f>IFERROR(INDEX(Roles!$B$17:$B$20,MATCH(J988,Roles!$A$17:$A$20,0)),1)</f>
        <v/>
      </c>
      <c r="L988" s="17" t="n">
        <v>1</v>
      </c>
      <c r="M988" s="11" t="n">
        <v>1</v>
      </c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7" t="n">
        <v>1</v>
      </c>
      <c r="Z988" s="13">
        <f>SUMPRODUCT(N988:Y988,$N$2:$Y$2)*$K988*$L988*$M988</f>
        <v/>
      </c>
      <c r="AA988" s="14">
        <f>SUM(N988:Y988)</f>
        <v/>
      </c>
      <c r="AB988" s="14">
        <f>IFERROR(IF(UPPER($E988)="L",SUMPRODUCT(N988:Y988,$N$3:$Y$3,$N$2:$Y$2),SUMPRODUCT(N988:Y988,$N$4:$Y$4,$N$2:$Y$2))/(Z988/($K988*$L988*$M988)),"")</f>
        <v/>
      </c>
      <c r="AC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1" t="n">
        <v>1</v>
      </c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7" t="n">
        <v>1</v>
      </c>
      <c r="Z989" s="13">
        <f>SUMPRODUCT(N989:Y989,$N$2:$Y$2)*$K989*$L989*$M989</f>
        <v/>
      </c>
      <c r="AA989" s="14">
        <f>SUM(N989:Y989)</f>
        <v/>
      </c>
      <c r="AB989" s="14">
        <f>IFERROR(IF(UPPER($E989)="L",SUMPRODUCT(N989:Y989,$N$3:$Y$3,$N$2:$Y$2),SUMPRODUCT(N989:Y989,$N$4:$Y$4,$N$2:$Y$2))/(Z989/($K989*$L989*$M989)),"")</f>
        <v/>
      </c>
      <c r="AC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1" t="n">
        <v>1</v>
      </c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7" t="n">
        <v>1</v>
      </c>
      <c r="Z990" s="13">
        <f>SUMPRODUCT(N990:Y990,$N$2:$Y$2)*$K990*$L990*$M990</f>
        <v/>
      </c>
      <c r="AA990" s="14">
        <f>SUM(N990:Y990)</f>
        <v/>
      </c>
      <c r="AB990" s="14">
        <f>IFERROR(IF(UPPER($E990)="L",SUMPRODUCT(N990:Y990,$N$3:$Y$3,$N$2:$Y$2),SUMPRODUCT(N990:Y990,$N$4:$Y$4,$N$2:$Y$2))/(Z990/($K990*$L990*$M990)),"")</f>
        <v/>
      </c>
      <c r="AC990" s="18" t="n"/>
    </row>
    <row r="991">
      <c r="A991" s="9" t="n">
        <v>808665</v>
      </c>
      <c r="B991" s="9" t="inlineStr">
        <is>
          <t>Angel Acosta</t>
        </is>
      </c>
      <c r="C991" s="9" t="inlineStr">
        <is>
          <t>KC</t>
        </is>
      </c>
      <c r="D991" s="9" t="n">
        <v>25</v>
      </c>
      <c r="E991" s="16" t="inlineStr">
        <is>
          <t>L</t>
        </is>
      </c>
      <c r="F991" s="16" t="n"/>
      <c r="G991" s="9" t="n">
        <v>22.25641025641025</v>
      </c>
      <c r="H991" s="9" t="n">
        <v>22.25641025641025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1" t="n">
        <v>1</v>
      </c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7" t="n">
        <v>1</v>
      </c>
      <c r="Z991" s="13">
        <f>SUMPRODUCT(N991:Y991,$N$2:$Y$2)*$K991*$L991*$M991</f>
        <v/>
      </c>
      <c r="AA991" s="14">
        <f>SUM(N991:Y991)</f>
        <v/>
      </c>
      <c r="AB991" s="14">
        <f>IFERROR(IF(UPPER($E991)="L",SUMPRODUCT(N991:Y991,$N$3:$Y$3,$N$2:$Y$2),SUMPRODUCT(N991:Y991,$N$4:$Y$4,$N$2:$Y$2))/(Z991/($K991*$L991*$M991)),"")</f>
        <v/>
      </c>
      <c r="AC991" s="18" t="n"/>
    </row>
    <row r="992">
      <c r="A992" s="9" t="n">
        <v>828140</v>
      </c>
      <c r="B992" s="9" t="inlineStr">
        <is>
          <t>Aidan West</t>
        </is>
      </c>
      <c r="C992" s="9" t="inlineStr">
        <is>
          <t>LAD</t>
        </is>
      </c>
      <c r="D992" s="9" t="n">
        <v>25</v>
      </c>
      <c r="E992" s="16" t="inlineStr">
        <is>
          <t>L</t>
        </is>
      </c>
      <c r="F992" s="16" t="n"/>
      <c r="G992" s="9" t="n">
        <v>7.138461538461539</v>
      </c>
      <c r="H992" s="9" t="n">
        <v>7.138461538461539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1" t="n">
        <v>1</v>
      </c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7" t="n">
        <v>1</v>
      </c>
      <c r="Z992" s="13">
        <f>SUMPRODUCT(N992:Y992,$N$2:$Y$2)*$K992*$L992*$M992</f>
        <v/>
      </c>
      <c r="AA992" s="14">
        <f>SUM(N992:Y992)</f>
        <v/>
      </c>
      <c r="AB992" s="14">
        <f>IFERROR(IF(UPPER($E992)="L",SUMPRODUCT(N992:Y992,$N$3:$Y$3,$N$2:$Y$2),SUMPRODUCT(N992:Y992,$N$4:$Y$4,$N$2:$Y$2))/(Z992/($K992*$L992*$M992)),"")</f>
        <v/>
      </c>
      <c r="AC992" s="18" t="n"/>
    </row>
    <row r="993">
      <c r="A993" s="9" t="n">
        <v>815824</v>
      </c>
      <c r="B993" s="9" t="inlineStr">
        <is>
          <t>Josiah Hartshorn</t>
        </is>
      </c>
      <c r="C993" s="9" t="inlineStr">
        <is>
          <t>CHC</t>
        </is>
      </c>
      <c r="D993" s="9" t="n">
        <v>25</v>
      </c>
      <c r="E993" s="16" t="inlineStr">
        <is>
          <t>S</t>
        </is>
      </c>
      <c r="F993" s="16" t="n"/>
      <c r="G993" s="9" t="n">
        <v>5.025641025641026</v>
      </c>
      <c r="H993" s="9" t="n">
        <v>5.025641025641026</v>
      </c>
      <c r="I993" s="9" t="inlineStr">
        <is>
          <t>Bench Bat</t>
        </is>
      </c>
      <c r="J993" s="16" t="inlineStr">
        <is>
          <t>Mid Season (~July)</t>
        </is>
      </c>
      <c r="K993" s="11">
        <f>IFERROR(INDEX(Roles!$B$17:$B$20,MATCH(J993,Roles!$A$17:$A$20,0)),1)</f>
        <v/>
      </c>
      <c r="L993" s="17" t="n">
        <v>1</v>
      </c>
      <c r="M993" s="11" t="n">
        <v>1</v>
      </c>
      <c r="N993" s="17" t="n">
        <v>0.25</v>
      </c>
      <c r="O993" s="17" t="n"/>
      <c r="P993" s="17" t="n">
        <v>0.3</v>
      </c>
      <c r="Q993" s="17" t="n"/>
      <c r="R993" s="17" t="n"/>
      <c r="S993" s="17" t="n"/>
      <c r="T993" s="17" t="n"/>
      <c r="U993" s="17" t="n"/>
      <c r="V993" s="17" t="n"/>
      <c r="W993" s="17" t="n">
        <v>0.45</v>
      </c>
      <c r="X993" s="17" t="n"/>
      <c r="Y993" s="17" t="n"/>
      <c r="Z993" s="13">
        <f>SUMPRODUCT(N993:Y993,$N$2:$Y$2)*$K993*$L993*$M993</f>
        <v/>
      </c>
      <c r="AA993" s="14">
        <f>SUM(N993:Y993)</f>
        <v/>
      </c>
      <c r="AB993" s="14">
        <f>IFERROR(IF(UPPER($E993)="L",SUMPRODUCT(N993:Y993,$N$3:$Y$3,$N$2:$Y$2),SUMPRODUCT(N993:Y993,$N$4:$Y$4,$N$2:$Y$2))/(Z993/($K993*$L993*$M993)),"")</f>
        <v/>
      </c>
      <c r="AC993" s="18" t="n"/>
    </row>
    <row r="994">
      <c r="A994" s="9" t="n">
        <v>814505</v>
      </c>
      <c r="B994" s="9" t="inlineStr">
        <is>
          <t>Ace Reese</t>
        </is>
      </c>
      <c r="C994" s="9" t="inlineStr">
        <is>
          <t>SEA</t>
        </is>
      </c>
      <c r="D994" s="9" t="n">
        <v>25</v>
      </c>
      <c r="E994" s="16" t="inlineStr">
        <is>
          <t>L</t>
        </is>
      </c>
      <c r="F994" s="16" t="n"/>
      <c r="G994" s="9" t="n">
        <v>11.56923076923077</v>
      </c>
      <c r="H994" s="9" t="n">
        <v>11.56923076923077</v>
      </c>
      <c r="I994" s="9" t="inlineStr">
        <is>
          <t>Depth (no MLB PA)</t>
        </is>
      </c>
      <c r="J994" s="16" t="inlineStr">
        <is>
          <t>Late Season (~Sept)</t>
        </is>
      </c>
      <c r="K994" s="11">
        <f>IFERROR(INDEX(Roles!$B$17:$B$20,MATCH(J994,Roles!$A$17:$A$20,0)),1)</f>
        <v/>
      </c>
      <c r="L994" s="17" t="n">
        <v>1</v>
      </c>
      <c r="M994" s="11" t="n">
        <v>1</v>
      </c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7" t="n">
        <v>1</v>
      </c>
      <c r="Z994" s="13">
        <f>SUMPRODUCT(N994:Y994,$N$2:$Y$2)*$K994*$L994*$M994</f>
        <v/>
      </c>
      <c r="AA994" s="14">
        <f>SUM(N994:Y994)</f>
        <v/>
      </c>
      <c r="AB994" s="14">
        <f>IFERROR(IF(UPPER($E994)="L",SUMPRODUCT(N994:Y994,$N$3:$Y$3,$N$2:$Y$2),SUMPRODUCT(N994:Y994,$N$4:$Y$4,$N$2:$Y$2))/(Z994/($K994*$L994*$M994)),"")</f>
        <v/>
      </c>
      <c r="AC994" s="18" t="n"/>
    </row>
    <row r="995">
      <c r="A995" s="9" t="n">
        <v>806014</v>
      </c>
      <c r="B995" s="9" t="inlineStr">
        <is>
          <t>Keduar Trujillo</t>
        </is>
      </c>
      <c r="C995" s="9" t="inlineStr">
        <is>
          <t>HOU</t>
        </is>
      </c>
      <c r="D995" s="9" t="n">
        <v>25</v>
      </c>
      <c r="E995" s="16" t="inlineStr">
        <is>
          <t>R</t>
        </is>
      </c>
      <c r="F995" s="16" t="n"/>
      <c r="G995" s="9" t="n">
        <v>9.025641025641027</v>
      </c>
      <c r="H995" s="9" t="n">
        <v>9.025641025641027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1" t="n">
        <v>1</v>
      </c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7" t="n">
        <v>1</v>
      </c>
      <c r="Z995" s="13">
        <f>SUMPRODUCT(N995:Y995,$N$2:$Y$2)*$K995*$L995*$M995</f>
        <v/>
      </c>
      <c r="AA995" s="14">
        <f>SUM(N995:Y995)</f>
        <v/>
      </c>
      <c r="AB995" s="14">
        <f>IFERROR(IF(UPPER($E995)="L",SUMPRODUCT(N995:Y995,$N$3:$Y$3,$N$2:$Y$2),SUMPRODUCT(N995:Y995,$N$4:$Y$4,$N$2:$Y$2))/(Z995/($K995*$L995*$M995)),"")</f>
        <v/>
      </c>
      <c r="AC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1" t="n">
        <v>1</v>
      </c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7" t="n">
        <v>1</v>
      </c>
      <c r="Z996" s="13">
        <f>SUMPRODUCT(N996:Y996,$N$2:$Y$2)*$K996*$L996*$M996</f>
        <v/>
      </c>
      <c r="AA996" s="14">
        <f>SUM(N996:Y996)</f>
        <v/>
      </c>
      <c r="AB996" s="14">
        <f>IFERROR(IF(UPPER($E996)="L",SUMPRODUCT(N996:Y996,$N$3:$Y$3,$N$2:$Y$2),SUMPRODUCT(N996:Y996,$N$4:$Y$4,$N$2:$Y$2))/(Z996/($K996*$L996*$M996)),"")</f>
        <v/>
      </c>
      <c r="AC996" s="18" t="n"/>
    </row>
    <row r="997">
      <c r="A997" s="9" t="n">
        <v>808684</v>
      </c>
      <c r="B997" s="9" t="inlineStr">
        <is>
          <t>Javier Mogollon</t>
        </is>
      </c>
      <c r="C997" s="9" t="inlineStr">
        <is>
          <t>CWS</t>
        </is>
      </c>
      <c r="D997" s="9" t="n">
        <v>25</v>
      </c>
      <c r="E997" s="16" t="inlineStr">
        <is>
          <t>R</t>
        </is>
      </c>
      <c r="F997" s="16" t="n"/>
      <c r="G997" s="9" t="n">
        <v>33.43589743589744</v>
      </c>
      <c r="H997" s="9" t="n">
        <v>33.43589743589744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1" t="n">
        <v>1</v>
      </c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7" t="n">
        <v>1</v>
      </c>
      <c r="Z997" s="13">
        <f>SUMPRODUCT(N997:Y997,$N$2:$Y$2)*$K997*$L997*$M997</f>
        <v/>
      </c>
      <c r="AA997" s="14">
        <f>SUM(N997:Y997)</f>
        <v/>
      </c>
      <c r="AB997" s="14">
        <f>IFERROR(IF(UPPER($E997)="L",SUMPRODUCT(N997:Y997,$N$3:$Y$3,$N$2:$Y$2),SUMPRODUCT(N997:Y997,$N$4:$Y$4,$N$2:$Y$2))/(Z997/($K997*$L997*$M997)),"")</f>
        <v/>
      </c>
      <c r="AC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1" t="n">
        <v>1</v>
      </c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7" t="n">
        <v>1</v>
      </c>
      <c r="Z998" s="13">
        <f>SUMPRODUCT(N998:Y998,$N$2:$Y$2)*$K998*$L998*$M998</f>
        <v/>
      </c>
      <c r="AA998" s="14">
        <f>SUM(N998:Y998)</f>
        <v/>
      </c>
      <c r="AB998" s="14">
        <f>IFERROR(IF(UPPER($E998)="L",SUMPRODUCT(N998:Y998,$N$3:$Y$3,$N$2:$Y$2),SUMPRODUCT(N998:Y998,$N$4:$Y$4,$N$2:$Y$2))/(Z998/($K998*$L998*$M998)),"")</f>
        <v/>
      </c>
      <c r="AC998" s="18" t="n"/>
    </row>
    <row r="999">
      <c r="A999" s="9" t="n">
        <v>821931</v>
      </c>
      <c r="B999" s="9" t="inlineStr">
        <is>
          <t>Trey Ebel</t>
        </is>
      </c>
      <c r="C999" s="9" t="inlineStr">
        <is>
          <t>MIL</t>
        </is>
      </c>
      <c r="D999" s="9" t="n">
        <v>25</v>
      </c>
      <c r="E999" s="16" t="inlineStr">
        <is>
          <t>R</t>
        </is>
      </c>
      <c r="F999" s="16" t="n"/>
      <c r="G999" s="9" t="n">
        <v>7.138461538461539</v>
      </c>
      <c r="H999" s="9" t="n">
        <v>7.138461538461539</v>
      </c>
      <c r="I999" s="9" t="inlineStr">
        <is>
          <t>Depth (no MLB PA)</t>
        </is>
      </c>
      <c r="J999" s="16" t="inlineStr">
        <is>
          <t>Late Season (~Sept)</t>
        </is>
      </c>
      <c r="K999" s="11">
        <f>IFERROR(INDEX(Roles!$B$17:$B$20,MATCH(J999,Roles!$A$17:$A$20,0)),1)</f>
        <v/>
      </c>
      <c r="L999" s="17" t="n">
        <v>1</v>
      </c>
      <c r="M999" s="11" t="n">
        <v>1</v>
      </c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7" t="n">
        <v>1</v>
      </c>
      <c r="Z999" s="13">
        <f>SUMPRODUCT(N999:Y999,$N$2:$Y$2)*$K999*$L999*$M999</f>
        <v/>
      </c>
      <c r="AA999" s="14">
        <f>SUM(N999:Y999)</f>
        <v/>
      </c>
      <c r="AB999" s="14">
        <f>IFERROR(IF(UPPER($E999)="L",SUMPRODUCT(N999:Y999,$N$3:$Y$3,$N$2:$Y$2),SUMPRODUCT(N999:Y999,$N$4:$Y$4,$N$2:$Y$2))/(Z999/($K999*$L999*$M999)),"")</f>
        <v/>
      </c>
      <c r="AC999" s="18" t="n"/>
    </row>
    <row r="1000">
      <c r="A1000" s="9" t="n">
        <v>681323</v>
      </c>
      <c r="B1000" s="9" t="inlineStr">
        <is>
          <t>Alex Binelas</t>
        </is>
      </c>
      <c r="C1000" s="9" t="inlineStr">
        <is>
          <t>PHI</t>
        </is>
      </c>
      <c r="D1000" s="9" t="n">
        <v>25</v>
      </c>
      <c r="E1000" s="16" t="inlineStr">
        <is>
          <t>L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1" t="n">
        <v>1</v>
      </c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7" t="n">
        <v>1</v>
      </c>
      <c r="Z1000" s="13">
        <f>SUMPRODUCT(N1000:Y1000,$N$2:$Y$2)*$K1000*$L1000*$M1000</f>
        <v/>
      </c>
      <c r="AA1000" s="14">
        <f>SUM(N1000:Y1000)</f>
        <v/>
      </c>
      <c r="AB1000" s="14">
        <f>IFERROR(IF(UPPER($E1000)="L",SUMPRODUCT(N1000:Y1000,$N$3:$Y$3,$N$2:$Y$2),SUMPRODUCT(N1000:Y1000,$N$4:$Y$4,$N$2:$Y$2))/(Z1000/($K1000*$L1000*$M1000)),"")</f>
        <v/>
      </c>
      <c r="AC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1" t="n">
        <v>1</v>
      </c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7" t="n">
        <v>1</v>
      </c>
      <c r="Z1001" s="13">
        <f>SUMPRODUCT(N1001:Y1001,$N$2:$Y$2)*$K1001*$L1001*$M1001</f>
        <v/>
      </c>
      <c r="AA1001" s="14">
        <f>SUM(N1001:Y1001)</f>
        <v/>
      </c>
      <c r="AB1001" s="14">
        <f>IFERROR(IF(UPPER($E1001)="L",SUMPRODUCT(N1001:Y1001,$N$3:$Y$3,$N$2:$Y$2),SUMPRODUCT(N1001:Y1001,$N$4:$Y$4,$N$2:$Y$2))/(Z1001/($K1001*$L1001*$M1001)),"")</f>
        <v/>
      </c>
      <c r="AC1001" s="18" t="n"/>
    </row>
    <row r="1002">
      <c r="A1002" s="9" t="n">
        <v>811278</v>
      </c>
      <c r="B1002" s="9" t="inlineStr">
        <is>
          <t>Connor Rasmussen</t>
        </is>
      </c>
      <c r="C1002" s="9" t="inlineStr">
        <is>
          <t>KC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1" t="n">
        <v>1</v>
      </c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7" t="n">
        <v>1</v>
      </c>
      <c r="Z1002" s="13">
        <f>SUMPRODUCT(N1002:Y1002,$N$2:$Y$2)*$K1002*$L1002*$M1002</f>
        <v/>
      </c>
      <c r="AA1002" s="14">
        <f>SUM(N1002:Y1002)</f>
        <v/>
      </c>
      <c r="AB1002" s="14">
        <f>IFERROR(IF(UPPER($E1002)="L",SUMPRODUCT(N1002:Y1002,$N$3:$Y$3,$N$2:$Y$2),SUMPRODUCT(N1002:Y1002,$N$4:$Y$4,$N$2:$Y$2))/(Z1002/($K1002*$L1002*$M1002)),"")</f>
        <v/>
      </c>
      <c r="AC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1" t="n">
        <v>1</v>
      </c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7" t="n">
        <v>1</v>
      </c>
      <c r="Z1003" s="13">
        <f>SUMPRODUCT(N1003:Y1003,$N$2:$Y$2)*$K1003*$L1003*$M1003</f>
        <v/>
      </c>
      <c r="AA1003" s="14">
        <f>SUM(N1003:Y1003)</f>
        <v/>
      </c>
      <c r="AB1003" s="14">
        <f>IFERROR(IF(UPPER($E1003)="L",SUMPRODUCT(N1003:Y1003,$N$3:$Y$3,$N$2:$Y$2),SUMPRODUCT(N1003:Y1003,$N$4:$Y$4,$N$2:$Y$2))/(Z1003/($K1003*$L1003*$M1003)),"")</f>
        <v/>
      </c>
      <c r="AC1003" s="18" t="n"/>
    </row>
    <row r="1004">
      <c r="A1004" s="9" t="n">
        <v>823185</v>
      </c>
      <c r="B1004" s="9" t="inlineStr">
        <is>
          <t>Zane Zielinski</t>
        </is>
      </c>
      <c r="C1004" s="9" t="inlineStr">
        <is>
          <t>SF</t>
        </is>
      </c>
      <c r="D1004" s="9" t="n">
        <v>25</v>
      </c>
      <c r="E1004" s="16" t="inlineStr">
        <is>
          <t>R</t>
        </is>
      </c>
      <c r="F1004" s="16" t="n"/>
      <c r="G1004" s="9" t="n">
        <v>5.076923076923078</v>
      </c>
      <c r="H1004" s="9" t="n">
        <v>5.076923076923078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1" t="n">
        <v>1</v>
      </c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7" t="n">
        <v>1</v>
      </c>
      <c r="Z1004" s="13">
        <f>SUMPRODUCT(N1004:Y1004,$N$2:$Y$2)*$K1004*$L1004*$M1004</f>
        <v/>
      </c>
      <c r="AA1004" s="14">
        <f>SUM(N1004:Y1004)</f>
        <v/>
      </c>
      <c r="AB1004" s="14">
        <f>IFERROR(IF(UPPER($E1004)="L",SUMPRODUCT(N1004:Y1004,$N$3:$Y$3,$N$2:$Y$2),SUMPRODUCT(N1004:Y1004,$N$4:$Y$4,$N$2:$Y$2))/(Z1004/($K1004*$L1004*$M1004)),"")</f>
        <v/>
      </c>
      <c r="AC1004" s="18" t="n"/>
    </row>
    <row r="1005">
      <c r="A1005" s="9" t="n">
        <v>805953</v>
      </c>
      <c r="B1005" s="9" t="inlineStr">
        <is>
          <t>Anthony Huezo</t>
        </is>
      </c>
      <c r="C1005" s="9" t="inlineStr">
        <is>
          <t>HOU</t>
        </is>
      </c>
      <c r="D1005" s="9" t="n">
        <v>25</v>
      </c>
      <c r="E1005" s="16" t="inlineStr">
        <is>
          <t>L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Late Season (~Sept)</t>
        </is>
      </c>
      <c r="K1005" s="11">
        <f>IFERROR(INDEX(Roles!$B$17:$B$20,MATCH(J1005,Roles!$A$17:$A$20,0)),1)</f>
        <v/>
      </c>
      <c r="L1005" s="17" t="n">
        <v>1</v>
      </c>
      <c r="M1005" s="11" t="n">
        <v>1</v>
      </c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7" t="n">
        <v>1</v>
      </c>
      <c r="Z1005" s="13">
        <f>SUMPRODUCT(N1005:Y1005,$N$2:$Y$2)*$K1005*$L1005*$M1005</f>
        <v/>
      </c>
      <c r="AA1005" s="14">
        <f>SUM(N1005:Y1005)</f>
        <v/>
      </c>
      <c r="AB1005" s="14">
        <f>IFERROR(IF(UPPER($E1005)="L",SUMPRODUCT(N1005:Y1005,$N$3:$Y$3,$N$2:$Y$2),SUMPRODUCT(N1005:Y1005,$N$4:$Y$4,$N$2:$Y$2))/(Z1005/($K1005*$L1005*$M1005)),"")</f>
        <v/>
      </c>
      <c r="AC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1" t="n">
        <v>1</v>
      </c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7" t="n">
        <v>1</v>
      </c>
      <c r="Z1006" s="13">
        <f>SUMPRODUCT(N1006:Y1006,$N$2:$Y$2)*$K1006*$L1006*$M1006</f>
        <v/>
      </c>
      <c r="AA1006" s="14">
        <f>SUM(N1006:Y1006)</f>
        <v/>
      </c>
      <c r="AB1006" s="14">
        <f>IFERROR(IF(UPPER($E1006)="L",SUMPRODUCT(N1006:Y1006,$N$3:$Y$3,$N$2:$Y$2),SUMPRODUCT(N1006:Y1006,$N$4:$Y$4,$N$2:$Y$2))/(Z1006/($K1006*$L1006*$M1006)),"")</f>
        <v/>
      </c>
      <c r="AC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1" t="n">
        <v>1</v>
      </c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7" t="n">
        <v>1</v>
      </c>
      <c r="Z1007" s="13">
        <f>SUMPRODUCT(N1007:Y1007,$N$2:$Y$2)*$K1007*$L1007*$M1007</f>
        <v/>
      </c>
      <c r="AA1007" s="14">
        <f>SUM(N1007:Y1007)</f>
        <v/>
      </c>
      <c r="AB1007" s="14">
        <f>IFERROR(IF(UPPER($E1007)="L",SUMPRODUCT(N1007:Y1007,$N$3:$Y$3,$N$2:$Y$2),SUMPRODUCT(N1007:Y1007,$N$4:$Y$4,$N$2:$Y$2))/(Z1007/($K1007*$L1007*$M1007)),"")</f>
        <v/>
      </c>
      <c r="AC1007" s="18" t="n"/>
    </row>
    <row r="1008">
      <c r="A1008" s="9" t="n">
        <v>806964</v>
      </c>
      <c r="B1008" s="9" t="inlineStr">
        <is>
          <t>Sebastian Walcott</t>
        </is>
      </c>
      <c r="C1008" s="9" t="inlineStr">
        <is>
          <t>TEX</t>
        </is>
      </c>
      <c r="D1008" s="9" t="n">
        <v>25</v>
      </c>
      <c r="E1008" s="16" t="inlineStr">
        <is>
          <t>R</t>
        </is>
      </c>
      <c r="F1008" s="16" t="n"/>
      <c r="G1008" s="9" t="n">
        <v>5.076923076923078</v>
      </c>
      <c r="H1008" s="9" t="n">
        <v>5.076923076923078</v>
      </c>
      <c r="I1008" s="9" t="inlineStr">
        <is>
          <t>Full Time</t>
        </is>
      </c>
      <c r="J1008" s="16" t="inlineStr">
        <is>
          <t>Early Season (~May)</t>
        </is>
      </c>
      <c r="K1008" s="11">
        <f>IFERROR(INDEX(Roles!$B$17:$B$20,MATCH(J1008,Roles!$A$17:$A$20,0)),1)</f>
        <v/>
      </c>
      <c r="L1008" s="17" t="n">
        <v>1</v>
      </c>
      <c r="M1008" s="11" t="n">
        <v>1</v>
      </c>
      <c r="N1008" s="17" t="n">
        <v>0.4</v>
      </c>
      <c r="O1008" s="17" t="n"/>
      <c r="P1008" s="17" t="n">
        <v>0.25</v>
      </c>
      <c r="Q1008" s="17" t="n"/>
      <c r="R1008" s="17" t="n"/>
      <c r="S1008" s="17" t="n"/>
      <c r="T1008" s="17" t="n"/>
      <c r="U1008" s="17" t="n"/>
      <c r="V1008" s="17" t="n"/>
      <c r="W1008" s="17" t="n">
        <v>0.35</v>
      </c>
      <c r="X1008" s="17" t="n"/>
      <c r="Y1008" s="17" t="n"/>
      <c r="Z1008" s="13">
        <f>SUMPRODUCT(N1008:Y1008,$N$2:$Y$2)*$K1008*$L1008*$M1008</f>
        <v/>
      </c>
      <c r="AA1008" s="14">
        <f>SUM(N1008:Y1008)</f>
        <v/>
      </c>
      <c r="AB1008" s="14">
        <f>IFERROR(IF(UPPER($E1008)="L",SUMPRODUCT(N1008:Y1008,$N$3:$Y$3,$N$2:$Y$2),SUMPRODUCT(N1008:Y1008,$N$4:$Y$4,$N$2:$Y$2))/(Z1008/($K1008*$L1008*$M1008)),"")</f>
        <v/>
      </c>
      <c r="AC1008" s="18" t="n"/>
    </row>
    <row r="1009">
      <c r="A1009" s="9" t="n">
        <v>694661</v>
      </c>
      <c r="B1009" s="9" t="inlineStr">
        <is>
          <t>Riley Tirotta</t>
        </is>
      </c>
      <c r="C1009" s="9" t="inlineStr">
        <is>
          <t>TOR</t>
        </is>
      </c>
      <c r="D1009" s="9" t="n">
        <v>25</v>
      </c>
      <c r="E1009" s="16" t="inlineStr">
        <is>
          <t>R</t>
        </is>
      </c>
      <c r="F1009" s="16" t="n"/>
      <c r="G1009" s="9" t="n">
        <v>110</v>
      </c>
      <c r="H1009" s="9" t="n">
        <v>110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1" t="n">
        <v>1</v>
      </c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7" t="n">
        <v>1</v>
      </c>
      <c r="Z1009" s="13">
        <f>SUMPRODUCT(N1009:Y1009,$N$2:$Y$2)*$K1009*$L1009*$M1009</f>
        <v/>
      </c>
      <c r="AA1009" s="14">
        <f>SUM(N1009:Y1009)</f>
        <v/>
      </c>
      <c r="AB1009" s="14">
        <f>IFERROR(IF(UPPER($E1009)="L",SUMPRODUCT(N1009:Y1009,$N$3:$Y$3,$N$2:$Y$2),SUMPRODUCT(N1009:Y1009,$N$4:$Y$4,$N$2:$Y$2))/(Z1009/($K1009*$L1009*$M1009)),"")</f>
        <v/>
      </c>
      <c r="AC1009" s="18" t="n"/>
    </row>
    <row r="1010">
      <c r="A1010" s="9" t="n">
        <v>682657</v>
      </c>
      <c r="B1010" s="9" t="inlineStr">
        <is>
          <t>Angel Martínez</t>
        </is>
      </c>
      <c r="C1010" s="9" t="inlineStr">
        <is>
          <t>CLE</t>
        </is>
      </c>
      <c r="D1010" s="9" t="n">
        <v>25</v>
      </c>
      <c r="E1010" s="16" t="inlineStr">
        <is>
          <t>S</t>
        </is>
      </c>
      <c r="F1010" s="16" t="inlineStr">
        <is>
          <t>LF</t>
        </is>
      </c>
      <c r="G1010" s="9" t="n">
        <v>416</v>
      </c>
      <c r="H1010" s="9" t="n">
        <v>1069</v>
      </c>
      <c r="I1010" s="9" t="inlineStr">
        <is>
          <t>Full Time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1" t="n">
        <v>1.01799815715786</v>
      </c>
      <c r="N1010" s="17" t="n">
        <v>0.75</v>
      </c>
      <c r="O1010" s="17" t="n"/>
      <c r="P1010" s="17" t="n">
        <v>0.25</v>
      </c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7" t="n"/>
      <c r="Z1010" s="13">
        <f>SUMPRODUCT(N1010:Y1010,$N$2:$Y$2)*$K1010*$L1010*$M1010</f>
        <v/>
      </c>
      <c r="AA1010" s="14">
        <f>SUM(N1010:Y1010)</f>
        <v/>
      </c>
      <c r="AB1010" s="14">
        <f>IFERROR(IF(UPPER($E1010)="L",SUMPRODUCT(N1010:Y1010,$N$3:$Y$3,$N$2:$Y$2),SUMPRODUCT(N1010:Y1010,$N$4:$Y$4,$N$2:$Y$2))/(Z1010/($K1010*$L1010*$M1010)),"")</f>
        <v/>
      </c>
      <c r="AC1010" s="18" t="n"/>
    </row>
    <row r="1011">
      <c r="A1011" s="9" t="n">
        <v>666164</v>
      </c>
      <c r="B1011" s="9" t="inlineStr">
        <is>
          <t>Blake Rutherford</t>
        </is>
      </c>
      <c r="C1011" s="9" t="inlineStr">
        <is>
          <t>WSH</t>
        </is>
      </c>
      <c r="D1011" s="9" t="n">
        <v>30</v>
      </c>
      <c r="E1011" s="16" t="inlineStr">
        <is>
          <t>L</t>
        </is>
      </c>
      <c r="F1011" s="16" t="inlineStr">
        <is>
          <t>LF</t>
        </is>
      </c>
      <c r="G1011" s="9" t="n">
        <v>36</v>
      </c>
      <c r="H1011" s="9" t="n">
        <v>36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1" t="n">
        <v>1</v>
      </c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7" t="n">
        <v>1</v>
      </c>
      <c r="Z1011" s="13">
        <f>SUMPRODUCT(N1011:Y1011,$N$2:$Y$2)*$K1011*$L1011*$M1011</f>
        <v/>
      </c>
      <c r="AA1011" s="14">
        <f>SUM(N1011:Y1011)</f>
        <v/>
      </c>
      <c r="AB1011" s="14">
        <f>IFERROR(IF(UPPER($E1011)="L",SUMPRODUCT(N1011:Y1011,$N$3:$Y$3,$N$2:$Y$2),SUMPRODUCT(N1011:Y1011,$N$4:$Y$4,$N$2:$Y$2))/(Z1011/($K1011*$L1011*$M1011)),"")</f>
        <v/>
      </c>
      <c r="AC1011" s="18" t="n"/>
    </row>
    <row r="1012">
      <c r="A1012" s="9" t="n">
        <v>840927</v>
      </c>
      <c r="B1012" s="9" t="inlineStr">
        <is>
          <t>Erick Dessens</t>
        </is>
      </c>
      <c r="C1012" s="9" t="inlineStr">
        <is>
          <t>CLE</t>
        </is>
      </c>
      <c r="D1012" s="9" t="n">
        <v>25</v>
      </c>
      <c r="E1012" s="16" t="inlineStr">
        <is>
          <t>L</t>
        </is>
      </c>
      <c r="F1012" s="16" t="n"/>
      <c r="G1012" s="9" t="n">
        <v>7.261538461538461</v>
      </c>
      <c r="H1012" s="9" t="n">
        <v>7.261538461538461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1" t="n">
        <v>1</v>
      </c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7" t="n">
        <v>1</v>
      </c>
      <c r="Z1012" s="13">
        <f>SUMPRODUCT(N1012:Y1012,$N$2:$Y$2)*$K1012*$L1012*$M1012</f>
        <v/>
      </c>
      <c r="AA1012" s="14">
        <f>SUM(N1012:Y1012)</f>
        <v/>
      </c>
      <c r="AB1012" s="14">
        <f>IFERROR(IF(UPPER($E1012)="L",SUMPRODUCT(N1012:Y1012,$N$3:$Y$3,$N$2:$Y$2),SUMPRODUCT(N1012:Y1012,$N$4:$Y$4,$N$2:$Y$2))/(Z1012/($K1012*$L1012*$M1012)),"")</f>
        <v/>
      </c>
      <c r="AC1012" s="18" t="n"/>
    </row>
    <row r="1013">
      <c r="A1013" s="9" t="n">
        <v>835678</v>
      </c>
      <c r="B1013" s="9" t="inlineStr">
        <is>
          <t>Martin Shelar</t>
        </is>
      </c>
      <c r="C1013" s="9" t="inlineStr">
        <is>
          <t>BOS</t>
        </is>
      </c>
      <c r="D1013" s="9" t="n">
        <v>25</v>
      </c>
      <c r="E1013" s="16" t="inlineStr">
        <is>
          <t>R</t>
        </is>
      </c>
      <c r="F1013" s="16" t="n"/>
      <c r="G1013" s="9" t="n">
        <v>7.261538461538461</v>
      </c>
      <c r="H1013" s="9" t="n">
        <v>7.261538461538461</v>
      </c>
      <c r="I1013" s="9" t="inlineStr">
        <is>
          <t>Depth (no MLB PA)</t>
        </is>
      </c>
      <c r="J1013" s="16" t="inlineStr">
        <is>
          <t>Late Season (~Sept)</t>
        </is>
      </c>
      <c r="K1013" s="11">
        <f>IFERROR(INDEX(Roles!$B$17:$B$20,MATCH(J1013,Roles!$A$17:$A$20,0)),1)</f>
        <v/>
      </c>
      <c r="L1013" s="17" t="n">
        <v>1</v>
      </c>
      <c r="M1013" s="11" t="n">
        <v>1</v>
      </c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7" t="n">
        <v>1</v>
      </c>
      <c r="Z1013" s="13">
        <f>SUMPRODUCT(N1013:Y1013,$N$2:$Y$2)*$K1013*$L1013*$M1013</f>
        <v/>
      </c>
      <c r="AA1013" s="14">
        <f>SUM(N1013:Y1013)</f>
        <v/>
      </c>
      <c r="AB1013" s="14">
        <f>IFERROR(IF(UPPER($E1013)="L",SUMPRODUCT(N1013:Y1013,$N$3:$Y$3,$N$2:$Y$2),SUMPRODUCT(N1013:Y1013,$N$4:$Y$4,$N$2:$Y$2))/(Z1013/($K1013*$L1013*$M1013)),"")</f>
        <v/>
      </c>
      <c r="AC1013" s="18" t="n"/>
    </row>
    <row r="1014">
      <c r="A1014" s="9" t="n">
        <v>803679</v>
      </c>
      <c r="B1014" s="9" t="inlineStr">
        <is>
          <t>Sammy Hernandez</t>
        </is>
      </c>
      <c r="C1014" s="9" t="inlineStr">
        <is>
          <t>STL</t>
        </is>
      </c>
      <c r="D1014" s="9" t="n">
        <v>25</v>
      </c>
      <c r="E1014" s="16" t="inlineStr">
        <is>
          <t>R</t>
        </is>
      </c>
      <c r="F1014" s="16" t="n"/>
      <c r="G1014" s="9" t="n">
        <v>50.66666666666667</v>
      </c>
      <c r="H1014" s="9" t="n">
        <v>50.66666666666667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1" t="n">
        <v>1</v>
      </c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7" t="n">
        <v>1</v>
      </c>
      <c r="Z1014" s="13">
        <f>SUMPRODUCT(N1014:Y1014,$N$2:$Y$2)*$K1014*$L1014*$M1014</f>
        <v/>
      </c>
      <c r="AA1014" s="14">
        <f>SUM(N1014:Y1014)</f>
        <v/>
      </c>
      <c r="AB1014" s="14">
        <f>IFERROR(IF(UPPER($E1014)="L",SUMPRODUCT(N1014:Y1014,$N$3:$Y$3,$N$2:$Y$2),SUMPRODUCT(N1014:Y1014,$N$4:$Y$4,$N$2:$Y$2))/(Z1014/($K1014*$L1014*$M1014)),"")</f>
        <v/>
      </c>
      <c r="AC1014" s="18" t="n"/>
    </row>
    <row r="1015">
      <c r="A1015" s="9" t="n">
        <v>804603</v>
      </c>
      <c r="B1015" s="9" t="inlineStr">
        <is>
          <t>Duncan Pastore</t>
        </is>
      </c>
      <c r="C1015" s="9" t="inlineStr">
        <is>
          <t>NYY</t>
        </is>
      </c>
      <c r="D1015" s="9" t="n">
        <v>25</v>
      </c>
      <c r="E1015" s="16" t="inlineStr">
        <is>
          <t>R</t>
        </is>
      </c>
      <c r="F1015" s="16" t="n"/>
      <c r="G1015" s="9" t="n">
        <v>5.076923076923078</v>
      </c>
      <c r="H1015" s="9" t="n">
        <v>5.076923076923078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1" t="n">
        <v>1</v>
      </c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7" t="n">
        <v>1</v>
      </c>
      <c r="Z1015" s="13">
        <f>SUMPRODUCT(N1015:Y1015,$N$2:$Y$2)*$K1015*$L1015*$M1015</f>
        <v/>
      </c>
      <c r="AA1015" s="14">
        <f>SUM(N1015:Y1015)</f>
        <v/>
      </c>
      <c r="AB1015" s="14">
        <f>IFERROR(IF(UPPER($E1015)="L",SUMPRODUCT(N1015:Y1015,$N$3:$Y$3,$N$2:$Y$2),SUMPRODUCT(N1015:Y1015,$N$4:$Y$4,$N$2:$Y$2))/(Z1015/($K1015*$L1015*$M1015)),"")</f>
        <v/>
      </c>
      <c r="AC1015" s="18" t="n"/>
    </row>
    <row r="1016">
      <c r="A1016" s="9" t="n">
        <v>543482</v>
      </c>
      <c r="B1016" s="9" t="inlineStr">
        <is>
          <t>Drew Maggi</t>
        </is>
      </c>
      <c r="C1016" s="9" t="inlineStr">
        <is>
          <t>PIT</t>
        </is>
      </c>
      <c r="D1016" s="9" t="n">
        <v>38</v>
      </c>
      <c r="E1016" s="16" t="inlineStr">
        <is>
          <t>R</t>
        </is>
      </c>
      <c r="F1016" s="16" t="inlineStr">
        <is>
          <t>3B</t>
        </is>
      </c>
      <c r="G1016" s="9" t="n">
        <v>6</v>
      </c>
      <c r="H1016" s="9" t="n">
        <v>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1" t="n">
        <v>1</v>
      </c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7" t="n">
        <v>1</v>
      </c>
      <c r="Z1016" s="13">
        <f>SUMPRODUCT(N1016:Y1016,$N$2:$Y$2)*$K1016*$L1016*$M1016</f>
        <v/>
      </c>
      <c r="AA1016" s="14">
        <f>SUM(N1016:Y1016)</f>
        <v/>
      </c>
      <c r="AB1016" s="14">
        <f>IFERROR(IF(UPPER($E1016)="L",SUMPRODUCT(N1016:Y1016,$N$3:$Y$3,$N$2:$Y$2),SUMPRODUCT(N1016:Y1016,$N$4:$Y$4,$N$2:$Y$2))/(Z1016/($K1016*$L1016*$M1016)),"")</f>
        <v/>
      </c>
      <c r="AC1016" s="18" t="n"/>
    </row>
    <row r="1017">
      <c r="A1017" s="9" t="n">
        <v>701527</v>
      </c>
      <c r="B1017" s="9" t="inlineStr">
        <is>
          <t>Mike Sirota</t>
        </is>
      </c>
      <c r="C1017" s="9" t="inlineStr">
        <is>
          <t>LAD</t>
        </is>
      </c>
      <c r="D1017" s="9" t="n">
        <v>25</v>
      </c>
      <c r="E1017" s="16" t="inlineStr">
        <is>
          <t>R</t>
        </is>
      </c>
      <c r="F1017" s="16" t="n"/>
      <c r="G1017" s="9" t="n">
        <v>5.076923076923078</v>
      </c>
      <c r="H1017" s="9" t="n">
        <v>5.076923076923078</v>
      </c>
      <c r="I1017" s="9" t="inlineStr">
        <is>
          <t>Full Time</t>
        </is>
      </c>
      <c r="J1017" s="16" t="inlineStr">
        <is>
          <t>Early Season (~May)</t>
        </is>
      </c>
      <c r="K1017" s="11">
        <f>IFERROR(INDEX(Roles!$B$17:$B$20,MATCH(J1017,Roles!$A$17:$A$20,0)),1)</f>
        <v/>
      </c>
      <c r="L1017" s="17" t="n">
        <v>1</v>
      </c>
      <c r="M1017" s="11" t="n">
        <v>1</v>
      </c>
      <c r="N1017" s="17" t="n">
        <v>0.4</v>
      </c>
      <c r="O1017" s="17" t="n"/>
      <c r="P1017" s="17" t="n">
        <v>0.25</v>
      </c>
      <c r="Q1017" s="17" t="n"/>
      <c r="R1017" s="17" t="n"/>
      <c r="S1017" s="17" t="n"/>
      <c r="T1017" s="17" t="n"/>
      <c r="U1017" s="17" t="n"/>
      <c r="V1017" s="17" t="n"/>
      <c r="W1017" s="17" t="n">
        <v>0.35</v>
      </c>
      <c r="X1017" s="17" t="n"/>
      <c r="Y1017" s="17" t="n"/>
      <c r="Z1017" s="13">
        <f>SUMPRODUCT(N1017:Y1017,$N$2:$Y$2)*$K1017*$L1017*$M1017</f>
        <v/>
      </c>
      <c r="AA1017" s="14">
        <f>SUM(N1017:Y1017)</f>
        <v/>
      </c>
      <c r="AB1017" s="14">
        <f>IFERROR(IF(UPPER($E1017)="L",SUMPRODUCT(N1017:Y1017,$N$3:$Y$3,$N$2:$Y$2),SUMPRODUCT(N1017:Y1017,$N$4:$Y$4,$N$2:$Y$2))/(Z1017/($K1017*$L1017*$M1017)),"")</f>
        <v/>
      </c>
      <c r="AC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1" t="n">
        <v>1</v>
      </c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7" t="n">
        <v>1</v>
      </c>
      <c r="Z1018" s="13">
        <f>SUMPRODUCT(N1018:Y1018,$N$2:$Y$2)*$K1018*$L1018*$M1018</f>
        <v/>
      </c>
      <c r="AA1018" s="14">
        <f>SUM(N1018:Y1018)</f>
        <v/>
      </c>
      <c r="AB1018" s="14">
        <f>IFERROR(IF(UPPER($E1018)="L",SUMPRODUCT(N1018:Y1018,$N$3:$Y$3,$N$2:$Y$2),SUMPRODUCT(N1018:Y1018,$N$4:$Y$4,$N$2:$Y$2))/(Z1018/($K1018*$L1018*$M1018)),"")</f>
        <v/>
      </c>
      <c r="AC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1" t="n">
        <v>1</v>
      </c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7" t="n">
        <v>1</v>
      </c>
      <c r="Z1019" s="13">
        <f>SUMPRODUCT(N1019:Y1019,$N$2:$Y$2)*$K1019*$L1019*$M1019</f>
        <v/>
      </c>
      <c r="AA1019" s="14">
        <f>SUM(N1019:Y1019)</f>
        <v/>
      </c>
      <c r="AB1019" s="14">
        <f>IFERROR(IF(UPPER($E1019)="L",SUMPRODUCT(N1019:Y1019,$N$3:$Y$3,$N$2:$Y$2),SUMPRODUCT(N1019:Y1019,$N$4:$Y$4,$N$2:$Y$2))/(Z1019/($K1019*$L1019*$M1019)),"")</f>
        <v/>
      </c>
      <c r="AC1019" s="18" t="n"/>
    </row>
    <row r="1020">
      <c r="A1020" s="9" t="n">
        <v>688457</v>
      </c>
      <c r="B1020" s="9" t="inlineStr">
        <is>
          <t>Gavin Cross</t>
        </is>
      </c>
      <c r="C1020" s="9" t="inlineStr">
        <is>
          <t>KC</t>
        </is>
      </c>
      <c r="D1020" s="9" t="n">
        <v>25</v>
      </c>
      <c r="E1020" s="16" t="inlineStr">
        <is>
          <t>L</t>
        </is>
      </c>
      <c r="F1020" s="16" t="n"/>
      <c r="G1020" s="9" t="n">
        <v>262.3076923076923</v>
      </c>
      <c r="H1020" s="9" t="n">
        <v>262.3076923076923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1" t="n">
        <v>1</v>
      </c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7" t="n">
        <v>1</v>
      </c>
      <c r="Z1020" s="13">
        <f>SUMPRODUCT(N1020:Y1020,$N$2:$Y$2)*$K1020*$L1020*$M1020</f>
        <v/>
      </c>
      <c r="AA1020" s="14">
        <f>SUM(N1020:Y1020)</f>
        <v/>
      </c>
      <c r="AB1020" s="14">
        <f>IFERROR(IF(UPPER($E1020)="L",SUMPRODUCT(N1020:Y1020,$N$3:$Y$3,$N$2:$Y$2),SUMPRODUCT(N1020:Y1020,$N$4:$Y$4,$N$2:$Y$2))/(Z1020/($K1020*$L1020*$M1020)),"")</f>
        <v/>
      </c>
      <c r="AC1020" s="18" t="n"/>
    </row>
    <row r="1021">
      <c r="A1021" s="9" t="n">
        <v>621532</v>
      </c>
      <c r="B1021" s="9" t="inlineStr">
        <is>
          <t>Anthony Bemboom</t>
        </is>
      </c>
      <c r="C1021" s="9" t="inlineStr">
        <is>
          <t>BAL</t>
        </is>
      </c>
      <c r="D1021" s="9" t="n">
        <v>37</v>
      </c>
      <c r="E1021" s="16" t="inlineStr">
        <is>
          <t>L</t>
        </is>
      </c>
      <c r="F1021" s="16" t="inlineStr">
        <is>
          <t>C</t>
        </is>
      </c>
      <c r="G1021" s="9" t="n">
        <v>13</v>
      </c>
      <c r="H1021" s="9" t="n">
        <v>72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1" t="n">
        <v>1</v>
      </c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7" t="n">
        <v>1</v>
      </c>
      <c r="Z1021" s="13">
        <f>SUMPRODUCT(N1021:Y1021,$N$2:$Y$2)*$K1021*$L1021*$M1021</f>
        <v/>
      </c>
      <c r="AA1021" s="14">
        <f>SUM(N1021:Y1021)</f>
        <v/>
      </c>
      <c r="AB1021" s="14">
        <f>IFERROR(IF(UPPER($E1021)="L",SUMPRODUCT(N1021:Y1021,$N$3:$Y$3,$N$2:$Y$2),SUMPRODUCT(N1021:Y1021,$N$4:$Y$4,$N$2:$Y$2))/(Z1021/($K1021*$L1021*$M1021)),"")</f>
        <v/>
      </c>
      <c r="AC1021" s="18" t="n"/>
    </row>
    <row r="1022">
      <c r="A1022" s="9" t="n">
        <v>809338</v>
      </c>
      <c r="B1022" s="9" t="inlineStr">
        <is>
          <t>Trevor Austin</t>
        </is>
      </c>
      <c r="C1022" s="9" t="inlineStr">
        <is>
          <t>HOU</t>
        </is>
      </c>
      <c r="D1022" s="9" t="n">
        <v>25</v>
      </c>
      <c r="E1022" s="16" t="inlineStr">
        <is>
          <t>R</t>
        </is>
      </c>
      <c r="F1022" s="16" t="n"/>
      <c r="G1022" s="9" t="n">
        <v>20.30769230769231</v>
      </c>
      <c r="H1022" s="9" t="n">
        <v>20.30769230769231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1" t="n">
        <v>1</v>
      </c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7" t="n">
        <v>1</v>
      </c>
      <c r="Z1022" s="13">
        <f>SUMPRODUCT(N1022:Y1022,$N$2:$Y$2)*$K1022*$L1022*$M1022</f>
        <v/>
      </c>
      <c r="AA1022" s="14">
        <f>SUM(N1022:Y1022)</f>
        <v/>
      </c>
      <c r="AB1022" s="14">
        <f>IFERROR(IF(UPPER($E1022)="L",SUMPRODUCT(N1022:Y1022,$N$3:$Y$3,$N$2:$Y$2),SUMPRODUCT(N1022:Y1022,$N$4:$Y$4,$N$2:$Y$2))/(Z1022/($K1022*$L1022*$M1022)),"")</f>
        <v/>
      </c>
      <c r="AC1022" s="18" t="n"/>
    </row>
    <row r="1023">
      <c r="A1023" s="9" t="n">
        <v>804944</v>
      </c>
      <c r="B1023" s="9" t="inlineStr">
        <is>
          <t>Jackson Lovich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29.74358974358975</v>
      </c>
      <c r="H1023" s="9" t="n">
        <v>29.74358974358975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1" t="n">
        <v>1</v>
      </c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7" t="n">
        <v>1</v>
      </c>
      <c r="Z1023" s="13">
        <f>SUMPRODUCT(N1023:Y1023,$N$2:$Y$2)*$K1023*$L1023*$M1023</f>
        <v/>
      </c>
      <c r="AA1023" s="14">
        <f>SUM(N1023:Y1023)</f>
        <v/>
      </c>
      <c r="AB1023" s="14">
        <f>IFERROR(IF(UPPER($E1023)="L",SUMPRODUCT(N1023:Y1023,$N$3:$Y$3,$N$2:$Y$2),SUMPRODUCT(N1023:Y1023,$N$4:$Y$4,$N$2:$Y$2))/(Z1023/($K1023*$L1023*$M1023)),"")</f>
        <v/>
      </c>
      <c r="AC1023" s="18" t="n"/>
    </row>
    <row r="1024">
      <c r="A1024" s="9" t="n">
        <v>808116</v>
      </c>
      <c r="B1024" s="9" t="inlineStr">
        <is>
          <t>Pedro Dalmagro</t>
        </is>
      </c>
      <c r="C1024" s="9" t="inlineStr">
        <is>
          <t>CLE</t>
        </is>
      </c>
      <c r="D1024" s="9" t="n">
        <v>25</v>
      </c>
      <c r="E1024" s="16" t="inlineStr">
        <is>
          <t>L</t>
        </is>
      </c>
      <c r="F1024" s="16" t="n"/>
      <c r="G1024" s="9" t="n">
        <v>9.6</v>
      </c>
      <c r="H1024" s="9" t="n">
        <v>9.6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1" t="n">
        <v>1</v>
      </c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7" t="n">
        <v>1</v>
      </c>
      <c r="Z1024" s="13">
        <f>SUMPRODUCT(N1024:Y1024,$N$2:$Y$2)*$K1024*$L1024*$M1024</f>
        <v/>
      </c>
      <c r="AA1024" s="14">
        <f>SUM(N1024:Y1024)</f>
        <v/>
      </c>
      <c r="AB1024" s="14">
        <f>IFERROR(IF(UPPER($E1024)="L",SUMPRODUCT(N1024:Y1024,$N$3:$Y$3,$N$2:$Y$2),SUMPRODUCT(N1024:Y1024,$N$4:$Y$4,$N$2:$Y$2))/(Z1024/($K1024*$L1024*$M1024)),"")</f>
        <v/>
      </c>
      <c r="AC1024" s="18" t="n"/>
    </row>
    <row r="1025">
      <c r="A1025" s="9" t="n">
        <v>542583</v>
      </c>
      <c r="B1025" s="9" t="inlineStr">
        <is>
          <t>Jesús Aguilar</t>
        </is>
      </c>
      <c r="C1025" s="9" t="inlineStr">
        <is>
          <t>OAK</t>
        </is>
      </c>
      <c r="D1025" s="9" t="n">
        <v>37</v>
      </c>
      <c r="E1025" s="16" t="inlineStr">
        <is>
          <t>R</t>
        </is>
      </c>
      <c r="F1025" s="16" t="inlineStr">
        <is>
          <t>1B</t>
        </is>
      </c>
      <c r="G1025" s="9" t="n">
        <v>115</v>
      </c>
      <c r="H1025" s="9" t="n">
        <v>622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1" t="n">
        <v>1</v>
      </c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7" t="n">
        <v>1</v>
      </c>
      <c r="Z1025" s="13">
        <f>SUMPRODUCT(N1025:Y1025,$N$2:$Y$2)*$K1025*$L1025*$M1025</f>
        <v/>
      </c>
      <c r="AA1025" s="14">
        <f>SUM(N1025:Y1025)</f>
        <v/>
      </c>
      <c r="AB1025" s="14">
        <f>IFERROR(IF(UPPER($E1025)="L",SUMPRODUCT(N1025:Y1025,$N$3:$Y$3,$N$2:$Y$2),SUMPRODUCT(N1025:Y1025,$N$4:$Y$4,$N$2:$Y$2))/(Z1025/($K1025*$L1025*$M1025)),"")</f>
        <v/>
      </c>
      <c r="AC1025" s="18" t="n"/>
    </row>
    <row r="1026">
      <c r="A1026" s="9" t="n">
        <v>828783</v>
      </c>
      <c r="B1026" s="9" t="inlineStr">
        <is>
          <t>Luis Leon</t>
        </is>
      </c>
      <c r="C1026" s="9" t="inlineStr">
        <is>
          <t>MIA</t>
        </is>
      </c>
      <c r="D1026" s="9" t="n">
        <v>25</v>
      </c>
      <c r="E1026" s="16" t="inlineStr">
        <is>
          <t>R</t>
        </is>
      </c>
      <c r="F1026" s="16" t="n"/>
      <c r="G1026" s="9" t="n">
        <v>7.384615384615384</v>
      </c>
      <c r="H1026" s="9" t="n">
        <v>7.384615384615384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1" t="n">
        <v>1</v>
      </c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/>
      <c r="Y1026" s="17" t="n">
        <v>1</v>
      </c>
      <c r="Z1026" s="13">
        <f>SUMPRODUCT(N1026:Y1026,$N$2:$Y$2)*$K1026*$L1026*$M1026</f>
        <v/>
      </c>
      <c r="AA1026" s="14">
        <f>SUM(N1026:Y1026)</f>
        <v/>
      </c>
      <c r="AB1026" s="14">
        <f>IFERROR(IF(UPPER($E1026)="L",SUMPRODUCT(N1026:Y1026,$N$3:$Y$3,$N$2:$Y$2),SUMPRODUCT(N1026:Y1026,$N$4:$Y$4,$N$2:$Y$2))/(Z1026/($K1026*$L1026*$M1026)),"")</f>
        <v/>
      </c>
      <c r="AC1026" s="18" t="n"/>
    </row>
    <row r="1027">
      <c r="A1027" s="9" t="n">
        <v>806992</v>
      </c>
      <c r="B1027" s="9" t="inlineStr">
        <is>
          <t>Enrique Jimenez</t>
        </is>
      </c>
      <c r="C1027" s="9" t="inlineStr">
        <is>
          <t>MIN</t>
        </is>
      </c>
      <c r="D1027" s="9" t="n">
        <v>25</v>
      </c>
      <c r="E1027" s="16" t="inlineStr">
        <is>
          <t>S</t>
        </is>
      </c>
      <c r="F1027" s="16" t="n"/>
      <c r="G1027" s="9" t="n">
        <v>21.74358974358974</v>
      </c>
      <c r="H1027" s="9" t="n">
        <v>21.74358974358974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1" t="n">
        <v>1</v>
      </c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/>
      <c r="Y1027" s="17" t="n">
        <v>1</v>
      </c>
      <c r="Z1027" s="13">
        <f>SUMPRODUCT(N1027:Y1027,$N$2:$Y$2)*$K1027*$L1027*$M1027</f>
        <v/>
      </c>
      <c r="AA1027" s="14">
        <f>SUM(N1027:Y1027)</f>
        <v/>
      </c>
      <c r="AB1027" s="14">
        <f>IFERROR(IF(UPPER($E1027)="L",SUMPRODUCT(N1027:Y1027,$N$3:$Y$3,$N$2:$Y$2),SUMPRODUCT(N1027:Y1027,$N$4:$Y$4,$N$2:$Y$2))/(Z1027/($K1027*$L1027*$M1027)),"")</f>
        <v/>
      </c>
      <c r="AC1027" s="18" t="n"/>
    </row>
    <row r="1028">
      <c r="A1028" s="9" t="n">
        <v>842167</v>
      </c>
      <c r="B1028" s="9" t="inlineStr">
        <is>
          <t>Carlos Sanchez</t>
        </is>
      </c>
      <c r="C1028" s="9" t="inlineStr">
        <is>
          <t>BAL</t>
        </is>
      </c>
      <c r="D1028" s="9" t="n">
        <v>25</v>
      </c>
      <c r="E1028" s="16" t="inlineStr">
        <is>
          <t>R</t>
        </is>
      </c>
      <c r="F1028" s="16" t="n"/>
      <c r="G1028" s="9" t="n">
        <v>5.415384615384616</v>
      </c>
      <c r="H1028" s="9" t="n">
        <v>5.415384615384616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1" t="n">
        <v>1</v>
      </c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/>
      <c r="Y1028" s="17" t="n">
        <v>1</v>
      </c>
      <c r="Z1028" s="13">
        <f>SUMPRODUCT(N1028:Y1028,$N$2:$Y$2)*$K1028*$L1028*$M1028</f>
        <v/>
      </c>
      <c r="AA1028" s="14">
        <f>SUM(N1028:Y1028)</f>
        <v/>
      </c>
      <c r="AB1028" s="14">
        <f>IFERROR(IF(UPPER($E1028)="L",SUMPRODUCT(N1028:Y1028,$N$3:$Y$3,$N$2:$Y$2),SUMPRODUCT(N1028:Y1028,$N$4:$Y$4,$N$2:$Y$2))/(Z1028/($K1028*$L1028*$M1028)),"")</f>
        <v/>
      </c>
      <c r="AC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1" t="n">
        <v>1</v>
      </c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/>
      <c r="Y1029" s="17" t="n">
        <v>1</v>
      </c>
      <c r="Z1029" s="13">
        <f>SUMPRODUCT(N1029:Y1029,$N$2:$Y$2)*$K1029*$L1029*$M1029</f>
        <v/>
      </c>
      <c r="AA1029" s="14">
        <f>SUM(N1029:Y1029)</f>
        <v/>
      </c>
      <c r="AB1029" s="14">
        <f>IFERROR(IF(UPPER($E1029)="L",SUMPRODUCT(N1029:Y1029,$N$3:$Y$3,$N$2:$Y$2),SUMPRODUCT(N1029:Y1029,$N$4:$Y$4,$N$2:$Y$2))/(Z1029/($K1029*$L1029*$M1029)),"")</f>
        <v/>
      </c>
      <c r="AC1029" s="18" t="n"/>
    </row>
    <row r="1030">
      <c r="A1030" s="9" t="n">
        <v>821171</v>
      </c>
      <c r="B1030" s="9" t="inlineStr">
        <is>
          <t>Dauri Fernández</t>
        </is>
      </c>
      <c r="C1030" s="9" t="inlineStr">
        <is>
          <t>CLE</t>
        </is>
      </c>
      <c r="D1030" s="9" t="n">
        <v>25</v>
      </c>
      <c r="E1030" s="16" t="inlineStr">
        <is>
          <t>S</t>
        </is>
      </c>
      <c r="F1030" s="16" t="n"/>
      <c r="G1030" s="9" t="n">
        <v>13.74358974358974</v>
      </c>
      <c r="H1030" s="9" t="n">
        <v>13.74358974358974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1" t="n">
        <v>1</v>
      </c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/>
      <c r="Y1030" s="17" t="n">
        <v>1</v>
      </c>
      <c r="Z1030" s="13">
        <f>SUMPRODUCT(N1030:Y1030,$N$2:$Y$2)*$K1030*$L1030*$M1030</f>
        <v/>
      </c>
      <c r="AA1030" s="14">
        <f>SUM(N1030:Y1030)</f>
        <v/>
      </c>
      <c r="AB1030" s="14">
        <f>IFERROR(IF(UPPER($E1030)="L",SUMPRODUCT(N1030:Y1030,$N$3:$Y$3,$N$2:$Y$2),SUMPRODUCT(N1030:Y1030,$N$4:$Y$4,$N$2:$Y$2))/(Z1030/($K1030*$L1030*$M1030)),"")</f>
        <v/>
      </c>
      <c r="AC1030" s="18" t="n"/>
    </row>
    <row r="1031">
      <c r="A1031" s="9" t="n">
        <v>806197</v>
      </c>
      <c r="B1031" s="9" t="inlineStr">
        <is>
          <t>Hideki Prather</t>
        </is>
      </c>
      <c r="C1031" s="9" t="inlineStr">
        <is>
          <t>MIN</t>
        </is>
      </c>
      <c r="D1031" s="9" t="n">
        <v>25</v>
      </c>
      <c r="E1031" s="16" t="inlineStr">
        <is>
          <t>R</t>
        </is>
      </c>
      <c r="F1031" s="16" t="n"/>
      <c r="G1031" s="9" t="n">
        <v>5.415384615384616</v>
      </c>
      <c r="H1031" s="9" t="n">
        <v>5.415384615384616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1" t="n">
        <v>1</v>
      </c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/>
      <c r="Y1031" s="17" t="n">
        <v>1</v>
      </c>
      <c r="Z1031" s="13">
        <f>SUMPRODUCT(N1031:Y1031,$N$2:$Y$2)*$K1031*$L1031*$M1031</f>
        <v/>
      </c>
      <c r="AA1031" s="14">
        <f>SUM(N1031:Y1031)</f>
        <v/>
      </c>
      <c r="AB1031" s="14">
        <f>IFERROR(IF(UPPER($E1031)="L",SUMPRODUCT(N1031:Y1031,$N$3:$Y$3,$N$2:$Y$2),SUMPRODUCT(N1031:Y1031,$N$4:$Y$4,$N$2:$Y$2))/(Z1031/($K1031*$L1031*$M1031)),"")</f>
        <v/>
      </c>
      <c r="AC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1" t="n">
        <v>1</v>
      </c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/>
      <c r="Y1032" s="17" t="n">
        <v>1</v>
      </c>
      <c r="Z1032" s="13">
        <f>SUMPRODUCT(N1032:Y1032,$N$2:$Y$2)*$K1032*$L1032*$M1032</f>
        <v/>
      </c>
      <c r="AA1032" s="14">
        <f>SUM(N1032:Y1032)</f>
        <v/>
      </c>
      <c r="AB1032" s="14">
        <f>IFERROR(IF(UPPER($E1032)="L",SUMPRODUCT(N1032:Y1032,$N$3:$Y$3,$N$2:$Y$2),SUMPRODUCT(N1032:Y1032,$N$4:$Y$4,$N$2:$Y$2))/(Z1032/($K1032*$L1032*$M1032)),"")</f>
        <v/>
      </c>
      <c r="AC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25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Late Season (~Sept)</t>
        </is>
      </c>
      <c r="K1033" s="11">
        <f>IFERROR(INDEX(Roles!$B$17:$B$20,MATCH(J1033,Roles!$A$17:$A$20,0)),1)</f>
        <v/>
      </c>
      <c r="L1033" s="17" t="n">
        <v>1</v>
      </c>
      <c r="M1033" s="11" t="n">
        <v>1</v>
      </c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/>
      <c r="Y1033" s="17" t="n">
        <v>1</v>
      </c>
      <c r="Z1033" s="13">
        <f>SUMPRODUCT(N1033:Y1033,$N$2:$Y$2)*$K1033*$L1033*$M1033</f>
        <v/>
      </c>
      <c r="AA1033" s="14">
        <f>SUM(N1033:Y1033)</f>
        <v/>
      </c>
      <c r="AB1033" s="14">
        <f>IFERROR(IF(UPPER($E1033)="L",SUMPRODUCT(N1033:Y1033,$N$3:$Y$3,$N$2:$Y$2),SUMPRODUCT(N1033:Y1033,$N$4:$Y$4,$N$2:$Y$2))/(Z1033/($K1033*$L1033*$M1033)),"")</f>
        <v/>
      </c>
      <c r="AC1033" s="18" t="n"/>
    </row>
    <row r="1034">
      <c r="A1034" s="9" t="n">
        <v>807645</v>
      </c>
      <c r="B1034" s="9" t="inlineStr">
        <is>
          <t>Adolfo Sanchez</t>
        </is>
      </c>
      <c r="C1034" s="9" t="inlineStr">
        <is>
          <t>CIN</t>
        </is>
      </c>
      <c r="D1034" s="9" t="n">
        <v>25</v>
      </c>
      <c r="E1034" s="16" t="inlineStr">
        <is>
          <t>L</t>
        </is>
      </c>
      <c r="F1034" s="16" t="n"/>
      <c r="G1034" s="9" t="n">
        <v>13.90769230769231</v>
      </c>
      <c r="H1034" s="9" t="n">
        <v>13.90769230769231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1" t="n">
        <v>1</v>
      </c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/>
      <c r="Y1034" s="17" t="n">
        <v>1</v>
      </c>
      <c r="Z1034" s="13">
        <f>SUMPRODUCT(N1034:Y1034,$N$2:$Y$2)*$K1034*$L1034*$M1034</f>
        <v/>
      </c>
      <c r="AA1034" s="14">
        <f>SUM(N1034:Y1034)</f>
        <v/>
      </c>
      <c r="AB1034" s="14">
        <f>IFERROR(IF(UPPER($E1034)="L",SUMPRODUCT(N1034:Y1034,$N$3:$Y$3,$N$2:$Y$2),SUMPRODUCT(N1034:Y1034,$N$4:$Y$4,$N$2:$Y$2))/(Z1034/($K1034*$L1034*$M1034)),"")</f>
        <v/>
      </c>
      <c r="AC1034" s="18" t="n"/>
    </row>
    <row r="1035">
      <c r="A1035" s="9" t="n">
        <v>815220</v>
      </c>
      <c r="B1035" s="9" t="inlineStr">
        <is>
          <t>Aldo Gaxiola</t>
        </is>
      </c>
      <c r="C1035" s="9" t="inlineStr">
        <is>
          <t>TOR</t>
        </is>
      </c>
      <c r="D1035" s="9" t="n">
        <v>25</v>
      </c>
      <c r="E1035" s="16" t="inlineStr">
        <is>
          <t>R</t>
        </is>
      </c>
      <c r="F1035" s="16" t="n"/>
      <c r="G1035" s="9" t="n">
        <v>43.81538461538462</v>
      </c>
      <c r="H1035" s="9" t="n">
        <v>43.81538461538462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1" t="n">
        <v>1</v>
      </c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/>
      <c r="Y1035" s="17" t="n">
        <v>1</v>
      </c>
      <c r="Z1035" s="13">
        <f>SUMPRODUCT(N1035:Y1035,$N$2:$Y$2)*$K1035*$L1035*$M1035</f>
        <v/>
      </c>
      <c r="AA1035" s="14">
        <f>SUM(N1035:Y1035)</f>
        <v/>
      </c>
      <c r="AB1035" s="14">
        <f>IFERROR(IF(UPPER($E1035)="L",SUMPRODUCT(N1035:Y1035,$N$3:$Y$3,$N$2:$Y$2),SUMPRODUCT(N1035:Y1035,$N$4:$Y$4,$N$2:$Y$2))/(Z1035/($K1035*$L1035*$M1035)),"")</f>
        <v/>
      </c>
      <c r="AC1035" s="18" t="n"/>
    </row>
    <row r="1036">
      <c r="A1036" s="9" t="n">
        <v>805225</v>
      </c>
      <c r="B1036" s="9" t="inlineStr">
        <is>
          <t>Nu'u Contrades</t>
        </is>
      </c>
      <c r="C1036" s="9" t="inlineStr">
        <is>
          <t>SD</t>
        </is>
      </c>
      <c r="D1036" s="9" t="n">
        <v>25</v>
      </c>
      <c r="E1036" s="16" t="inlineStr">
        <is>
          <t>R</t>
        </is>
      </c>
      <c r="F1036" s="16" t="n"/>
      <c r="G1036" s="9" t="n">
        <v>11.93846153846154</v>
      </c>
      <c r="H1036" s="9" t="n">
        <v>11.93846153846154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1" t="n">
        <v>1</v>
      </c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/>
      <c r="Y1036" s="17" t="n">
        <v>1</v>
      </c>
      <c r="Z1036" s="13">
        <f>SUMPRODUCT(N1036:Y1036,$N$2:$Y$2)*$K1036*$L1036*$M1036</f>
        <v/>
      </c>
      <c r="AA1036" s="14">
        <f>SUM(N1036:Y1036)</f>
        <v/>
      </c>
      <c r="AB1036" s="14">
        <f>IFERROR(IF(UPPER($E1036)="L",SUMPRODUCT(N1036:Y1036,$N$3:$Y$3,$N$2:$Y$2),SUMPRODUCT(N1036:Y1036,$N$4:$Y$4,$N$2:$Y$2))/(Z1036/($K1036*$L1036*$M1036)),"")</f>
        <v/>
      </c>
      <c r="AC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25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Late Season (~Sept)</t>
        </is>
      </c>
      <c r="K1037" s="11">
        <f>IFERROR(INDEX(Roles!$B$17:$B$20,MATCH(J1037,Roles!$A$17:$A$20,0)),1)</f>
        <v/>
      </c>
      <c r="L1037" s="17" t="n">
        <v>1</v>
      </c>
      <c r="M1037" s="11" t="n">
        <v>1</v>
      </c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/>
      <c r="Y1037" s="17" t="n">
        <v>1</v>
      </c>
      <c r="Z1037" s="13">
        <f>SUMPRODUCT(N1037:Y1037,$N$2:$Y$2)*$K1037*$L1037*$M1037</f>
        <v/>
      </c>
      <c r="AA1037" s="14">
        <f>SUM(N1037:Y1037)</f>
        <v/>
      </c>
      <c r="AB1037" s="14">
        <f>IFERROR(IF(UPPER($E1037)="L",SUMPRODUCT(N1037:Y1037,$N$3:$Y$3,$N$2:$Y$2),SUMPRODUCT(N1037:Y1037,$N$4:$Y$4,$N$2:$Y$2))/(Z1037/($K1037*$L1037*$M1037)),"")</f>
        <v/>
      </c>
      <c r="AC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1" t="n">
        <v>1</v>
      </c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/>
      <c r="Y1038" s="17" t="n">
        <v>1</v>
      </c>
      <c r="Z1038" s="13">
        <f>SUMPRODUCT(N1038:Y1038,$N$2:$Y$2)*$K1038*$L1038*$M1038</f>
        <v/>
      </c>
      <c r="AA1038" s="14">
        <f>SUM(N1038:Y1038)</f>
        <v/>
      </c>
      <c r="AB1038" s="14">
        <f>IFERROR(IF(UPPER($E1038)="L",SUMPRODUCT(N1038:Y1038,$N$3:$Y$3,$N$2:$Y$2),SUMPRODUCT(N1038:Y1038,$N$4:$Y$4,$N$2:$Y$2))/(Z1038/($K1038*$L1038*$M1038)),"")</f>
        <v/>
      </c>
      <c r="AC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1" t="n">
        <v>1</v>
      </c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/>
      <c r="Y1039" s="17" t="n">
        <v>1</v>
      </c>
      <c r="Z1039" s="13">
        <f>SUMPRODUCT(N1039:Y1039,$N$2:$Y$2)*$K1039*$L1039*$M1039</f>
        <v/>
      </c>
      <c r="AA1039" s="14">
        <f>SUM(N1039:Y1039)</f>
        <v/>
      </c>
      <c r="AB1039" s="14">
        <f>IFERROR(IF(UPPER($E1039)="L",SUMPRODUCT(N1039:Y1039,$N$3:$Y$3,$N$2:$Y$2),SUMPRODUCT(N1039:Y1039,$N$4:$Y$4,$N$2:$Y$2))/(Z1039/($K1039*$L1039*$M1039)),"")</f>
        <v/>
      </c>
      <c r="AC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1" t="n">
        <v>1</v>
      </c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/>
      <c r="Y1040" s="17" t="n">
        <v>1</v>
      </c>
      <c r="Z1040" s="13">
        <f>SUMPRODUCT(N1040:Y1040,$N$2:$Y$2)*$K1040*$L1040*$M1040</f>
        <v/>
      </c>
      <c r="AA1040" s="14">
        <f>SUM(N1040:Y1040)</f>
        <v/>
      </c>
      <c r="AB1040" s="14">
        <f>IFERROR(IF(UPPER($E1040)="L",SUMPRODUCT(N1040:Y1040,$N$3:$Y$3,$N$2:$Y$2),SUMPRODUCT(N1040:Y1040,$N$4:$Y$4,$N$2:$Y$2))/(Z1040/($K1040*$L1040*$M1040)),"")</f>
        <v/>
      </c>
      <c r="AC1040" s="18" t="n"/>
    </row>
    <row r="1041">
      <c r="A1041" s="9" t="n">
        <v>702631</v>
      </c>
      <c r="B1041" s="9" t="inlineStr">
        <is>
          <t>Adonys Guzman</t>
        </is>
      </c>
      <c r="C1041" s="9" t="inlineStr">
        <is>
          <t>BOS</t>
        </is>
      </c>
      <c r="D1041" s="9" t="n">
        <v>25</v>
      </c>
      <c r="E1041" s="16" t="inlineStr">
        <is>
          <t>R</t>
        </is>
      </c>
      <c r="F1041" s="16" t="n"/>
      <c r="G1041" s="9" t="n">
        <v>17.84615384615385</v>
      </c>
      <c r="H1041" s="9" t="n">
        <v>17.84615384615385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1" t="n">
        <v>1</v>
      </c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/>
      <c r="Y1041" s="17" t="n">
        <v>1</v>
      </c>
      <c r="Z1041" s="13">
        <f>SUMPRODUCT(N1041:Y1041,$N$2:$Y$2)*$K1041*$L1041*$M1041</f>
        <v/>
      </c>
      <c r="AA1041" s="14">
        <f>SUM(N1041:Y1041)</f>
        <v/>
      </c>
      <c r="AB1041" s="14">
        <f>IFERROR(IF(UPPER($E1041)="L",SUMPRODUCT(N1041:Y1041,$N$3:$Y$3,$N$2:$Y$2),SUMPRODUCT(N1041:Y1041,$N$4:$Y$4,$N$2:$Y$2))/(Z1041/($K1041*$L1041*$M1041)),"")</f>
        <v/>
      </c>
      <c r="AC1041" s="18" t="n"/>
    </row>
    <row r="1042">
      <c r="A1042" s="9" t="n">
        <v>828903</v>
      </c>
      <c r="B1042" s="9" t="inlineStr">
        <is>
          <t>Tyson Moran</t>
        </is>
      </c>
      <c r="C1042" s="9" t="inlineStr">
        <is>
          <t>KC</t>
        </is>
      </c>
      <c r="D1042" s="9" t="n">
        <v>25</v>
      </c>
      <c r="E1042" s="16" t="inlineStr">
        <is>
          <t>L</t>
        </is>
      </c>
      <c r="F1042" s="16" t="n"/>
      <c r="G1042" s="9" t="n">
        <v>7.753846153846153</v>
      </c>
      <c r="H1042" s="9" t="n">
        <v>7.753846153846153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1" t="n">
        <v>1</v>
      </c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/>
      <c r="Y1042" s="17" t="n">
        <v>1</v>
      </c>
      <c r="Z1042" s="13">
        <f>SUMPRODUCT(N1042:Y1042,$N$2:$Y$2)*$K1042*$L1042*$M1042</f>
        <v/>
      </c>
      <c r="AA1042" s="14">
        <f>SUM(N1042:Y1042)</f>
        <v/>
      </c>
      <c r="AB1042" s="14">
        <f>IFERROR(IF(UPPER($E1042)="L",SUMPRODUCT(N1042:Y1042,$N$3:$Y$3,$N$2:$Y$2),SUMPRODUCT(N1042:Y1042,$N$4:$Y$4,$N$2:$Y$2))/(Z1042/($K1042*$L1042*$M1042)),"")</f>
        <v/>
      </c>
      <c r="AC1042" s="18" t="n"/>
    </row>
    <row r="1043">
      <c r="A1043" s="9" t="n">
        <v>702582</v>
      </c>
      <c r="B1043" s="9" t="inlineStr">
        <is>
          <t>Dallas Macias</t>
        </is>
      </c>
      <c r="C1043" s="9" t="inlineStr">
        <is>
          <t>ATL</t>
        </is>
      </c>
      <c r="D1043" s="9" t="n">
        <v>25</v>
      </c>
      <c r="E1043" s="16" t="inlineStr">
        <is>
          <t>S</t>
        </is>
      </c>
      <c r="F1043" s="16" t="n"/>
      <c r="G1043" s="9" t="n">
        <v>22.56410256410257</v>
      </c>
      <c r="H1043" s="9" t="n">
        <v>22.56410256410257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1" t="n">
        <v>1</v>
      </c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/>
      <c r="Y1043" s="17" t="n">
        <v>1</v>
      </c>
      <c r="Z1043" s="13">
        <f>SUMPRODUCT(N1043:Y1043,$N$2:$Y$2)*$K1043*$L1043*$M1043</f>
        <v/>
      </c>
      <c r="AA1043" s="14">
        <f>SUM(N1043:Y1043)</f>
        <v/>
      </c>
      <c r="AB1043" s="14">
        <f>IFERROR(IF(UPPER($E1043)="L",SUMPRODUCT(N1043:Y1043,$N$3:$Y$3,$N$2:$Y$2),SUMPRODUCT(N1043:Y1043,$N$4:$Y$4,$N$2:$Y$2))/(Z1043/($K1043*$L1043*$M1043)),"")</f>
        <v/>
      </c>
      <c r="AC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1" t="n">
        <v>1</v>
      </c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/>
      <c r="Y1044" s="17" t="n">
        <v>1</v>
      </c>
      <c r="Z1044" s="13">
        <f>SUMPRODUCT(N1044:Y1044,$N$2:$Y$2)*$K1044*$L1044*$M1044</f>
        <v/>
      </c>
      <c r="AA1044" s="14">
        <f>SUM(N1044:Y1044)</f>
        <v/>
      </c>
      <c r="AB1044" s="14">
        <f>IFERROR(IF(UPPER($E1044)="L",SUMPRODUCT(N1044:Y1044,$N$3:$Y$3,$N$2:$Y$2),SUMPRODUCT(N1044:Y1044,$N$4:$Y$4,$N$2:$Y$2))/(Z1044/($K1044*$L1044*$M1044)),"")</f>
        <v/>
      </c>
      <c r="AC1044" s="18" t="n"/>
    </row>
    <row r="1045">
      <c r="A1045" s="9" t="n">
        <v>801130</v>
      </c>
      <c r="B1045" s="9" t="inlineStr">
        <is>
          <t>Alex Birge</t>
        </is>
      </c>
      <c r="C1045" s="9" t="inlineStr">
        <is>
          <t>STL</t>
        </is>
      </c>
      <c r="D1045" s="9" t="n">
        <v>25</v>
      </c>
      <c r="E1045" s="16" t="inlineStr">
        <is>
          <t>L</t>
        </is>
      </c>
      <c r="F1045" s="16" t="n"/>
      <c r="G1045" s="9" t="n">
        <v>5.538461538461539</v>
      </c>
      <c r="H1045" s="9" t="n">
        <v>5.538461538461539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1" t="n">
        <v>1</v>
      </c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/>
      <c r="Y1045" s="17" t="n">
        <v>1</v>
      </c>
      <c r="Z1045" s="13">
        <f>SUMPRODUCT(N1045:Y1045,$N$2:$Y$2)*$K1045*$L1045*$M1045</f>
        <v/>
      </c>
      <c r="AA1045" s="14">
        <f>SUM(N1045:Y1045)</f>
        <v/>
      </c>
      <c r="AB1045" s="14">
        <f>IFERROR(IF(UPPER($E1045)="L",SUMPRODUCT(N1045:Y1045,$N$3:$Y$3,$N$2:$Y$2),SUMPRODUCT(N1045:Y1045,$N$4:$Y$4,$N$2:$Y$2))/(Z1045/($K1045*$L1045*$M1045)),"")</f>
        <v/>
      </c>
      <c r="AC1045" s="18" t="n"/>
    </row>
    <row r="1046">
      <c r="A1046" s="9" t="n">
        <v>813842</v>
      </c>
      <c r="B1046" s="9" t="inlineStr">
        <is>
          <t>Chase Call</t>
        </is>
      </c>
      <c r="C1046" s="9" t="inlineStr">
        <is>
          <t>HOU</t>
        </is>
      </c>
      <c r="D1046" s="9" t="n">
        <v>25</v>
      </c>
      <c r="E1046" s="16" t="inlineStr">
        <is>
          <t>R</t>
        </is>
      </c>
      <c r="F1046" s="16" t="n"/>
      <c r="G1046" s="9" t="n">
        <v>54.56410256410257</v>
      </c>
      <c r="H1046" s="9" t="n">
        <v>54.56410256410257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1" t="n">
        <v>1</v>
      </c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/>
      <c r="Y1046" s="17" t="n">
        <v>1</v>
      </c>
      <c r="Z1046" s="13">
        <f>SUMPRODUCT(N1046:Y1046,$N$2:$Y$2)*$K1046*$L1046*$M1046</f>
        <v/>
      </c>
      <c r="AA1046" s="14">
        <f>SUM(N1046:Y1046)</f>
        <v/>
      </c>
      <c r="AB1046" s="14">
        <f>IFERROR(IF(UPPER($E1046)="L",SUMPRODUCT(N1046:Y1046,$N$3:$Y$3,$N$2:$Y$2),SUMPRODUCT(N1046:Y1046,$N$4:$Y$4,$N$2:$Y$2))/(Z1046/($K1046*$L1046*$M1046)),"")</f>
        <v/>
      </c>
      <c r="AC1046" s="18" t="n"/>
    </row>
    <row r="1047">
      <c r="A1047" s="9" t="n">
        <v>835938</v>
      </c>
      <c r="B1047" s="9" t="inlineStr">
        <is>
          <t>Hayden Friese</t>
        </is>
      </c>
      <c r="C1047" s="9" t="inlineStr">
        <is>
          <t>ATL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1" t="n">
        <v>1</v>
      </c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/>
      <c r="Y1047" s="17" t="n">
        <v>1</v>
      </c>
      <c r="Z1047" s="13">
        <f>SUMPRODUCT(N1047:Y1047,$N$2:$Y$2)*$K1047*$L1047*$M1047</f>
        <v/>
      </c>
      <c r="AA1047" s="14">
        <f>SUM(N1047:Y1047)</f>
        <v/>
      </c>
      <c r="AB1047" s="14">
        <f>IFERROR(IF(UPPER($E1047)="L",SUMPRODUCT(N1047:Y1047,$N$3:$Y$3,$N$2:$Y$2),SUMPRODUCT(N1047:Y1047,$N$4:$Y$4,$N$2:$Y$2))/(Z1047/($K1047*$L1047*$M1047)),"")</f>
        <v/>
      </c>
      <c r="AC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1" t="n">
        <v>1</v>
      </c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/>
      <c r="Y1048" s="17" t="n">
        <v>1</v>
      </c>
      <c r="Z1048" s="13">
        <f>SUMPRODUCT(N1048:Y1048,$N$2:$Y$2)*$K1048*$L1048*$M1048</f>
        <v/>
      </c>
      <c r="AA1048" s="14">
        <f>SUM(N1048:Y1048)</f>
        <v/>
      </c>
      <c r="AB1048" s="14">
        <f>IFERROR(IF(UPPER($E1048)="L",SUMPRODUCT(N1048:Y1048,$N$3:$Y$3,$N$2:$Y$2),SUMPRODUCT(N1048:Y1048,$N$4:$Y$4,$N$2:$Y$2))/(Z1048/($K1048*$L1048*$M1048)),"")</f>
        <v/>
      </c>
      <c r="AC1048" s="18" t="n"/>
    </row>
    <row r="1049">
      <c r="A1049" s="9" t="n">
        <v>702895</v>
      </c>
      <c r="B1049" s="9" t="inlineStr">
        <is>
          <t>Geuri Lubo</t>
        </is>
      </c>
      <c r="C1049" s="9" t="inlineStr">
        <is>
          <t>CHC</t>
        </is>
      </c>
      <c r="D1049" s="9" t="n">
        <v>25</v>
      </c>
      <c r="E1049" s="16" t="inlineStr">
        <is>
          <t>R</t>
        </is>
      </c>
      <c r="F1049" s="16" t="n"/>
      <c r="G1049" s="9" t="n">
        <v>13.74358974358974</v>
      </c>
      <c r="H1049" s="9" t="n">
        <v>13.74358974358974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1" t="n">
        <v>1</v>
      </c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/>
      <c r="Y1049" s="17" t="n">
        <v>1</v>
      </c>
      <c r="Z1049" s="13">
        <f>SUMPRODUCT(N1049:Y1049,$N$2:$Y$2)*$K1049*$L1049*$M1049</f>
        <v/>
      </c>
      <c r="AA1049" s="14">
        <f>SUM(N1049:Y1049)</f>
        <v/>
      </c>
      <c r="AB1049" s="14">
        <f>IFERROR(IF(UPPER($E1049)="L",SUMPRODUCT(N1049:Y1049,$N$3:$Y$3,$N$2:$Y$2),SUMPRODUCT(N1049:Y1049,$N$4:$Y$4,$N$2:$Y$2))/(Z1049/($K1049*$L1049*$M1049)),"")</f>
        <v/>
      </c>
      <c r="AC1049" s="18" t="n"/>
    </row>
    <row r="1050">
      <c r="A1050" s="9" t="n">
        <v>656514</v>
      </c>
      <c r="B1050" s="9" t="inlineStr">
        <is>
          <t>Adam Haseley</t>
        </is>
      </c>
      <c r="C1050" s="9" t="inlineStr">
        <is>
          <t>CWS</t>
        </is>
      </c>
      <c r="D1050" s="9" t="n">
        <v>31</v>
      </c>
      <c r="E1050" s="16" t="inlineStr">
        <is>
          <t>L</t>
        </is>
      </c>
      <c r="F1050" s="16" t="inlineStr">
        <is>
          <t>RF</t>
        </is>
      </c>
      <c r="G1050" s="9" t="n">
        <v>39</v>
      </c>
      <c r="H1050" s="9" t="n">
        <v>64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1" t="n">
        <v>1</v>
      </c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/>
      <c r="Y1050" s="17" t="n">
        <v>1</v>
      </c>
      <c r="Z1050" s="13">
        <f>SUMPRODUCT(N1050:Y1050,$N$2:$Y$2)*$K1050*$L1050*$M1050</f>
        <v/>
      </c>
      <c r="AA1050" s="14">
        <f>SUM(N1050:Y1050)</f>
        <v/>
      </c>
      <c r="AB1050" s="14">
        <f>IFERROR(IF(UPPER($E1050)="L",SUMPRODUCT(N1050:Y1050,$N$3:$Y$3,$N$2:$Y$2),SUMPRODUCT(N1050:Y1050,$N$4:$Y$4,$N$2:$Y$2))/(Z1050/($K1050*$L1050*$M1050)),"")</f>
        <v/>
      </c>
      <c r="AC1050" s="18" t="n"/>
    </row>
    <row r="1051">
      <c r="A1051" s="9" t="n">
        <v>830984</v>
      </c>
      <c r="B1051" s="9" t="inlineStr">
        <is>
          <t>Brennan Hudson</t>
        </is>
      </c>
      <c r="C1051" s="9" t="inlineStr">
        <is>
          <t>CHC</t>
        </is>
      </c>
      <c r="D1051" s="9" t="n">
        <v>25</v>
      </c>
      <c r="E1051" s="16" t="inlineStr">
        <is>
          <t>L</t>
        </is>
      </c>
      <c r="F1051" s="16" t="n"/>
      <c r="G1051" s="9" t="n">
        <v>13.74358974358974</v>
      </c>
      <c r="H1051" s="9" t="n">
        <v>13.74358974358974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1" t="n">
        <v>1</v>
      </c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/>
      <c r="Y1051" s="17" t="n">
        <v>1</v>
      </c>
      <c r="Z1051" s="13">
        <f>SUMPRODUCT(N1051:Y1051,$N$2:$Y$2)*$K1051*$L1051*$M1051</f>
        <v/>
      </c>
      <c r="AA1051" s="14">
        <f>SUM(N1051:Y1051)</f>
        <v/>
      </c>
      <c r="AB1051" s="14">
        <f>IFERROR(IF(UPPER($E1051)="L",SUMPRODUCT(N1051:Y1051,$N$3:$Y$3,$N$2:$Y$2),SUMPRODUCT(N1051:Y1051,$N$4:$Y$4,$N$2:$Y$2))/(Z1051/($K1051*$L1051*$M1051)),"")</f>
        <v/>
      </c>
      <c r="AC1051" s="18" t="n"/>
    </row>
    <row r="1052">
      <c r="A1052" s="9" t="n">
        <v>806680</v>
      </c>
      <c r="B1052" s="9" t="inlineStr">
        <is>
          <t>Chris Hacopian</t>
        </is>
      </c>
      <c r="C1052" s="9" t="inlineStr">
        <is>
          <t>WSH</t>
        </is>
      </c>
      <c r="D1052" s="9" t="n">
        <v>25</v>
      </c>
      <c r="E1052" s="16" t="inlineStr">
        <is>
          <t>R</t>
        </is>
      </c>
      <c r="F1052" s="16" t="n"/>
      <c r="G1052" s="9" t="n">
        <v>9.846153846153848</v>
      </c>
      <c r="H1052" s="9" t="n">
        <v>9.846153846153848</v>
      </c>
      <c r="I1052" s="9" t="inlineStr">
        <is>
          <t>Depth (no MLB PA)</t>
        </is>
      </c>
      <c r="J1052" s="16" t="inlineStr">
        <is>
          <t>Late Season (~Sept)</t>
        </is>
      </c>
      <c r="K1052" s="11">
        <f>IFERROR(INDEX(Roles!$B$17:$B$20,MATCH(J1052,Roles!$A$17:$A$20,0)),1)</f>
        <v/>
      </c>
      <c r="L1052" s="17" t="n">
        <v>1</v>
      </c>
      <c r="M1052" s="11" t="n">
        <v>1</v>
      </c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/>
      <c r="Y1052" s="17" t="n">
        <v>1</v>
      </c>
      <c r="Z1052" s="13">
        <f>SUMPRODUCT(N1052:Y1052,$N$2:$Y$2)*$K1052*$L1052*$M1052</f>
        <v/>
      </c>
      <c r="AA1052" s="14">
        <f>SUM(N1052:Y1052)</f>
        <v/>
      </c>
      <c r="AB1052" s="14">
        <f>IFERROR(IF(UPPER($E1052)="L",SUMPRODUCT(N1052:Y1052,$N$3:$Y$3,$N$2:$Y$2),SUMPRODUCT(N1052:Y1052,$N$4:$Y$4,$N$2:$Y$2))/(Z1052/($K1052*$L1052*$M1052)),"")</f>
        <v/>
      </c>
      <c r="AC1052" s="18" t="n"/>
    </row>
    <row r="1053">
      <c r="A1053" s="9" t="n">
        <v>835716</v>
      </c>
      <c r="B1053" s="9" t="inlineStr">
        <is>
          <t>Jack Barker</t>
        </is>
      </c>
      <c r="C1053" s="9" t="inlineStr">
        <is>
          <t>PHI</t>
        </is>
      </c>
      <c r="D1053" s="9" t="n">
        <v>25</v>
      </c>
      <c r="E1053" s="16" t="inlineStr">
        <is>
          <t>L</t>
        </is>
      </c>
      <c r="F1053" s="16" t="n"/>
      <c r="G1053" s="9" t="n">
        <v>5.538461538461538</v>
      </c>
      <c r="H1053" s="9" t="n">
        <v>5.538461538461538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1" t="n">
        <v>1</v>
      </c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/>
      <c r="Y1053" s="17" t="n">
        <v>1</v>
      </c>
      <c r="Z1053" s="13">
        <f>SUMPRODUCT(N1053:Y1053,$N$2:$Y$2)*$K1053*$L1053*$M1053</f>
        <v/>
      </c>
      <c r="AA1053" s="14">
        <f>SUM(N1053:Y1053)</f>
        <v/>
      </c>
      <c r="AB1053" s="14">
        <f>IFERROR(IF(UPPER($E1053)="L",SUMPRODUCT(N1053:Y1053,$N$3:$Y$3,$N$2:$Y$2),SUMPRODUCT(N1053:Y1053,$N$4:$Y$4,$N$2:$Y$2))/(Z1053/($K1053*$L1053*$M1053)),"")</f>
        <v/>
      </c>
      <c r="AC1053" s="18" t="n"/>
    </row>
    <row r="1054">
      <c r="A1054" s="9" t="n">
        <v>832104</v>
      </c>
      <c r="B1054" s="9" t="inlineStr">
        <is>
          <t>Kooper Schulte</t>
        </is>
      </c>
      <c r="C1054" s="9" t="inlineStr">
        <is>
          <t>NYM</t>
        </is>
      </c>
      <c r="D1054" s="9" t="n">
        <v>25</v>
      </c>
      <c r="E1054" s="16" t="inlineStr">
        <is>
          <t>R</t>
        </is>
      </c>
      <c r="F1054" s="16" t="n"/>
      <c r="G1054" s="9" t="n">
        <v>5.538461538461538</v>
      </c>
      <c r="H1054" s="9" t="n">
        <v>5.538461538461538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1" t="n">
        <v>1</v>
      </c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/>
      <c r="Y1054" s="17" t="n">
        <v>1</v>
      </c>
      <c r="Z1054" s="13">
        <f>SUMPRODUCT(N1054:Y1054,$N$2:$Y$2)*$K1054*$L1054*$M1054</f>
        <v/>
      </c>
      <c r="AA1054" s="14">
        <f>SUM(N1054:Y1054)</f>
        <v/>
      </c>
      <c r="AB1054" s="14">
        <f>IFERROR(IF(UPPER($E1054)="L",SUMPRODUCT(N1054:Y1054,$N$3:$Y$3,$N$2:$Y$2),SUMPRODUCT(N1054:Y1054,$N$4:$Y$4,$N$2:$Y$2))/(Z1054/($K1054*$L1054*$M1054)),"")</f>
        <v/>
      </c>
      <c r="AC1054" s="18" t="n"/>
    </row>
    <row r="1055">
      <c r="A1055" s="9" t="n">
        <v>678099</v>
      </c>
      <c r="B1055" s="9" t="inlineStr">
        <is>
          <t>Gavin Logan</t>
        </is>
      </c>
      <c r="C1055" s="9" t="inlineStr">
        <is>
          <t>ARI</t>
        </is>
      </c>
      <c r="D1055" s="9" t="n">
        <v>25</v>
      </c>
      <c r="E1055" s="16" t="inlineStr">
        <is>
          <t>L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1" t="n">
        <v>1</v>
      </c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/>
      <c r="Y1055" s="17" t="n">
        <v>1</v>
      </c>
      <c r="Z1055" s="13">
        <f>SUMPRODUCT(N1055:Y1055,$N$2:$Y$2)*$K1055*$L1055*$M1055</f>
        <v/>
      </c>
      <c r="AA1055" s="14">
        <f>SUM(N1055:Y1055)</f>
        <v/>
      </c>
      <c r="AB1055" s="14">
        <f>IFERROR(IF(UPPER($E1055)="L",SUMPRODUCT(N1055:Y1055,$N$3:$Y$3,$N$2:$Y$2),SUMPRODUCT(N1055:Y1055,$N$4:$Y$4,$N$2:$Y$2))/(Z1055/($K1055*$L1055*$M1055)),"")</f>
        <v/>
      </c>
      <c r="AC1055" s="18" t="n"/>
    </row>
    <row r="1056">
      <c r="A1056" s="9" t="n">
        <v>807740</v>
      </c>
      <c r="B1056" s="9" t="inlineStr">
        <is>
          <t>Luke Shliger</t>
        </is>
      </c>
      <c r="C1056" s="9" t="inlineStr">
        <is>
          <t>DET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1" t="n">
        <v>1</v>
      </c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/>
      <c r="Y1056" s="17" t="n">
        <v>1</v>
      </c>
      <c r="Z1056" s="13">
        <f>SUMPRODUCT(N1056:Y1056,$N$2:$Y$2)*$K1056*$L1056*$M1056</f>
        <v/>
      </c>
      <c r="AA1056" s="14">
        <f>SUM(N1056:Y1056)</f>
        <v/>
      </c>
      <c r="AB1056" s="14">
        <f>IFERROR(IF(UPPER($E1056)="L",SUMPRODUCT(N1056:Y1056,$N$3:$Y$3,$N$2:$Y$2),SUMPRODUCT(N1056:Y1056,$N$4:$Y$4,$N$2:$Y$2))/(Z1056/($K1056*$L1056*$M1056)),"")</f>
        <v/>
      </c>
      <c r="AC1056" s="18" t="n"/>
    </row>
    <row r="1057">
      <c r="A1057" s="9" t="n">
        <v>824558</v>
      </c>
      <c r="B1057" s="9" t="inlineStr">
        <is>
          <t>Alex Conover</t>
        </is>
      </c>
      <c r="C1057" s="9" t="inlineStr">
        <is>
          <t>SD</t>
        </is>
      </c>
      <c r="D1057" s="9" t="n">
        <v>25</v>
      </c>
      <c r="E1057" s="16" t="inlineStr">
        <is>
          <t>L</t>
        </is>
      </c>
      <c r="F1057" s="16" t="n"/>
      <c r="G1057" s="9" t="n">
        <v>10.09230769230769</v>
      </c>
      <c r="H1057" s="9" t="n">
        <v>10.09230769230769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1" t="n">
        <v>1</v>
      </c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/>
      <c r="Y1057" s="17" t="n">
        <v>1</v>
      </c>
      <c r="Z1057" s="13">
        <f>SUMPRODUCT(N1057:Y1057,$N$2:$Y$2)*$K1057*$L1057*$M1057</f>
        <v/>
      </c>
      <c r="AA1057" s="14">
        <f>SUM(N1057:Y1057)</f>
        <v/>
      </c>
      <c r="AB1057" s="14">
        <f>IFERROR(IF(UPPER($E1057)="L",SUMPRODUCT(N1057:Y1057,$N$3:$Y$3,$N$2:$Y$2),SUMPRODUCT(N1057:Y1057,$N$4:$Y$4,$N$2:$Y$2))/(Z1057/($K1057*$L1057*$M1057)),"")</f>
        <v/>
      </c>
      <c r="AC1057" s="18" t="n"/>
    </row>
    <row r="1058">
      <c r="A1058" s="9" t="n">
        <v>801290</v>
      </c>
      <c r="B1058" s="9" t="inlineStr">
        <is>
          <t>Max Viera</t>
        </is>
      </c>
      <c r="C1058" s="9" t="inlineStr">
        <is>
          <t>TOR</t>
        </is>
      </c>
      <c r="D1058" s="9" t="n">
        <v>25</v>
      </c>
      <c r="E1058" s="16" t="inlineStr">
        <is>
          <t>R</t>
        </is>
      </c>
      <c r="F1058" s="16" t="n"/>
      <c r="G1058" s="9" t="n">
        <v>13.74358974358974</v>
      </c>
      <c r="H1058" s="9" t="n">
        <v>13.74358974358974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1" t="n">
        <v>1</v>
      </c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/>
      <c r="Y1058" s="17" t="n">
        <v>1</v>
      </c>
      <c r="Z1058" s="13">
        <f>SUMPRODUCT(N1058:Y1058,$N$2:$Y$2)*$K1058*$L1058*$M1058</f>
        <v/>
      </c>
      <c r="AA1058" s="14">
        <f>SUM(N1058:Y1058)</f>
        <v/>
      </c>
      <c r="AB1058" s="14">
        <f>IFERROR(IF(UPPER($E1058)="L",SUMPRODUCT(N1058:Y1058,$N$3:$Y$3,$N$2:$Y$2),SUMPRODUCT(N1058:Y1058,$N$4:$Y$4,$N$2:$Y$2))/(Z1058/($K1058*$L1058*$M1058)),"")</f>
        <v/>
      </c>
      <c r="AC1058" s="18" t="n"/>
    </row>
    <row r="1059">
      <c r="A1059" s="9" t="n">
        <v>687248</v>
      </c>
      <c r="B1059" s="9" t="inlineStr">
        <is>
          <t>Keshawn Ogans</t>
        </is>
      </c>
      <c r="C1059" s="9" t="inlineStr">
        <is>
          <t>ATL</t>
        </is>
      </c>
      <c r="D1059" s="9" t="n">
        <v>25</v>
      </c>
      <c r="E1059" s="16" t="inlineStr">
        <is>
          <t>R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1" t="n">
        <v>1</v>
      </c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/>
      <c r="Y1059" s="17" t="n">
        <v>1</v>
      </c>
      <c r="Z1059" s="13">
        <f>SUMPRODUCT(N1059:Y1059,$N$2:$Y$2)*$K1059*$L1059*$M1059</f>
        <v/>
      </c>
      <c r="AA1059" s="14">
        <f>SUM(N1059:Y1059)</f>
        <v/>
      </c>
      <c r="AB1059" s="14">
        <f>IFERROR(IF(UPPER($E1059)="L",SUMPRODUCT(N1059:Y1059,$N$3:$Y$3,$N$2:$Y$2),SUMPRODUCT(N1059:Y1059,$N$4:$Y$4,$N$2:$Y$2))/(Z1059/($K1059*$L1059*$M1059)),"")</f>
        <v/>
      </c>
      <c r="AC1059" s="18" t="n"/>
    </row>
    <row r="1060">
      <c r="A1060" s="9" t="n">
        <v>805744</v>
      </c>
      <c r="B1060" s="9" t="inlineStr">
        <is>
          <t>Athanael Duarte</t>
        </is>
      </c>
      <c r="C1060" s="9" t="inlineStr">
        <is>
          <t>LAA</t>
        </is>
      </c>
      <c r="D1060" s="9" t="n">
        <v>25</v>
      </c>
      <c r="E1060" s="16" t="inlineStr">
        <is>
          <t>R</t>
        </is>
      </c>
      <c r="F1060" s="16" t="n"/>
      <c r="G1060" s="9" t="n">
        <v>7.753846153846153</v>
      </c>
      <c r="H1060" s="9" t="n">
        <v>7.753846153846153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1" t="n">
        <v>1</v>
      </c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/>
      <c r="Y1060" s="17" t="n">
        <v>1</v>
      </c>
      <c r="Z1060" s="13">
        <f>SUMPRODUCT(N1060:Y1060,$N$2:$Y$2)*$K1060*$L1060*$M1060</f>
        <v/>
      </c>
      <c r="AA1060" s="14">
        <f>SUM(N1060:Y1060)</f>
        <v/>
      </c>
      <c r="AB1060" s="14">
        <f>IFERROR(IF(UPPER($E1060)="L",SUMPRODUCT(N1060:Y1060,$N$3:$Y$3,$N$2:$Y$2),SUMPRODUCT(N1060:Y1060,$N$4:$Y$4,$N$2:$Y$2))/(Z1060/($K1060*$L1060*$M1060)),"")</f>
        <v/>
      </c>
      <c r="AC1060" s="18" t="n"/>
    </row>
    <row r="1061">
      <c r="A1061" s="9" t="n">
        <v>691621</v>
      </c>
      <c r="B1061" s="9" t="inlineStr">
        <is>
          <t>Jheremy Vargas</t>
        </is>
      </c>
      <c r="C1061" s="9" t="inlineStr">
        <is>
          <t>MIL</t>
        </is>
      </c>
      <c r="D1061" s="9" t="n">
        <v>25</v>
      </c>
      <c r="E1061" s="16" t="inlineStr">
        <is>
          <t>R</t>
        </is>
      </c>
      <c r="F1061" s="16" t="n"/>
      <c r="G1061" s="9" t="n">
        <v>5.641025641025642</v>
      </c>
      <c r="H1061" s="9" t="n">
        <v>5.641025641025642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1" t="n">
        <v>1</v>
      </c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/>
      <c r="Y1061" s="17" t="n">
        <v>1</v>
      </c>
      <c r="Z1061" s="13">
        <f>SUMPRODUCT(N1061:Y1061,$N$2:$Y$2)*$K1061*$L1061*$M1061</f>
        <v/>
      </c>
      <c r="AA1061" s="14">
        <f>SUM(N1061:Y1061)</f>
        <v/>
      </c>
      <c r="AB1061" s="14">
        <f>IFERROR(IF(UPPER($E1061)="L",SUMPRODUCT(N1061:Y1061,$N$3:$Y$3,$N$2:$Y$2),SUMPRODUCT(N1061:Y1061,$N$4:$Y$4,$N$2:$Y$2))/(Z1061/($K1061*$L1061*$M1061)),"")</f>
        <v/>
      </c>
      <c r="AC1061" s="18" t="n"/>
    </row>
    <row r="1062">
      <c r="A1062" s="9" t="n">
        <v>825479</v>
      </c>
      <c r="B1062" s="9" t="inlineStr">
        <is>
          <t>Luis De Leon</t>
        </is>
      </c>
      <c r="C1062" s="9" t="inlineStr">
        <is>
          <t>HOU</t>
        </is>
      </c>
      <c r="D1062" s="9" t="n">
        <v>25</v>
      </c>
      <c r="E1062" s="16" t="inlineStr">
        <is>
          <t>R</t>
        </is>
      </c>
      <c r="F1062" s="16" t="n"/>
      <c r="G1062" s="9" t="n">
        <v>5.784615384615384</v>
      </c>
      <c r="H1062" s="9" t="n">
        <v>5.784615384615384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1" t="n">
        <v>1</v>
      </c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/>
      <c r="Y1062" s="17" t="n">
        <v>1</v>
      </c>
      <c r="Z1062" s="13">
        <f>SUMPRODUCT(N1062:Y1062,$N$2:$Y$2)*$K1062*$L1062*$M1062</f>
        <v/>
      </c>
      <c r="AA1062" s="14">
        <f>SUM(N1062:Y1062)</f>
        <v/>
      </c>
      <c r="AB1062" s="14">
        <f>IFERROR(IF(UPPER($E1062)="L",SUMPRODUCT(N1062:Y1062,$N$3:$Y$3,$N$2:$Y$2),SUMPRODUCT(N1062:Y1062,$N$4:$Y$4,$N$2:$Y$2))/(Z1062/($K1062*$L1062*$M1062)),"")</f>
        <v/>
      </c>
      <c r="AC1062" s="18" t="n"/>
    </row>
    <row r="1063">
      <c r="A1063" s="9" t="n">
        <v>700668</v>
      </c>
      <c r="B1063" s="9" t="inlineStr">
        <is>
          <t>Cam Hassert</t>
        </is>
      </c>
      <c r="C1063" s="9" t="inlineStr">
        <is>
          <t>COL</t>
        </is>
      </c>
      <c r="D1063" s="9" t="n">
        <v>25</v>
      </c>
      <c r="E1063" s="16" t="inlineStr">
        <is>
          <t>L</t>
        </is>
      </c>
      <c r="F1063" s="16" t="n"/>
      <c r="G1063" s="9" t="n">
        <v>7.753846153846153</v>
      </c>
      <c r="H1063" s="9" t="n">
        <v>7.753846153846153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1" t="n">
        <v>1</v>
      </c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/>
      <c r="Y1063" s="17" t="n">
        <v>1</v>
      </c>
      <c r="Z1063" s="13">
        <f>SUMPRODUCT(N1063:Y1063,$N$2:$Y$2)*$K1063*$L1063*$M1063</f>
        <v/>
      </c>
      <c r="AA1063" s="14">
        <f>SUM(N1063:Y1063)</f>
        <v/>
      </c>
      <c r="AB1063" s="14">
        <f>IFERROR(IF(UPPER($E1063)="L",SUMPRODUCT(N1063:Y1063,$N$3:$Y$3,$N$2:$Y$2),SUMPRODUCT(N1063:Y1063,$N$4:$Y$4,$N$2:$Y$2))/(Z1063/($K1063*$L1063*$M1063)),"")</f>
        <v/>
      </c>
      <c r="AC1063" s="18" t="n"/>
    </row>
    <row r="1064">
      <c r="A1064" s="9" t="n">
        <v>806027</v>
      </c>
      <c r="B1064" s="9" t="inlineStr">
        <is>
          <t>Eric Becker</t>
        </is>
      </c>
      <c r="C1064" s="9" t="inlineStr">
        <is>
          <t>CIN</t>
        </is>
      </c>
      <c r="D1064" s="9" t="n">
        <v>25</v>
      </c>
      <c r="E1064" s="16" t="inlineStr">
        <is>
          <t>L</t>
        </is>
      </c>
      <c r="F1064" s="16" t="n"/>
      <c r="G1064" s="9" t="n">
        <v>18.25641025641026</v>
      </c>
      <c r="H1064" s="9" t="n">
        <v>18.25641025641026</v>
      </c>
      <c r="I1064" s="9" t="inlineStr">
        <is>
          <t>Depth (no MLB PA)</t>
        </is>
      </c>
      <c r="J1064" s="16" t="inlineStr">
        <is>
          <t>Late Season (~Sept)</t>
        </is>
      </c>
      <c r="K1064" s="11">
        <f>IFERROR(INDEX(Roles!$B$17:$B$20,MATCH(J1064,Roles!$A$17:$A$20,0)),1)</f>
        <v/>
      </c>
      <c r="L1064" s="17" t="n">
        <v>1</v>
      </c>
      <c r="M1064" s="11" t="n">
        <v>1</v>
      </c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/>
      <c r="Y1064" s="17" t="n">
        <v>1</v>
      </c>
      <c r="Z1064" s="13">
        <f>SUMPRODUCT(N1064:Y1064,$N$2:$Y$2)*$K1064*$L1064*$M1064</f>
        <v/>
      </c>
      <c r="AA1064" s="14">
        <f>SUM(N1064:Y1064)</f>
        <v/>
      </c>
      <c r="AB1064" s="14">
        <f>IFERROR(IF(UPPER($E1064)="L",SUMPRODUCT(N1064:Y1064,$N$3:$Y$3,$N$2:$Y$2),SUMPRODUCT(N1064:Y1064,$N$4:$Y$4,$N$2:$Y$2))/(Z1064/($K1064*$L1064*$M1064)),"")</f>
        <v/>
      </c>
      <c r="AC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1" t="n">
        <v>1</v>
      </c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/>
      <c r="Y1065" s="17" t="n">
        <v>1</v>
      </c>
      <c r="Z1065" s="13">
        <f>SUMPRODUCT(N1065:Y1065,$N$2:$Y$2)*$K1065*$L1065*$M1065</f>
        <v/>
      </c>
      <c r="AA1065" s="14">
        <f>SUM(N1065:Y1065)</f>
        <v/>
      </c>
      <c r="AB1065" s="14">
        <f>IFERROR(IF(UPPER($E1065)="L",SUMPRODUCT(N1065:Y1065,$N$3:$Y$3,$N$2:$Y$2),SUMPRODUCT(N1065:Y1065,$N$4:$Y$4,$N$2:$Y$2))/(Z1065/($K1065*$L1065*$M1065)),"")</f>
        <v/>
      </c>
      <c r="AC1065" s="18" t="n"/>
    </row>
    <row r="1066">
      <c r="A1066" s="9" t="n">
        <v>680713</v>
      </c>
      <c r="B1066" s="9" t="inlineStr">
        <is>
          <t>P.J. Hilson</t>
        </is>
      </c>
      <c r="C1066" s="9" t="inlineStr">
        <is>
          <t>PIT</t>
        </is>
      </c>
      <c r="D1066" s="9" t="n">
        <v>25</v>
      </c>
      <c r="E1066" s="16" t="inlineStr">
        <is>
          <t>R</t>
        </is>
      </c>
      <c r="F1066" s="16" t="n"/>
      <c r="G1066" s="9" t="n">
        <v>20.87179487179487</v>
      </c>
      <c r="H1066" s="9" t="n">
        <v>20.87179487179487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1" t="n">
        <v>1</v>
      </c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/>
      <c r="Y1066" s="17" t="n">
        <v>1</v>
      </c>
      <c r="Z1066" s="13">
        <f>SUMPRODUCT(N1066:Y1066,$N$2:$Y$2)*$K1066*$L1066*$M1066</f>
        <v/>
      </c>
      <c r="AA1066" s="14">
        <f>SUM(N1066:Y1066)</f>
        <v/>
      </c>
      <c r="AB1066" s="14">
        <f>IFERROR(IF(UPPER($E1066)="L",SUMPRODUCT(N1066:Y1066,$N$3:$Y$3,$N$2:$Y$2),SUMPRODUCT(N1066:Y1066,$N$4:$Y$4,$N$2:$Y$2))/(Z1066/($K1066*$L1066*$M1066)),"")</f>
        <v/>
      </c>
      <c r="AC1066" s="18" t="n"/>
    </row>
    <row r="1067">
      <c r="A1067" s="9" t="n">
        <v>687260</v>
      </c>
      <c r="B1067" s="9" t="inlineStr">
        <is>
          <t>Brian Kalmer</t>
        </is>
      </c>
      <c r="C1067" s="9" t="inlineStr">
        <is>
          <t>CHC</t>
        </is>
      </c>
      <c r="D1067" s="9" t="n">
        <v>25</v>
      </c>
      <c r="E1067" s="16" t="inlineStr">
        <is>
          <t>R</t>
        </is>
      </c>
      <c r="F1067" s="16" t="n"/>
      <c r="G1067" s="9" t="n">
        <v>5.743589743589745</v>
      </c>
      <c r="H1067" s="9" t="n">
        <v>5.743589743589745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1" t="n">
        <v>1</v>
      </c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/>
      <c r="Y1067" s="17" t="n">
        <v>1</v>
      </c>
      <c r="Z1067" s="13">
        <f>SUMPRODUCT(N1067:Y1067,$N$2:$Y$2)*$K1067*$L1067*$M1067</f>
        <v/>
      </c>
      <c r="AA1067" s="14">
        <f>SUM(N1067:Y1067)</f>
        <v/>
      </c>
      <c r="AB1067" s="14">
        <f>IFERROR(IF(UPPER($E1067)="L",SUMPRODUCT(N1067:Y1067,$N$3:$Y$3,$N$2:$Y$2),SUMPRODUCT(N1067:Y1067,$N$4:$Y$4,$N$2:$Y$2))/(Z1067/($K1067*$L1067*$M1067)),"")</f>
        <v/>
      </c>
      <c r="AC1067" s="18" t="n"/>
    </row>
    <row r="1068">
      <c r="A1068" s="9" t="n">
        <v>691021</v>
      </c>
      <c r="B1068" s="9" t="inlineStr">
        <is>
          <t>A.J. Vukovich</t>
        </is>
      </c>
      <c r="C1068" s="9" t="inlineStr">
        <is>
          <t>ARI</t>
        </is>
      </c>
      <c r="D1068" s="9" t="n">
        <v>25</v>
      </c>
      <c r="E1068" s="16" t="inlineStr">
        <is>
          <t>R</t>
        </is>
      </c>
      <c r="F1068" s="16" t="n"/>
      <c r="G1068" s="9" t="n">
        <v>143.2820512820513</v>
      </c>
      <c r="H1068" s="9" t="n">
        <v>143.2820512820513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1" t="n">
        <v>1</v>
      </c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/>
      <c r="Y1068" s="17" t="n">
        <v>1</v>
      </c>
      <c r="Z1068" s="13">
        <f>SUMPRODUCT(N1068:Y1068,$N$2:$Y$2)*$K1068*$L1068*$M1068</f>
        <v/>
      </c>
      <c r="AA1068" s="14">
        <f>SUM(N1068:Y1068)</f>
        <v/>
      </c>
      <c r="AB1068" s="14">
        <f>IFERROR(IF(UPPER($E1068)="L",SUMPRODUCT(N1068:Y1068,$N$3:$Y$3,$N$2:$Y$2),SUMPRODUCT(N1068:Y1068,$N$4:$Y$4,$N$2:$Y$2))/(Z1068/($K1068*$L1068*$M1068)),"")</f>
        <v/>
      </c>
      <c r="AC1068" s="18" t="n"/>
    </row>
    <row r="1069">
      <c r="A1069" s="9" t="n">
        <v>668663</v>
      </c>
      <c r="B1069" s="9" t="inlineStr">
        <is>
          <t>Tres Barrera</t>
        </is>
      </c>
      <c r="C1069" s="9" t="inlineStr">
        <is>
          <t>WSH</t>
        </is>
      </c>
      <c r="D1069" s="9" t="n">
        <v>32</v>
      </c>
      <c r="E1069" s="16" t="inlineStr">
        <is>
          <t>R</t>
        </is>
      </c>
      <c r="F1069" s="16" t="inlineStr">
        <is>
          <t>C</t>
        </is>
      </c>
      <c r="G1069" s="9" t="n">
        <v>2</v>
      </c>
      <c r="H1069" s="9" t="n">
        <v>55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1" t="n">
        <v>1</v>
      </c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/>
      <c r="Y1069" s="17" t="n">
        <v>1</v>
      </c>
      <c r="Z1069" s="13">
        <f>SUMPRODUCT(N1069:Y1069,$N$2:$Y$2)*$K1069*$L1069*$M1069</f>
        <v/>
      </c>
      <c r="AA1069" s="14">
        <f>SUM(N1069:Y1069)</f>
        <v/>
      </c>
      <c r="AB1069" s="14">
        <f>IFERROR(IF(UPPER($E1069)="L",SUMPRODUCT(N1069:Y1069,$N$3:$Y$3,$N$2:$Y$2),SUMPRODUCT(N1069:Y1069,$N$4:$Y$4,$N$2:$Y$2))/(Z1069/($K1069*$L1069*$M1069)),"")</f>
        <v/>
      </c>
      <c r="AC1069" s="18" t="n"/>
    </row>
    <row r="1070">
      <c r="A1070" s="9" t="n">
        <v>821770</v>
      </c>
      <c r="B1070" s="9" t="inlineStr">
        <is>
          <t>Andres Torres</t>
        </is>
      </c>
      <c r="C1070" s="9" t="inlineStr">
        <is>
          <t>TB</t>
        </is>
      </c>
      <c r="D1070" s="9" t="n">
        <v>25</v>
      </c>
      <c r="E1070" s="16" t="inlineStr">
        <is>
          <t>L</t>
        </is>
      </c>
      <c r="F1070" s="16" t="n"/>
      <c r="G1070" s="9" t="n">
        <v>5.784615384615384</v>
      </c>
      <c r="H1070" s="9" t="n">
        <v>5.784615384615384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1" t="n">
        <v>1</v>
      </c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/>
      <c r="Y1070" s="17" t="n">
        <v>1</v>
      </c>
      <c r="Z1070" s="13">
        <f>SUMPRODUCT(N1070:Y1070,$N$2:$Y$2)*$K1070*$L1070*$M1070</f>
        <v/>
      </c>
      <c r="AA1070" s="14">
        <f>SUM(N1070:Y1070)</f>
        <v/>
      </c>
      <c r="AB1070" s="14">
        <f>IFERROR(IF(UPPER($E1070)="L",SUMPRODUCT(N1070:Y1070,$N$3:$Y$3,$N$2:$Y$2),SUMPRODUCT(N1070:Y1070,$N$4:$Y$4,$N$2:$Y$2))/(Z1070/($K1070*$L1070*$M1070)),"")</f>
        <v/>
      </c>
      <c r="AC1070" s="18" t="n"/>
    </row>
    <row r="1071">
      <c r="A1071" s="9" t="n">
        <v>804569</v>
      </c>
      <c r="B1071" s="9" t="inlineStr">
        <is>
          <t>Tre Phelps</t>
        </is>
      </c>
      <c r="C1071" s="9" t="inlineStr">
        <is>
          <t>PIT</t>
        </is>
      </c>
      <c r="D1071" s="9" t="n">
        <v>25</v>
      </c>
      <c r="E1071" s="16" t="inlineStr">
        <is>
          <t>R</t>
        </is>
      </c>
      <c r="F1071" s="16" t="n"/>
      <c r="G1071" s="9" t="n">
        <v>8</v>
      </c>
      <c r="H1071" s="9" t="n">
        <v>8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1" t="n">
        <v>1</v>
      </c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/>
      <c r="Y1071" s="17" t="n">
        <v>1</v>
      </c>
      <c r="Z1071" s="13">
        <f>SUMPRODUCT(N1071:Y1071,$N$2:$Y$2)*$K1071*$L1071*$M1071</f>
        <v/>
      </c>
      <c r="AA1071" s="14">
        <f>SUM(N1071:Y1071)</f>
        <v/>
      </c>
      <c r="AB1071" s="14">
        <f>IFERROR(IF(UPPER($E1071)="L",SUMPRODUCT(N1071:Y1071,$N$3:$Y$3,$N$2:$Y$2),SUMPRODUCT(N1071:Y1071,$N$4:$Y$4,$N$2:$Y$2))/(Z1071/($K1071*$L1071*$M1071)),"")</f>
        <v/>
      </c>
      <c r="AC1071" s="18" t="n"/>
    </row>
    <row r="1072">
      <c r="A1072" s="9" t="n">
        <v>500871</v>
      </c>
      <c r="B1072" s="9" t="inlineStr">
        <is>
          <t>Eduardo Escobar</t>
        </is>
      </c>
      <c r="C1072" s="9" t="inlineStr">
        <is>
          <t>LAA</t>
        </is>
      </c>
      <c r="D1072" s="9" t="n">
        <v>38</v>
      </c>
      <c r="E1072" s="16" t="inlineStr">
        <is>
          <t>S</t>
        </is>
      </c>
      <c r="F1072" s="16" t="inlineStr">
        <is>
          <t>3B</t>
        </is>
      </c>
      <c r="G1072" s="9" t="n">
        <v>309</v>
      </c>
      <c r="H1072" s="9" t="n">
        <v>851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1" t="n">
        <v>1</v>
      </c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/>
      <c r="Y1072" s="17" t="n">
        <v>1</v>
      </c>
      <c r="Z1072" s="13">
        <f>SUMPRODUCT(N1072:Y1072,$N$2:$Y$2)*$K1072*$L1072*$M1072</f>
        <v/>
      </c>
      <c r="AA1072" s="14">
        <f>SUM(N1072:Y1072)</f>
        <v/>
      </c>
      <c r="AB1072" s="14">
        <f>IFERROR(IF(UPPER($E1072)="L",SUMPRODUCT(N1072:Y1072,$N$3:$Y$3,$N$2:$Y$2),SUMPRODUCT(N1072:Y1072,$N$4:$Y$4,$N$2:$Y$2))/(Z1072/($K1072*$L1072*$M1072)),"")</f>
        <v/>
      </c>
      <c r="AC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1" t="n">
        <v>1</v>
      </c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/>
      <c r="Y1073" s="17" t="n">
        <v>1</v>
      </c>
      <c r="Z1073" s="13">
        <f>SUMPRODUCT(N1073:Y1073,$N$2:$Y$2)*$K1073*$L1073*$M1073</f>
        <v/>
      </c>
      <c r="AA1073" s="14">
        <f>SUM(N1073:Y1073)</f>
        <v/>
      </c>
      <c r="AB1073" s="14">
        <f>IFERROR(IF(UPPER($E1073)="L",SUMPRODUCT(N1073:Y1073,$N$3:$Y$3,$N$2:$Y$2),SUMPRODUCT(N1073:Y1073,$N$4:$Y$4,$N$2:$Y$2))/(Z1073/($K1073*$L1073*$M1073)),"")</f>
        <v/>
      </c>
      <c r="AC1073" s="18" t="n"/>
    </row>
    <row r="1074">
      <c r="A1074" s="9" t="n">
        <v>801427</v>
      </c>
      <c r="B1074" s="9" t="inlineStr">
        <is>
          <t>Alex Fernandes</t>
        </is>
      </c>
      <c r="C1074" s="9" t="inlineStr">
        <is>
          <t>OAK</t>
        </is>
      </c>
      <c r="D1074" s="9" t="n">
        <v>25</v>
      </c>
      <c r="E1074" s="16" t="inlineStr">
        <is>
          <t>L</t>
        </is>
      </c>
      <c r="F1074" s="16" t="n"/>
      <c r="G1074" s="9" t="n">
        <v>5.948717948717949</v>
      </c>
      <c r="H1074" s="9" t="n">
        <v>5.948717948717949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1" t="n">
        <v>1</v>
      </c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/>
      <c r="Y1074" s="17" t="n">
        <v>1</v>
      </c>
      <c r="Z1074" s="13">
        <f>SUMPRODUCT(N1074:Y1074,$N$2:$Y$2)*$K1074*$L1074*$M1074</f>
        <v/>
      </c>
      <c r="AA1074" s="14">
        <f>SUM(N1074:Y1074)</f>
        <v/>
      </c>
      <c r="AB1074" s="14">
        <f>IFERROR(IF(UPPER($E1074)="L",SUMPRODUCT(N1074:Y1074,$N$3:$Y$3,$N$2:$Y$2),SUMPRODUCT(N1074:Y1074,$N$4:$Y$4,$N$2:$Y$2))/(Z1074/($K1074*$L1074*$M1074)),"")</f>
        <v/>
      </c>
      <c r="AC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1" t="n">
        <v>1</v>
      </c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/>
      <c r="Y1075" s="17" t="n">
        <v>1</v>
      </c>
      <c r="Z1075" s="13">
        <f>SUMPRODUCT(N1075:Y1075,$N$2:$Y$2)*$K1075*$L1075*$M1075</f>
        <v/>
      </c>
      <c r="AA1075" s="14">
        <f>SUM(N1075:Y1075)</f>
        <v/>
      </c>
      <c r="AB1075" s="14">
        <f>IFERROR(IF(UPPER($E1075)="L",SUMPRODUCT(N1075:Y1075,$N$3:$Y$3,$N$2:$Y$2),SUMPRODUCT(N1075:Y1075,$N$4:$Y$4,$N$2:$Y$2))/(Z1075/($K1075*$L1075*$M1075)),"")</f>
        <v/>
      </c>
      <c r="AC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1" t="n">
        <v>1</v>
      </c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/>
      <c r="Y1076" s="17" t="n">
        <v>1</v>
      </c>
      <c r="Z1076" s="13">
        <f>SUMPRODUCT(N1076:Y1076,$N$2:$Y$2)*$K1076*$L1076*$M1076</f>
        <v/>
      </c>
      <c r="AA1076" s="14">
        <f>SUM(N1076:Y1076)</f>
        <v/>
      </c>
      <c r="AB1076" s="14">
        <f>IFERROR(IF(UPPER($E1076)="L",SUMPRODUCT(N1076:Y1076,$N$3:$Y$3,$N$2:$Y$2),SUMPRODUCT(N1076:Y1076,$N$4:$Y$4,$N$2:$Y$2))/(Z1076/($K1076*$L1076*$M1076)),"")</f>
        <v/>
      </c>
      <c r="AC1076" s="18" t="n"/>
    </row>
    <row r="1077">
      <c r="A1077" s="9" t="n">
        <v>801957</v>
      </c>
      <c r="B1077" s="9" t="inlineStr">
        <is>
          <t>Dub Gleed</t>
        </is>
      </c>
      <c r="C1077" s="9" t="inlineStr">
        <is>
          <t>TOR</t>
        </is>
      </c>
      <c r="D1077" s="9" t="n">
        <v>25</v>
      </c>
      <c r="E1077" s="16" t="inlineStr">
        <is>
          <t>R</t>
        </is>
      </c>
      <c r="F1077" s="16" t="n"/>
      <c r="G1077" s="9" t="n">
        <v>101.2307692307692</v>
      </c>
      <c r="H1077" s="9" t="n">
        <v>101.2307692307692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1" t="n">
        <v>1</v>
      </c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/>
      <c r="Y1077" s="17" t="n">
        <v>1</v>
      </c>
      <c r="Z1077" s="13">
        <f>SUMPRODUCT(N1077:Y1077,$N$2:$Y$2)*$K1077*$L1077*$M1077</f>
        <v/>
      </c>
      <c r="AA1077" s="14">
        <f>SUM(N1077:Y1077)</f>
        <v/>
      </c>
      <c r="AB1077" s="14">
        <f>IFERROR(IF(UPPER($E1077)="L",SUMPRODUCT(N1077:Y1077,$N$3:$Y$3,$N$2:$Y$2),SUMPRODUCT(N1077:Y1077,$N$4:$Y$4,$N$2:$Y$2))/(Z1077/($K1077*$L1077*$M1077)),"")</f>
        <v/>
      </c>
      <c r="AC1077" s="18" t="n"/>
    </row>
    <row r="1078">
      <c r="A1078" s="9" t="n">
        <v>665846</v>
      </c>
      <c r="B1078" s="9" t="inlineStr">
        <is>
          <t>Jesús Bastidas</t>
        </is>
      </c>
      <c r="C1078" s="9" t="inlineStr">
        <is>
          <t>MIA</t>
        </is>
      </c>
      <c r="D1078" s="9" t="n">
        <v>25</v>
      </c>
      <c r="E1078" s="16" t="inlineStr">
        <is>
          <t>R</t>
        </is>
      </c>
      <c r="F1078" s="16" t="n"/>
      <c r="G1078" s="9" t="n">
        <v>82.35897435897436</v>
      </c>
      <c r="H1078" s="9" t="n">
        <v>82.35897435897436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1" t="n">
        <v>1</v>
      </c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/>
      <c r="Y1078" s="17" t="n">
        <v>1</v>
      </c>
      <c r="Z1078" s="13">
        <f>SUMPRODUCT(N1078:Y1078,$N$2:$Y$2)*$K1078*$L1078*$M1078</f>
        <v/>
      </c>
      <c r="AA1078" s="14">
        <f>SUM(N1078:Y1078)</f>
        <v/>
      </c>
      <c r="AB1078" s="14">
        <f>IFERROR(IF(UPPER($E1078)="L",SUMPRODUCT(N1078:Y1078,$N$3:$Y$3,$N$2:$Y$2),SUMPRODUCT(N1078:Y1078,$N$4:$Y$4,$N$2:$Y$2))/(Z1078/($K1078*$L1078*$M1078)),"")</f>
        <v/>
      </c>
      <c r="AC1078" s="18" t="n"/>
    </row>
    <row r="1079">
      <c r="A1079" s="9" t="n">
        <v>813930</v>
      </c>
      <c r="B1079" s="9" t="inlineStr">
        <is>
          <t>Ivan Luciano</t>
        </is>
      </c>
      <c r="C1079" s="9" t="inlineStr">
        <is>
          <t>ARI</t>
        </is>
      </c>
      <c r="D1079" s="9" t="n">
        <v>25</v>
      </c>
      <c r="E1079" s="16" t="inlineStr">
        <is>
          <t>L</t>
        </is>
      </c>
      <c r="F1079" s="16" t="n"/>
      <c r="G1079" s="9" t="n">
        <v>10.05128205128205</v>
      </c>
      <c r="H1079" s="9" t="n">
        <v>10.05128205128205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1" t="n">
        <v>1</v>
      </c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/>
      <c r="Y1079" s="17" t="n">
        <v>1</v>
      </c>
      <c r="Z1079" s="13">
        <f>SUMPRODUCT(N1079:Y1079,$N$2:$Y$2)*$K1079*$L1079*$M1079</f>
        <v/>
      </c>
      <c r="AA1079" s="14">
        <f>SUM(N1079:Y1079)</f>
        <v/>
      </c>
      <c r="AB1079" s="14">
        <f>IFERROR(IF(UPPER($E1079)="L",SUMPRODUCT(N1079:Y1079,$N$3:$Y$3,$N$2:$Y$2),SUMPRODUCT(N1079:Y1079,$N$4:$Y$4,$N$2:$Y$2))/(Z1079/($K1079*$L1079*$M1079)),"")</f>
        <v/>
      </c>
      <c r="AC1079" s="18" t="n"/>
    </row>
    <row r="1080">
      <c r="A1080" s="9" t="n">
        <v>801881</v>
      </c>
      <c r="B1080" s="9" t="inlineStr">
        <is>
          <t>Jacob Jenkins-Cowart</t>
        </is>
      </c>
      <c r="C1080" s="9" t="inlineStr">
        <is>
          <t>MIA</t>
        </is>
      </c>
      <c r="D1080" s="9" t="n">
        <v>25</v>
      </c>
      <c r="E1080" s="16" t="inlineStr">
        <is>
          <t>L</t>
        </is>
      </c>
      <c r="F1080" s="16" t="n"/>
      <c r="G1080" s="9" t="n">
        <v>42.87179487179488</v>
      </c>
      <c r="H1080" s="9" t="n">
        <v>42.87179487179488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1" t="n">
        <v>1</v>
      </c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/>
      <c r="Y1080" s="17" t="n">
        <v>1</v>
      </c>
      <c r="Z1080" s="13">
        <f>SUMPRODUCT(N1080:Y1080,$N$2:$Y$2)*$K1080*$L1080*$M1080</f>
        <v/>
      </c>
      <c r="AA1080" s="14">
        <f>SUM(N1080:Y1080)</f>
        <v/>
      </c>
      <c r="AB1080" s="14">
        <f>IFERROR(IF(UPPER($E1080)="L",SUMPRODUCT(N1080:Y1080,$N$3:$Y$3,$N$2:$Y$2),SUMPRODUCT(N1080:Y1080,$N$4:$Y$4,$N$2:$Y$2))/(Z1080/($K1080*$L1080*$M1080)),"")</f>
        <v/>
      </c>
      <c r="AC1080" s="18" t="n"/>
    </row>
    <row r="1081">
      <c r="A1081" s="9" t="n">
        <v>805102</v>
      </c>
      <c r="B1081" s="9" t="inlineStr">
        <is>
          <t>Byron Chourio</t>
        </is>
      </c>
      <c r="C1081" s="9" t="inlineStr">
        <is>
          <t>MIN</t>
        </is>
      </c>
      <c r="D1081" s="9" t="n">
        <v>25</v>
      </c>
      <c r="E1081" s="16" t="inlineStr">
        <is>
          <t>S</t>
        </is>
      </c>
      <c r="F1081" s="16" t="n"/>
      <c r="G1081" s="9" t="n">
        <v>18.46153846153846</v>
      </c>
      <c r="H1081" s="9" t="n">
        <v>18.46153846153846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1" t="n">
        <v>1</v>
      </c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/>
      <c r="Y1081" s="17" t="n">
        <v>1</v>
      </c>
      <c r="Z1081" s="13">
        <f>SUMPRODUCT(N1081:Y1081,$N$2:$Y$2)*$K1081*$L1081*$M1081</f>
        <v/>
      </c>
      <c r="AA1081" s="14">
        <f>SUM(N1081:Y1081)</f>
        <v/>
      </c>
      <c r="AB1081" s="14">
        <f>IFERROR(IF(UPPER($E1081)="L",SUMPRODUCT(N1081:Y1081,$N$3:$Y$3,$N$2:$Y$2),SUMPRODUCT(N1081:Y1081,$N$4:$Y$4,$N$2:$Y$2))/(Z1081/($K1081*$L1081*$M1081)),"")</f>
        <v/>
      </c>
      <c r="AC1081" s="18" t="n"/>
    </row>
    <row r="1082">
      <c r="A1082" s="9" t="n">
        <v>827522</v>
      </c>
      <c r="B1082" s="9" t="inlineStr">
        <is>
          <t>Colby Turner</t>
        </is>
      </c>
      <c r="C1082" s="9" t="inlineStr">
        <is>
          <t>MIN</t>
        </is>
      </c>
      <c r="D1082" s="9" t="n">
        <v>25</v>
      </c>
      <c r="E1082" s="16" t="inlineStr">
        <is>
          <t>R</t>
        </is>
      </c>
      <c r="F1082" s="16" t="n"/>
      <c r="G1082" s="9" t="n">
        <v>12.55384615384615</v>
      </c>
      <c r="H1082" s="9" t="n">
        <v>12.55384615384615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1" t="n">
        <v>1</v>
      </c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/>
      <c r="Y1082" s="17" t="n">
        <v>1</v>
      </c>
      <c r="Z1082" s="13">
        <f>SUMPRODUCT(N1082:Y1082,$N$2:$Y$2)*$K1082*$L1082*$M1082</f>
        <v/>
      </c>
      <c r="AA1082" s="14">
        <f>SUM(N1082:Y1082)</f>
        <v/>
      </c>
      <c r="AB1082" s="14">
        <f>IFERROR(IF(UPPER($E1082)="L",SUMPRODUCT(N1082:Y1082,$N$3:$Y$3,$N$2:$Y$2),SUMPRODUCT(N1082:Y1082,$N$4:$Y$4,$N$2:$Y$2))/(Z1082/($K1082*$L1082*$M1082)),"")</f>
        <v/>
      </c>
      <c r="AC1082" s="18" t="n"/>
    </row>
    <row r="1083">
      <c r="A1083" s="9" t="n">
        <v>821763</v>
      </c>
      <c r="B1083" s="9" t="inlineStr">
        <is>
          <t>Hector Campusano</t>
        </is>
      </c>
      <c r="C1083" s="9" t="inlineStr">
        <is>
          <t>BAL</t>
        </is>
      </c>
      <c r="D1083" s="9" t="n">
        <v>25</v>
      </c>
      <c r="E1083" s="16" t="inlineStr">
        <is>
          <t>S</t>
        </is>
      </c>
      <c r="F1083" s="16" t="n"/>
      <c r="G1083" s="9" t="n">
        <v>5.907692307692308</v>
      </c>
      <c r="H1083" s="9" t="n">
        <v>5.907692307692308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1" t="n">
        <v>1</v>
      </c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/>
      <c r="Y1083" s="17" t="n">
        <v>1</v>
      </c>
      <c r="Z1083" s="13">
        <f>SUMPRODUCT(N1083:Y1083,$N$2:$Y$2)*$K1083*$L1083*$M1083</f>
        <v/>
      </c>
      <c r="AA1083" s="14">
        <f>SUM(N1083:Y1083)</f>
        <v/>
      </c>
      <c r="AB1083" s="14">
        <f>IFERROR(IF(UPPER($E1083)="L",SUMPRODUCT(N1083:Y1083,$N$3:$Y$3,$N$2:$Y$2),SUMPRODUCT(N1083:Y1083,$N$4:$Y$4,$N$2:$Y$2))/(Z1083/($K1083*$L1083*$M1083)),"")</f>
        <v/>
      </c>
      <c r="AC1083" s="18" t="n"/>
    </row>
    <row r="1084">
      <c r="A1084" s="9" t="n">
        <v>800548</v>
      </c>
      <c r="B1084" s="9" t="inlineStr">
        <is>
          <t>Josi Novas</t>
        </is>
      </c>
      <c r="C1084" s="9" t="inlineStr">
        <is>
          <t>KC</t>
        </is>
      </c>
      <c r="D1084" s="9" t="n">
        <v>25</v>
      </c>
      <c r="E1084" s="16" t="inlineStr">
        <is>
          <t>R</t>
        </is>
      </c>
      <c r="F1084" s="16" t="n"/>
      <c r="G1084" s="9" t="n">
        <v>8</v>
      </c>
      <c r="H1084" s="9" t="n">
        <v>8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1" t="n">
        <v>1</v>
      </c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/>
      <c r="Y1084" s="17" t="n">
        <v>1</v>
      </c>
      <c r="Z1084" s="13">
        <f>SUMPRODUCT(N1084:Y1084,$N$2:$Y$2)*$K1084*$L1084*$M1084</f>
        <v/>
      </c>
      <c r="AA1084" s="14">
        <f>SUM(N1084:Y1084)</f>
        <v/>
      </c>
      <c r="AB1084" s="14">
        <f>IFERROR(IF(UPPER($E1084)="L",SUMPRODUCT(N1084:Y1084,$N$3:$Y$3,$N$2:$Y$2),SUMPRODUCT(N1084:Y1084,$N$4:$Y$4,$N$2:$Y$2))/(Z1084/($K1084*$L1084*$M1084)),"")</f>
        <v/>
      </c>
      <c r="AC1084" s="18" t="n"/>
    </row>
    <row r="1085">
      <c r="A1085" s="9" t="n">
        <v>661388</v>
      </c>
      <c r="B1085" s="9" t="inlineStr">
        <is>
          <t>William Contreras</t>
        </is>
      </c>
      <c r="C1085" s="9" t="inlineStr">
        <is>
          <t>MIL</t>
        </is>
      </c>
      <c r="D1085" s="9" t="n">
        <v>29</v>
      </c>
      <c r="E1085" s="16" t="inlineStr">
        <is>
          <t>R</t>
        </is>
      </c>
      <c r="F1085" s="16" t="inlineStr">
        <is>
          <t>C</t>
        </is>
      </c>
      <c r="G1085" s="9" t="n">
        <v>640</v>
      </c>
      <c r="H1085" s="9" t="n">
        <v>2965</v>
      </c>
      <c r="I1085" s="9" t="inlineStr">
        <is>
          <t>Catcher - Primary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1" t="n">
        <v>1.15</v>
      </c>
      <c r="N1085" s="17" t="n"/>
      <c r="O1085" s="17" t="n"/>
      <c r="P1085" s="17" t="n"/>
      <c r="Q1085" s="17" t="n"/>
      <c r="R1085" s="17" t="n">
        <v>1</v>
      </c>
      <c r="S1085" s="17" t="n"/>
      <c r="T1085" s="17" t="n"/>
      <c r="U1085" s="17" t="n"/>
      <c r="V1085" s="17" t="n"/>
      <c r="W1085" s="17" t="n"/>
      <c r="X1085" s="17" t="n"/>
      <c r="Y1085" s="17" t="n"/>
      <c r="Z1085" s="13">
        <f>SUMPRODUCT(N1085:Y1085,$N$2:$Y$2)*$K1085*$L1085*$M1085</f>
        <v/>
      </c>
      <c r="AA1085" s="14">
        <f>SUM(N1085:Y1085)</f>
        <v/>
      </c>
      <c r="AB1085" s="14">
        <f>IFERROR(IF(UPPER($E1085)="L",SUMPRODUCT(N1085:Y1085,$N$3:$Y$3,$N$2:$Y$2),SUMPRODUCT(N1085:Y1085,$N$4:$Y$4,$N$2:$Y$2))/(Z1085/($K1085*$L1085*$M1085)),"")</f>
        <v/>
      </c>
      <c r="AC1085" s="18" t="n"/>
    </row>
    <row r="1086">
      <c r="A1086" s="9" t="n">
        <v>815584</v>
      </c>
      <c r="B1086" s="9" t="inlineStr">
        <is>
          <t>Alcides Hernandez</t>
        </is>
      </c>
      <c r="C1086" s="9" t="inlineStr">
        <is>
          <t>SD</t>
        </is>
      </c>
      <c r="D1086" s="9" t="n">
        <v>25</v>
      </c>
      <c r="E1086" s="16" t="inlineStr">
        <is>
          <t>L</t>
        </is>
      </c>
      <c r="F1086" s="16" t="n"/>
      <c r="G1086" s="9" t="n">
        <v>6.030769230769231</v>
      </c>
      <c r="H1086" s="9" t="n">
        <v>6.030769230769231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1" t="n">
        <v>1</v>
      </c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/>
      <c r="Y1086" s="17" t="n">
        <v>1</v>
      </c>
      <c r="Z1086" s="13">
        <f>SUMPRODUCT(N1086:Y1086,$N$2:$Y$2)*$K1086*$L1086*$M1086</f>
        <v/>
      </c>
      <c r="AA1086" s="14">
        <f>SUM(N1086:Y1086)</f>
        <v/>
      </c>
      <c r="AB1086" s="14">
        <f>IFERROR(IF(UPPER($E1086)="L",SUMPRODUCT(N1086:Y1086,$N$3:$Y$3,$N$2:$Y$2),SUMPRODUCT(N1086:Y1086,$N$4:$Y$4,$N$2:$Y$2))/(Z1086/($K1086*$L1086*$M1086)),"")</f>
        <v/>
      </c>
      <c r="AC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1" t="n">
        <v>1</v>
      </c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/>
      <c r="Y1087" s="17" t="n">
        <v>1</v>
      </c>
      <c r="Z1087" s="13">
        <f>SUMPRODUCT(N1087:Y1087,$N$2:$Y$2)*$K1087*$L1087*$M1087</f>
        <v/>
      </c>
      <c r="AA1087" s="14">
        <f>SUM(N1087:Y1087)</f>
        <v/>
      </c>
      <c r="AB1087" s="14">
        <f>IFERROR(IF(UPPER($E1087)="L",SUMPRODUCT(N1087:Y1087,$N$3:$Y$3,$N$2:$Y$2),SUMPRODUCT(N1087:Y1087,$N$4:$Y$4,$N$2:$Y$2))/(Z1087/($K1087*$L1087*$M1087)),"")</f>
        <v/>
      </c>
      <c r="AC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1" t="n">
        <v>1</v>
      </c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/>
      <c r="Y1088" s="17" t="n">
        <v>1</v>
      </c>
      <c r="Z1088" s="13">
        <f>SUMPRODUCT(N1088:Y1088,$N$2:$Y$2)*$K1088*$L1088*$M1088</f>
        <v/>
      </c>
      <c r="AA1088" s="14">
        <f>SUM(N1088:Y1088)</f>
        <v/>
      </c>
      <c r="AB1088" s="14">
        <f>IFERROR(IF(UPPER($E1088)="L",SUMPRODUCT(N1088:Y1088,$N$3:$Y$3,$N$2:$Y$2),SUMPRODUCT(N1088:Y1088,$N$4:$Y$4,$N$2:$Y$2))/(Z1088/($K1088*$L1088*$M1088)),"")</f>
        <v/>
      </c>
      <c r="AC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1" t="n">
        <v>1</v>
      </c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/>
      <c r="Y1089" s="17" t="n">
        <v>1</v>
      </c>
      <c r="Z1089" s="13">
        <f>SUMPRODUCT(N1089:Y1089,$N$2:$Y$2)*$K1089*$L1089*$M1089</f>
        <v/>
      </c>
      <c r="AA1089" s="14">
        <f>SUM(N1089:Y1089)</f>
        <v/>
      </c>
      <c r="AB1089" s="14">
        <f>IFERROR(IF(UPPER($E1089)="L",SUMPRODUCT(N1089:Y1089,$N$3:$Y$3,$N$2:$Y$2),SUMPRODUCT(N1089:Y1089,$N$4:$Y$4,$N$2:$Y$2))/(Z1089/($K1089*$L1089*$M1089)),"")</f>
        <v/>
      </c>
      <c r="AC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1" t="n">
        <v>1</v>
      </c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/>
      <c r="Y1090" s="17" t="n">
        <v>1</v>
      </c>
      <c r="Z1090" s="13">
        <f>SUMPRODUCT(N1090:Y1090,$N$2:$Y$2)*$K1090*$L1090*$M1090</f>
        <v/>
      </c>
      <c r="AA1090" s="14">
        <f>SUM(N1090:Y1090)</f>
        <v/>
      </c>
      <c r="AB1090" s="14">
        <f>IFERROR(IF(UPPER($E1090)="L",SUMPRODUCT(N1090:Y1090,$N$3:$Y$3,$N$2:$Y$2),SUMPRODUCT(N1090:Y1090,$N$4:$Y$4,$N$2:$Y$2))/(Z1090/($K1090*$L1090*$M1090)),"")</f>
        <v/>
      </c>
      <c r="AC1090" s="18" t="n"/>
    </row>
    <row r="1091">
      <c r="A1091" s="9" t="n">
        <v>444489</v>
      </c>
      <c r="B1091" s="9" t="inlineStr">
        <is>
          <t>Manny Piña</t>
        </is>
      </c>
      <c r="C1091" s="9" t="inlineStr">
        <is>
          <t>OAK</t>
        </is>
      </c>
      <c r="D1091" s="9" t="n">
        <v>40</v>
      </c>
      <c r="E1091" s="16" t="inlineStr">
        <is>
          <t>R</t>
        </is>
      </c>
      <c r="F1091" s="16" t="inlineStr">
        <is>
          <t>C</t>
        </is>
      </c>
      <c r="G1091" s="9" t="n">
        <v>12</v>
      </c>
      <c r="H1091" s="9" t="n">
        <v>29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1" t="n">
        <v>1</v>
      </c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/>
      <c r="Y1091" s="17" t="n">
        <v>1</v>
      </c>
      <c r="Z1091" s="13">
        <f>SUMPRODUCT(N1091:Y1091,$N$2:$Y$2)*$K1091*$L1091*$M1091</f>
        <v/>
      </c>
      <c r="AA1091" s="14">
        <f>SUM(N1091:Y1091)</f>
        <v/>
      </c>
      <c r="AB1091" s="14">
        <f>IFERROR(IF(UPPER($E1091)="L",SUMPRODUCT(N1091:Y1091,$N$3:$Y$3,$N$2:$Y$2),SUMPRODUCT(N1091:Y1091,$N$4:$Y$4,$N$2:$Y$2))/(Z1091/($K1091*$L1091*$M1091)),"")</f>
        <v/>
      </c>
      <c r="AC1091" s="18" t="n"/>
    </row>
    <row r="1092">
      <c r="A1092" s="9" t="n">
        <v>812469</v>
      </c>
      <c r="B1092" s="9" t="inlineStr">
        <is>
          <t>Ryan Franden</t>
        </is>
      </c>
      <c r="C1092" s="9" t="inlineStr">
        <is>
          <t>TOR</t>
        </is>
      </c>
      <c r="D1092" s="9" t="n">
        <v>25</v>
      </c>
      <c r="E1092" s="16" t="inlineStr">
        <is>
          <t>L</t>
        </is>
      </c>
      <c r="F1092" s="16" t="n"/>
      <c r="G1092" s="9" t="n">
        <v>8.246153846153845</v>
      </c>
      <c r="H1092" s="9" t="n">
        <v>8.246153846153845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1" t="n">
        <v>1</v>
      </c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/>
      <c r="Y1092" s="17" t="n">
        <v>1</v>
      </c>
      <c r="Z1092" s="13">
        <f>SUMPRODUCT(N1092:Y1092,$N$2:$Y$2)*$K1092*$L1092*$M1092</f>
        <v/>
      </c>
      <c r="AA1092" s="14">
        <f>SUM(N1092:Y1092)</f>
        <v/>
      </c>
      <c r="AB1092" s="14">
        <f>IFERROR(IF(UPPER($E1092)="L",SUMPRODUCT(N1092:Y1092,$N$3:$Y$3,$N$2:$Y$2),SUMPRODUCT(N1092:Y1092,$N$4:$Y$4,$N$2:$Y$2))/(Z1092/($K1092*$L1092*$M1092)),"")</f>
        <v/>
      </c>
      <c r="AC1092" s="18" t="n"/>
    </row>
    <row r="1093">
      <c r="A1093" s="9" t="n">
        <v>693073</v>
      </c>
      <c r="B1093" s="9" t="inlineStr">
        <is>
          <t>Clayton Campbell</t>
        </is>
      </c>
      <c r="C1093" s="9" t="inlineStr">
        <is>
          <t>DET</t>
        </is>
      </c>
      <c r="D1093" s="9" t="n">
        <v>25</v>
      </c>
      <c r="E1093" s="16" t="inlineStr">
        <is>
          <t>R</t>
        </is>
      </c>
      <c r="F1093" s="16" t="n"/>
      <c r="G1093" s="9" t="n">
        <v>14.71794871794872</v>
      </c>
      <c r="H1093" s="9" t="n">
        <v>14.71794871794872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1" t="n">
        <v>1</v>
      </c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/>
      <c r="Y1093" s="17" t="n">
        <v>1</v>
      </c>
      <c r="Z1093" s="13">
        <f>SUMPRODUCT(N1093:Y1093,$N$2:$Y$2)*$K1093*$L1093*$M1093</f>
        <v/>
      </c>
      <c r="AA1093" s="14">
        <f>SUM(N1093:Y1093)</f>
        <v/>
      </c>
      <c r="AB1093" s="14">
        <f>IFERROR(IF(UPPER($E1093)="L",SUMPRODUCT(N1093:Y1093,$N$3:$Y$3,$N$2:$Y$2),SUMPRODUCT(N1093:Y1093,$N$4:$Y$4,$N$2:$Y$2))/(Z1093/($K1093*$L1093*$M1093)),"")</f>
        <v/>
      </c>
      <c r="AC1093" s="18" t="n"/>
    </row>
    <row r="1094">
      <c r="A1094" s="9" t="n">
        <v>811312</v>
      </c>
      <c r="B1094" s="9" t="inlineStr">
        <is>
          <t>Justin Riemer</t>
        </is>
      </c>
      <c r="C1094" s="9" t="inlineStr">
        <is>
          <t>OAK</t>
        </is>
      </c>
      <c r="D1094" s="9" t="n">
        <v>25</v>
      </c>
      <c r="E1094" s="16" t="inlineStr">
        <is>
          <t>R</t>
        </is>
      </c>
      <c r="F1094" s="16" t="n"/>
      <c r="G1094" s="9" t="n">
        <v>6.205128205128206</v>
      </c>
      <c r="H1094" s="9" t="n">
        <v>6.205128205128206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1" t="n">
        <v>1</v>
      </c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/>
      <c r="Y1094" s="17" t="n">
        <v>1</v>
      </c>
      <c r="Z1094" s="13">
        <f>SUMPRODUCT(N1094:Y1094,$N$2:$Y$2)*$K1094*$L1094*$M1094</f>
        <v/>
      </c>
      <c r="AA1094" s="14">
        <f>SUM(N1094:Y1094)</f>
        <v/>
      </c>
      <c r="AB1094" s="14">
        <f>IFERROR(IF(UPPER($E1094)="L",SUMPRODUCT(N1094:Y1094,$N$3:$Y$3,$N$2:$Y$2),SUMPRODUCT(N1094:Y1094,$N$4:$Y$4,$N$2:$Y$2))/(Z1094/($K1094*$L1094*$M1094)),"")</f>
        <v/>
      </c>
      <c r="AC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inlineStr">
        <is>
          <t>2B</t>
        </is>
      </c>
      <c r="G1095" s="9" t="n">
        <v>95</v>
      </c>
      <c r="H1095" s="9" t="n">
        <v>259</v>
      </c>
      <c r="I1095" s="9" t="inlineStr">
        <is>
          <t>Everyday DH / 1B-DH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1" t="n">
        <v>1</v>
      </c>
      <c r="N1095" s="17" t="n"/>
      <c r="O1095" s="17" t="n">
        <v>0.62</v>
      </c>
      <c r="P1095" s="17" t="n"/>
      <c r="Q1095" s="17" t="n"/>
      <c r="R1095" s="17" t="n"/>
      <c r="S1095" s="17" t="n"/>
      <c r="T1095" s="17" t="n"/>
      <c r="U1095" s="17" t="n"/>
      <c r="V1095" s="17" t="n"/>
      <c r="W1095" s="17" t="n">
        <v>0.38</v>
      </c>
      <c r="X1095" s="17" t="n"/>
      <c r="Y1095" s="17" t="n"/>
      <c r="Z1095" s="13">
        <f>SUMPRODUCT(N1095:Y1095,$N$2:$Y$2)*$K1095*$L1095*$M1095</f>
        <v/>
      </c>
      <c r="AA1095" s="14">
        <f>SUM(N1095:Y1095)</f>
        <v/>
      </c>
      <c r="AB1095" s="14">
        <f>IFERROR(IF(UPPER($E1095)="L",SUMPRODUCT(N1095:Y1095,$N$3:$Y$3,$N$2:$Y$2),SUMPRODUCT(N1095:Y1095,$N$4:$Y$4,$N$2:$Y$2))/(Z1095/($K1095*$L1095*$M1095)),"")</f>
        <v/>
      </c>
      <c r="AC1095" s="18" t="n"/>
    </row>
    <row r="1096">
      <c r="A1096" s="9" t="n">
        <v>681114</v>
      </c>
      <c r="B1096" s="9" t="inlineStr">
        <is>
          <t>Michael Trautwein</t>
        </is>
      </c>
      <c r="C1096" s="9" t="inlineStr">
        <is>
          <t>CIN</t>
        </is>
      </c>
      <c r="D1096" s="9" t="n">
        <v>25</v>
      </c>
      <c r="E1096" s="16" t="inlineStr">
        <is>
          <t>L</t>
        </is>
      </c>
      <c r="F1096" s="16" t="n"/>
      <c r="G1096" s="9" t="n">
        <v>6.205128205128206</v>
      </c>
      <c r="H1096" s="9" t="n">
        <v>6.205128205128206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1" t="n">
        <v>1</v>
      </c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/>
      <c r="Y1096" s="17" t="n">
        <v>1</v>
      </c>
      <c r="Z1096" s="13">
        <f>SUMPRODUCT(N1096:Y1096,$N$2:$Y$2)*$K1096*$L1096*$M1096</f>
        <v/>
      </c>
      <c r="AA1096" s="14">
        <f>SUM(N1096:Y1096)</f>
        <v/>
      </c>
      <c r="AB1096" s="14">
        <f>IFERROR(IF(UPPER($E1096)="L",SUMPRODUCT(N1096:Y1096,$N$3:$Y$3,$N$2:$Y$2),SUMPRODUCT(N1096:Y1096,$N$4:$Y$4,$N$2:$Y$2))/(Z1096/($K1096*$L1096*$M1096)),"")</f>
        <v/>
      </c>
      <c r="AC1096" s="18" t="n"/>
    </row>
    <row r="1097">
      <c r="A1097" s="9" t="n">
        <v>695570</v>
      </c>
      <c r="B1097" s="9" t="inlineStr">
        <is>
          <t>Jonathan Vastine</t>
        </is>
      </c>
      <c r="C1097" s="9" t="inlineStr">
        <is>
          <t>SD</t>
        </is>
      </c>
      <c r="D1097" s="9" t="n">
        <v>25</v>
      </c>
      <c r="E1097" s="16" t="inlineStr">
        <is>
          <t>L</t>
        </is>
      </c>
      <c r="F1097" s="16" t="n"/>
      <c r="G1097" s="9" t="n">
        <v>22.35897435897436</v>
      </c>
      <c r="H1097" s="9" t="n">
        <v>22.35897435897436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1" t="n">
        <v>1</v>
      </c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/>
      <c r="Y1097" s="17" t="n">
        <v>1</v>
      </c>
      <c r="Z1097" s="13">
        <f>SUMPRODUCT(N1097:Y1097,$N$2:$Y$2)*$K1097*$L1097*$M1097</f>
        <v/>
      </c>
      <c r="AA1097" s="14">
        <f>SUM(N1097:Y1097)</f>
        <v/>
      </c>
      <c r="AB1097" s="14">
        <f>IFERROR(IF(UPPER($E1097)="L",SUMPRODUCT(N1097:Y1097,$N$3:$Y$3,$N$2:$Y$2),SUMPRODUCT(N1097:Y1097,$N$4:$Y$4,$N$2:$Y$2))/(Z1097/($K1097*$L1097*$M1097)),"")</f>
        <v/>
      </c>
      <c r="AC1097" s="18" t="n"/>
    </row>
    <row r="1098">
      <c r="A1098" s="9" t="n">
        <v>806968</v>
      </c>
      <c r="B1098" s="9" t="inlineStr">
        <is>
          <t>Ludwing Espinoza</t>
        </is>
      </c>
      <c r="C1098" s="9" t="inlineStr">
        <is>
          <t>CHC</t>
        </is>
      </c>
      <c r="D1098" s="9" t="n">
        <v>25</v>
      </c>
      <c r="E1098" s="16" t="inlineStr">
        <is>
          <t>R</t>
        </is>
      </c>
      <c r="F1098" s="16" t="n"/>
      <c r="G1098" s="9" t="n">
        <v>8.36923076923077</v>
      </c>
      <c r="H1098" s="9" t="n">
        <v>8.36923076923077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1" t="n">
        <v>1</v>
      </c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/>
      <c r="Y1098" s="17" t="n">
        <v>1</v>
      </c>
      <c r="Z1098" s="13">
        <f>SUMPRODUCT(N1098:Y1098,$N$2:$Y$2)*$K1098*$L1098*$M1098</f>
        <v/>
      </c>
      <c r="AA1098" s="14">
        <f>SUM(N1098:Y1098)</f>
        <v/>
      </c>
      <c r="AB1098" s="14">
        <f>IFERROR(IF(UPPER($E1098)="L",SUMPRODUCT(N1098:Y1098,$N$3:$Y$3,$N$2:$Y$2),SUMPRODUCT(N1098:Y1098,$N$4:$Y$4,$N$2:$Y$2))/(Z1098/($K1098*$L1098*$M1098)),"")</f>
        <v/>
      </c>
      <c r="AC1098" s="18" t="n"/>
    </row>
    <row r="1099">
      <c r="A1099" s="9" t="n">
        <v>816406</v>
      </c>
      <c r="B1099" s="9" t="inlineStr">
        <is>
          <t>Ivan Cespedes</t>
        </is>
      </c>
      <c r="C1099" s="9" t="inlineStr">
        <is>
          <t>CHC</t>
        </is>
      </c>
      <c r="D1099" s="9" t="n">
        <v>25</v>
      </c>
      <c r="E1099" s="16" t="inlineStr">
        <is>
          <t>R</t>
        </is>
      </c>
      <c r="F1099" s="16" t="n"/>
      <c r="G1099" s="9" t="n">
        <v>12.55384615384615</v>
      </c>
      <c r="H1099" s="9" t="n">
        <v>12.55384615384615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1" t="n">
        <v>1</v>
      </c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/>
      <c r="Y1099" s="17" t="n">
        <v>1</v>
      </c>
      <c r="Z1099" s="13">
        <f>SUMPRODUCT(N1099:Y1099,$N$2:$Y$2)*$K1099*$L1099*$M1099</f>
        <v/>
      </c>
      <c r="AA1099" s="14">
        <f>SUM(N1099:Y1099)</f>
        <v/>
      </c>
      <c r="AB1099" s="14">
        <f>IFERROR(IF(UPPER($E1099)="L",SUMPRODUCT(N1099:Y1099,$N$3:$Y$3,$N$2:$Y$2),SUMPRODUCT(N1099:Y1099,$N$4:$Y$4,$N$2:$Y$2))/(Z1099/($K1099*$L1099*$M1099)),"")</f>
        <v/>
      </c>
      <c r="AC1099" s="18" t="n"/>
    </row>
    <row r="1100">
      <c r="A1100" s="9" t="n">
        <v>680672</v>
      </c>
      <c r="B1100" s="9" t="inlineStr">
        <is>
          <t>Luke Waddell</t>
        </is>
      </c>
      <c r="C1100" s="9" t="inlineStr">
        <is>
          <t>ATL</t>
        </is>
      </c>
      <c r="D1100" s="9" t="n">
        <v>25</v>
      </c>
      <c r="E1100" s="16" t="inlineStr">
        <is>
          <t>L</t>
        </is>
      </c>
      <c r="F1100" s="16" t="n"/>
      <c r="G1100" s="9" t="n">
        <v>6.205128205128206</v>
      </c>
      <c r="H1100" s="9" t="n">
        <v>6.205128205128206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1" t="n">
        <v>1</v>
      </c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/>
      <c r="Y1100" s="17" t="n">
        <v>1</v>
      </c>
      <c r="Z1100" s="13">
        <f>SUMPRODUCT(N1100:Y1100,$N$2:$Y$2)*$K1100*$L1100*$M1100</f>
        <v/>
      </c>
      <c r="AA1100" s="14">
        <f>SUM(N1100:Y1100)</f>
        <v/>
      </c>
      <c r="AB1100" s="14">
        <f>IFERROR(IF(UPPER($E1100)="L",SUMPRODUCT(N1100:Y1100,$N$3:$Y$3,$N$2:$Y$2),SUMPRODUCT(N1100:Y1100,$N$4:$Y$4,$N$2:$Y$2))/(Z1100/($K1100*$L1100*$M1100)),"")</f>
        <v/>
      </c>
      <c r="AC1100" s="18" t="n"/>
    </row>
    <row r="1101">
      <c r="A1101" s="9" t="n">
        <v>684976</v>
      </c>
      <c r="B1101" s="9" t="inlineStr">
        <is>
          <t>Johnathon Thomas</t>
        </is>
      </c>
      <c r="C1101" s="9" t="inlineStr">
        <is>
          <t>WSH</t>
        </is>
      </c>
      <c r="D1101" s="9" t="n">
        <v>25</v>
      </c>
      <c r="E1101" s="16" t="inlineStr">
        <is>
          <t>R</t>
        </is>
      </c>
      <c r="F1101" s="16" t="n"/>
      <c r="G1101" s="9" t="n">
        <v>21.43589743589744</v>
      </c>
      <c r="H1101" s="9" t="n">
        <v>21.43589743589744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1" t="n">
        <v>1</v>
      </c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/>
      <c r="Y1101" s="17" t="n">
        <v>1</v>
      </c>
      <c r="Z1101" s="13">
        <f>SUMPRODUCT(N1101:Y1101,$N$2:$Y$2)*$K1101*$L1101*$M1101</f>
        <v/>
      </c>
      <c r="AA1101" s="14">
        <f>SUM(N1101:Y1101)</f>
        <v/>
      </c>
      <c r="AB1101" s="14">
        <f>IFERROR(IF(UPPER($E1101)="L",SUMPRODUCT(N1101:Y1101,$N$3:$Y$3,$N$2:$Y$2),SUMPRODUCT(N1101:Y1101,$N$4:$Y$4,$N$2:$Y$2))/(Z1101/($K1101*$L1101*$M1101)),"")</f>
        <v/>
      </c>
      <c r="AC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inlineStr">
        <is>
          <t>2B</t>
        </is>
      </c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1" t="n">
        <v>1.126792300804764</v>
      </c>
      <c r="N1102" s="17" t="n">
        <v>1</v>
      </c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7" t="n"/>
      <c r="Z1102" s="13">
        <f>SUMPRODUCT(N1102:Y1102,$N$2:$Y$2)*$K1102*$L1102*$M1102</f>
        <v/>
      </c>
      <c r="AA1102" s="14">
        <f>SUM(N1102:Y1102)</f>
        <v/>
      </c>
      <c r="AB1102" s="14">
        <f>IFERROR(IF(UPPER($E1102)="L",SUMPRODUCT(N1102:Y1102,$N$3:$Y$3,$N$2:$Y$2),SUMPRODUCT(N1102:Y1102,$N$4:$Y$4,$N$2:$Y$2))/(Z1102/($K1102*$L1102*$M1102)),"")</f>
        <v/>
      </c>
      <c r="AC1102" s="18" t="n"/>
    </row>
    <row r="1103">
      <c r="A1103" s="9" t="n">
        <v>669087</v>
      </c>
      <c r="B1103" s="9" t="inlineStr">
        <is>
          <t>Sam Huff</t>
        </is>
      </c>
      <c r="C1103" s="9" t="inlineStr">
        <is>
          <t>BAL</t>
        </is>
      </c>
      <c r="D1103" s="9" t="n">
        <v>29</v>
      </c>
      <c r="E1103" s="16" t="inlineStr">
        <is>
          <t>R</t>
        </is>
      </c>
      <c r="F1103" s="16" t="inlineStr">
        <is>
          <t>C</t>
        </is>
      </c>
      <c r="G1103" s="9" t="n">
        <v>34</v>
      </c>
      <c r="H1103" s="9" t="n">
        <v>273</v>
      </c>
      <c r="I1103" s="9" t="inlineStr">
        <is>
          <t>Catcher - Backup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1" t="n">
        <v>1</v>
      </c>
      <c r="N1103" s="17" t="n"/>
      <c r="O1103" s="17" t="n"/>
      <c r="P1103" s="17" t="n"/>
      <c r="Q1103" s="17" t="n"/>
      <c r="R1103" s="17" t="n"/>
      <c r="S1103" s="17" t="n"/>
      <c r="T1103" s="17" t="n">
        <v>1</v>
      </c>
      <c r="U1103" s="17" t="n"/>
      <c r="V1103" s="17" t="n"/>
      <c r="W1103" s="17" t="n"/>
      <c r="X1103" s="17" t="n"/>
      <c r="Y1103" s="17" t="n"/>
      <c r="Z1103" s="13">
        <f>SUMPRODUCT(N1103:Y1103,$N$2:$Y$2)*$K1103*$L1103*$M1103</f>
        <v/>
      </c>
      <c r="AA1103" s="14">
        <f>SUM(N1103:Y1103)</f>
        <v/>
      </c>
      <c r="AB1103" s="14">
        <f>IFERROR(IF(UPPER($E1103)="L",SUMPRODUCT(N1103:Y1103,$N$3:$Y$3,$N$2:$Y$2),SUMPRODUCT(N1103:Y1103,$N$4:$Y$4,$N$2:$Y$2))/(Z1103/($K1103*$L1103*$M1103)),"")</f>
        <v/>
      </c>
      <c r="AC1103" s="18" t="n"/>
    </row>
    <row r="1104">
      <c r="A1104" s="9" t="n">
        <v>808123</v>
      </c>
      <c r="B1104" s="9" t="inlineStr">
        <is>
          <t>Victor Rodriguez</t>
        </is>
      </c>
      <c r="C1104" s="9" t="inlineStr">
        <is>
          <t>LAA</t>
        </is>
      </c>
      <c r="D1104" s="9" t="n">
        <v>25</v>
      </c>
      <c r="E1104" s="16" t="inlineStr">
        <is>
          <t>R</t>
        </is>
      </c>
      <c r="F1104" s="16" t="n"/>
      <c r="G1104" s="9" t="n">
        <v>10.46153846153846</v>
      </c>
      <c r="H1104" s="9" t="n">
        <v>10.46153846153846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1" t="n">
        <v>1</v>
      </c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/>
      <c r="Y1104" s="17" t="n">
        <v>1</v>
      </c>
      <c r="Z1104" s="13">
        <f>SUMPRODUCT(N1104:Y1104,$N$2:$Y$2)*$K1104*$L1104*$M1104</f>
        <v/>
      </c>
      <c r="AA1104" s="14">
        <f>SUM(N1104:Y1104)</f>
        <v/>
      </c>
      <c r="AB1104" s="14">
        <f>IFERROR(IF(UPPER($E1104)="L",SUMPRODUCT(N1104:Y1104,$N$3:$Y$3,$N$2:$Y$2),SUMPRODUCT(N1104:Y1104,$N$4:$Y$4,$N$2:$Y$2))/(Z1104/($K1104*$L1104*$M1104)),"")</f>
        <v/>
      </c>
      <c r="AC1104" s="18" t="n"/>
    </row>
    <row r="1105">
      <c r="A1105" s="9" t="n">
        <v>680574</v>
      </c>
      <c r="B1105" s="9" t="inlineStr">
        <is>
          <t>Matt McLain</t>
        </is>
      </c>
      <c r="C1105" s="9" t="inlineStr">
        <is>
          <t>CIN</t>
        </is>
      </c>
      <c r="D1105" s="9" t="n">
        <v>27</v>
      </c>
      <c r="E1105" s="16" t="inlineStr">
        <is>
          <t>R</t>
        </is>
      </c>
      <c r="F1105" s="16" t="inlineStr">
        <is>
          <t>2B</t>
        </is>
      </c>
      <c r="G1105" s="9" t="n">
        <v>496</v>
      </c>
      <c r="H1105" s="9" t="n">
        <v>1476</v>
      </c>
      <c r="I1105" s="9" t="inlineStr">
        <is>
          <t>Full Time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1" t="n">
        <v>1.068508677109382</v>
      </c>
      <c r="N1105" s="17" t="n">
        <v>1</v>
      </c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7" t="n"/>
      <c r="Z1105" s="13">
        <f>SUMPRODUCT(N1105:Y1105,$N$2:$Y$2)*$K1105*$L1105*$M1105</f>
        <v/>
      </c>
      <c r="AA1105" s="14">
        <f>SUM(N1105:Y1105)</f>
        <v/>
      </c>
      <c r="AB1105" s="14">
        <f>IFERROR(IF(UPPER($E1105)="L",SUMPRODUCT(N1105:Y1105,$N$3:$Y$3,$N$2:$Y$2),SUMPRODUCT(N1105:Y1105,$N$4:$Y$4,$N$2:$Y$2))/(Z1105/($K1105*$L1105*$M1105)),"")</f>
        <v/>
      </c>
      <c r="AC1105" s="18" t="n"/>
    </row>
    <row r="1106">
      <c r="A1106" s="9" t="n">
        <v>696510</v>
      </c>
      <c r="B1106" s="9" t="inlineStr">
        <is>
          <t>Peyton Stovall</t>
        </is>
      </c>
      <c r="C1106" s="9" t="inlineStr">
        <is>
          <t>CIN</t>
        </is>
      </c>
      <c r="D1106" s="9" t="n">
        <v>25</v>
      </c>
      <c r="E1106" s="16" t="inlineStr">
        <is>
          <t>L</t>
        </is>
      </c>
      <c r="F1106" s="16" t="n"/>
      <c r="G1106" s="9" t="n">
        <v>40.20512820512821</v>
      </c>
      <c r="H1106" s="9" t="n">
        <v>40.20512820512821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1" t="n">
        <v>1</v>
      </c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/>
      <c r="Y1106" s="17" t="n">
        <v>1</v>
      </c>
      <c r="Z1106" s="13">
        <f>SUMPRODUCT(N1106:Y1106,$N$2:$Y$2)*$K1106*$L1106*$M1106</f>
        <v/>
      </c>
      <c r="AA1106" s="14">
        <f>SUM(N1106:Y1106)</f>
        <v/>
      </c>
      <c r="AB1106" s="14">
        <f>IFERROR(IF(UPPER($E1106)="L",SUMPRODUCT(N1106:Y1106,$N$3:$Y$3,$N$2:$Y$2),SUMPRODUCT(N1106:Y1106,$N$4:$Y$4,$N$2:$Y$2))/(Z1106/($K1106*$L1106*$M1106)),"")</f>
        <v/>
      </c>
      <c r="AC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1" t="n">
        <v>1</v>
      </c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/>
      <c r="Y1107" s="17" t="n">
        <v>1</v>
      </c>
      <c r="Z1107" s="13">
        <f>SUMPRODUCT(N1107:Y1107,$N$2:$Y$2)*$K1107*$L1107*$M1107</f>
        <v/>
      </c>
      <c r="AA1107" s="14">
        <f>SUM(N1107:Y1107)</f>
        <v/>
      </c>
      <c r="AB1107" s="14">
        <f>IFERROR(IF(UPPER($E1107)="L",SUMPRODUCT(N1107:Y1107,$N$3:$Y$3,$N$2:$Y$2),SUMPRODUCT(N1107:Y1107,$N$4:$Y$4,$N$2:$Y$2))/(Z1107/($K1107*$L1107*$M1107)),"")</f>
        <v/>
      </c>
      <c r="AC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1" t="n">
        <v>1</v>
      </c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/>
      <c r="Y1108" s="17" t="n">
        <v>1</v>
      </c>
      <c r="Z1108" s="13">
        <f>SUMPRODUCT(N1108:Y1108,$N$2:$Y$2)*$K1108*$L1108*$M1108</f>
        <v/>
      </c>
      <c r="AA1108" s="14">
        <f>SUM(N1108:Y1108)</f>
        <v/>
      </c>
      <c r="AB1108" s="14">
        <f>IFERROR(IF(UPPER($E1108)="L",SUMPRODUCT(N1108:Y1108,$N$3:$Y$3,$N$2:$Y$2),SUMPRODUCT(N1108:Y1108,$N$4:$Y$4,$N$2:$Y$2))/(Z1108/($K1108*$L1108*$M1108)),"")</f>
        <v/>
      </c>
      <c r="AC1108" s="18" t="n"/>
    </row>
    <row r="1109">
      <c r="A1109" s="9" t="n">
        <v>811765</v>
      </c>
      <c r="B1109" s="9" t="inlineStr">
        <is>
          <t>Deniel Ortiz</t>
        </is>
      </c>
      <c r="C1109" s="9" t="inlineStr">
        <is>
          <t>STL</t>
        </is>
      </c>
      <c r="D1109" s="9" t="n">
        <v>25</v>
      </c>
      <c r="E1109" s="16" t="inlineStr">
        <is>
          <t>R</t>
        </is>
      </c>
      <c r="F1109" s="16" t="n"/>
      <c r="G1109" s="9" t="n">
        <v>91.53846153846152</v>
      </c>
      <c r="H1109" s="9" t="n">
        <v>91.53846153846152</v>
      </c>
      <c r="I1109" s="9" t="inlineStr">
        <is>
          <t>Depth (no MLB PA)</t>
        </is>
      </c>
      <c r="J1109" s="16" t="inlineStr">
        <is>
          <t>Mid Season (~July)</t>
        </is>
      </c>
      <c r="K1109" s="11">
        <f>IFERROR(INDEX(Roles!$B$17:$B$20,MATCH(J1109,Roles!$A$17:$A$20,0)),1)</f>
        <v/>
      </c>
      <c r="L1109" s="17" t="n">
        <v>1</v>
      </c>
      <c r="M1109" s="11" t="n">
        <v>1</v>
      </c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7" t="n">
        <v>1</v>
      </c>
      <c r="Z1109" s="13">
        <f>SUMPRODUCT(N1109:Y1109,$N$2:$Y$2)*$K1109*$L1109*$M1109</f>
        <v/>
      </c>
      <c r="AA1109" s="14">
        <f>SUM(N1109:Y1109)</f>
        <v/>
      </c>
      <c r="AB1109" s="14">
        <f>IFERROR(IF(UPPER($E1109)="L",SUMPRODUCT(N1109:Y1109,$N$3:$Y$3,$N$2:$Y$2),SUMPRODUCT(N1109:Y1109,$N$4:$Y$4,$N$2:$Y$2))/(Z1109/($K1109*$L1109*$M1109)),"")</f>
        <v/>
      </c>
      <c r="AC1109" s="18" t="n"/>
    </row>
    <row r="1110">
      <c r="A1110" s="9" t="n">
        <v>806233</v>
      </c>
      <c r="B1110" s="9" t="inlineStr">
        <is>
          <t>Luke Stevenson</t>
        </is>
      </c>
      <c r="C1110" s="9" t="inlineStr">
        <is>
          <t>SEA</t>
        </is>
      </c>
      <c r="D1110" s="9" t="n">
        <v>25</v>
      </c>
      <c r="E1110" s="16" t="inlineStr">
        <is>
          <t>L</t>
        </is>
      </c>
      <c r="F1110" s="16" t="n"/>
      <c r="G1110" s="9" t="n">
        <v>95.3846153846154</v>
      </c>
      <c r="H1110" s="9" t="n">
        <v>95.3846153846154</v>
      </c>
      <c r="I1110" s="9" t="inlineStr">
        <is>
          <t>Depth (no MLB PA)</t>
        </is>
      </c>
      <c r="J1110" s="16" t="inlineStr">
        <is>
          <t>Late Season (~Sept)</t>
        </is>
      </c>
      <c r="K1110" s="11">
        <f>IFERROR(INDEX(Roles!$B$17:$B$20,MATCH(J1110,Roles!$A$17:$A$20,0)),1)</f>
        <v/>
      </c>
      <c r="L1110" s="17" t="n">
        <v>1</v>
      </c>
      <c r="M1110" s="11" t="n">
        <v>1</v>
      </c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/>
      <c r="Y1110" s="17" t="n">
        <v>1</v>
      </c>
      <c r="Z1110" s="13">
        <f>SUMPRODUCT(N1110:Y1110,$N$2:$Y$2)*$K1110*$L1110*$M1110</f>
        <v/>
      </c>
      <c r="AA1110" s="14">
        <f>SUM(N1110:Y1110)</f>
        <v/>
      </c>
      <c r="AB1110" s="14">
        <f>IFERROR(IF(UPPER($E1110)="L",SUMPRODUCT(N1110:Y1110,$N$3:$Y$3,$N$2:$Y$2),SUMPRODUCT(N1110:Y1110,$N$4:$Y$4,$N$2:$Y$2))/(Z1110/($K1110*$L1110*$M1110)),"")</f>
        <v/>
      </c>
      <c r="AC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1" t="n">
        <v>1</v>
      </c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/>
      <c r="Y1111" s="17" t="n">
        <v>1</v>
      </c>
      <c r="Z1111" s="13">
        <f>SUMPRODUCT(N1111:Y1111,$N$2:$Y$2)*$K1111*$L1111*$M1111</f>
        <v/>
      </c>
      <c r="AA1111" s="14">
        <f>SUM(N1111:Y1111)</f>
        <v/>
      </c>
      <c r="AB1111" s="14">
        <f>IFERROR(IF(UPPER($E1111)="L",SUMPRODUCT(N1111:Y1111,$N$3:$Y$3,$N$2:$Y$2),SUMPRODUCT(N1111:Y1111,$N$4:$Y$4,$N$2:$Y$2))/(Z1111/($K1111*$L1111*$M1111)),"")</f>
        <v/>
      </c>
      <c r="AC1111" s="18" t="n"/>
    </row>
    <row r="1112">
      <c r="A1112" s="9" t="n">
        <v>811551</v>
      </c>
      <c r="B1112" s="9" t="inlineStr">
        <is>
          <t>Isael Arias</t>
        </is>
      </c>
      <c r="C1112" s="9" t="inlineStr">
        <is>
          <t>NYY</t>
        </is>
      </c>
      <c r="D1112" s="9" t="n">
        <v>25</v>
      </c>
      <c r="E1112" s="16" t="inlineStr">
        <is>
          <t>R</t>
        </is>
      </c>
      <c r="F1112" s="16" t="n"/>
      <c r="G1112" s="9" t="n">
        <v>6.276923076923077</v>
      </c>
      <c r="H1112" s="9" t="n">
        <v>6.276923076923077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1" t="n">
        <v>1</v>
      </c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/>
      <c r="Y1112" s="17" t="n">
        <v>1</v>
      </c>
      <c r="Z1112" s="13">
        <f>SUMPRODUCT(N1112:Y1112,$N$2:$Y$2)*$K1112*$L1112*$M1112</f>
        <v/>
      </c>
      <c r="AA1112" s="14">
        <f>SUM(N1112:Y1112)</f>
        <v/>
      </c>
      <c r="AB1112" s="14">
        <f>IFERROR(IF(UPPER($E1112)="L",SUMPRODUCT(N1112:Y1112,$N$3:$Y$3,$N$2:$Y$2),SUMPRODUCT(N1112:Y1112,$N$4:$Y$4,$N$2:$Y$2))/(Z1112/($K1112*$L1112*$M1112)),"")</f>
        <v/>
      </c>
      <c r="AC1112" s="18" t="n"/>
    </row>
    <row r="1113">
      <c r="A1113" s="9" t="n">
        <v>808298</v>
      </c>
      <c r="B1113" s="9" t="inlineStr">
        <is>
          <t>Heriberto Rincon</t>
        </is>
      </c>
      <c r="C1113" s="9" t="inlineStr">
        <is>
          <t>NYM</t>
        </is>
      </c>
      <c r="D1113" s="9" t="n">
        <v>25</v>
      </c>
      <c r="E1113" s="16" t="inlineStr">
        <is>
          <t>R</t>
        </is>
      </c>
      <c r="F1113" s="16" t="n"/>
      <c r="G1113" s="9" t="n">
        <v>6.35897435897436</v>
      </c>
      <c r="H1113" s="9" t="n">
        <v>6.35897435897436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1" t="n">
        <v>1</v>
      </c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/>
      <c r="Y1113" s="17" t="n">
        <v>1</v>
      </c>
      <c r="Z1113" s="13">
        <f>SUMPRODUCT(N1113:Y1113,$N$2:$Y$2)*$K1113*$L1113*$M1113</f>
        <v/>
      </c>
      <c r="AA1113" s="14">
        <f>SUM(N1113:Y1113)</f>
        <v/>
      </c>
      <c r="AB1113" s="14">
        <f>IFERROR(IF(UPPER($E1113)="L",SUMPRODUCT(N1113:Y1113,$N$3:$Y$3,$N$2:$Y$2),SUMPRODUCT(N1113:Y1113,$N$4:$Y$4,$N$2:$Y$2))/(Z1113/($K1113*$L1113*$M1113)),"")</f>
        <v/>
      </c>
      <c r="AC1113" s="18" t="n"/>
    </row>
    <row r="1114">
      <c r="A1114" s="9" t="n">
        <v>691191</v>
      </c>
      <c r="B1114" s="9" t="inlineStr">
        <is>
          <t>Jose Salas</t>
        </is>
      </c>
      <c r="C1114" s="9" t="inlineStr">
        <is>
          <t>MIN</t>
        </is>
      </c>
      <c r="D1114" s="9" t="n">
        <v>25</v>
      </c>
      <c r="E1114" s="16" t="inlineStr">
        <is>
          <t>L</t>
        </is>
      </c>
      <c r="F1114" s="16" t="n"/>
      <c r="G1114" s="9" t="n">
        <v>64.61538461538461</v>
      </c>
      <c r="H1114" s="9" t="n">
        <v>64.61538461538461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1" t="n">
        <v>1</v>
      </c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/>
      <c r="Y1114" s="17" t="n">
        <v>1</v>
      </c>
      <c r="Z1114" s="13">
        <f>SUMPRODUCT(N1114:Y1114,$N$2:$Y$2)*$K1114*$L1114*$M1114</f>
        <v/>
      </c>
      <c r="AA1114" s="14">
        <f>SUM(N1114:Y1114)</f>
        <v/>
      </c>
      <c r="AB1114" s="14">
        <f>IFERROR(IF(UPPER($E1114)="L",SUMPRODUCT(N1114:Y1114,$N$3:$Y$3,$N$2:$Y$2),SUMPRODUCT(N1114:Y1114,$N$4:$Y$4,$N$2:$Y$2))/(Z1114/($K1114*$L1114*$M1114)),"")</f>
        <v/>
      </c>
      <c r="AC1114" s="18" t="n"/>
    </row>
    <row r="1115">
      <c r="A1115" s="9" t="n">
        <v>806494</v>
      </c>
      <c r="B1115" s="9" t="inlineStr">
        <is>
          <t>Kam Durnin</t>
        </is>
      </c>
      <c r="C1115" s="9" t="inlineStr">
        <is>
          <t>HOU</t>
        </is>
      </c>
      <c r="D1115" s="9" t="n">
        <v>25</v>
      </c>
      <c r="E1115" s="16" t="inlineStr">
        <is>
          <t>R</t>
        </is>
      </c>
      <c r="F1115" s="16" t="n"/>
      <c r="G1115" s="9" t="n">
        <v>10.70769230769231</v>
      </c>
      <c r="H1115" s="9" t="n">
        <v>10.70769230769231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1" t="n">
        <v>1</v>
      </c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/>
      <c r="Y1115" s="17" t="n">
        <v>1</v>
      </c>
      <c r="Z1115" s="13">
        <f>SUMPRODUCT(N1115:Y1115,$N$2:$Y$2)*$K1115*$L1115*$M1115</f>
        <v/>
      </c>
      <c r="AA1115" s="14">
        <f>SUM(N1115:Y1115)</f>
        <v/>
      </c>
      <c r="AB1115" s="14">
        <f>IFERROR(IF(UPPER($E1115)="L",SUMPRODUCT(N1115:Y1115,$N$3:$Y$3,$N$2:$Y$2),SUMPRODUCT(N1115:Y1115,$N$4:$Y$4,$N$2:$Y$2))/(Z1115/($K1115*$L1115*$M1115)),"")</f>
        <v/>
      </c>
      <c r="AC1115" s="18" t="n"/>
    </row>
    <row r="1116">
      <c r="A1116" s="9" t="n">
        <v>823050</v>
      </c>
      <c r="B1116" s="9" t="inlineStr">
        <is>
          <t>Mulivai Levu</t>
        </is>
      </c>
      <c r="C1116" s="9" t="inlineStr">
        <is>
          <t>CIN</t>
        </is>
      </c>
      <c r="D1116" s="9" t="n">
        <v>25</v>
      </c>
      <c r="E1116" s="16" t="inlineStr">
        <is>
          <t>L</t>
        </is>
      </c>
      <c r="F1116" s="16" t="n"/>
      <c r="G1116" s="9" t="n">
        <v>10.83076923076923</v>
      </c>
      <c r="H1116" s="9" t="n">
        <v>10.83076923076923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1" t="n">
        <v>1</v>
      </c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/>
      <c r="Y1116" s="17" t="n">
        <v>1</v>
      </c>
      <c r="Z1116" s="13">
        <f>SUMPRODUCT(N1116:Y1116,$N$2:$Y$2)*$K1116*$L1116*$M1116</f>
        <v/>
      </c>
      <c r="AA1116" s="14">
        <f>SUM(N1116:Y1116)</f>
        <v/>
      </c>
      <c r="AB1116" s="14">
        <f>IFERROR(IF(UPPER($E1116)="L",SUMPRODUCT(N1116:Y1116,$N$3:$Y$3,$N$2:$Y$2),SUMPRODUCT(N1116:Y1116,$N$4:$Y$4,$N$2:$Y$2))/(Z1116/($K1116*$L1116*$M1116)),"")</f>
        <v/>
      </c>
      <c r="AC1116" s="18" t="n"/>
    </row>
    <row r="1117">
      <c r="A1117" s="9" t="n">
        <v>821262</v>
      </c>
      <c r="B1117" s="9" t="inlineStr">
        <is>
          <t>José Anderson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54.27692307692308</v>
      </c>
      <c r="H1117" s="9" t="n">
        <v>54.27692307692308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1" t="n">
        <v>1</v>
      </c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/>
      <c r="Y1117" s="17" t="n">
        <v>1</v>
      </c>
      <c r="Z1117" s="13">
        <f>SUMPRODUCT(N1117:Y1117,$N$2:$Y$2)*$K1117*$L1117*$M1117</f>
        <v/>
      </c>
      <c r="AA1117" s="14">
        <f>SUM(N1117:Y1117)</f>
        <v/>
      </c>
      <c r="AB1117" s="14">
        <f>IFERROR(IF(UPPER($E1117)="L",SUMPRODUCT(N1117:Y1117,$N$3:$Y$3,$N$2:$Y$2),SUMPRODUCT(N1117:Y1117,$N$4:$Y$4,$N$2:$Y$2))/(Z1117/($K1117*$L1117*$M1117)),"")</f>
        <v/>
      </c>
      <c r="AC1117" s="18" t="n"/>
    </row>
    <row r="1118">
      <c r="A1118" s="9" t="n">
        <v>823658</v>
      </c>
      <c r="B1118" s="9" t="inlineStr">
        <is>
          <t>Daniel Dickinson</t>
        </is>
      </c>
      <c r="C1118" s="9" t="inlineStr">
        <is>
          <t>MIL</t>
        </is>
      </c>
      <c r="D1118" s="9" t="n">
        <v>25</v>
      </c>
      <c r="E1118" s="16" t="inlineStr">
        <is>
          <t>R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1" t="n">
        <v>1</v>
      </c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/>
      <c r="Y1118" s="17" t="n">
        <v>1</v>
      </c>
      <c r="Z1118" s="13">
        <f>SUMPRODUCT(N1118:Y1118,$N$2:$Y$2)*$K1118*$L1118*$M1118</f>
        <v/>
      </c>
      <c r="AA1118" s="14">
        <f>SUM(N1118:Y1118)</f>
        <v/>
      </c>
      <c r="AB1118" s="14">
        <f>IFERROR(IF(UPPER($E1118)="L",SUMPRODUCT(N1118:Y1118,$N$3:$Y$3,$N$2:$Y$2),SUMPRODUCT(N1118:Y1118,$N$4:$Y$4,$N$2:$Y$2))/(Z1118/($K1118*$L1118*$M1118)),"")</f>
        <v/>
      </c>
      <c r="AC1118" s="18" t="n"/>
    </row>
    <row r="1119">
      <c r="A1119" s="9" t="n">
        <v>825578</v>
      </c>
      <c r="B1119" s="9" t="inlineStr">
        <is>
          <t>Matt Quintanar</t>
        </is>
      </c>
      <c r="C1119" s="9" t="inlineStr">
        <is>
          <t>PHI</t>
        </is>
      </c>
      <c r="D1119" s="9" t="n">
        <v>25</v>
      </c>
      <c r="E1119" s="16" t="inlineStr">
        <is>
          <t>R</t>
        </is>
      </c>
      <c r="F1119" s="16" t="n"/>
      <c r="G1119" s="9" t="n">
        <v>6.523076923076923</v>
      </c>
      <c r="H1119" s="9" t="n">
        <v>6.523076923076923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1" t="n">
        <v>1</v>
      </c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/>
      <c r="Y1119" s="17" t="n">
        <v>1</v>
      </c>
      <c r="Z1119" s="13">
        <f>SUMPRODUCT(N1119:Y1119,$N$2:$Y$2)*$K1119*$L1119*$M1119</f>
        <v/>
      </c>
      <c r="AA1119" s="14">
        <f>SUM(N1119:Y1119)</f>
        <v/>
      </c>
      <c r="AB1119" s="14">
        <f>IFERROR(IF(UPPER($E1119)="L",SUMPRODUCT(N1119:Y1119,$N$3:$Y$3,$N$2:$Y$2),SUMPRODUCT(N1119:Y1119,$N$4:$Y$4,$N$2:$Y$2))/(Z1119/($K1119*$L1119*$M1119)),"")</f>
        <v/>
      </c>
      <c r="AC1119" s="18" t="n"/>
    </row>
    <row r="1120">
      <c r="A1120" s="9" t="n">
        <v>694318</v>
      </c>
      <c r="B1120" s="9" t="inlineStr">
        <is>
          <t>Austin St. Laurent</t>
        </is>
      </c>
      <c r="C1120" s="9" t="inlineStr">
        <is>
          <t>SEA</t>
        </is>
      </c>
      <c r="D1120" s="9" t="n">
        <v>25</v>
      </c>
      <c r="E1120" s="16" t="inlineStr">
        <is>
          <t>R</t>
        </is>
      </c>
      <c r="F1120" s="16" t="n"/>
      <c r="G1120" s="9" t="n">
        <v>6.461538461538462</v>
      </c>
      <c r="H1120" s="9" t="n">
        <v>6.461538461538462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1" t="n">
        <v>1</v>
      </c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/>
      <c r="Y1120" s="17" t="n">
        <v>1</v>
      </c>
      <c r="Z1120" s="13">
        <f>SUMPRODUCT(N1120:Y1120,$N$2:$Y$2)*$K1120*$L1120*$M1120</f>
        <v/>
      </c>
      <c r="AA1120" s="14">
        <f>SUM(N1120:Y1120)</f>
        <v/>
      </c>
      <c r="AB1120" s="14">
        <f>IFERROR(IF(UPPER($E1120)="L",SUMPRODUCT(N1120:Y1120,$N$3:$Y$3,$N$2:$Y$2),SUMPRODUCT(N1120:Y1120,$N$4:$Y$4,$N$2:$Y$2))/(Z1120/($K1120*$L1120*$M1120)),"")</f>
        <v/>
      </c>
      <c r="AC1120" s="18" t="n"/>
    </row>
    <row r="1121">
      <c r="A1121" s="9" t="n">
        <v>681581</v>
      </c>
      <c r="B1121" s="9" t="inlineStr">
        <is>
          <t>Andy Weber</t>
        </is>
      </c>
      <c r="C1121" s="9" t="inlineStr">
        <is>
          <t>CWS</t>
        </is>
      </c>
      <c r="D1121" s="9" t="n">
        <v>25</v>
      </c>
      <c r="E1121" s="16" t="inlineStr">
        <is>
          <t>L</t>
        </is>
      </c>
      <c r="F1121" s="16" t="n"/>
      <c r="G1121" s="9" t="n">
        <v>192.3589743589744</v>
      </c>
      <c r="H1121" s="9" t="n">
        <v>192.3589743589744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1" t="n">
        <v>1</v>
      </c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/>
      <c r="Y1121" s="17" t="n">
        <v>1</v>
      </c>
      <c r="Z1121" s="13">
        <f>SUMPRODUCT(N1121:Y1121,$N$2:$Y$2)*$K1121*$L1121*$M1121</f>
        <v/>
      </c>
      <c r="AA1121" s="14">
        <f>SUM(N1121:Y1121)</f>
        <v/>
      </c>
      <c r="AB1121" s="14">
        <f>IFERROR(IF(UPPER($E1121)="L",SUMPRODUCT(N1121:Y1121,$N$3:$Y$3,$N$2:$Y$2),SUMPRODUCT(N1121:Y1121,$N$4:$Y$4,$N$2:$Y$2))/(Z1121/($K1121*$L1121*$M1121)),"")</f>
        <v/>
      </c>
      <c r="AC1121" s="18" t="n"/>
    </row>
    <row r="1122">
      <c r="A1122" s="9" t="n">
        <v>694227</v>
      </c>
      <c r="B1122" s="9" t="inlineStr">
        <is>
          <t>Danyer Cueva</t>
        </is>
      </c>
      <c r="C1122" s="9" t="inlineStr">
        <is>
          <t>TEX</t>
        </is>
      </c>
      <c r="D1122" s="9" t="n">
        <v>25</v>
      </c>
      <c r="E1122" s="16" t="inlineStr">
        <is>
          <t>L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1" t="n">
        <v>1</v>
      </c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/>
      <c r="Y1122" s="17" t="n">
        <v>1</v>
      </c>
      <c r="Z1122" s="13">
        <f>SUMPRODUCT(N1122:Y1122,$N$2:$Y$2)*$K1122*$L1122*$M1122</f>
        <v/>
      </c>
      <c r="AA1122" s="14">
        <f>SUM(N1122:Y1122)</f>
        <v/>
      </c>
      <c r="AB1122" s="14">
        <f>IFERROR(IF(UPPER($E1122)="L",SUMPRODUCT(N1122:Y1122,$N$3:$Y$3,$N$2:$Y$2),SUMPRODUCT(N1122:Y1122,$N$4:$Y$4,$N$2:$Y$2))/(Z1122/($K1122*$L1122*$M1122)),"")</f>
        <v/>
      </c>
      <c r="AC1122" s="18" t="n"/>
    </row>
    <row r="1123">
      <c r="A1123" s="9" t="n">
        <v>694943</v>
      </c>
      <c r="B1123" s="9" t="inlineStr">
        <is>
          <t>Juan Gonzalez</t>
        </is>
      </c>
      <c r="C1123" s="9" t="inlineStr">
        <is>
          <t>CWS</t>
        </is>
      </c>
      <c r="D1123" s="9" t="n">
        <v>25</v>
      </c>
      <c r="E1123" s="16" t="inlineStr">
        <is>
          <t>R</t>
        </is>
      </c>
      <c r="F1123" s="16" t="n"/>
      <c r="G1123" s="9" t="n">
        <v>6.461538461538462</v>
      </c>
      <c r="H1123" s="9" t="n">
        <v>6.461538461538462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1" t="n">
        <v>1</v>
      </c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/>
      <c r="Y1123" s="17" t="n">
        <v>1</v>
      </c>
      <c r="Z1123" s="13">
        <f>SUMPRODUCT(N1123:Y1123,$N$2:$Y$2)*$K1123*$L1123*$M1123</f>
        <v/>
      </c>
      <c r="AA1123" s="14">
        <f>SUM(N1123:Y1123)</f>
        <v/>
      </c>
      <c r="AB1123" s="14">
        <f>IFERROR(IF(UPPER($E1123)="L",SUMPRODUCT(N1123:Y1123,$N$3:$Y$3,$N$2:$Y$2),SUMPRODUCT(N1123:Y1123,$N$4:$Y$4,$N$2:$Y$2))/(Z1123/($K1123*$L1123*$M1123)),"")</f>
        <v/>
      </c>
      <c r="AC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inlineStr">
        <is>
          <t>3B</t>
        </is>
      </c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1" t="n">
        <v>1</v>
      </c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/>
      <c r="Y1124" s="17" t="n">
        <v>1</v>
      </c>
      <c r="Z1124" s="13">
        <f>SUMPRODUCT(N1124:Y1124,$N$2:$Y$2)*$K1124*$L1124*$M1124</f>
        <v/>
      </c>
      <c r="AA1124" s="14">
        <f>SUM(N1124:Y1124)</f>
        <v/>
      </c>
      <c r="AB1124" s="14">
        <f>IFERROR(IF(UPPER($E1124)="L",SUMPRODUCT(N1124:Y1124,$N$3:$Y$3,$N$2:$Y$2),SUMPRODUCT(N1124:Y1124,$N$4:$Y$4,$N$2:$Y$2))/(Z1124/($K1124*$L1124*$M1124)),"")</f>
        <v/>
      </c>
      <c r="AC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1" t="n">
        <v>1</v>
      </c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/>
      <c r="Y1125" s="17" t="n">
        <v>1</v>
      </c>
      <c r="Z1125" s="13">
        <f>SUMPRODUCT(N1125:Y1125,$N$2:$Y$2)*$K1125*$L1125*$M1125</f>
        <v/>
      </c>
      <c r="AA1125" s="14">
        <f>SUM(N1125:Y1125)</f>
        <v/>
      </c>
      <c r="AB1125" s="14">
        <f>IFERROR(IF(UPPER($E1125)="L",SUMPRODUCT(N1125:Y1125,$N$3:$Y$3,$N$2:$Y$2),SUMPRODUCT(N1125:Y1125,$N$4:$Y$4,$N$2:$Y$2))/(Z1125/($K1125*$L1125*$M1125)),"")</f>
        <v/>
      </c>
      <c r="AC1125" s="18" t="n"/>
    </row>
    <row r="1126">
      <c r="A1126" s="9" t="n">
        <v>829751</v>
      </c>
      <c r="B1126" s="9" t="inlineStr">
        <is>
          <t>Angel De Los Santos</t>
        </is>
      </c>
      <c r="C1126" s="9" t="inlineStr">
        <is>
          <t>DET</t>
        </is>
      </c>
      <c r="D1126" s="9" t="n">
        <v>25</v>
      </c>
      <c r="E1126" s="16" t="inlineStr">
        <is>
          <t>R</t>
        </is>
      </c>
      <c r="F1126" s="16" t="n"/>
      <c r="G1126" s="9" t="n">
        <v>12.92307692307692</v>
      </c>
      <c r="H1126" s="9" t="n">
        <v>12.92307692307692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1" t="n">
        <v>1</v>
      </c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/>
      <c r="Y1126" s="17" t="n">
        <v>1</v>
      </c>
      <c r="Z1126" s="13">
        <f>SUMPRODUCT(N1126:Y1126,$N$2:$Y$2)*$K1126*$L1126*$M1126</f>
        <v/>
      </c>
      <c r="AA1126" s="14">
        <f>SUM(N1126:Y1126)</f>
        <v/>
      </c>
      <c r="AB1126" s="14">
        <f>IFERROR(IF(UPPER($E1126)="L",SUMPRODUCT(N1126:Y1126,$N$3:$Y$3,$N$2:$Y$2),SUMPRODUCT(N1126:Y1126,$N$4:$Y$4,$N$2:$Y$2))/(Z1126/($K1126*$L1126*$M1126)),"")</f>
        <v/>
      </c>
      <c r="AC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1" t="n">
        <v>1</v>
      </c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/>
      <c r="Y1127" s="17" t="n">
        <v>1</v>
      </c>
      <c r="Z1127" s="13">
        <f>SUMPRODUCT(N1127:Y1127,$N$2:$Y$2)*$K1127*$L1127*$M1127</f>
        <v/>
      </c>
      <c r="AA1127" s="14">
        <f>SUM(N1127:Y1127)</f>
        <v/>
      </c>
      <c r="AB1127" s="14">
        <f>IFERROR(IF(UPPER($E1127)="L",SUMPRODUCT(N1127:Y1127,$N$3:$Y$3,$N$2:$Y$2),SUMPRODUCT(N1127:Y1127,$N$4:$Y$4,$N$2:$Y$2))/(Z1127/($K1127*$L1127*$M1127)),"")</f>
        <v/>
      </c>
      <c r="AC1127" s="18" t="n"/>
    </row>
    <row r="1128">
      <c r="A1128" s="9" t="n">
        <v>676566</v>
      </c>
      <c r="B1128" s="9" t="inlineStr">
        <is>
          <t>Shawn Ross</t>
        </is>
      </c>
      <c r="C1128" s="9" t="inlineStr">
        <is>
          <t>PIT</t>
        </is>
      </c>
      <c r="D1128" s="9" t="n">
        <v>27</v>
      </c>
      <c r="E1128" s="16" t="inlineStr">
        <is>
          <t>R</t>
        </is>
      </c>
      <c r="F1128" s="16" t="inlineStr">
        <is>
          <t>C</t>
        </is>
      </c>
      <c r="G1128" s="9" t="n">
        <v>5</v>
      </c>
      <c r="H1128" s="9" t="n">
        <v>5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1" t="n">
        <v>1</v>
      </c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/>
      <c r="Y1128" s="17" t="n">
        <v>1</v>
      </c>
      <c r="Z1128" s="13">
        <f>SUMPRODUCT(N1128:Y1128,$N$2:$Y$2)*$K1128*$L1128*$M1128</f>
        <v/>
      </c>
      <c r="AA1128" s="14">
        <f>SUM(N1128:Y1128)</f>
        <v/>
      </c>
      <c r="AB1128" s="14">
        <f>IFERROR(IF(UPPER($E1128)="L",SUMPRODUCT(N1128:Y1128,$N$3:$Y$3,$N$2:$Y$2),SUMPRODUCT(N1128:Y1128,$N$4:$Y$4,$N$2:$Y$2))/(Z1128/($K1128*$L1128*$M1128)),"")</f>
        <v/>
      </c>
      <c r="AC1128" s="18" t="n"/>
    </row>
    <row r="1129">
      <c r="A1129" s="9" t="n">
        <v>670712</v>
      </c>
      <c r="B1129" s="9" t="inlineStr">
        <is>
          <t>Mike Brosseau</t>
        </is>
      </c>
      <c r="C1129" s="9" t="inlineStr">
        <is>
          <t>MIL</t>
        </is>
      </c>
      <c r="D1129" s="9" t="n">
        <v>33</v>
      </c>
      <c r="E1129" s="16" t="inlineStr">
        <is>
          <t>R</t>
        </is>
      </c>
      <c r="F1129" s="16" t="inlineStr">
        <is>
          <t>3B</t>
        </is>
      </c>
      <c r="G1129" s="9" t="n">
        <v>78</v>
      </c>
      <c r="H1129" s="9" t="n">
        <v>238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1" t="n">
        <v>1</v>
      </c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/>
      <c r="Y1129" s="17" t="n">
        <v>1</v>
      </c>
      <c r="Z1129" s="13">
        <f>SUMPRODUCT(N1129:Y1129,$N$2:$Y$2)*$K1129*$L1129*$M1129</f>
        <v/>
      </c>
      <c r="AA1129" s="14">
        <f>SUM(N1129:Y1129)</f>
        <v/>
      </c>
      <c r="AB1129" s="14">
        <f>IFERROR(IF(UPPER($E1129)="L",SUMPRODUCT(N1129:Y1129,$N$3:$Y$3,$N$2:$Y$2),SUMPRODUCT(N1129:Y1129,$N$4:$Y$4,$N$2:$Y$2))/(Z1129/($K1129*$L1129*$M1129)),"")</f>
        <v/>
      </c>
      <c r="AC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1" t="n">
        <v>1</v>
      </c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/>
      <c r="Y1130" s="17" t="n">
        <v>1</v>
      </c>
      <c r="Z1130" s="13">
        <f>SUMPRODUCT(N1130:Y1130,$N$2:$Y$2)*$K1130*$L1130*$M1130</f>
        <v/>
      </c>
      <c r="AA1130" s="14">
        <f>SUM(N1130:Y1130)</f>
        <v/>
      </c>
      <c r="AB1130" s="14">
        <f>IFERROR(IF(UPPER($E1130)="L",SUMPRODUCT(N1130:Y1130,$N$3:$Y$3,$N$2:$Y$2),SUMPRODUCT(N1130:Y1130,$N$4:$Y$4,$N$2:$Y$2))/(Z1130/($K1130*$L1130*$M1130)),"")</f>
        <v/>
      </c>
      <c r="AC1130" s="18" t="n"/>
    </row>
    <row r="1131">
      <c r="A1131" s="9" t="n">
        <v>686681</v>
      </c>
      <c r="B1131" s="9" t="inlineStr">
        <is>
          <t>Michael Massey</t>
        </is>
      </c>
      <c r="C1131" s="9" t="inlineStr">
        <is>
          <t>KC</t>
        </is>
      </c>
      <c r="D1131" s="9" t="n">
        <v>29</v>
      </c>
      <c r="E1131" s="16" t="inlineStr">
        <is>
          <t>L</t>
        </is>
      </c>
      <c r="F1131" s="16" t="inlineStr">
        <is>
          <t>2B</t>
        </is>
      </c>
      <c r="G1131" s="9" t="n">
        <v>452</v>
      </c>
      <c r="H1131" s="9" t="n">
        <v>1740</v>
      </c>
      <c r="I1131" s="9" t="inlineStr">
        <is>
          <t>Strong Side Platoon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1" t="n">
        <v>0.9741742083815536</v>
      </c>
      <c r="N1131" s="17" t="n">
        <v>0.4</v>
      </c>
      <c r="O1131" s="17" t="n"/>
      <c r="P1131" s="17" t="n">
        <v>0.6</v>
      </c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7" t="n"/>
      <c r="Z1131" s="13">
        <f>SUMPRODUCT(N1131:Y1131,$N$2:$Y$2)*$K1131*$L1131*$M1131</f>
        <v/>
      </c>
      <c r="AA1131" s="14">
        <f>SUM(N1131:Y1131)</f>
        <v/>
      </c>
      <c r="AB1131" s="14">
        <f>IFERROR(IF(UPPER($E1131)="L",SUMPRODUCT(N1131:Y1131,$N$3:$Y$3,$N$2:$Y$2),SUMPRODUCT(N1131:Y1131,$N$4:$Y$4,$N$2:$Y$2))/(Z1131/($K1131*$L1131*$M1131)),"")</f>
        <v/>
      </c>
      <c r="AC1131" s="18" t="n"/>
    </row>
    <row r="1132">
      <c r="A1132" s="9" t="n">
        <v>800605</v>
      </c>
      <c r="B1132" s="9" t="inlineStr">
        <is>
          <t>Will Gasparino</t>
        </is>
      </c>
      <c r="C1132" s="9" t="inlineStr">
        <is>
          <t>PHI</t>
        </is>
      </c>
      <c r="D1132" s="9" t="n">
        <v>25</v>
      </c>
      <c r="E1132" s="16" t="inlineStr">
        <is>
          <t>R</t>
        </is>
      </c>
      <c r="F1132" s="16" t="n"/>
      <c r="G1132" s="9" t="n">
        <v>10.95384615384615</v>
      </c>
      <c r="H1132" s="9" t="n">
        <v>10.95384615384615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1" t="n">
        <v>1</v>
      </c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/>
      <c r="Y1132" s="17" t="n">
        <v>1</v>
      </c>
      <c r="Z1132" s="13">
        <f>SUMPRODUCT(N1132:Y1132,$N$2:$Y$2)*$K1132*$L1132*$M1132</f>
        <v/>
      </c>
      <c r="AA1132" s="14">
        <f>SUM(N1132:Y1132)</f>
        <v/>
      </c>
      <c r="AB1132" s="14">
        <f>IFERROR(IF(UPPER($E1132)="L",SUMPRODUCT(N1132:Y1132,$N$3:$Y$3,$N$2:$Y$2),SUMPRODUCT(N1132:Y1132,$N$4:$Y$4,$N$2:$Y$2))/(Z1132/($K1132*$L1132*$M1132)),"")</f>
        <v/>
      </c>
      <c r="AC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1" t="n">
        <v>1</v>
      </c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/>
      <c r="Y1133" s="17" t="n">
        <v>1</v>
      </c>
      <c r="Z1133" s="13">
        <f>SUMPRODUCT(N1133:Y1133,$N$2:$Y$2)*$K1133*$L1133*$M1133</f>
        <v/>
      </c>
      <c r="AA1133" s="14">
        <f>SUM(N1133:Y1133)</f>
        <v/>
      </c>
      <c r="AB1133" s="14">
        <f>IFERROR(IF(UPPER($E1133)="L",SUMPRODUCT(N1133:Y1133,$N$3:$Y$3,$N$2:$Y$2),SUMPRODUCT(N1133:Y1133,$N$4:$Y$4,$N$2:$Y$2))/(Z1133/($K1133*$L1133*$M1133)),"")</f>
        <v/>
      </c>
      <c r="AC1133" s="18" t="n"/>
    </row>
    <row r="1134">
      <c r="A1134" s="9" t="n">
        <v>808120</v>
      </c>
      <c r="B1134" s="9" t="inlineStr">
        <is>
          <t>Samil Dishmey</t>
        </is>
      </c>
      <c r="C1134" s="9" t="inlineStr">
        <is>
          <t>LAA</t>
        </is>
      </c>
      <c r="D1134" s="9" t="n">
        <v>25</v>
      </c>
      <c r="E1134" s="16" t="inlineStr">
        <is>
          <t>L</t>
        </is>
      </c>
      <c r="F1134" s="16" t="n"/>
      <c r="G1134" s="9" t="n">
        <v>10.83076923076923</v>
      </c>
      <c r="H1134" s="9" t="n">
        <v>10.83076923076923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1" t="n">
        <v>1</v>
      </c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/>
      <c r="Y1134" s="17" t="n">
        <v>1</v>
      </c>
      <c r="Z1134" s="13">
        <f>SUMPRODUCT(N1134:Y1134,$N$2:$Y$2)*$K1134*$L1134*$M1134</f>
        <v/>
      </c>
      <c r="AA1134" s="14">
        <f>SUM(N1134:Y1134)</f>
        <v/>
      </c>
      <c r="AB1134" s="14">
        <f>IFERROR(IF(UPPER($E1134)="L",SUMPRODUCT(N1134:Y1134,$N$3:$Y$3,$N$2:$Y$2),SUMPRODUCT(N1134:Y1134,$N$4:$Y$4,$N$2:$Y$2))/(Z1134/($K1134*$L1134*$M1134)),"")</f>
        <v/>
      </c>
      <c r="AC1134" s="18" t="n"/>
    </row>
    <row r="1135">
      <c r="A1135" s="9" t="n">
        <v>682947</v>
      </c>
      <c r="B1135" s="9" t="inlineStr">
        <is>
          <t>Jose Ramos</t>
        </is>
      </c>
      <c r="C1135" s="9" t="inlineStr">
        <is>
          <t>NYM</t>
        </is>
      </c>
      <c r="D1135" s="9" t="n">
        <v>25</v>
      </c>
      <c r="E1135" s="16" t="inlineStr">
        <is>
          <t>R</t>
        </is>
      </c>
      <c r="F1135" s="16" t="n"/>
      <c r="G1135" s="9" t="n">
        <v>68.25641025641026</v>
      </c>
      <c r="H1135" s="9" t="n">
        <v>68.25641025641026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1" t="n">
        <v>1</v>
      </c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/>
      <c r="Y1135" s="17" t="n">
        <v>1</v>
      </c>
      <c r="Z1135" s="13">
        <f>SUMPRODUCT(N1135:Y1135,$N$2:$Y$2)*$K1135*$L1135*$M1135</f>
        <v/>
      </c>
      <c r="AA1135" s="14">
        <f>SUM(N1135:Y1135)</f>
        <v/>
      </c>
      <c r="AB1135" s="14">
        <f>IFERROR(IF(UPPER($E1135)="L",SUMPRODUCT(N1135:Y1135,$N$3:$Y$3,$N$2:$Y$2),SUMPRODUCT(N1135:Y1135,$N$4:$Y$4,$N$2:$Y$2))/(Z1135/($K1135*$L1135*$M1135)),"")</f>
        <v/>
      </c>
      <c r="AC1135" s="18" t="n"/>
    </row>
    <row r="1136">
      <c r="A1136" s="9" t="n">
        <v>823352</v>
      </c>
      <c r="B1136" s="9" t="inlineStr">
        <is>
          <t>Luke Nixon</t>
        </is>
      </c>
      <c r="C1136" s="9" t="inlineStr">
        <is>
          <t>SF</t>
        </is>
      </c>
      <c r="D1136" s="9" t="n">
        <v>25</v>
      </c>
      <c r="E1136" s="16" t="inlineStr">
        <is>
          <t>L</t>
        </is>
      </c>
      <c r="F1136" s="16" t="n"/>
      <c r="G1136" s="9" t="n">
        <v>6.646153846153847</v>
      </c>
      <c r="H1136" s="9" t="n">
        <v>6.646153846153847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1" t="n">
        <v>1</v>
      </c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/>
      <c r="Y1136" s="17" t="n">
        <v>1</v>
      </c>
      <c r="Z1136" s="13">
        <f>SUMPRODUCT(N1136:Y1136,$N$2:$Y$2)*$K1136*$L1136*$M1136</f>
        <v/>
      </c>
      <c r="AA1136" s="14">
        <f>SUM(N1136:Y1136)</f>
        <v/>
      </c>
      <c r="AB1136" s="14">
        <f>IFERROR(IF(UPPER($E1136)="L",SUMPRODUCT(N1136:Y1136,$N$3:$Y$3,$N$2:$Y$2),SUMPRODUCT(N1136:Y1136,$N$4:$Y$4,$N$2:$Y$2))/(Z1136/($K1136*$L1136*$M1136)),"")</f>
        <v/>
      </c>
      <c r="AC1136" s="18" t="n"/>
    </row>
    <row r="1137">
      <c r="A1137" s="9" t="n">
        <v>808786</v>
      </c>
      <c r="B1137" s="9" t="inlineStr">
        <is>
          <t>Jake Duer</t>
        </is>
      </c>
      <c r="C1137" s="9" t="inlineStr">
        <is>
          <t>ARI</t>
        </is>
      </c>
      <c r="D1137" s="9" t="n">
        <v>25</v>
      </c>
      <c r="E1137" s="16" t="inlineStr">
        <is>
          <t>L</t>
        </is>
      </c>
      <c r="F1137" s="16" t="n"/>
      <c r="G1137" s="9" t="n">
        <v>6.646153846153847</v>
      </c>
      <c r="H1137" s="9" t="n">
        <v>6.646153846153847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1" t="n">
        <v>1</v>
      </c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/>
      <c r="Y1137" s="17" t="n">
        <v>1</v>
      </c>
      <c r="Z1137" s="13">
        <f>SUMPRODUCT(N1137:Y1137,$N$2:$Y$2)*$K1137*$L1137*$M1137</f>
        <v/>
      </c>
      <c r="AA1137" s="14">
        <f>SUM(N1137:Y1137)</f>
        <v/>
      </c>
      <c r="AB1137" s="14">
        <f>IFERROR(IF(UPPER($E1137)="L",SUMPRODUCT(N1137:Y1137,$N$3:$Y$3,$N$2:$Y$2),SUMPRODUCT(N1137:Y1137,$N$4:$Y$4,$N$2:$Y$2))/(Z1137/($K1137*$L1137*$M1137)),"")</f>
        <v/>
      </c>
      <c r="AC1137" s="18" t="n"/>
    </row>
    <row r="1138">
      <c r="A1138" s="9" t="n">
        <v>842049</v>
      </c>
      <c r="B1138" s="9" t="inlineStr">
        <is>
          <t>Grayson Fitzwater</t>
        </is>
      </c>
      <c r="C1138" s="9" t="inlineStr">
        <is>
          <t>CWS</t>
        </is>
      </c>
      <c r="D1138" s="9" t="n">
        <v>25</v>
      </c>
      <c r="E1138" s="16" t="inlineStr">
        <is>
          <t>L</t>
        </is>
      </c>
      <c r="F1138" s="16" t="n"/>
      <c r="G1138" s="9" t="n">
        <v>15.13846153846154</v>
      </c>
      <c r="H1138" s="9" t="n">
        <v>15.13846153846154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1" t="n">
        <v>1</v>
      </c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/>
      <c r="Y1138" s="17" t="n">
        <v>1</v>
      </c>
      <c r="Z1138" s="13">
        <f>SUMPRODUCT(N1138:Y1138,$N$2:$Y$2)*$K1138*$L1138*$M1138</f>
        <v/>
      </c>
      <c r="AA1138" s="14">
        <f>SUM(N1138:Y1138)</f>
        <v/>
      </c>
      <c r="AB1138" s="14">
        <f>IFERROR(IF(UPPER($E1138)="L",SUMPRODUCT(N1138:Y1138,$N$3:$Y$3,$N$2:$Y$2),SUMPRODUCT(N1138:Y1138,$N$4:$Y$4,$N$2:$Y$2))/(Z1138/($K1138*$L1138*$M1138)),"")</f>
        <v/>
      </c>
      <c r="AC1138" s="18" t="n"/>
    </row>
    <row r="1139">
      <c r="A1139" s="9" t="n">
        <v>826932</v>
      </c>
      <c r="B1139" s="9" t="inlineStr">
        <is>
          <t>Cobb Hightower</t>
        </is>
      </c>
      <c r="C1139" s="9" t="inlineStr">
        <is>
          <t>BAL</t>
        </is>
      </c>
      <c r="D1139" s="9" t="n">
        <v>25</v>
      </c>
      <c r="E1139" s="16" t="inlineStr">
        <is>
          <t>R</t>
        </is>
      </c>
      <c r="F1139" s="16" t="n"/>
      <c r="G1139" s="9" t="n">
        <v>6.769230769230769</v>
      </c>
      <c r="H1139" s="9" t="n">
        <v>6.769230769230769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1" t="n">
        <v>1</v>
      </c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/>
      <c r="Y1139" s="17" t="n">
        <v>1</v>
      </c>
      <c r="Z1139" s="13">
        <f>SUMPRODUCT(N1139:Y1139,$N$2:$Y$2)*$K1139*$L1139*$M1139</f>
        <v/>
      </c>
      <c r="AA1139" s="14">
        <f>SUM(N1139:Y1139)</f>
        <v/>
      </c>
      <c r="AB1139" s="14">
        <f>IFERROR(IF(UPPER($E1139)="L",SUMPRODUCT(N1139:Y1139,$N$3:$Y$3,$N$2:$Y$2),SUMPRODUCT(N1139:Y1139,$N$4:$Y$4,$N$2:$Y$2))/(Z1139/($K1139*$L1139*$M1139)),"")</f>
        <v/>
      </c>
      <c r="AC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1" t="n">
        <v>1</v>
      </c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/>
      <c r="Y1140" s="17" t="n">
        <v>1</v>
      </c>
      <c r="Z1140" s="13">
        <f>SUMPRODUCT(N1140:Y1140,$N$2:$Y$2)*$K1140*$L1140*$M1140</f>
        <v/>
      </c>
      <c r="AA1140" s="14">
        <f>SUM(N1140:Y1140)</f>
        <v/>
      </c>
      <c r="AB1140" s="14">
        <f>IFERROR(IF(UPPER($E1140)="L",SUMPRODUCT(N1140:Y1140,$N$3:$Y$3,$N$2:$Y$2),SUMPRODUCT(N1140:Y1140,$N$4:$Y$4,$N$2:$Y$2))/(Z1140/($K1140*$L1140*$M1140)),"")</f>
        <v/>
      </c>
      <c r="AC1140" s="18" t="n"/>
    </row>
    <row r="1141">
      <c r="A1141" s="9" t="n">
        <v>686490</v>
      </c>
      <c r="B1141" s="9" t="inlineStr">
        <is>
          <t>Cam Eden</t>
        </is>
      </c>
      <c r="C1141" s="9" t="inlineStr">
        <is>
          <t>TOR</t>
        </is>
      </c>
      <c r="D1141" s="9" t="n">
        <v>29</v>
      </c>
      <c r="E1141" s="16" t="inlineStr">
        <is>
          <t>R</t>
        </is>
      </c>
      <c r="F1141" s="16" t="inlineStr">
        <is>
          <t>LF</t>
        </is>
      </c>
      <c r="G1141" s="9" t="n">
        <v>6</v>
      </c>
      <c r="H1141" s="9" t="n">
        <v>6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1" t="n">
        <v>1</v>
      </c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/>
      <c r="Y1141" s="17" t="n">
        <v>1</v>
      </c>
      <c r="Z1141" s="13">
        <f>SUMPRODUCT(N1141:Y1141,$N$2:$Y$2)*$K1141*$L1141*$M1141</f>
        <v/>
      </c>
      <c r="AA1141" s="14">
        <f>SUM(N1141:Y1141)</f>
        <v/>
      </c>
      <c r="AB1141" s="14">
        <f>IFERROR(IF(UPPER($E1141)="L",SUMPRODUCT(N1141:Y1141,$N$3:$Y$3,$N$2:$Y$2),SUMPRODUCT(N1141:Y1141,$N$4:$Y$4,$N$2:$Y$2))/(Z1141/($K1141*$L1141*$M1141)),"")</f>
        <v/>
      </c>
      <c r="AC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1" t="n">
        <v>1</v>
      </c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/>
      <c r="Y1142" s="17" t="n">
        <v>1</v>
      </c>
      <c r="Z1142" s="13">
        <f>SUMPRODUCT(N1142:Y1142,$N$2:$Y$2)*$K1142*$L1142*$M1142</f>
        <v/>
      </c>
      <c r="AA1142" s="14">
        <f>SUM(N1142:Y1142)</f>
        <v/>
      </c>
      <c r="AB1142" s="14">
        <f>IFERROR(IF(UPPER($E1142)="L",SUMPRODUCT(N1142:Y1142,$N$3:$Y$3,$N$2:$Y$2),SUMPRODUCT(N1142:Y1142,$N$4:$Y$4,$N$2:$Y$2))/(Z1142/($K1142*$L1142*$M1142)),"")</f>
        <v/>
      </c>
      <c r="AC1142" s="18" t="n"/>
    </row>
    <row r="1143">
      <c r="A1143" s="9" t="n">
        <v>527038</v>
      </c>
      <c r="B1143" s="9" t="inlineStr">
        <is>
          <t>Wilmer Flores</t>
        </is>
      </c>
      <c r="C1143" s="9" t="inlineStr">
        <is>
          <t>SF</t>
        </is>
      </c>
      <c r="D1143" s="9" t="n">
        <v>35</v>
      </c>
      <c r="E1143" s="16" t="inlineStr">
        <is>
          <t>R</t>
        </is>
      </c>
      <c r="F1143" s="16" t="inlineStr">
        <is>
          <t>1B</t>
        </is>
      </c>
      <c r="G1143" s="9" t="n">
        <v>463</v>
      </c>
      <c r="H1143" s="9" t="n">
        <v>1761</v>
      </c>
      <c r="I1143" s="9" t="inlineStr">
        <is>
          <t>Full Time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1" t="n">
        <v>0.888601694776612</v>
      </c>
      <c r="N1143" s="17" t="n">
        <v>1</v>
      </c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7" t="n"/>
      <c r="Z1143" s="13">
        <f>SUMPRODUCT(N1143:Y1143,$N$2:$Y$2)*$K1143*$L1143*$M1143</f>
        <v/>
      </c>
      <c r="AA1143" s="14">
        <f>SUM(N1143:Y1143)</f>
        <v/>
      </c>
      <c r="AB1143" s="14">
        <f>IFERROR(IF(UPPER($E1143)="L",SUMPRODUCT(N1143:Y1143,$N$3:$Y$3,$N$2:$Y$2),SUMPRODUCT(N1143:Y1143,$N$4:$Y$4,$N$2:$Y$2))/(Z1143/($K1143*$L1143*$M1143)),"")</f>
        <v/>
      </c>
      <c r="AC1143" s="18" t="n"/>
    </row>
    <row r="1144">
      <c r="A1144" s="9" t="n">
        <v>699712</v>
      </c>
      <c r="B1144" s="9" t="inlineStr">
        <is>
          <t>Raylin Heredia</t>
        </is>
      </c>
      <c r="C1144" s="9" t="inlineStr">
        <is>
          <t>PHI</t>
        </is>
      </c>
      <c r="D1144" s="9" t="n">
        <v>25</v>
      </c>
      <c r="E1144" s="16" t="inlineStr">
        <is>
          <t>R</t>
        </is>
      </c>
      <c r="F1144" s="16" t="n"/>
      <c r="G1144" s="9" t="n">
        <v>203.8974358974359</v>
      </c>
      <c r="H1144" s="9" t="n">
        <v>203.8974358974359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1" t="n">
        <v>1</v>
      </c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/>
      <c r="Y1144" s="17" t="n">
        <v>1</v>
      </c>
      <c r="Z1144" s="13">
        <f>SUMPRODUCT(N1144:Y1144,$N$2:$Y$2)*$K1144*$L1144*$M1144</f>
        <v/>
      </c>
      <c r="AA1144" s="14">
        <f>SUM(N1144:Y1144)</f>
        <v/>
      </c>
      <c r="AB1144" s="14">
        <f>IFERROR(IF(UPPER($E1144)="L",SUMPRODUCT(N1144:Y1144,$N$3:$Y$3,$N$2:$Y$2),SUMPRODUCT(N1144:Y1144,$N$4:$Y$4,$N$2:$Y$2))/(Z1144/($K1144*$L1144*$M1144)),"")</f>
        <v/>
      </c>
      <c r="AC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1" t="n">
        <v>1</v>
      </c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/>
      <c r="Y1145" s="17" t="n">
        <v>1</v>
      </c>
      <c r="Z1145" s="13">
        <f>SUMPRODUCT(N1145:Y1145,$N$2:$Y$2)*$K1145*$L1145*$M1145</f>
        <v/>
      </c>
      <c r="AA1145" s="14">
        <f>SUM(N1145:Y1145)</f>
        <v/>
      </c>
      <c r="AB1145" s="14">
        <f>IFERROR(IF(UPPER($E1145)="L",SUMPRODUCT(N1145:Y1145,$N$3:$Y$3,$N$2:$Y$2),SUMPRODUCT(N1145:Y1145,$N$4:$Y$4,$N$2:$Y$2))/(Z1145/($K1145*$L1145*$M1145)),"")</f>
        <v/>
      </c>
      <c r="AC1145" s="18" t="n"/>
    </row>
    <row r="1146">
      <c r="A1146" s="9" t="n">
        <v>702265</v>
      </c>
      <c r="B1146" s="9" t="inlineStr">
        <is>
          <t>Paxton Kling</t>
        </is>
      </c>
      <c r="C1146" s="9" t="inlineStr">
        <is>
          <t>TEX</t>
        </is>
      </c>
      <c r="D1146" s="9" t="n">
        <v>25</v>
      </c>
      <c r="E1146" s="16" t="inlineStr">
        <is>
          <t>R</t>
        </is>
      </c>
      <c r="F1146" s="16" t="n"/>
      <c r="G1146" s="9" t="n">
        <v>6.820512820512821</v>
      </c>
      <c r="H1146" s="9" t="n">
        <v>6.820512820512821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1" t="n">
        <v>1</v>
      </c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/>
      <c r="Y1146" s="17" t="n">
        <v>1</v>
      </c>
      <c r="Z1146" s="13">
        <f>SUMPRODUCT(N1146:Y1146,$N$2:$Y$2)*$K1146*$L1146*$M1146</f>
        <v/>
      </c>
      <c r="AA1146" s="14">
        <f>SUM(N1146:Y1146)</f>
        <v/>
      </c>
      <c r="AB1146" s="14">
        <f>IFERROR(IF(UPPER($E1146)="L",SUMPRODUCT(N1146:Y1146,$N$3:$Y$3,$N$2:$Y$2),SUMPRODUCT(N1146:Y1146,$N$4:$Y$4,$N$2:$Y$2))/(Z1146/($K1146*$L1146*$M1146)),"")</f>
        <v/>
      </c>
      <c r="AC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1" t="n">
        <v>1</v>
      </c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/>
      <c r="Y1147" s="17" t="n">
        <v>1</v>
      </c>
      <c r="Z1147" s="13">
        <f>SUMPRODUCT(N1147:Y1147,$N$2:$Y$2)*$K1147*$L1147*$M1147</f>
        <v/>
      </c>
      <c r="AA1147" s="14">
        <f>SUM(N1147:Y1147)</f>
        <v/>
      </c>
      <c r="AB1147" s="14">
        <f>IFERROR(IF(UPPER($E1147)="L",SUMPRODUCT(N1147:Y1147,$N$3:$Y$3,$N$2:$Y$2),SUMPRODUCT(N1147:Y1147,$N$4:$Y$4,$N$2:$Y$2))/(Z1147/($K1147*$L1147*$M1147)),"")</f>
        <v/>
      </c>
      <c r="AC1147" s="18" t="n"/>
    </row>
    <row r="1148">
      <c r="A1148" s="9" t="n">
        <v>695607</v>
      </c>
      <c r="B1148" s="9" t="inlineStr">
        <is>
          <t>Nick McLain</t>
        </is>
      </c>
      <c r="C1148" s="9" t="inlineStr">
        <is>
          <t>CWS</t>
        </is>
      </c>
      <c r="D1148" s="9" t="n">
        <v>25</v>
      </c>
      <c r="E1148" s="16" t="inlineStr">
        <is>
          <t>S</t>
        </is>
      </c>
      <c r="F1148" s="16" t="n"/>
      <c r="G1148" s="9" t="n">
        <v>23.38461538461539</v>
      </c>
      <c r="H1148" s="9" t="n">
        <v>23.38461538461539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1" t="n">
        <v>1</v>
      </c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/>
      <c r="Y1148" s="17" t="n">
        <v>1</v>
      </c>
      <c r="Z1148" s="13">
        <f>SUMPRODUCT(N1148:Y1148,$N$2:$Y$2)*$K1148*$L1148*$M1148</f>
        <v/>
      </c>
      <c r="AA1148" s="14">
        <f>SUM(N1148:Y1148)</f>
        <v/>
      </c>
      <c r="AB1148" s="14">
        <f>IFERROR(IF(UPPER($E1148)="L",SUMPRODUCT(N1148:Y1148,$N$3:$Y$3,$N$2:$Y$2),SUMPRODUCT(N1148:Y1148,$N$4:$Y$4,$N$2:$Y$2))/(Z1148/($K1148*$L1148*$M1148)),"")</f>
        <v/>
      </c>
      <c r="AC1148" s="18" t="n"/>
    </row>
    <row r="1149">
      <c r="A1149" s="9" t="n">
        <v>822153</v>
      </c>
      <c r="B1149" s="9" t="inlineStr">
        <is>
          <t>Jeffery Heard</t>
        </is>
      </c>
      <c r="C1149" s="9" t="inlineStr">
        <is>
          <t>LAA</t>
        </is>
      </c>
      <c r="D1149" s="9" t="n">
        <v>25</v>
      </c>
      <c r="E1149" s="16" t="inlineStr">
        <is>
          <t>L</t>
        </is>
      </c>
      <c r="F1149" s="16" t="n"/>
      <c r="G1149" s="9" t="n">
        <v>13.29230769230769</v>
      </c>
      <c r="H1149" s="9" t="n">
        <v>13.29230769230769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1" t="n">
        <v>1</v>
      </c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/>
      <c r="Y1149" s="17" t="n">
        <v>1</v>
      </c>
      <c r="Z1149" s="13">
        <f>SUMPRODUCT(N1149:Y1149,$N$2:$Y$2)*$K1149*$L1149*$M1149</f>
        <v/>
      </c>
      <c r="AA1149" s="14">
        <f>SUM(N1149:Y1149)</f>
        <v/>
      </c>
      <c r="AB1149" s="14">
        <f>IFERROR(IF(UPPER($E1149)="L",SUMPRODUCT(N1149:Y1149,$N$3:$Y$3,$N$2:$Y$2),SUMPRODUCT(N1149:Y1149,$N$4:$Y$4,$N$2:$Y$2))/(Z1149/($K1149*$L1149*$M1149)),"")</f>
        <v/>
      </c>
      <c r="AC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1" t="n">
        <v>1</v>
      </c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/>
      <c r="Y1150" s="17" t="n">
        <v>1</v>
      </c>
      <c r="Z1150" s="13">
        <f>SUMPRODUCT(N1150:Y1150,$N$2:$Y$2)*$K1150*$L1150*$M1150</f>
        <v/>
      </c>
      <c r="AA1150" s="14">
        <f>SUM(N1150:Y1150)</f>
        <v/>
      </c>
      <c r="AB1150" s="14">
        <f>IFERROR(IF(UPPER($E1150)="L",SUMPRODUCT(N1150:Y1150,$N$3:$Y$3,$N$2:$Y$2),SUMPRODUCT(N1150:Y1150,$N$4:$Y$4,$N$2:$Y$2))/(Z1150/($K1150*$L1150*$M1150)),"")</f>
        <v/>
      </c>
      <c r="AC1150" s="18" t="n"/>
    </row>
    <row r="1151">
      <c r="A1151" s="9" t="n">
        <v>834710</v>
      </c>
      <c r="B1151" s="9" t="inlineStr">
        <is>
          <t>Ryan Niedzwiedz</t>
        </is>
      </c>
      <c r="C1151" s="9" t="inlineStr">
        <is>
          <t>COL</t>
        </is>
      </c>
      <c r="D1151" s="9" t="n">
        <v>25</v>
      </c>
      <c r="E1151" s="16" t="inlineStr">
        <is>
          <t>L</t>
        </is>
      </c>
      <c r="F1151" s="16" t="n"/>
      <c r="G1151" s="9" t="n">
        <v>6.892307692307693</v>
      </c>
      <c r="H1151" s="9" t="n">
        <v>6.892307692307693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1" t="n">
        <v>1</v>
      </c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/>
      <c r="Y1151" s="17" t="n">
        <v>1</v>
      </c>
      <c r="Z1151" s="13">
        <f>SUMPRODUCT(N1151:Y1151,$N$2:$Y$2)*$K1151*$L1151*$M1151</f>
        <v/>
      </c>
      <c r="AA1151" s="14">
        <f>SUM(N1151:Y1151)</f>
        <v/>
      </c>
      <c r="AB1151" s="14">
        <f>IFERROR(IF(UPPER($E1151)="L",SUMPRODUCT(N1151:Y1151,$N$3:$Y$3,$N$2:$Y$2),SUMPRODUCT(N1151:Y1151,$N$4:$Y$4,$N$2:$Y$2))/(Z1151/($K1151*$L1151*$M1151)),"")</f>
        <v/>
      </c>
      <c r="AC1151" s="18" t="n"/>
    </row>
    <row r="1152">
      <c r="A1152" s="9" t="n">
        <v>827326</v>
      </c>
      <c r="B1152" s="9" t="inlineStr">
        <is>
          <t>Yorman Licourt</t>
        </is>
      </c>
      <c r="C1152" s="9" t="inlineStr">
        <is>
          <t>TOR</t>
        </is>
      </c>
      <c r="D1152" s="9" t="n">
        <v>25</v>
      </c>
      <c r="E1152" s="16" t="inlineStr">
        <is>
          <t>L</t>
        </is>
      </c>
      <c r="F1152" s="16" t="n"/>
      <c r="G1152" s="9" t="n">
        <v>23.50769230769231</v>
      </c>
      <c r="H1152" s="9" t="n">
        <v>23.50769230769231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1" t="n">
        <v>1</v>
      </c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/>
      <c r="Y1152" s="17" t="n">
        <v>1</v>
      </c>
      <c r="Z1152" s="13">
        <f>SUMPRODUCT(N1152:Y1152,$N$2:$Y$2)*$K1152*$L1152*$M1152</f>
        <v/>
      </c>
      <c r="AA1152" s="14">
        <f>SUM(N1152:Y1152)</f>
        <v/>
      </c>
      <c r="AB1152" s="14">
        <f>IFERROR(IF(UPPER($E1152)="L",SUMPRODUCT(N1152:Y1152,$N$3:$Y$3,$N$2:$Y$2),SUMPRODUCT(N1152:Y1152,$N$4:$Y$4,$N$2:$Y$2))/(Z1152/($K1152*$L1152*$M1152)),"")</f>
        <v/>
      </c>
      <c r="AC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1" t="n">
        <v>1</v>
      </c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/>
      <c r="Y1153" s="17" t="n">
        <v>1</v>
      </c>
      <c r="Z1153" s="13">
        <f>SUMPRODUCT(N1153:Y1153,$N$2:$Y$2)*$K1153*$L1153*$M1153</f>
        <v/>
      </c>
      <c r="AA1153" s="14">
        <f>SUM(N1153:Y1153)</f>
        <v/>
      </c>
      <c r="AB1153" s="14">
        <f>IFERROR(IF(UPPER($E1153)="L",SUMPRODUCT(N1153:Y1153,$N$3:$Y$3,$N$2:$Y$2),SUMPRODUCT(N1153:Y1153,$N$4:$Y$4,$N$2:$Y$2))/(Z1153/($K1153*$L1153*$M1153)),"")</f>
        <v/>
      </c>
      <c r="AC1153" s="18" t="n"/>
    </row>
    <row r="1154">
      <c r="A1154" s="9" t="n">
        <v>692044</v>
      </c>
      <c r="B1154" s="9" t="inlineStr">
        <is>
          <t>Luis Suisbel</t>
        </is>
      </c>
      <c r="C1154" s="9" t="inlineStr">
        <is>
          <t>SEA</t>
        </is>
      </c>
      <c r="D1154" s="9" t="n">
        <v>25</v>
      </c>
      <c r="E1154" s="16" t="inlineStr">
        <is>
          <t>S</t>
        </is>
      </c>
      <c r="F1154" s="16" t="n"/>
      <c r="G1154" s="9" t="n">
        <v>85.74358974358975</v>
      </c>
      <c r="H1154" s="9" t="n">
        <v>85.74358974358975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1" t="n">
        <v>1</v>
      </c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/>
      <c r="Y1154" s="17" t="n">
        <v>1</v>
      </c>
      <c r="Z1154" s="13">
        <f>SUMPRODUCT(N1154:Y1154,$N$2:$Y$2)*$K1154*$L1154*$M1154</f>
        <v/>
      </c>
      <c r="AA1154" s="14">
        <f>SUM(N1154:Y1154)</f>
        <v/>
      </c>
      <c r="AB1154" s="14">
        <f>IFERROR(IF(UPPER($E1154)="L",SUMPRODUCT(N1154:Y1154,$N$3:$Y$3,$N$2:$Y$2),SUMPRODUCT(N1154:Y1154,$N$4:$Y$4,$N$2:$Y$2))/(Z1154/($K1154*$L1154*$M1154)),"")</f>
        <v/>
      </c>
      <c r="AC1154" s="18" t="n"/>
    </row>
    <row r="1155">
      <c r="A1155" s="9" t="n">
        <v>815491</v>
      </c>
      <c r="B1155" s="9" t="inlineStr">
        <is>
          <t>Wills Maginnis</t>
        </is>
      </c>
      <c r="C1155" s="9" t="inlineStr">
        <is>
          <t>BOS</t>
        </is>
      </c>
      <c r="D1155" s="9" t="n">
        <v>25</v>
      </c>
      <c r="E1155" s="16" t="inlineStr">
        <is>
          <t>R</t>
        </is>
      </c>
      <c r="F1155" s="16" t="n"/>
      <c r="G1155" s="9" t="n">
        <v>9.107692307692307</v>
      </c>
      <c r="H1155" s="9" t="n">
        <v>9.107692307692307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1" t="n">
        <v>1</v>
      </c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/>
      <c r="Y1155" s="17" t="n">
        <v>1</v>
      </c>
      <c r="Z1155" s="13">
        <f>SUMPRODUCT(N1155:Y1155,$N$2:$Y$2)*$K1155*$L1155*$M1155</f>
        <v/>
      </c>
      <c r="AA1155" s="14">
        <f>SUM(N1155:Y1155)</f>
        <v/>
      </c>
      <c r="AB1155" s="14">
        <f>IFERROR(IF(UPPER($E1155)="L",SUMPRODUCT(N1155:Y1155,$N$3:$Y$3,$N$2:$Y$2),SUMPRODUCT(N1155:Y1155,$N$4:$Y$4,$N$2:$Y$2))/(Z1155/($K1155*$L1155*$M1155)),"")</f>
        <v/>
      </c>
      <c r="AC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1" t="n">
        <v>1</v>
      </c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/>
      <c r="Y1156" s="17" t="n">
        <v>1</v>
      </c>
      <c r="Z1156" s="13">
        <f>SUMPRODUCT(N1156:Y1156,$N$2:$Y$2)*$K1156*$L1156*$M1156</f>
        <v/>
      </c>
      <c r="AA1156" s="14">
        <f>SUM(N1156:Y1156)</f>
        <v/>
      </c>
      <c r="AB1156" s="14">
        <f>IFERROR(IF(UPPER($E1156)="L",SUMPRODUCT(N1156:Y1156,$N$3:$Y$3,$N$2:$Y$2),SUMPRODUCT(N1156:Y1156,$N$4:$Y$4,$N$2:$Y$2))/(Z1156/($K1156*$L1156*$M1156)),"")</f>
        <v/>
      </c>
      <c r="AC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1" t="n">
        <v>1</v>
      </c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/>
      <c r="Y1157" s="17" t="n">
        <v>1</v>
      </c>
      <c r="Z1157" s="13">
        <f>SUMPRODUCT(N1157:Y1157,$N$2:$Y$2)*$K1157*$L1157*$M1157</f>
        <v/>
      </c>
      <c r="AA1157" s="14">
        <f>SUM(N1157:Y1157)</f>
        <v/>
      </c>
      <c r="AB1157" s="14">
        <f>IFERROR(IF(UPPER($E1157)="L",SUMPRODUCT(N1157:Y1157,$N$3:$Y$3,$N$2:$Y$2),SUMPRODUCT(N1157:Y1157,$N$4:$Y$4,$N$2:$Y$2))/(Z1157/($K1157*$L1157*$M1157)),"")</f>
        <v/>
      </c>
      <c r="AC1157" s="18" t="n"/>
    </row>
    <row r="1158">
      <c r="A1158" s="9" t="n">
        <v>829251</v>
      </c>
      <c r="B1158" s="9" t="inlineStr">
        <is>
          <t>Arturo Flores</t>
        </is>
      </c>
      <c r="C1158" s="9" t="inlineStr">
        <is>
          <t>HOU</t>
        </is>
      </c>
      <c r="D1158" s="9" t="n">
        <v>25</v>
      </c>
      <c r="E1158" s="16" t="inlineStr">
        <is>
          <t>R</t>
        </is>
      </c>
      <c r="F1158" s="16" t="n"/>
      <c r="G1158" s="9" t="n">
        <v>42.46153846153846</v>
      </c>
      <c r="H1158" s="9" t="n">
        <v>42.46153846153846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1" t="n">
        <v>1</v>
      </c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/>
      <c r="Y1158" s="17" t="n">
        <v>1</v>
      </c>
      <c r="Z1158" s="13">
        <f>SUMPRODUCT(N1158:Y1158,$N$2:$Y$2)*$K1158*$L1158*$M1158</f>
        <v/>
      </c>
      <c r="AA1158" s="14">
        <f>SUM(N1158:Y1158)</f>
        <v/>
      </c>
      <c r="AB1158" s="14">
        <f>IFERROR(IF(UPPER($E1158)="L",SUMPRODUCT(N1158:Y1158,$N$3:$Y$3,$N$2:$Y$2),SUMPRODUCT(N1158:Y1158,$N$4:$Y$4,$N$2:$Y$2))/(Z1158/($K1158*$L1158*$M1158)),"")</f>
        <v/>
      </c>
      <c r="AC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1" t="n">
        <v>1</v>
      </c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/>
      <c r="Y1159" s="17" t="n">
        <v>1</v>
      </c>
      <c r="Z1159" s="13">
        <f>SUMPRODUCT(N1159:Y1159,$N$2:$Y$2)*$K1159*$L1159*$M1159</f>
        <v/>
      </c>
      <c r="AA1159" s="14">
        <f>SUM(N1159:Y1159)</f>
        <v/>
      </c>
      <c r="AB1159" s="14">
        <f>IFERROR(IF(UPPER($E1159)="L",SUMPRODUCT(N1159:Y1159,$N$3:$Y$3,$N$2:$Y$2),SUMPRODUCT(N1159:Y1159,$N$4:$Y$4,$N$2:$Y$2))/(Z1159/($K1159*$L1159*$M1159)),"")</f>
        <v/>
      </c>
      <c r="AC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1" t="n">
        <v>1</v>
      </c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/>
      <c r="Y1160" s="17" t="n">
        <v>1</v>
      </c>
      <c r="Z1160" s="13">
        <f>SUMPRODUCT(N1160:Y1160,$N$2:$Y$2)*$K1160*$L1160*$M1160</f>
        <v/>
      </c>
      <c r="AA1160" s="14">
        <f>SUM(N1160:Y1160)</f>
        <v/>
      </c>
      <c r="AB1160" s="14">
        <f>IFERROR(IF(UPPER($E1160)="L",SUMPRODUCT(N1160:Y1160,$N$3:$Y$3,$N$2:$Y$2),SUMPRODUCT(N1160:Y1160,$N$4:$Y$4,$N$2:$Y$2))/(Z1160/($K1160*$L1160*$M1160)),"")</f>
        <v/>
      </c>
      <c r="AC1160" s="18" t="n"/>
    </row>
    <row r="1161">
      <c r="A1161" s="9" t="n">
        <v>800632</v>
      </c>
      <c r="B1161" s="9" t="inlineStr">
        <is>
          <t>Dean West</t>
        </is>
      </c>
      <c r="C1161" s="9" t="inlineStr">
        <is>
          <t>TOR</t>
        </is>
      </c>
      <c r="D1161" s="9" t="n">
        <v>25</v>
      </c>
      <c r="E1161" s="16" t="inlineStr">
        <is>
          <t>L</t>
        </is>
      </c>
      <c r="F1161" s="16" t="n"/>
      <c r="G1161" s="9" t="n">
        <v>7.138461538461539</v>
      </c>
      <c r="H1161" s="9" t="n">
        <v>7.138461538461539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1" t="n">
        <v>1</v>
      </c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/>
      <c r="Y1161" s="17" t="n">
        <v>1</v>
      </c>
      <c r="Z1161" s="13">
        <f>SUMPRODUCT(N1161:Y1161,$N$2:$Y$2)*$K1161*$L1161*$M1161</f>
        <v/>
      </c>
      <c r="AA1161" s="14">
        <f>SUM(N1161:Y1161)</f>
        <v/>
      </c>
      <c r="AB1161" s="14">
        <f>IFERROR(IF(UPPER($E1161)="L",SUMPRODUCT(N1161:Y1161,$N$3:$Y$3,$N$2:$Y$2),SUMPRODUCT(N1161:Y1161,$N$4:$Y$4,$N$2:$Y$2))/(Z1161/($K1161*$L1161*$M1161)),"")</f>
        <v/>
      </c>
      <c r="AC1161" s="18" t="n"/>
    </row>
    <row r="1162">
      <c r="A1162" s="9" t="n">
        <v>815915</v>
      </c>
      <c r="B1162" s="9" t="inlineStr">
        <is>
          <t>Joswa Lugo</t>
        </is>
      </c>
      <c r="C1162" s="9" t="inlineStr">
        <is>
          <t>LAA</t>
        </is>
      </c>
      <c r="D1162" s="9" t="n">
        <v>25</v>
      </c>
      <c r="E1162" s="16" t="inlineStr">
        <is>
          <t>R</t>
        </is>
      </c>
      <c r="F1162" s="16" t="n"/>
      <c r="G1162" s="9" t="n">
        <v>13.66153846153846</v>
      </c>
      <c r="H1162" s="9" t="n">
        <v>13.66153846153846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1" t="n">
        <v>1</v>
      </c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/>
      <c r="Y1162" s="17" t="n">
        <v>1</v>
      </c>
      <c r="Z1162" s="13">
        <f>SUMPRODUCT(N1162:Y1162,$N$2:$Y$2)*$K1162*$L1162*$M1162</f>
        <v/>
      </c>
      <c r="AA1162" s="14">
        <f>SUM(N1162:Y1162)</f>
        <v/>
      </c>
      <c r="AB1162" s="14">
        <f>IFERROR(IF(UPPER($E1162)="L",SUMPRODUCT(N1162:Y1162,$N$3:$Y$3,$N$2:$Y$2),SUMPRODUCT(N1162:Y1162,$N$4:$Y$4,$N$2:$Y$2))/(Z1162/($K1162*$L1162*$M1162)),"")</f>
        <v/>
      </c>
      <c r="AC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1" t="n">
        <v>1</v>
      </c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/>
      <c r="Y1163" s="17" t="n">
        <v>1</v>
      </c>
      <c r="Z1163" s="13">
        <f>SUMPRODUCT(N1163:Y1163,$N$2:$Y$2)*$K1163*$L1163*$M1163</f>
        <v/>
      </c>
      <c r="AA1163" s="14">
        <f>SUM(N1163:Y1163)</f>
        <v/>
      </c>
      <c r="AB1163" s="14">
        <f>IFERROR(IF(UPPER($E1163)="L",SUMPRODUCT(N1163:Y1163,$N$3:$Y$3,$N$2:$Y$2),SUMPRODUCT(N1163:Y1163,$N$4:$Y$4,$N$2:$Y$2))/(Z1163/($K1163*$L1163*$M1163)),"")</f>
        <v/>
      </c>
      <c r="AC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1" t="n">
        <v>1</v>
      </c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/>
      <c r="Y1164" s="17" t="n">
        <v>1</v>
      </c>
      <c r="Z1164" s="13">
        <f>SUMPRODUCT(N1164:Y1164,$N$2:$Y$2)*$K1164*$L1164*$M1164</f>
        <v/>
      </c>
      <c r="AA1164" s="14">
        <f>SUM(N1164:Y1164)</f>
        <v/>
      </c>
      <c r="AB1164" s="14">
        <f>IFERROR(IF(UPPER($E1164)="L",SUMPRODUCT(N1164:Y1164,$N$3:$Y$3,$N$2:$Y$2),SUMPRODUCT(N1164:Y1164,$N$4:$Y$4,$N$2:$Y$2))/(Z1164/($K1164*$L1164*$M1164)),"")</f>
        <v/>
      </c>
      <c r="AC1164" s="18" t="n"/>
    </row>
    <row r="1165">
      <c r="A1165" s="9" t="n">
        <v>801522</v>
      </c>
      <c r="B1165" s="9" t="inlineStr">
        <is>
          <t>Carlos Sanchez</t>
        </is>
      </c>
      <c r="C1165" s="9" t="inlineStr">
        <is>
          <t>MIA</t>
        </is>
      </c>
      <c r="D1165" s="9" t="n">
        <v>25</v>
      </c>
      <c r="E1165" s="16" t="inlineStr">
        <is>
          <t>S</t>
        </is>
      </c>
      <c r="F1165" s="16" t="n"/>
      <c r="G1165" s="9" t="n">
        <v>27.69230769230769</v>
      </c>
      <c r="H1165" s="9" t="n">
        <v>27.69230769230769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1" t="n">
        <v>1</v>
      </c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/>
      <c r="Y1165" s="17" t="n">
        <v>1</v>
      </c>
      <c r="Z1165" s="13">
        <f>SUMPRODUCT(N1165:Y1165,$N$2:$Y$2)*$K1165*$L1165*$M1165</f>
        <v/>
      </c>
      <c r="AA1165" s="14">
        <f>SUM(N1165:Y1165)</f>
        <v/>
      </c>
      <c r="AB1165" s="14">
        <f>IFERROR(IF(UPPER($E1165)="L",SUMPRODUCT(N1165:Y1165,$N$3:$Y$3,$N$2:$Y$2),SUMPRODUCT(N1165:Y1165,$N$4:$Y$4,$N$2:$Y$2))/(Z1165/($K1165*$L1165*$M1165)),"")</f>
        <v/>
      </c>
      <c r="AC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1" t="n">
        <v>1</v>
      </c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/>
      <c r="Y1166" s="17" t="n">
        <v>1</v>
      </c>
      <c r="Z1166" s="13">
        <f>SUMPRODUCT(N1166:Y1166,$N$2:$Y$2)*$K1166*$L1166*$M1166</f>
        <v/>
      </c>
      <c r="AA1166" s="14">
        <f>SUM(N1166:Y1166)</f>
        <v/>
      </c>
      <c r="AB1166" s="14">
        <f>IFERROR(IF(UPPER($E1166)="L",SUMPRODUCT(N1166:Y1166,$N$3:$Y$3,$N$2:$Y$2),SUMPRODUCT(N1166:Y1166,$N$4:$Y$4,$N$2:$Y$2))/(Z1166/($K1166*$L1166*$M1166)),"")</f>
        <v/>
      </c>
      <c r="AC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inlineStr">
        <is>
          <t>3B</t>
        </is>
      </c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1" t="n">
        <v>1</v>
      </c>
      <c r="N1167" s="17" t="n"/>
      <c r="O1167" s="17" t="n"/>
      <c r="P1167" s="17" t="n"/>
      <c r="Q1167" s="17" t="n"/>
      <c r="R1167" s="17" t="n"/>
      <c r="S1167" s="17" t="n"/>
      <c r="T1167" s="17" t="n"/>
      <c r="U1167" s="17" t="n">
        <v>0.4</v>
      </c>
      <c r="V1167" s="17" t="n"/>
      <c r="W1167" s="17" t="n">
        <v>0.6</v>
      </c>
      <c r="X1167" s="17" t="n"/>
      <c r="Y1167" s="17" t="n"/>
      <c r="Z1167" s="13">
        <f>SUMPRODUCT(N1167:Y1167,$N$2:$Y$2)*$K1167*$L1167*$M1167</f>
        <v/>
      </c>
      <c r="AA1167" s="14">
        <f>SUM(N1167:Y1167)</f>
        <v/>
      </c>
      <c r="AB1167" s="14">
        <f>IFERROR(IF(UPPER($E1167)="L",SUMPRODUCT(N1167:Y1167,$N$3:$Y$3,$N$2:$Y$2),SUMPRODUCT(N1167:Y1167,$N$4:$Y$4,$N$2:$Y$2))/(Z1167/($K1167*$L1167*$M1167)),"")</f>
        <v/>
      </c>
      <c r="AC1167" s="18" t="n"/>
    </row>
    <row r="1168">
      <c r="A1168" s="9" t="n">
        <v>821716</v>
      </c>
      <c r="B1168" s="9" t="inlineStr">
        <is>
          <t>Jhonayker Ugarte</t>
        </is>
      </c>
      <c r="C1168" s="9" t="inlineStr">
        <is>
          <t>KC</t>
        </is>
      </c>
      <c r="D1168" s="9" t="n">
        <v>25</v>
      </c>
      <c r="E1168" s="16" t="inlineStr">
        <is>
          <t>R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1" t="n">
        <v>1</v>
      </c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/>
      <c r="Y1168" s="17" t="n">
        <v>1</v>
      </c>
      <c r="Z1168" s="13">
        <f>SUMPRODUCT(N1168:Y1168,$N$2:$Y$2)*$K1168*$L1168*$M1168</f>
        <v/>
      </c>
      <c r="AA1168" s="14">
        <f>SUM(N1168:Y1168)</f>
        <v/>
      </c>
      <c r="AB1168" s="14">
        <f>IFERROR(IF(UPPER($E1168)="L",SUMPRODUCT(N1168:Y1168,$N$3:$Y$3,$N$2:$Y$2),SUMPRODUCT(N1168:Y1168,$N$4:$Y$4,$N$2:$Y$2))/(Z1168/($K1168*$L1168*$M1168)),"")</f>
        <v/>
      </c>
      <c r="AC1168" s="18" t="n"/>
    </row>
    <row r="1169">
      <c r="A1169" s="9" t="n">
        <v>702656</v>
      </c>
      <c r="B1169" s="9" t="inlineStr">
        <is>
          <t>Drew Faurot</t>
        </is>
      </c>
      <c r="C1169" s="9" t="inlineStr">
        <is>
          <t>MIA</t>
        </is>
      </c>
      <c r="D1169" s="9" t="n">
        <v>25</v>
      </c>
      <c r="E1169" s="16" t="inlineStr">
        <is>
          <t>S</t>
        </is>
      </c>
      <c r="F1169" s="16" t="n"/>
      <c r="G1169" s="9" t="n">
        <v>7.17948717948718</v>
      </c>
      <c r="H1169" s="9" t="n">
        <v>7.17948717948718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1" t="n">
        <v>1</v>
      </c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/>
      <c r="Y1169" s="17" t="n">
        <v>1</v>
      </c>
      <c r="Z1169" s="13">
        <f>SUMPRODUCT(N1169:Y1169,$N$2:$Y$2)*$K1169*$L1169*$M1169</f>
        <v/>
      </c>
      <c r="AA1169" s="14">
        <f>SUM(N1169:Y1169)</f>
        <v/>
      </c>
      <c r="AB1169" s="14">
        <f>IFERROR(IF(UPPER($E1169)="L",SUMPRODUCT(N1169:Y1169,$N$3:$Y$3,$N$2:$Y$2),SUMPRODUCT(N1169:Y1169,$N$4:$Y$4,$N$2:$Y$2))/(Z1169/($K1169*$L1169*$M1169)),"")</f>
        <v/>
      </c>
      <c r="AC1169" s="18" t="n"/>
    </row>
    <row r="1170">
      <c r="A1170" s="9" t="n">
        <v>425794</v>
      </c>
      <c r="B1170" s="9" t="inlineStr">
        <is>
          <t>Adam Wainwright</t>
        </is>
      </c>
      <c r="C1170" s="9" t="inlineStr">
        <is>
          <t>STL</t>
        </is>
      </c>
      <c r="D1170" s="9" t="n">
        <v>45</v>
      </c>
      <c r="E1170" s="16" t="inlineStr">
        <is>
          <t>R</t>
        </is>
      </c>
      <c r="F1170" s="16" t="inlineStr">
        <is>
          <t>P</t>
        </is>
      </c>
      <c r="G1170" s="9" t="n">
        <v>2</v>
      </c>
      <c r="H1170" s="9" t="n">
        <v>2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1" t="n">
        <v>1</v>
      </c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/>
      <c r="Y1170" s="17" t="n">
        <v>1</v>
      </c>
      <c r="Z1170" s="13">
        <f>SUMPRODUCT(N1170:Y1170,$N$2:$Y$2)*$K1170*$L1170*$M1170</f>
        <v/>
      </c>
      <c r="AA1170" s="14">
        <f>SUM(N1170:Y1170)</f>
        <v/>
      </c>
      <c r="AB1170" s="14">
        <f>IFERROR(IF(UPPER($E1170)="L",SUMPRODUCT(N1170:Y1170,$N$3:$Y$3,$N$2:$Y$2),SUMPRODUCT(N1170:Y1170,$N$4:$Y$4,$N$2:$Y$2))/(Z1170/($K1170*$L1170*$M1170)),"")</f>
        <v/>
      </c>
      <c r="AC1170" s="18" t="n"/>
    </row>
    <row r="1171">
      <c r="A1171" s="9" t="n">
        <v>821073</v>
      </c>
      <c r="B1171" s="9" t="inlineStr">
        <is>
          <t>Jirvin Morillo</t>
        </is>
      </c>
      <c r="C1171" s="9" t="inlineStr">
        <is>
          <t>CIN</t>
        </is>
      </c>
      <c r="D1171" s="9" t="n">
        <v>25</v>
      </c>
      <c r="E1171" s="16" t="inlineStr">
        <is>
          <t>S</t>
        </is>
      </c>
      <c r="F1171" s="16" t="n"/>
      <c r="G1171" s="9" t="n">
        <v>11.56923076923077</v>
      </c>
      <c r="H1171" s="9" t="n">
        <v>11.56923076923077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1" t="n">
        <v>1</v>
      </c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/>
      <c r="Y1171" s="17" t="n">
        <v>1</v>
      </c>
      <c r="Z1171" s="13">
        <f>SUMPRODUCT(N1171:Y1171,$N$2:$Y$2)*$K1171*$L1171*$M1171</f>
        <v/>
      </c>
      <c r="AA1171" s="14">
        <f>SUM(N1171:Y1171)</f>
        <v/>
      </c>
      <c r="AB1171" s="14">
        <f>IFERROR(IF(UPPER($E1171)="L",SUMPRODUCT(N1171:Y1171,$N$3:$Y$3,$N$2:$Y$2),SUMPRODUCT(N1171:Y1171,$N$4:$Y$4,$N$2:$Y$2))/(Z1171/($K1171*$L1171*$M1171)),"")</f>
        <v/>
      </c>
      <c r="AC1171" s="18" t="n"/>
    </row>
    <row r="1172">
      <c r="A1172" s="9" t="n">
        <v>815690</v>
      </c>
      <c r="B1172" s="9" t="inlineStr">
        <is>
          <t>Grady Emerson</t>
        </is>
      </c>
      <c r="C1172" s="9" t="inlineStr">
        <is>
          <t>TB</t>
        </is>
      </c>
      <c r="D1172" s="9" t="n">
        <v>25</v>
      </c>
      <c r="E1172" s="16" t="inlineStr">
        <is>
          <t>L</t>
        </is>
      </c>
      <c r="F1172" s="16" t="n"/>
      <c r="G1172" s="9" t="n">
        <v>7.261538461538461</v>
      </c>
      <c r="H1172" s="9" t="n">
        <v>7.261538461538461</v>
      </c>
      <c r="I1172" s="9" t="inlineStr">
        <is>
          <t>Depth (no MLB PA)</t>
        </is>
      </c>
      <c r="J1172" s="16" t="inlineStr">
        <is>
          <t>Late Season (~Sept)</t>
        </is>
      </c>
      <c r="K1172" s="11">
        <f>IFERROR(INDEX(Roles!$B$17:$B$20,MATCH(J1172,Roles!$A$17:$A$20,0)),1)</f>
        <v/>
      </c>
      <c r="L1172" s="17" t="n">
        <v>1</v>
      </c>
      <c r="M1172" s="11" t="n">
        <v>1</v>
      </c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/>
      <c r="Y1172" s="17" t="n">
        <v>1</v>
      </c>
      <c r="Z1172" s="13">
        <f>SUMPRODUCT(N1172:Y1172,$N$2:$Y$2)*$K1172*$L1172*$M1172</f>
        <v/>
      </c>
      <c r="AA1172" s="14">
        <f>SUM(N1172:Y1172)</f>
        <v/>
      </c>
      <c r="AB1172" s="14">
        <f>IFERROR(IF(UPPER($E1172)="L",SUMPRODUCT(N1172:Y1172,$N$3:$Y$3,$N$2:$Y$2),SUMPRODUCT(N1172:Y1172,$N$4:$Y$4,$N$2:$Y$2))/(Z1172/($K1172*$L1172*$M1172)),"")</f>
        <v/>
      </c>
      <c r="AC1172" s="18" t="n"/>
    </row>
    <row r="1173">
      <c r="A1173" s="9" t="n">
        <v>702691</v>
      </c>
      <c r="B1173" s="9" t="inlineStr">
        <is>
          <t>Cade Climie</t>
        </is>
      </c>
      <c r="C1173" s="9" t="inlineStr">
        <is>
          <t>PHI</t>
        </is>
      </c>
      <c r="D1173" s="9" t="n">
        <v>25</v>
      </c>
      <c r="E1173" s="16" t="inlineStr">
        <is>
          <t>R</t>
        </is>
      </c>
      <c r="F1173" s="16" t="n"/>
      <c r="G1173" s="9" t="n">
        <v>9.476923076923075</v>
      </c>
      <c r="H1173" s="9" t="n">
        <v>9.476923076923075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1" t="n">
        <v>1</v>
      </c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/>
      <c r="Y1173" s="17" t="n">
        <v>1</v>
      </c>
      <c r="Z1173" s="13">
        <f>SUMPRODUCT(N1173:Y1173,$N$2:$Y$2)*$K1173*$L1173*$M1173</f>
        <v/>
      </c>
      <c r="AA1173" s="14">
        <f>SUM(N1173:Y1173)</f>
        <v/>
      </c>
      <c r="AB1173" s="14">
        <f>IFERROR(IF(UPPER($E1173)="L",SUMPRODUCT(N1173:Y1173,$N$3:$Y$3,$N$2:$Y$2),SUMPRODUCT(N1173:Y1173,$N$4:$Y$4,$N$2:$Y$2))/(Z1173/($K1173*$L1173*$M1173)),"")</f>
        <v/>
      </c>
      <c r="AC1173" s="18" t="n"/>
    </row>
    <row r="1174">
      <c r="A1174" s="9" t="n">
        <v>807231</v>
      </c>
      <c r="B1174" s="9" t="inlineStr">
        <is>
          <t>Ryan Wynn</t>
        </is>
      </c>
      <c r="C1174" s="9" t="inlineStr">
        <is>
          <t>SEA</t>
        </is>
      </c>
      <c r="D1174" s="9" t="n">
        <v>25</v>
      </c>
      <c r="E1174" s="16" t="inlineStr">
        <is>
          <t>R</t>
        </is>
      </c>
      <c r="F1174" s="16" t="n"/>
      <c r="G1174" s="9" t="n">
        <v>11.44615384615385</v>
      </c>
      <c r="H1174" s="9" t="n">
        <v>11.44615384615385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1" t="n">
        <v>1</v>
      </c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/>
      <c r="Y1174" s="17" t="n">
        <v>1</v>
      </c>
      <c r="Z1174" s="13">
        <f>SUMPRODUCT(N1174:Y1174,$N$2:$Y$2)*$K1174*$L1174*$M1174</f>
        <v/>
      </c>
      <c r="AA1174" s="14">
        <f>SUM(N1174:Y1174)</f>
        <v/>
      </c>
      <c r="AB1174" s="14">
        <f>IFERROR(IF(UPPER($E1174)="L",SUMPRODUCT(N1174:Y1174,$N$3:$Y$3,$N$2:$Y$2),SUMPRODUCT(N1174:Y1174,$N$4:$Y$4,$N$2:$Y$2))/(Z1174/($K1174*$L1174*$M1174)),"")</f>
        <v/>
      </c>
      <c r="AC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1" t="n">
        <v>1</v>
      </c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/>
      <c r="Y1175" s="17" t="n">
        <v>1</v>
      </c>
      <c r="Z1175" s="13">
        <f>SUMPRODUCT(N1175:Y1175,$N$2:$Y$2)*$K1175*$L1175*$M1175</f>
        <v/>
      </c>
      <c r="AA1175" s="14">
        <f>SUM(N1175:Y1175)</f>
        <v/>
      </c>
      <c r="AB1175" s="14">
        <f>IFERROR(IF(UPPER($E1175)="L",SUMPRODUCT(N1175:Y1175,$N$3:$Y$3,$N$2:$Y$2),SUMPRODUCT(N1175:Y1175,$N$4:$Y$4,$N$2:$Y$2))/(Z1175/($K1175*$L1175*$M1175)),"")</f>
        <v/>
      </c>
      <c r="AC1175" s="18" t="n"/>
    </row>
    <row r="1176">
      <c r="A1176" s="9" t="n">
        <v>691588</v>
      </c>
      <c r="B1176" s="9" t="inlineStr">
        <is>
          <t>Ian Lewis Jr.</t>
        </is>
      </c>
      <c r="C1176" s="9" t="inlineStr">
        <is>
          <t>MIA</t>
        </is>
      </c>
      <c r="D1176" s="9" t="n">
        <v>25</v>
      </c>
      <c r="E1176" s="16" t="inlineStr">
        <is>
          <t>S</t>
        </is>
      </c>
      <c r="F1176" s="16" t="n"/>
      <c r="G1176" s="9" t="n">
        <v>94.76923076923076</v>
      </c>
      <c r="H1176" s="9" t="n">
        <v>94.76923076923076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1" t="n">
        <v>1</v>
      </c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/>
      <c r="Y1176" s="17" t="n">
        <v>1</v>
      </c>
      <c r="Z1176" s="13">
        <f>SUMPRODUCT(N1176:Y1176,$N$2:$Y$2)*$K1176*$L1176*$M1176</f>
        <v/>
      </c>
      <c r="AA1176" s="14">
        <f>SUM(N1176:Y1176)</f>
        <v/>
      </c>
      <c r="AB1176" s="14">
        <f>IFERROR(IF(UPPER($E1176)="L",SUMPRODUCT(N1176:Y1176,$N$3:$Y$3,$N$2:$Y$2),SUMPRODUCT(N1176:Y1176,$N$4:$Y$4,$N$2:$Y$2))/(Z1176/($K1176*$L1176*$M1176)),"")</f>
        <v/>
      </c>
      <c r="AC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1" t="n">
        <v>1</v>
      </c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/>
      <c r="Y1177" s="17" t="n">
        <v>1</v>
      </c>
      <c r="Z1177" s="13">
        <f>SUMPRODUCT(N1177:Y1177,$N$2:$Y$2)*$K1177*$L1177*$M1177</f>
        <v/>
      </c>
      <c r="AA1177" s="14">
        <f>SUM(N1177:Y1177)</f>
        <v/>
      </c>
      <c r="AB1177" s="14">
        <f>IFERROR(IF(UPPER($E1177)="L",SUMPRODUCT(N1177:Y1177,$N$3:$Y$3,$N$2:$Y$2),SUMPRODUCT(N1177:Y1177,$N$4:$Y$4,$N$2:$Y$2))/(Z1177/($K1177*$L1177*$M1177)),"")</f>
        <v/>
      </c>
      <c r="AC1177" s="18" t="n"/>
    </row>
    <row r="1178">
      <c r="A1178" s="9" t="n">
        <v>800506</v>
      </c>
      <c r="B1178" s="9" t="inlineStr">
        <is>
          <t>Luis Sanchez</t>
        </is>
      </c>
      <c r="C1178" s="9" t="inlineStr">
        <is>
          <t>ATL</t>
        </is>
      </c>
      <c r="D1178" s="9" t="n">
        <v>25</v>
      </c>
      <c r="E1178" s="16" t="inlineStr">
        <is>
          <t>R</t>
        </is>
      </c>
      <c r="F1178" s="16" t="n"/>
      <c r="G1178" s="9" t="n">
        <v>7.384615384615386</v>
      </c>
      <c r="H1178" s="9" t="n">
        <v>7.384615384615386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1" t="n">
        <v>1</v>
      </c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/>
      <c r="Y1178" s="17" t="n">
        <v>1</v>
      </c>
      <c r="Z1178" s="13">
        <f>SUMPRODUCT(N1178:Y1178,$N$2:$Y$2)*$K1178*$L1178*$M1178</f>
        <v/>
      </c>
      <c r="AA1178" s="14">
        <f>SUM(N1178:Y1178)</f>
        <v/>
      </c>
      <c r="AB1178" s="14">
        <f>IFERROR(IF(UPPER($E1178)="L",SUMPRODUCT(N1178:Y1178,$N$3:$Y$3,$N$2:$Y$2),SUMPRODUCT(N1178:Y1178,$N$4:$Y$4,$N$2:$Y$2))/(Z1178/($K1178*$L1178*$M1178)),"")</f>
        <v/>
      </c>
      <c r="AC1178" s="18" t="n"/>
    </row>
    <row r="1179">
      <c r="A1179" s="9" t="n">
        <v>700178</v>
      </c>
      <c r="B1179" s="9" t="inlineStr">
        <is>
          <t>Ryan McCoy</t>
        </is>
      </c>
      <c r="C1179" s="9" t="inlineStr">
        <is>
          <t>TB</t>
        </is>
      </c>
      <c r="D1179" s="9" t="n">
        <v>25</v>
      </c>
      <c r="E1179" s="16" t="inlineStr">
        <is>
          <t>L</t>
        </is>
      </c>
      <c r="F1179" s="16" t="n"/>
      <c r="G1179" s="9" t="n">
        <v>80.61538461538463</v>
      </c>
      <c r="H1179" s="9" t="n">
        <v>80.61538461538463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1" t="n">
        <v>1</v>
      </c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/>
      <c r="Y1179" s="17" t="n">
        <v>1</v>
      </c>
      <c r="Z1179" s="13">
        <f>SUMPRODUCT(N1179:Y1179,$N$2:$Y$2)*$K1179*$L1179*$M1179</f>
        <v/>
      </c>
      <c r="AA1179" s="14">
        <f>SUM(N1179:Y1179)</f>
        <v/>
      </c>
      <c r="AB1179" s="14">
        <f>IFERROR(IF(UPPER($E1179)="L",SUMPRODUCT(N1179:Y1179,$N$3:$Y$3,$N$2:$Y$2),SUMPRODUCT(N1179:Y1179,$N$4:$Y$4,$N$2:$Y$2))/(Z1179/($K1179*$L1179*$M1179)),"")</f>
        <v/>
      </c>
      <c r="AC1179" s="18" t="n"/>
    </row>
    <row r="1180">
      <c r="A1180" s="9" t="n">
        <v>680753</v>
      </c>
      <c r="B1180" s="9" t="inlineStr">
        <is>
          <t>Adam Hackenberg</t>
        </is>
      </c>
      <c r="C1180" s="9" t="inlineStr">
        <is>
          <t>TOR</t>
        </is>
      </c>
      <c r="D1180" s="9" t="n">
        <v>25</v>
      </c>
      <c r="E1180" s="16" t="inlineStr">
        <is>
          <t>R</t>
        </is>
      </c>
      <c r="F1180" s="16" t="n"/>
      <c r="G1180" s="9" t="n">
        <v>7.333333333333334</v>
      </c>
      <c r="H1180" s="9" t="n">
        <v>7.333333333333334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1" t="n">
        <v>1</v>
      </c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/>
      <c r="Y1180" s="17" t="n">
        <v>1</v>
      </c>
      <c r="Z1180" s="13">
        <f>SUMPRODUCT(N1180:Y1180,$N$2:$Y$2)*$K1180*$L1180*$M1180</f>
        <v/>
      </c>
      <c r="AA1180" s="14">
        <f>SUM(N1180:Y1180)</f>
        <v/>
      </c>
      <c r="AB1180" s="14">
        <f>IFERROR(IF(UPPER($E1180)="L",SUMPRODUCT(N1180:Y1180,$N$3:$Y$3,$N$2:$Y$2),SUMPRODUCT(N1180:Y1180,$N$4:$Y$4,$N$2:$Y$2))/(Z1180/($K1180*$L1180*$M1180)),"")</f>
        <v/>
      </c>
      <c r="AC1180" s="18" t="n"/>
    </row>
    <row r="1181">
      <c r="A1181" s="9" t="n">
        <v>701831</v>
      </c>
      <c r="B1181" s="9" t="inlineStr">
        <is>
          <t>Carson DeMartini</t>
        </is>
      </c>
      <c r="C1181" s="9" t="inlineStr">
        <is>
          <t>PHI</t>
        </is>
      </c>
      <c r="D1181" s="9" t="n">
        <v>25</v>
      </c>
      <c r="E1181" s="16" t="inlineStr">
        <is>
          <t>L</t>
        </is>
      </c>
      <c r="F1181" s="16" t="n"/>
      <c r="G1181" s="9" t="n">
        <v>83.28205128205128</v>
      </c>
      <c r="H1181" s="9" t="n">
        <v>83.28205128205128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1" t="n">
        <v>1</v>
      </c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/>
      <c r="Y1181" s="17" t="n">
        <v>1</v>
      </c>
      <c r="Z1181" s="13">
        <f>SUMPRODUCT(N1181:Y1181,$N$2:$Y$2)*$K1181*$L1181*$M1181</f>
        <v/>
      </c>
      <c r="AA1181" s="14">
        <f>SUM(N1181:Y1181)</f>
        <v/>
      </c>
      <c r="AB1181" s="14">
        <f>IFERROR(IF(UPPER($E1181)="L",SUMPRODUCT(N1181:Y1181,$N$3:$Y$3,$N$2:$Y$2),SUMPRODUCT(N1181:Y1181,$N$4:$Y$4,$N$2:$Y$2))/(Z1181/($K1181*$L1181*$M1181)),"")</f>
        <v/>
      </c>
      <c r="AC1181" s="18" t="n"/>
    </row>
    <row r="1182">
      <c r="A1182" s="9" t="n">
        <v>805704</v>
      </c>
      <c r="B1182" s="9" t="inlineStr">
        <is>
          <t>Keaton Anthony</t>
        </is>
      </c>
      <c r="C1182" s="9" t="inlineStr">
        <is>
          <t>PHI</t>
        </is>
      </c>
      <c r="D1182" s="9" t="n">
        <v>25</v>
      </c>
      <c r="E1182" s="16" t="inlineStr">
        <is>
          <t>R</t>
        </is>
      </c>
      <c r="F1182" s="16" t="n"/>
      <c r="G1182" s="9" t="n">
        <v>180.5128205128205</v>
      </c>
      <c r="H1182" s="9" t="n">
        <v>180.5128205128205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1" t="n">
        <v>1</v>
      </c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/>
      <c r="Y1182" s="17" t="n">
        <v>1</v>
      </c>
      <c r="Z1182" s="13">
        <f>SUMPRODUCT(N1182:Y1182,$N$2:$Y$2)*$K1182*$L1182*$M1182</f>
        <v/>
      </c>
      <c r="AA1182" s="14">
        <f>SUM(N1182:Y1182)</f>
        <v/>
      </c>
      <c r="AB1182" s="14">
        <f>IFERROR(IF(UPPER($E1182)="L",SUMPRODUCT(N1182:Y1182,$N$3:$Y$3,$N$2:$Y$2),SUMPRODUCT(N1182:Y1182,$N$4:$Y$4,$N$2:$Y$2))/(Z1182/($K1182*$L1182*$M1182)),"")</f>
        <v/>
      </c>
      <c r="AC1182" s="18" t="n"/>
    </row>
    <row r="1183">
      <c r="A1183" s="9" t="n">
        <v>820989</v>
      </c>
      <c r="B1183" s="9" t="inlineStr">
        <is>
          <t>Kyle Sinzza</t>
        </is>
      </c>
      <c r="C1183" s="9" t="inlineStr">
        <is>
          <t>ARI</t>
        </is>
      </c>
      <c r="D1183" s="9" t="n">
        <v>25</v>
      </c>
      <c r="E1183" s="16" t="inlineStr">
        <is>
          <t>R</t>
        </is>
      </c>
      <c r="F1183" s="16" t="n"/>
      <c r="G1183" s="9" t="n">
        <v>7.384615384615384</v>
      </c>
      <c r="H1183" s="9" t="n">
        <v>7.384615384615384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1" t="n">
        <v>1</v>
      </c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/>
      <c r="Y1183" s="17" t="n">
        <v>1</v>
      </c>
      <c r="Z1183" s="13">
        <f>SUMPRODUCT(N1183:Y1183,$N$2:$Y$2)*$K1183*$L1183*$M1183</f>
        <v/>
      </c>
      <c r="AA1183" s="14">
        <f>SUM(N1183:Y1183)</f>
        <v/>
      </c>
      <c r="AB1183" s="14">
        <f>IFERROR(IF(UPPER($E1183)="L",SUMPRODUCT(N1183:Y1183,$N$3:$Y$3,$N$2:$Y$2),SUMPRODUCT(N1183:Y1183,$N$4:$Y$4,$N$2:$Y$2))/(Z1183/($K1183*$L1183*$M1183)),"")</f>
        <v/>
      </c>
      <c r="AC1183" s="18" t="n"/>
    </row>
    <row r="1184">
      <c r="A1184" s="9" t="n">
        <v>828074</v>
      </c>
      <c r="B1184" s="9" t="inlineStr">
        <is>
          <t>TJ Ford</t>
        </is>
      </c>
      <c r="C1184" s="9" t="inlineStr">
        <is>
          <t>LAA</t>
        </is>
      </c>
      <c r="D1184" s="9" t="n">
        <v>25</v>
      </c>
      <c r="E1184" s="16" t="inlineStr">
        <is>
          <t>S</t>
        </is>
      </c>
      <c r="F1184" s="16" t="n"/>
      <c r="G1184" s="9" t="n">
        <v>7.384615384615384</v>
      </c>
      <c r="H1184" s="9" t="n">
        <v>7.384615384615384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1" t="n">
        <v>1</v>
      </c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/>
      <c r="Y1184" s="17" t="n">
        <v>1</v>
      </c>
      <c r="Z1184" s="13">
        <f>SUMPRODUCT(N1184:Y1184,$N$2:$Y$2)*$K1184*$L1184*$M1184</f>
        <v/>
      </c>
      <c r="AA1184" s="14">
        <f>SUM(N1184:Y1184)</f>
        <v/>
      </c>
      <c r="AB1184" s="14">
        <f>IFERROR(IF(UPPER($E1184)="L",SUMPRODUCT(N1184:Y1184,$N$3:$Y$3,$N$2:$Y$2),SUMPRODUCT(N1184:Y1184,$N$4:$Y$4,$N$2:$Y$2))/(Z1184/($K1184*$L1184*$M1184)),"")</f>
        <v/>
      </c>
      <c r="AC1184" s="18" t="n"/>
    </row>
    <row r="1185">
      <c r="A1185" s="9" t="n">
        <v>808060</v>
      </c>
      <c r="B1185" s="9" t="inlineStr">
        <is>
          <t>Yoiber Ocopio</t>
        </is>
      </c>
      <c r="C1185" s="9" t="inlineStr">
        <is>
          <t>SD</t>
        </is>
      </c>
      <c r="D1185" s="9" t="n">
        <v>25</v>
      </c>
      <c r="E1185" s="16" t="inlineStr">
        <is>
          <t>R</t>
        </is>
      </c>
      <c r="F1185" s="16" t="n"/>
      <c r="G1185" s="9" t="n">
        <v>11.69230769230769</v>
      </c>
      <c r="H1185" s="9" t="n">
        <v>11.69230769230769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1" t="n">
        <v>1</v>
      </c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/>
      <c r="Y1185" s="17" t="n">
        <v>1</v>
      </c>
      <c r="Z1185" s="13">
        <f>SUMPRODUCT(N1185:Y1185,$N$2:$Y$2)*$K1185*$L1185*$M1185</f>
        <v/>
      </c>
      <c r="AA1185" s="14">
        <f>SUM(N1185:Y1185)</f>
        <v/>
      </c>
      <c r="AB1185" s="14">
        <f>IFERROR(IF(UPPER($E1185)="L",SUMPRODUCT(N1185:Y1185,$N$3:$Y$3,$N$2:$Y$2),SUMPRODUCT(N1185:Y1185,$N$4:$Y$4,$N$2:$Y$2))/(Z1185/($K1185*$L1185*$M1185)),"")</f>
        <v/>
      </c>
      <c r="AC1185" s="18" t="n"/>
    </row>
    <row r="1186">
      <c r="A1186" s="9" t="n">
        <v>687144</v>
      </c>
      <c r="B1186" s="9" t="inlineStr">
        <is>
          <t>Corey Joyce</t>
        </is>
      </c>
      <c r="C1186" s="9" t="inlineStr">
        <is>
          <t>TEX</t>
        </is>
      </c>
      <c r="D1186" s="9" t="n">
        <v>25</v>
      </c>
      <c r="E1186" s="16" t="inlineStr">
        <is>
          <t>R</t>
        </is>
      </c>
      <c r="F1186" s="16" t="n"/>
      <c r="G1186" s="9" t="n">
        <v>118.8205128205128</v>
      </c>
      <c r="H1186" s="9" t="n">
        <v>118.8205128205128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1" t="n">
        <v>1</v>
      </c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/>
      <c r="Y1186" s="17" t="n">
        <v>1</v>
      </c>
      <c r="Z1186" s="13">
        <f>SUMPRODUCT(N1186:Y1186,$N$2:$Y$2)*$K1186*$L1186*$M1186</f>
        <v/>
      </c>
      <c r="AA1186" s="14">
        <f>SUM(N1186:Y1186)</f>
        <v/>
      </c>
      <c r="AB1186" s="14">
        <f>IFERROR(IF(UPPER($E1186)="L",SUMPRODUCT(N1186:Y1186,$N$3:$Y$3,$N$2:$Y$2),SUMPRODUCT(N1186:Y1186,$N$4:$Y$4,$N$2:$Y$2))/(Z1186/($K1186*$L1186*$M1186)),"")</f>
        <v/>
      </c>
      <c r="AC1186" s="18" t="n"/>
    </row>
    <row r="1187">
      <c r="A1187" s="9" t="n">
        <v>800432</v>
      </c>
      <c r="B1187" s="9" t="inlineStr">
        <is>
          <t>Felix Cotes</t>
        </is>
      </c>
      <c r="C1187" s="9" t="inlineStr">
        <is>
          <t>TB</t>
        </is>
      </c>
      <c r="D1187" s="9" t="n">
        <v>25</v>
      </c>
      <c r="E1187" s="16" t="inlineStr">
        <is>
          <t>S</t>
        </is>
      </c>
      <c r="F1187" s="16" t="n"/>
      <c r="G1187" s="9" t="n">
        <v>7.384615384615386</v>
      </c>
      <c r="H1187" s="9" t="n">
        <v>7.384615384615386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1" t="n">
        <v>1</v>
      </c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/>
      <c r="Y1187" s="17" t="n">
        <v>1</v>
      </c>
      <c r="Z1187" s="13">
        <f>SUMPRODUCT(N1187:Y1187,$N$2:$Y$2)*$K1187*$L1187*$M1187</f>
        <v/>
      </c>
      <c r="AA1187" s="14">
        <f>SUM(N1187:Y1187)</f>
        <v/>
      </c>
      <c r="AB1187" s="14">
        <f>IFERROR(IF(UPPER($E1187)="L",SUMPRODUCT(N1187:Y1187,$N$3:$Y$3,$N$2:$Y$2),SUMPRODUCT(N1187:Y1187,$N$4:$Y$4,$N$2:$Y$2))/(Z1187/($K1187*$L1187*$M1187)),"")</f>
        <v/>
      </c>
      <c r="AC1187" s="18" t="n"/>
    </row>
    <row r="1188">
      <c r="A1188" s="9" t="n">
        <v>702025</v>
      </c>
      <c r="B1188" s="9" t="inlineStr">
        <is>
          <t>Harry Genth</t>
        </is>
      </c>
      <c r="C1188" s="9" t="inlineStr">
        <is>
          <t>MIN</t>
        </is>
      </c>
      <c r="D1188" s="9" t="n">
        <v>25</v>
      </c>
      <c r="E1188" s="16" t="inlineStr">
        <is>
          <t>R</t>
        </is>
      </c>
      <c r="F1188" s="16" t="n"/>
      <c r="G1188" s="9" t="n">
        <v>7.333333333333334</v>
      </c>
      <c r="H1188" s="9" t="n">
        <v>7.333333333333334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1" t="n">
        <v>1</v>
      </c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/>
      <c r="Y1188" s="17" t="n">
        <v>1</v>
      </c>
      <c r="Z1188" s="13">
        <f>SUMPRODUCT(N1188:Y1188,$N$2:$Y$2)*$K1188*$L1188*$M1188</f>
        <v/>
      </c>
      <c r="AA1188" s="14">
        <f>SUM(N1188:Y1188)</f>
        <v/>
      </c>
      <c r="AB1188" s="14">
        <f>IFERROR(IF(UPPER($E1188)="L",SUMPRODUCT(N1188:Y1188,$N$3:$Y$3,$N$2:$Y$2),SUMPRODUCT(N1188:Y1188,$N$4:$Y$4,$N$2:$Y$2))/(Z1188/($K1188*$L1188*$M1188)),"")</f>
        <v/>
      </c>
      <c r="AC1188" s="18" t="n"/>
    </row>
    <row r="1189">
      <c r="A1189" s="9" t="n">
        <v>827264</v>
      </c>
      <c r="B1189" s="9" t="inlineStr">
        <is>
          <t>Ryan Picollo</t>
        </is>
      </c>
      <c r="C1189" s="9" t="inlineStr">
        <is>
          <t>SEA</t>
        </is>
      </c>
      <c r="D1189" s="9" t="n">
        <v>25</v>
      </c>
      <c r="E1189" s="16" t="inlineStr">
        <is>
          <t>R</t>
        </is>
      </c>
      <c r="F1189" s="16" t="n"/>
      <c r="G1189" s="9" t="n">
        <v>28.43076923076924</v>
      </c>
      <c r="H1189" s="9" t="n">
        <v>28.43076923076924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1" t="n">
        <v>1</v>
      </c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/>
      <c r="Y1189" s="17" t="n">
        <v>1</v>
      </c>
      <c r="Z1189" s="13">
        <f>SUMPRODUCT(N1189:Y1189,$N$2:$Y$2)*$K1189*$L1189*$M1189</f>
        <v/>
      </c>
      <c r="AA1189" s="14">
        <f>SUM(N1189:Y1189)</f>
        <v/>
      </c>
      <c r="AB1189" s="14">
        <f>IFERROR(IF(UPPER($E1189)="L",SUMPRODUCT(N1189:Y1189,$N$3:$Y$3,$N$2:$Y$2),SUMPRODUCT(N1189:Y1189,$N$4:$Y$4,$N$2:$Y$2))/(Z1189/($K1189*$L1189*$M1189)),"")</f>
        <v/>
      </c>
      <c r="AC1189" s="18" t="n"/>
    </row>
    <row r="1190">
      <c r="A1190" s="9" t="n">
        <v>800051</v>
      </c>
      <c r="B1190" s="9" t="inlineStr">
        <is>
          <t>Austin Charles</t>
        </is>
      </c>
      <c r="C1190" s="9" t="inlineStr">
        <is>
          <t>KC</t>
        </is>
      </c>
      <c r="D1190" s="9" t="n">
        <v>25</v>
      </c>
      <c r="E1190" s="16" t="inlineStr">
        <is>
          <t>R</t>
        </is>
      </c>
      <c r="F1190" s="16" t="n"/>
      <c r="G1190" s="9" t="n">
        <v>37.12820512820513</v>
      </c>
      <c r="H1190" s="9" t="n">
        <v>37.12820512820513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1" t="n">
        <v>1</v>
      </c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/>
      <c r="Y1190" s="17" t="n">
        <v>1</v>
      </c>
      <c r="Z1190" s="13">
        <f>SUMPRODUCT(N1190:Y1190,$N$2:$Y$2)*$K1190*$L1190*$M1190</f>
        <v/>
      </c>
      <c r="AA1190" s="14">
        <f>SUM(N1190:Y1190)</f>
        <v/>
      </c>
      <c r="AB1190" s="14">
        <f>IFERROR(IF(UPPER($E1190)="L",SUMPRODUCT(N1190:Y1190,$N$3:$Y$3,$N$2:$Y$2),SUMPRODUCT(N1190:Y1190,$N$4:$Y$4,$N$2:$Y$2))/(Z1190/($K1190*$L1190*$M1190)),"")</f>
        <v/>
      </c>
      <c r="AC1190" s="18" t="n"/>
    </row>
    <row r="1191">
      <c r="A1191" s="9" t="n">
        <v>814158</v>
      </c>
      <c r="B1191" s="9" t="inlineStr">
        <is>
          <t>Cashel Dugger</t>
        </is>
      </c>
      <c r="C1191" s="9" t="inlineStr">
        <is>
          <t>WSH</t>
        </is>
      </c>
      <c r="D1191" s="9" t="n">
        <v>25</v>
      </c>
      <c r="E1191" s="16" t="inlineStr">
        <is>
          <t>L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1" t="n">
        <v>1</v>
      </c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/>
      <c r="Y1191" s="17" t="n">
        <v>1</v>
      </c>
      <c r="Z1191" s="13">
        <f>SUMPRODUCT(N1191:Y1191,$N$2:$Y$2)*$K1191*$L1191*$M1191</f>
        <v/>
      </c>
      <c r="AA1191" s="14">
        <f>SUM(N1191:Y1191)</f>
        <v/>
      </c>
      <c r="AB1191" s="14">
        <f>IFERROR(IF(UPPER($E1191)="L",SUMPRODUCT(N1191:Y1191,$N$3:$Y$3,$N$2:$Y$2),SUMPRODUCT(N1191:Y1191,$N$4:$Y$4,$N$2:$Y$2))/(Z1191/($K1191*$L1191*$M1191)),"")</f>
        <v/>
      </c>
      <c r="AC1191" s="18" t="n"/>
    </row>
    <row r="1192">
      <c r="A1192" s="9" t="n">
        <v>666906</v>
      </c>
      <c r="B1192" s="9" t="inlineStr">
        <is>
          <t>Jake Alu</t>
        </is>
      </c>
      <c r="C1192" s="9" t="inlineStr">
        <is>
          <t>WSH</t>
        </is>
      </c>
      <c r="D1192" s="9" t="n">
        <v>30</v>
      </c>
      <c r="E1192" s="16" t="inlineStr">
        <is>
          <t>L</t>
        </is>
      </c>
      <c r="F1192" s="16" t="inlineStr">
        <is>
          <t>LF</t>
        </is>
      </c>
      <c r="G1192" s="9" t="n">
        <v>175</v>
      </c>
      <c r="H1192" s="9" t="n">
        <v>175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1" t="n">
        <v>1</v>
      </c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/>
      <c r="Y1192" s="17" t="n">
        <v>1</v>
      </c>
      <c r="Z1192" s="13">
        <f>SUMPRODUCT(N1192:Y1192,$N$2:$Y$2)*$K1192*$L1192*$M1192</f>
        <v/>
      </c>
      <c r="AA1192" s="14">
        <f>SUM(N1192:Y1192)</f>
        <v/>
      </c>
      <c r="AB1192" s="14">
        <f>IFERROR(IF(UPPER($E1192)="L",SUMPRODUCT(N1192:Y1192,$N$3:$Y$3,$N$2:$Y$2),SUMPRODUCT(N1192:Y1192,$N$4:$Y$4,$N$2:$Y$2))/(Z1192/($K1192*$L1192*$M1192)),"")</f>
        <v/>
      </c>
      <c r="AC1192" s="18" t="n"/>
    </row>
    <row r="1193">
      <c r="A1193" s="9" t="n">
        <v>701342</v>
      </c>
      <c r="B1193" s="9" t="inlineStr">
        <is>
          <t>Kendrey Maduro</t>
        </is>
      </c>
      <c r="C1193" s="9" t="inlineStr">
        <is>
          <t>LAA</t>
        </is>
      </c>
      <c r="D1193" s="9" t="n">
        <v>25</v>
      </c>
      <c r="E1193" s="16" t="inlineStr">
        <is>
          <t>R</t>
        </is>
      </c>
      <c r="F1193" s="16" t="n"/>
      <c r="G1193" s="9" t="n">
        <v>24.41025641025641</v>
      </c>
      <c r="H1193" s="9" t="n">
        <v>24.41025641025641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1" t="n">
        <v>1</v>
      </c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/>
      <c r="Y1193" s="17" t="n">
        <v>1</v>
      </c>
      <c r="Z1193" s="13">
        <f>SUMPRODUCT(N1193:Y1193,$N$2:$Y$2)*$K1193*$L1193*$M1193</f>
        <v/>
      </c>
      <c r="AA1193" s="14">
        <f>SUM(N1193:Y1193)</f>
        <v/>
      </c>
      <c r="AB1193" s="14">
        <f>IFERROR(IF(UPPER($E1193)="L",SUMPRODUCT(N1193:Y1193,$N$3:$Y$3,$N$2:$Y$2),SUMPRODUCT(N1193:Y1193,$N$4:$Y$4,$N$2:$Y$2))/(Z1193/($K1193*$L1193*$M1193)),"")</f>
        <v/>
      </c>
      <c r="AC1193" s="18" t="n"/>
    </row>
    <row r="1194">
      <c r="A1194" s="9" t="n">
        <v>822679</v>
      </c>
      <c r="B1194" s="9" t="inlineStr">
        <is>
          <t>Cort MacDonald</t>
        </is>
      </c>
      <c r="C1194" s="9" t="inlineStr">
        <is>
          <t>COL</t>
        </is>
      </c>
      <c r="D1194" s="9" t="n">
        <v>25</v>
      </c>
      <c r="E1194" s="16" t="inlineStr">
        <is>
          <t>L</t>
        </is>
      </c>
      <c r="F1194" s="16" t="n"/>
      <c r="G1194" s="9" t="n">
        <v>9.969230769230769</v>
      </c>
      <c r="H1194" s="9" t="n">
        <v>9.969230769230769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1" t="n">
        <v>1</v>
      </c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/>
      <c r="Y1194" s="17" t="n">
        <v>1</v>
      </c>
      <c r="Z1194" s="13">
        <f>SUMPRODUCT(N1194:Y1194,$N$2:$Y$2)*$K1194*$L1194*$M1194</f>
        <v/>
      </c>
      <c r="AA1194" s="14">
        <f>SUM(N1194:Y1194)</f>
        <v/>
      </c>
      <c r="AB1194" s="14">
        <f>IFERROR(IF(UPPER($E1194)="L",SUMPRODUCT(N1194:Y1194,$N$3:$Y$3,$N$2:$Y$2),SUMPRODUCT(N1194:Y1194,$N$4:$Y$4,$N$2:$Y$2))/(Z1194/($K1194*$L1194*$M1194)),"")</f>
        <v/>
      </c>
      <c r="AC1194" s="18" t="n"/>
    </row>
    <row r="1195">
      <c r="A1195" s="9" t="n">
        <v>670128</v>
      </c>
      <c r="B1195" s="9" t="inlineStr">
        <is>
          <t>Taylor Kohlwey</t>
        </is>
      </c>
      <c r="C1195" s="9" t="inlineStr">
        <is>
          <t>SD</t>
        </is>
      </c>
      <c r="D1195" s="9" t="n">
        <v>32</v>
      </c>
      <c r="E1195" s="16" t="inlineStr">
        <is>
          <t>L</t>
        </is>
      </c>
      <c r="F1195" s="16" t="inlineStr">
        <is>
          <t>LF</t>
        </is>
      </c>
      <c r="G1195" s="9" t="n">
        <v>13</v>
      </c>
      <c r="H1195" s="9" t="n">
        <v>13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1" t="n">
        <v>1</v>
      </c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/>
      <c r="Y1195" s="17" t="n">
        <v>1</v>
      </c>
      <c r="Z1195" s="13">
        <f>SUMPRODUCT(N1195:Y1195,$N$2:$Y$2)*$K1195*$L1195*$M1195</f>
        <v/>
      </c>
      <c r="AA1195" s="14">
        <f>SUM(N1195:Y1195)</f>
        <v/>
      </c>
      <c r="AB1195" s="14">
        <f>IFERROR(IF(UPPER($E1195)="L",SUMPRODUCT(N1195:Y1195,$N$3:$Y$3,$N$2:$Y$2),SUMPRODUCT(N1195:Y1195,$N$4:$Y$4,$N$2:$Y$2))/(Z1195/($K1195*$L1195*$M1195)),"")</f>
        <v/>
      </c>
      <c r="AC1195" s="18" t="n"/>
    </row>
    <row r="1196">
      <c r="A1196" s="9" t="n">
        <v>800840</v>
      </c>
      <c r="B1196" s="9" t="inlineStr">
        <is>
          <t>Chase Heath</t>
        </is>
      </c>
      <c r="C1196" s="9" t="inlineStr">
        <is>
          <t>STL</t>
        </is>
      </c>
      <c r="D1196" s="9" t="n">
        <v>25</v>
      </c>
      <c r="E1196" s="16" t="inlineStr">
        <is>
          <t>R</t>
        </is>
      </c>
      <c r="F1196" s="16" t="n"/>
      <c r="G1196" s="9" t="n">
        <v>7.538461538461538</v>
      </c>
      <c r="H1196" s="9" t="n">
        <v>7.538461538461538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1" t="n">
        <v>1</v>
      </c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/>
      <c r="Y1196" s="17" t="n">
        <v>1</v>
      </c>
      <c r="Z1196" s="13">
        <f>SUMPRODUCT(N1196:Y1196,$N$2:$Y$2)*$K1196*$L1196*$M1196</f>
        <v/>
      </c>
      <c r="AA1196" s="14">
        <f>SUM(N1196:Y1196)</f>
        <v/>
      </c>
      <c r="AB1196" s="14">
        <f>IFERROR(IF(UPPER($E1196)="L",SUMPRODUCT(N1196:Y1196,$N$3:$Y$3,$N$2:$Y$2),SUMPRODUCT(N1196:Y1196,$N$4:$Y$4,$N$2:$Y$2))/(Z1196/($K1196*$L1196*$M1196)),"")</f>
        <v/>
      </c>
      <c r="AC1196" s="18" t="n"/>
    </row>
    <row r="1197">
      <c r="A1197" s="9" t="n">
        <v>825128</v>
      </c>
      <c r="B1197" s="9" t="inlineStr">
        <is>
          <t>Camden Johnson</t>
        </is>
      </c>
      <c r="C1197" s="9" t="inlineStr">
        <is>
          <t>KC</t>
        </is>
      </c>
      <c r="D1197" s="9" t="n">
        <v>25</v>
      </c>
      <c r="E1197" s="16" t="inlineStr">
        <is>
          <t>L</t>
        </is>
      </c>
      <c r="F1197" s="16" t="n"/>
      <c r="G1197" s="9" t="n">
        <v>9.6</v>
      </c>
      <c r="H1197" s="9" t="n">
        <v>9.6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1" t="n">
        <v>1</v>
      </c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/>
      <c r="Y1197" s="17" t="n">
        <v>1</v>
      </c>
      <c r="Z1197" s="13">
        <f>SUMPRODUCT(N1197:Y1197,$N$2:$Y$2)*$K1197*$L1197*$M1197</f>
        <v/>
      </c>
      <c r="AA1197" s="14">
        <f>SUM(N1197:Y1197)</f>
        <v/>
      </c>
      <c r="AB1197" s="14">
        <f>IFERROR(IF(UPPER($E1197)="L",SUMPRODUCT(N1197:Y1197,$N$3:$Y$3,$N$2:$Y$2),SUMPRODUCT(N1197:Y1197,$N$4:$Y$4,$N$2:$Y$2))/(Z1197/($K1197*$L1197*$M1197)),"")</f>
        <v/>
      </c>
      <c r="AC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1" t="n">
        <v>1</v>
      </c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/>
      <c r="Y1198" s="17" t="n">
        <v>1</v>
      </c>
      <c r="Z1198" s="13">
        <f>SUMPRODUCT(N1198:Y1198,$N$2:$Y$2)*$K1198*$L1198*$M1198</f>
        <v/>
      </c>
      <c r="AA1198" s="14">
        <f>SUM(N1198:Y1198)</f>
        <v/>
      </c>
      <c r="AB1198" s="14">
        <f>IFERROR(IF(UPPER($E1198)="L",SUMPRODUCT(N1198:Y1198,$N$3:$Y$3,$N$2:$Y$2),SUMPRODUCT(N1198:Y1198,$N$4:$Y$4,$N$2:$Y$2))/(Z1198/($K1198*$L1198*$M1198)),"")</f>
        <v/>
      </c>
      <c r="AC1198" s="18" t="n"/>
    </row>
    <row r="1199">
      <c r="A1199" s="9" t="n">
        <v>701778</v>
      </c>
      <c r="B1199" s="9" t="inlineStr">
        <is>
          <t>Jace Avina</t>
        </is>
      </c>
      <c r="C1199" s="9" t="inlineStr">
        <is>
          <t>NYY</t>
        </is>
      </c>
      <c r="D1199" s="9" t="n">
        <v>25</v>
      </c>
      <c r="E1199" s="16" t="inlineStr">
        <is>
          <t>R</t>
        </is>
      </c>
      <c r="F1199" s="16" t="n"/>
      <c r="G1199" s="9" t="n">
        <v>187.0256410256411</v>
      </c>
      <c r="H1199" s="9" t="n">
        <v>187.0256410256411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1" t="n">
        <v>1</v>
      </c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/>
      <c r="Y1199" s="17" t="n">
        <v>1</v>
      </c>
      <c r="Z1199" s="13">
        <f>SUMPRODUCT(N1199:Y1199,$N$2:$Y$2)*$K1199*$L1199*$M1199</f>
        <v/>
      </c>
      <c r="AA1199" s="14">
        <f>SUM(N1199:Y1199)</f>
        <v/>
      </c>
      <c r="AB1199" s="14">
        <f>IFERROR(IF(UPPER($E1199)="L",SUMPRODUCT(N1199:Y1199,$N$3:$Y$3,$N$2:$Y$2),SUMPRODUCT(N1199:Y1199,$N$4:$Y$4,$N$2:$Y$2))/(Z1199/($K1199*$L1199*$M1199)),"")</f>
        <v/>
      </c>
      <c r="AC1199" s="18" t="n"/>
    </row>
    <row r="1200">
      <c r="A1200" s="9" t="n">
        <v>808265</v>
      </c>
      <c r="B1200" s="9" t="inlineStr">
        <is>
          <t>Franklin Arias</t>
        </is>
      </c>
      <c r="C1200" s="9" t="inlineStr">
        <is>
          <t>BOS</t>
        </is>
      </c>
      <c r="D1200" s="9" t="n">
        <v>25</v>
      </c>
      <c r="E1200" s="16" t="inlineStr">
        <is>
          <t>R</t>
        </is>
      </c>
      <c r="F1200" s="16" t="n"/>
      <c r="G1200" s="9" t="n">
        <v>102.6666666666667</v>
      </c>
      <c r="H1200" s="9" t="n">
        <v>102.6666666666667</v>
      </c>
      <c r="I1200" s="9" t="inlineStr">
        <is>
          <t>Full Time</t>
        </is>
      </c>
      <c r="J1200" s="16" t="inlineStr">
        <is>
          <t>Early Season (~May)</t>
        </is>
      </c>
      <c r="K1200" s="11">
        <f>IFERROR(INDEX(Roles!$B$17:$B$20,MATCH(J1200,Roles!$A$17:$A$20,0)),1)</f>
        <v/>
      </c>
      <c r="L1200" s="17" t="n">
        <v>1</v>
      </c>
      <c r="M1200" s="11" t="n">
        <v>1</v>
      </c>
      <c r="N1200" s="17" t="n">
        <v>0.4</v>
      </c>
      <c r="O1200" s="17" t="n"/>
      <c r="P1200" s="17" t="n">
        <v>0.25</v>
      </c>
      <c r="Q1200" s="17" t="n"/>
      <c r="R1200" s="17" t="n"/>
      <c r="S1200" s="17" t="n"/>
      <c r="T1200" s="17" t="n"/>
      <c r="U1200" s="17" t="n"/>
      <c r="V1200" s="17" t="n"/>
      <c r="W1200" s="17" t="n">
        <v>0.35</v>
      </c>
      <c r="X1200" s="17" t="n"/>
      <c r="Y1200" s="17" t="n"/>
      <c r="Z1200" s="13">
        <f>SUMPRODUCT(N1200:Y1200,$N$2:$Y$2)*$K1200*$L1200*$M1200</f>
        <v/>
      </c>
      <c r="AA1200" s="14">
        <f>SUM(N1200:Y1200)</f>
        <v/>
      </c>
      <c r="AB1200" s="14">
        <f>IFERROR(IF(UPPER($E1200)="L",SUMPRODUCT(N1200:Y1200,$N$3:$Y$3,$N$2:$Y$2),SUMPRODUCT(N1200:Y1200,$N$4:$Y$4,$N$2:$Y$2))/(Z1200/($K1200*$L1200*$M1200)),"")</f>
        <v/>
      </c>
      <c r="AC1200" s="18" t="n"/>
    </row>
    <row r="1201">
      <c r="A1201" s="9" t="n">
        <v>836582</v>
      </c>
      <c r="B1201" s="9" t="inlineStr">
        <is>
          <t>Luis Hernández</t>
        </is>
      </c>
      <c r="C1201" s="9" t="inlineStr">
        <is>
          <t>SF</t>
        </is>
      </c>
      <c r="D1201" s="9" t="n">
        <v>25</v>
      </c>
      <c r="E1201" s="16" t="inlineStr">
        <is>
          <t>R</t>
        </is>
      </c>
      <c r="F1201" s="16" t="n"/>
      <c r="G1201" s="9" t="n">
        <v>11.93846153846154</v>
      </c>
      <c r="H1201" s="9" t="n">
        <v>11.93846153846154</v>
      </c>
      <c r="I1201" s="9" t="inlineStr">
        <is>
          <t>Depth (no MLB PA)</t>
        </is>
      </c>
      <c r="J1201" s="16" t="inlineStr">
        <is>
          <t>Late Season (~Sept)</t>
        </is>
      </c>
      <c r="K1201" s="11">
        <f>IFERROR(INDEX(Roles!$B$17:$B$20,MATCH(J1201,Roles!$A$17:$A$20,0)),1)</f>
        <v/>
      </c>
      <c r="L1201" s="17" t="n">
        <v>1</v>
      </c>
      <c r="M1201" s="11" t="n">
        <v>1</v>
      </c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/>
      <c r="Y1201" s="17" t="n">
        <v>1</v>
      </c>
      <c r="Z1201" s="13">
        <f>SUMPRODUCT(N1201:Y1201,$N$2:$Y$2)*$K1201*$L1201*$M1201</f>
        <v/>
      </c>
      <c r="AA1201" s="14">
        <f>SUM(N1201:Y1201)</f>
        <v/>
      </c>
      <c r="AB1201" s="14">
        <f>IFERROR(IF(UPPER($E1201)="L",SUMPRODUCT(N1201:Y1201,$N$3:$Y$3,$N$2:$Y$2),SUMPRODUCT(N1201:Y1201,$N$4:$Y$4,$N$2:$Y$2))/(Z1201/($K1201*$L1201*$M1201)),"")</f>
        <v/>
      </c>
      <c r="AC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inlineStr">
        <is>
          <t>RF</t>
        </is>
      </c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1" t="n">
        <v>1.084696537249269</v>
      </c>
      <c r="N1202" s="17" t="n">
        <v>1</v>
      </c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7" t="n"/>
      <c r="Z1202" s="13">
        <f>SUMPRODUCT(N1202:Y1202,$N$2:$Y$2)*$K1202*$L1202*$M1202</f>
        <v/>
      </c>
      <c r="AA1202" s="14">
        <f>SUM(N1202:Y1202)</f>
        <v/>
      </c>
      <c r="AB1202" s="14">
        <f>IFERROR(IF(UPPER($E1202)="L",SUMPRODUCT(N1202:Y1202,$N$3:$Y$3,$N$2:$Y$2),SUMPRODUCT(N1202:Y1202,$N$4:$Y$4,$N$2:$Y$2))/(Z1202/($K1202*$L1202*$M1202)),"")</f>
        <v/>
      </c>
      <c r="AC1202" s="18" t="n"/>
    </row>
    <row r="1203">
      <c r="A1203" s="9" t="n">
        <v>694376</v>
      </c>
      <c r="B1203" s="9" t="inlineStr">
        <is>
          <t>Shay Whitcomb</t>
        </is>
      </c>
      <c r="C1203" s="9" t="inlineStr">
        <is>
          <t>SF</t>
        </is>
      </c>
      <c r="D1203" s="9" t="n">
        <v>28</v>
      </c>
      <c r="E1203" s="16" t="inlineStr">
        <is>
          <t>R</t>
        </is>
      </c>
      <c r="F1203" s="16" t="inlineStr">
        <is>
          <t>3B</t>
        </is>
      </c>
      <c r="G1203" s="9" t="n">
        <v>122</v>
      </c>
      <c r="H1203" s="9" t="n">
        <v>200</v>
      </c>
      <c r="I1203" s="9" t="inlineStr">
        <is>
          <t>Full Time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1" t="n">
        <v>1</v>
      </c>
      <c r="N1203" s="17" t="n">
        <v>0.62</v>
      </c>
      <c r="O1203" s="17" t="n"/>
      <c r="P1203" s="17" t="n">
        <v>0.38</v>
      </c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7" t="n"/>
      <c r="Z1203" s="13">
        <f>SUMPRODUCT(N1203:Y1203,$N$2:$Y$2)*$K1203*$L1203*$M1203</f>
        <v/>
      </c>
      <c r="AA1203" s="14">
        <f>SUM(N1203:Y1203)</f>
        <v/>
      </c>
      <c r="AB1203" s="14">
        <f>IFERROR(IF(UPPER($E1203)="L",SUMPRODUCT(N1203:Y1203,$N$3:$Y$3,$N$2:$Y$2),SUMPRODUCT(N1203:Y1203,$N$4:$Y$4,$N$2:$Y$2))/(Z1203/($K1203*$L1203*$M1203)),"")</f>
        <v/>
      </c>
      <c r="AC1203" s="18" t="n"/>
    </row>
    <row r="1204">
      <c r="A1204" s="9" t="n">
        <v>815204</v>
      </c>
      <c r="B1204" s="9" t="inlineStr">
        <is>
          <t>Justin Barry</t>
        </is>
      </c>
      <c r="C1204" s="9" t="inlineStr">
        <is>
          <t>BOS</t>
        </is>
      </c>
      <c r="D1204" s="9" t="n">
        <v>25</v>
      </c>
      <c r="E1204" s="16" t="inlineStr">
        <is>
          <t>R</t>
        </is>
      </c>
      <c r="F1204" s="16" t="n"/>
      <c r="G1204" s="9" t="n">
        <v>9.723076923076922</v>
      </c>
      <c r="H1204" s="9" t="n">
        <v>9.723076923076922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1" t="n">
        <v>1</v>
      </c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/>
      <c r="Y1204" s="17" t="n">
        <v>1</v>
      </c>
      <c r="Z1204" s="13">
        <f>SUMPRODUCT(N1204:Y1204,$N$2:$Y$2)*$K1204*$L1204*$M1204</f>
        <v/>
      </c>
      <c r="AA1204" s="14">
        <f>SUM(N1204:Y1204)</f>
        <v/>
      </c>
      <c r="AB1204" s="14">
        <f>IFERROR(IF(UPPER($E1204)="L",SUMPRODUCT(N1204:Y1204,$N$3:$Y$3,$N$2:$Y$2),SUMPRODUCT(N1204:Y1204,$N$4:$Y$4,$N$2:$Y$2))/(Z1204/($K1204*$L1204*$M1204)),"")</f>
        <v/>
      </c>
      <c r="AC1204" s="18" t="n"/>
    </row>
    <row r="1205">
      <c r="A1205" s="9" t="n">
        <v>828202</v>
      </c>
      <c r="B1205" s="9" t="inlineStr">
        <is>
          <t>Bruin Agbayani</t>
        </is>
      </c>
      <c r="C1205" s="9" t="inlineStr">
        <is>
          <t>NYM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1" t="n">
        <v>1</v>
      </c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/>
      <c r="Y1205" s="17" t="n">
        <v>1</v>
      </c>
      <c r="Z1205" s="13">
        <f>SUMPRODUCT(N1205:Y1205,$N$2:$Y$2)*$K1205*$L1205*$M1205</f>
        <v/>
      </c>
      <c r="AA1205" s="14">
        <f>SUM(N1205:Y1205)</f>
        <v/>
      </c>
      <c r="AB1205" s="14">
        <f>IFERROR(IF(UPPER($E1205)="L",SUMPRODUCT(N1205:Y1205,$N$3:$Y$3,$N$2:$Y$2),SUMPRODUCT(N1205:Y1205,$N$4:$Y$4,$N$2:$Y$2))/(Z1205/($K1205*$L1205*$M1205)),"")</f>
        <v/>
      </c>
      <c r="AC1205" s="18" t="n"/>
    </row>
    <row r="1206">
      <c r="A1206" s="9" t="n">
        <v>828900</v>
      </c>
      <c r="B1206" s="9" t="inlineStr">
        <is>
          <t>Elliot Lascelles</t>
        </is>
      </c>
      <c r="C1206" s="9" t="inlineStr">
        <is>
          <t>SD</t>
        </is>
      </c>
      <c r="D1206" s="9" t="n">
        <v>25</v>
      </c>
      <c r="E1206" s="16" t="inlineStr">
        <is>
          <t>L</t>
        </is>
      </c>
      <c r="F1206" s="16" t="n"/>
      <c r="G1206" s="9" t="n">
        <v>7.753846153846153</v>
      </c>
      <c r="H1206" s="9" t="n">
        <v>7.753846153846153</v>
      </c>
      <c r="I1206" s="9" t="inlineStr">
        <is>
          <t>Depth (no MLB PA)</t>
        </is>
      </c>
      <c r="J1206" s="16" t="inlineStr">
        <is>
          <t>Late Season (~Sept)</t>
        </is>
      </c>
      <c r="K1206" s="11">
        <f>IFERROR(INDEX(Roles!$B$17:$B$20,MATCH(J1206,Roles!$A$17:$A$20,0)),1)</f>
        <v/>
      </c>
      <c r="L1206" s="17" t="n">
        <v>1</v>
      </c>
      <c r="M1206" s="11" t="n">
        <v>1</v>
      </c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/>
      <c r="Y1206" s="17" t="n">
        <v>1</v>
      </c>
      <c r="Z1206" s="13">
        <f>SUMPRODUCT(N1206:Y1206,$N$2:$Y$2)*$K1206*$L1206*$M1206</f>
        <v/>
      </c>
      <c r="AA1206" s="14">
        <f>SUM(N1206:Y1206)</f>
        <v/>
      </c>
      <c r="AB1206" s="14">
        <f>IFERROR(IF(UPPER($E1206)="L",SUMPRODUCT(N1206:Y1206,$N$3:$Y$3,$N$2:$Y$2),SUMPRODUCT(N1206:Y1206,$N$4:$Y$4,$N$2:$Y$2))/(Z1206/($K1206*$L1206*$M1206)),"")</f>
        <v/>
      </c>
      <c r="AC1206" s="18" t="n"/>
    </row>
    <row r="1207">
      <c r="A1207" s="9" t="n">
        <v>814761</v>
      </c>
      <c r="B1207" s="9" t="inlineStr">
        <is>
          <t>Gabe Camacho</t>
        </is>
      </c>
      <c r="C1207" s="9" t="inlineStr">
        <is>
          <t>STL</t>
        </is>
      </c>
      <c r="D1207" s="9" t="n">
        <v>25</v>
      </c>
      <c r="E1207" s="16" t="inlineStr">
        <is>
          <t>L</t>
        </is>
      </c>
      <c r="F1207" s="16" t="n"/>
      <c r="G1207" s="9" t="n">
        <v>9.969230769230769</v>
      </c>
      <c r="H1207" s="9" t="n">
        <v>9.969230769230769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1" t="n">
        <v>1</v>
      </c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/>
      <c r="Y1207" s="17" t="n">
        <v>1</v>
      </c>
      <c r="Z1207" s="13">
        <f>SUMPRODUCT(N1207:Y1207,$N$2:$Y$2)*$K1207*$L1207*$M1207</f>
        <v/>
      </c>
      <c r="AA1207" s="14">
        <f>SUM(N1207:Y1207)</f>
        <v/>
      </c>
      <c r="AB1207" s="14">
        <f>IFERROR(IF(UPPER($E1207)="L",SUMPRODUCT(N1207:Y1207,$N$3:$Y$3,$N$2:$Y$2),SUMPRODUCT(N1207:Y1207,$N$4:$Y$4,$N$2:$Y$2))/(Z1207/($K1207*$L1207*$M1207)),"")</f>
        <v/>
      </c>
      <c r="AC1207" s="18" t="n"/>
    </row>
    <row r="1208">
      <c r="A1208" s="9" t="n">
        <v>807275</v>
      </c>
      <c r="B1208" s="9" t="inlineStr">
        <is>
          <t>Dalton Wentz</t>
        </is>
      </c>
      <c r="C1208" s="9" t="inlineStr">
        <is>
          <t>SF</t>
        </is>
      </c>
      <c r="D1208" s="9" t="n">
        <v>25</v>
      </c>
      <c r="E1208" s="16" t="inlineStr">
        <is>
          <t>S</t>
        </is>
      </c>
      <c r="F1208" s="16" t="n"/>
      <c r="G1208" s="9" t="n">
        <v>11.69230769230769</v>
      </c>
      <c r="H1208" s="9" t="n">
        <v>11.69230769230769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1" t="n">
        <v>1</v>
      </c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/>
      <c r="Y1208" s="17" t="n">
        <v>1</v>
      </c>
      <c r="Z1208" s="13">
        <f>SUMPRODUCT(N1208:Y1208,$N$2:$Y$2)*$K1208*$L1208*$M1208</f>
        <v/>
      </c>
      <c r="AA1208" s="14">
        <f>SUM(N1208:Y1208)</f>
        <v/>
      </c>
      <c r="AB1208" s="14">
        <f>IFERROR(IF(UPPER($E1208)="L",SUMPRODUCT(N1208:Y1208,$N$3:$Y$3,$N$2:$Y$2),SUMPRODUCT(N1208:Y1208,$N$4:$Y$4,$N$2:$Y$2))/(Z1208/($K1208*$L1208*$M1208)),"")</f>
        <v/>
      </c>
      <c r="AC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1" t="n">
        <v>1</v>
      </c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/>
      <c r="Y1209" s="17" t="n">
        <v>1</v>
      </c>
      <c r="Z1209" s="13">
        <f>SUMPRODUCT(N1209:Y1209,$N$2:$Y$2)*$K1209*$L1209*$M1209</f>
        <v/>
      </c>
      <c r="AA1209" s="14">
        <f>SUM(N1209:Y1209)</f>
        <v/>
      </c>
      <c r="AB1209" s="14">
        <f>IFERROR(IF(UPPER($E1209)="L",SUMPRODUCT(N1209:Y1209,$N$3:$Y$3,$N$2:$Y$2),SUMPRODUCT(N1209:Y1209,$N$4:$Y$4,$N$2:$Y$2))/(Z1209/($K1209*$L1209*$M1209)),"")</f>
        <v/>
      </c>
      <c r="AC1209" s="18" t="n"/>
    </row>
    <row r="1210">
      <c r="A1210" s="9" t="n">
        <v>693809</v>
      </c>
      <c r="B1210" s="9" t="inlineStr">
        <is>
          <t>Dilan Granadillo</t>
        </is>
      </c>
      <c r="C1210" s="9" t="inlineStr">
        <is>
          <t>CHC</t>
        </is>
      </c>
      <c r="D1210" s="9" t="n">
        <v>25</v>
      </c>
      <c r="E1210" s="16" t="inlineStr">
        <is>
          <t>L</t>
        </is>
      </c>
      <c r="F1210" s="16" t="n"/>
      <c r="G1210" s="9" t="n">
        <v>7.58974358974359</v>
      </c>
      <c r="H1210" s="9" t="n">
        <v>7.58974358974359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1" t="n">
        <v>1</v>
      </c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/>
      <c r="Y1210" s="17" t="n">
        <v>1</v>
      </c>
      <c r="Z1210" s="13">
        <f>SUMPRODUCT(N1210:Y1210,$N$2:$Y$2)*$K1210*$L1210*$M1210</f>
        <v/>
      </c>
      <c r="AA1210" s="14">
        <f>SUM(N1210:Y1210)</f>
        <v/>
      </c>
      <c r="AB1210" s="14">
        <f>IFERROR(IF(UPPER($E1210)="L",SUMPRODUCT(N1210:Y1210,$N$3:$Y$3,$N$2:$Y$2),SUMPRODUCT(N1210:Y1210,$N$4:$Y$4,$N$2:$Y$2))/(Z1210/($K1210*$L1210*$M1210)),"")</f>
        <v/>
      </c>
      <c r="AC1210" s="18" t="n"/>
    </row>
    <row r="1211">
      <c r="A1211" s="9" t="n">
        <v>842047</v>
      </c>
      <c r="B1211" s="9" t="inlineStr">
        <is>
          <t>Brayden Martin</t>
        </is>
      </c>
      <c r="C1211" s="9" t="inlineStr">
        <is>
          <t>TOR</t>
        </is>
      </c>
      <c r="D1211" s="9" t="n">
        <v>25</v>
      </c>
      <c r="E1211" s="16" t="inlineStr">
        <is>
          <t>L</t>
        </is>
      </c>
      <c r="F1211" s="16" t="n"/>
      <c r="G1211" s="9" t="n">
        <v>7.753846153846153</v>
      </c>
      <c r="H1211" s="9" t="n">
        <v>7.753846153846153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1" t="n">
        <v>1</v>
      </c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/>
      <c r="Y1211" s="17" t="n">
        <v>1</v>
      </c>
      <c r="Z1211" s="13">
        <f>SUMPRODUCT(N1211:Y1211,$N$2:$Y$2)*$K1211*$L1211*$M1211</f>
        <v/>
      </c>
      <c r="AA1211" s="14">
        <f>SUM(N1211:Y1211)</f>
        <v/>
      </c>
      <c r="AB1211" s="14">
        <f>IFERROR(IF(UPPER($E1211)="L",SUMPRODUCT(N1211:Y1211,$N$3:$Y$3,$N$2:$Y$2),SUMPRODUCT(N1211:Y1211,$N$4:$Y$4,$N$2:$Y$2))/(Z1211/($K1211*$L1211*$M1211)),"")</f>
        <v/>
      </c>
      <c r="AC1211" s="18" t="n"/>
    </row>
    <row r="1212">
      <c r="A1212" s="9" t="n">
        <v>811633</v>
      </c>
      <c r="B1212" s="9" t="inlineStr">
        <is>
          <t>Yosweld Vasquez</t>
        </is>
      </c>
      <c r="C1212" s="9" t="inlineStr">
        <is>
          <t>HOU</t>
        </is>
      </c>
      <c r="D1212" s="9" t="n">
        <v>25</v>
      </c>
      <c r="E1212" s="16" t="inlineStr">
        <is>
          <t>R</t>
        </is>
      </c>
      <c r="F1212" s="16" t="n"/>
      <c r="G1212" s="9" t="n">
        <v>7.794871794871796</v>
      </c>
      <c r="H1212" s="9" t="n">
        <v>7.794871794871796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1" t="n">
        <v>1</v>
      </c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/>
      <c r="Y1212" s="17" t="n">
        <v>1</v>
      </c>
      <c r="Z1212" s="13">
        <f>SUMPRODUCT(N1212:Y1212,$N$2:$Y$2)*$K1212*$L1212*$M1212</f>
        <v/>
      </c>
      <c r="AA1212" s="14">
        <f>SUM(N1212:Y1212)</f>
        <v/>
      </c>
      <c r="AB1212" s="14">
        <f>IFERROR(IF(UPPER($E1212)="L",SUMPRODUCT(N1212:Y1212,$N$3:$Y$3,$N$2:$Y$2),SUMPRODUCT(N1212:Y1212,$N$4:$Y$4,$N$2:$Y$2))/(Z1212/($K1212*$L1212*$M1212)),"")</f>
        <v/>
      </c>
      <c r="AC1212" s="18" t="n"/>
    </row>
    <row r="1213">
      <c r="A1213" s="9" t="n">
        <v>831488</v>
      </c>
      <c r="B1213" s="9" t="inlineStr">
        <is>
          <t>Wyatt Vincent</t>
        </is>
      </c>
      <c r="C1213" s="9" t="inlineStr">
        <is>
          <t>NYM</t>
        </is>
      </c>
      <c r="D1213" s="9" t="n">
        <v>25</v>
      </c>
      <c r="E1213" s="16" t="inlineStr">
        <is>
          <t>R</t>
        </is>
      </c>
      <c r="F1213" s="16" t="n"/>
      <c r="G1213" s="9" t="n">
        <v>7.753846153846153</v>
      </c>
      <c r="H1213" s="9" t="n">
        <v>7.753846153846153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1" t="n">
        <v>1</v>
      </c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/>
      <c r="Y1213" s="17" t="n">
        <v>1</v>
      </c>
      <c r="Z1213" s="13">
        <f>SUMPRODUCT(N1213:Y1213,$N$2:$Y$2)*$K1213*$L1213*$M1213</f>
        <v/>
      </c>
      <c r="AA1213" s="14">
        <f>SUM(N1213:Y1213)</f>
        <v/>
      </c>
      <c r="AB1213" s="14">
        <f>IFERROR(IF(UPPER($E1213)="L",SUMPRODUCT(N1213:Y1213,$N$3:$Y$3,$N$2:$Y$2),SUMPRODUCT(N1213:Y1213,$N$4:$Y$4,$N$2:$Y$2))/(Z1213/($K1213*$L1213*$M1213)),"")</f>
        <v/>
      </c>
      <c r="AC1213" s="18" t="n"/>
    </row>
    <row r="1214">
      <c r="A1214" s="9" t="n">
        <v>621438</v>
      </c>
      <c r="B1214" s="9" t="inlineStr">
        <is>
          <t>Tyrone Taylor</t>
        </is>
      </c>
      <c r="C1214" s="9" t="inlineStr">
        <is>
          <t>CHC</t>
        </is>
      </c>
      <c r="D1214" s="9" t="n">
        <v>33</v>
      </c>
      <c r="E1214" s="16" t="inlineStr">
        <is>
          <t>R</t>
        </is>
      </c>
      <c r="F1214" s="16" t="inlineStr">
        <is>
          <t>LF</t>
        </is>
      </c>
      <c r="G1214" s="9" t="n">
        <v>241</v>
      </c>
      <c r="H1214" s="9" t="n">
        <v>1575</v>
      </c>
      <c r="I1214" s="9" t="inlineStr">
        <is>
          <t>Utility OF / 4th OF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1" t="n">
        <v>1.033101656393805</v>
      </c>
      <c r="N1214" s="17" t="n"/>
      <c r="O1214" s="17" t="n"/>
      <c r="P1214" s="17" t="n"/>
      <c r="Q1214" s="17" t="n"/>
      <c r="R1214" s="17" t="n"/>
      <c r="S1214" s="17" t="n"/>
      <c r="T1214" s="17" t="n"/>
      <c r="U1214" s="17" t="n"/>
      <c r="V1214" s="17" t="n">
        <v>0.7</v>
      </c>
      <c r="W1214" s="17" t="n">
        <v>0.3</v>
      </c>
      <c r="X1214" s="17" t="n"/>
      <c r="Y1214" s="17" t="n"/>
      <c r="Z1214" s="13">
        <f>SUMPRODUCT(N1214:Y1214,$N$2:$Y$2)*$K1214*$L1214*$M1214</f>
        <v/>
      </c>
      <c r="AA1214" s="14">
        <f>SUM(N1214:Y1214)</f>
        <v/>
      </c>
      <c r="AB1214" s="14">
        <f>IFERROR(IF(UPPER($E1214)="L",SUMPRODUCT(N1214:Y1214,$N$3:$Y$3,$N$2:$Y$2),SUMPRODUCT(N1214:Y1214,$N$4:$Y$4,$N$2:$Y$2))/(Z1214/($K1214*$L1214*$M1214)),"")</f>
        <v/>
      </c>
      <c r="AC1214" s="18" t="n"/>
    </row>
    <row r="1215">
      <c r="A1215" s="9" t="n">
        <v>831004</v>
      </c>
      <c r="B1215" s="9" t="inlineStr">
        <is>
          <t>AJ Soldra</t>
        </is>
      </c>
      <c r="C1215" s="9" t="inlineStr">
        <is>
          <t>LAD</t>
        </is>
      </c>
      <c r="D1215" s="9" t="n">
        <v>25</v>
      </c>
      <c r="E1215" s="16" t="inlineStr">
        <is>
          <t>L</t>
        </is>
      </c>
      <c r="F1215" s="16" t="n"/>
      <c r="G1215" s="9" t="n">
        <v>22.64615384615385</v>
      </c>
      <c r="H1215" s="9" t="n">
        <v>22.64615384615385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1" t="n">
        <v>1</v>
      </c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/>
      <c r="Y1215" s="17" t="n">
        <v>1</v>
      </c>
      <c r="Z1215" s="13">
        <f>SUMPRODUCT(N1215:Y1215,$N$2:$Y$2)*$K1215*$L1215*$M1215</f>
        <v/>
      </c>
      <c r="AA1215" s="14">
        <f>SUM(N1215:Y1215)</f>
        <v/>
      </c>
      <c r="AB1215" s="14">
        <f>IFERROR(IF(UPPER($E1215)="L",SUMPRODUCT(N1215:Y1215,$N$3:$Y$3,$N$2:$Y$2),SUMPRODUCT(N1215:Y1215,$N$4:$Y$4,$N$2:$Y$2))/(Z1215/($K1215*$L1215*$M1215)),"")</f>
        <v/>
      </c>
      <c r="AC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inlineStr">
        <is>
          <t>P</t>
        </is>
      </c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1" t="n">
        <v>1</v>
      </c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/>
      <c r="Y1216" s="17" t="n">
        <v>1</v>
      </c>
      <c r="Z1216" s="13">
        <f>SUMPRODUCT(N1216:Y1216,$N$2:$Y$2)*$K1216*$L1216*$M1216</f>
        <v/>
      </c>
      <c r="AA1216" s="14">
        <f>SUM(N1216:Y1216)</f>
        <v/>
      </c>
      <c r="AB1216" s="14">
        <f>IFERROR(IF(UPPER($E1216)="L",SUMPRODUCT(N1216:Y1216,$N$3:$Y$3,$N$2:$Y$2),SUMPRODUCT(N1216:Y1216,$N$4:$Y$4,$N$2:$Y$2))/(Z1216/($K1216*$L1216*$M1216)),"")</f>
        <v/>
      </c>
      <c r="AC1216" s="18" t="n"/>
    </row>
    <row r="1217">
      <c r="A1217" s="9" t="n">
        <v>806120</v>
      </c>
      <c r="B1217" s="9" t="inlineStr">
        <is>
          <t>Kyle Henley</t>
        </is>
      </c>
      <c r="C1217" s="9" t="inlineStr">
        <is>
          <t>CIN</t>
        </is>
      </c>
      <c r="D1217" s="9" t="n">
        <v>25</v>
      </c>
      <c r="E1217" s="16" t="inlineStr">
        <is>
          <t>R</t>
        </is>
      </c>
      <c r="F1217" s="16" t="n"/>
      <c r="G1217" s="9" t="n">
        <v>11.8974358974359</v>
      </c>
      <c r="H1217" s="9" t="n">
        <v>11.8974358974359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1" t="n">
        <v>1</v>
      </c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/>
      <c r="Y1217" s="17" t="n">
        <v>1</v>
      </c>
      <c r="Z1217" s="13">
        <f>SUMPRODUCT(N1217:Y1217,$N$2:$Y$2)*$K1217*$L1217*$M1217</f>
        <v/>
      </c>
      <c r="AA1217" s="14">
        <f>SUM(N1217:Y1217)</f>
        <v/>
      </c>
      <c r="AB1217" s="14">
        <f>IFERROR(IF(UPPER($E1217)="L",SUMPRODUCT(N1217:Y1217,$N$3:$Y$3,$N$2:$Y$2),SUMPRODUCT(N1217:Y1217,$N$4:$Y$4,$N$2:$Y$2))/(Z1217/($K1217*$L1217*$M1217)),"")</f>
        <v/>
      </c>
      <c r="AC1217" s="18" t="n"/>
    </row>
    <row r="1218">
      <c r="A1218" s="9" t="n">
        <v>605242</v>
      </c>
      <c r="B1218" s="9" t="inlineStr">
        <is>
          <t>Michael Fulmer</t>
        </is>
      </c>
      <c r="C1218" s="9" t="inlineStr">
        <is>
          <t>CHC</t>
        </is>
      </c>
      <c r="D1218" s="9" t="n">
        <v>34</v>
      </c>
      <c r="E1218" s="16" t="inlineStr">
        <is>
          <t>R</t>
        </is>
      </c>
      <c r="F1218" s="16" t="inlineStr">
        <is>
          <t>P</t>
        </is>
      </c>
      <c r="G1218" s="9" t="n">
        <v>1</v>
      </c>
      <c r="H1218" s="9" t="n">
        <v>1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1" t="n">
        <v>1</v>
      </c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/>
      <c r="Y1218" s="17" t="n">
        <v>1</v>
      </c>
      <c r="Z1218" s="13">
        <f>SUMPRODUCT(N1218:Y1218,$N$2:$Y$2)*$K1218*$L1218*$M1218</f>
        <v/>
      </c>
      <c r="AA1218" s="14">
        <f>SUM(N1218:Y1218)</f>
        <v/>
      </c>
      <c r="AB1218" s="14">
        <f>IFERROR(IF(UPPER($E1218)="L",SUMPRODUCT(N1218:Y1218,$N$3:$Y$3,$N$2:$Y$2),SUMPRODUCT(N1218:Y1218,$N$4:$Y$4,$N$2:$Y$2))/(Z1218/($K1218*$L1218*$M1218)),"")</f>
        <v/>
      </c>
      <c r="AC1218" s="18" t="n"/>
    </row>
    <row r="1219">
      <c r="A1219" s="9" t="n">
        <v>827671</v>
      </c>
      <c r="B1219" s="9" t="inlineStr">
        <is>
          <t>Reed Stallman</t>
        </is>
      </c>
      <c r="C1219" s="9" t="inlineStr">
        <is>
          <t>NYM</t>
        </is>
      </c>
      <c r="D1219" s="9" t="n">
        <v>25</v>
      </c>
      <c r="E1219" s="16" t="inlineStr">
        <is>
          <t>L</t>
        </is>
      </c>
      <c r="F1219" s="16" t="n"/>
      <c r="G1219" s="9" t="n">
        <v>7.753846153846153</v>
      </c>
      <c r="H1219" s="9" t="n">
        <v>7.753846153846153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1" t="n">
        <v>1</v>
      </c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/>
      <c r="Y1219" s="17" t="n">
        <v>1</v>
      </c>
      <c r="Z1219" s="13">
        <f>SUMPRODUCT(N1219:Y1219,$N$2:$Y$2)*$K1219*$L1219*$M1219</f>
        <v/>
      </c>
      <c r="AA1219" s="14">
        <f>SUM(N1219:Y1219)</f>
        <v/>
      </c>
      <c r="AB1219" s="14">
        <f>IFERROR(IF(UPPER($E1219)="L",SUMPRODUCT(N1219:Y1219,$N$3:$Y$3,$N$2:$Y$2),SUMPRODUCT(N1219:Y1219,$N$4:$Y$4,$N$2:$Y$2))/(Z1219/($K1219*$L1219*$M1219)),"")</f>
        <v/>
      </c>
      <c r="AC1219" s="18" t="n"/>
    </row>
    <row r="1220">
      <c r="A1220" s="9" t="n">
        <v>687208</v>
      </c>
      <c r="B1220" s="9" t="inlineStr">
        <is>
          <t>Nathan Hickey</t>
        </is>
      </c>
      <c r="C1220" s="9" t="inlineStr">
        <is>
          <t>BOS</t>
        </is>
      </c>
      <c r="D1220" s="9" t="n">
        <v>25</v>
      </c>
      <c r="E1220" s="16" t="inlineStr">
        <is>
          <t>L</t>
        </is>
      </c>
      <c r="F1220" s="16" t="n"/>
      <c r="G1220" s="9" t="n">
        <v>129.7435897435898</v>
      </c>
      <c r="H1220" s="9" t="n">
        <v>129.7435897435898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1" t="n">
        <v>1</v>
      </c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/>
      <c r="Y1220" s="17" t="n">
        <v>1</v>
      </c>
      <c r="Z1220" s="13">
        <f>SUMPRODUCT(N1220:Y1220,$N$2:$Y$2)*$K1220*$L1220*$M1220</f>
        <v/>
      </c>
      <c r="AA1220" s="14">
        <f>SUM(N1220:Y1220)</f>
        <v/>
      </c>
      <c r="AB1220" s="14">
        <f>IFERROR(IF(UPPER($E1220)="L",SUMPRODUCT(N1220:Y1220,$N$3:$Y$3,$N$2:$Y$2),SUMPRODUCT(N1220:Y1220,$N$4:$Y$4,$N$2:$Y$2))/(Z1220/($K1220*$L1220*$M1220)),"")</f>
        <v/>
      </c>
      <c r="AC1220" s="18" t="n"/>
    </row>
    <row r="1221">
      <c r="A1221" s="9" t="n">
        <v>828084</v>
      </c>
      <c r="B1221" s="9" t="inlineStr">
        <is>
          <t>Daniel Pierce</t>
        </is>
      </c>
      <c r="C1221" s="9" t="inlineStr">
        <is>
          <t>TB</t>
        </is>
      </c>
      <c r="D1221" s="9" t="n">
        <v>25</v>
      </c>
      <c r="E1221" s="16" t="inlineStr">
        <is>
          <t>R</t>
        </is>
      </c>
      <c r="F1221" s="16" t="n"/>
      <c r="G1221" s="9" t="n">
        <v>16.49230769230769</v>
      </c>
      <c r="H1221" s="9" t="n">
        <v>16.49230769230769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1" t="n">
        <v>1</v>
      </c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/>
      <c r="Y1221" s="17" t="n">
        <v>1</v>
      </c>
      <c r="Z1221" s="13">
        <f>SUMPRODUCT(N1221:Y1221,$N$2:$Y$2)*$K1221*$L1221*$M1221</f>
        <v/>
      </c>
      <c r="AA1221" s="14">
        <f>SUM(N1221:Y1221)</f>
        <v/>
      </c>
      <c r="AB1221" s="14">
        <f>IFERROR(IF(UPPER($E1221)="L",SUMPRODUCT(N1221:Y1221,$N$3:$Y$3,$N$2:$Y$2),SUMPRODUCT(N1221:Y1221,$N$4:$Y$4,$N$2:$Y$2))/(Z1221/($K1221*$L1221*$M1221)),"")</f>
        <v/>
      </c>
      <c r="AC1221" s="18" t="n"/>
    </row>
    <row r="1222">
      <c r="A1222" s="9" t="n">
        <v>822384</v>
      </c>
      <c r="B1222" s="9" t="inlineStr">
        <is>
          <t>Jack Spanier</t>
        </is>
      </c>
      <c r="C1222" s="9" t="inlineStr">
        <is>
          <t>ARI</t>
        </is>
      </c>
      <c r="D1222" s="9" t="n">
        <v>25</v>
      </c>
      <c r="E1222" s="16" t="inlineStr">
        <is>
          <t>R</t>
        </is>
      </c>
      <c r="F1222" s="16" t="n"/>
      <c r="G1222" s="9" t="n">
        <v>8</v>
      </c>
      <c r="H1222" s="9" t="n">
        <v>8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1" t="n">
        <v>1</v>
      </c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/>
      <c r="Y1222" s="17" t="n">
        <v>1</v>
      </c>
      <c r="Z1222" s="13">
        <f>SUMPRODUCT(N1222:Y1222,$N$2:$Y$2)*$K1222*$L1222*$M1222</f>
        <v/>
      </c>
      <c r="AA1222" s="14">
        <f>SUM(N1222:Y1222)</f>
        <v/>
      </c>
      <c r="AB1222" s="14">
        <f>IFERROR(IF(UPPER($E1222)="L",SUMPRODUCT(N1222:Y1222,$N$3:$Y$3,$N$2:$Y$2),SUMPRODUCT(N1222:Y1222,$N$4:$Y$4,$N$2:$Y$2))/(Z1222/($K1222*$L1222*$M1222)),"")</f>
        <v/>
      </c>
      <c r="AC1222" s="18" t="n"/>
    </row>
    <row r="1223">
      <c r="A1223" s="9" t="n">
        <v>814469</v>
      </c>
      <c r="B1223" s="9" t="inlineStr">
        <is>
          <t>Crew McChesney</t>
        </is>
      </c>
      <c r="C1223" s="9" t="inlineStr">
        <is>
          <t>CWS</t>
        </is>
      </c>
      <c r="D1223" s="9" t="n">
        <v>25</v>
      </c>
      <c r="E1223" s="16" t="inlineStr">
        <is>
          <t>L</t>
        </is>
      </c>
      <c r="F1223" s="16" t="n"/>
      <c r="G1223" s="9" t="n">
        <v>7.876923076923077</v>
      </c>
      <c r="H1223" s="9" t="n">
        <v>7.876923076923077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1" t="n">
        <v>1</v>
      </c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/>
      <c r="Y1223" s="17" t="n">
        <v>1</v>
      </c>
      <c r="Z1223" s="13">
        <f>SUMPRODUCT(N1223:Y1223,$N$2:$Y$2)*$K1223*$L1223*$M1223</f>
        <v/>
      </c>
      <c r="AA1223" s="14">
        <f>SUM(N1223:Y1223)</f>
        <v/>
      </c>
      <c r="AB1223" s="14">
        <f>IFERROR(IF(UPPER($E1223)="L",SUMPRODUCT(N1223:Y1223,$N$3:$Y$3,$N$2:$Y$2),SUMPRODUCT(N1223:Y1223,$N$4:$Y$4,$N$2:$Y$2))/(Z1223/($K1223*$L1223*$M1223)),"")</f>
        <v/>
      </c>
      <c r="AC1223" s="18" t="n"/>
    </row>
    <row r="1224">
      <c r="A1224" s="9" t="n">
        <v>815121</v>
      </c>
      <c r="B1224" s="9" t="inlineStr">
        <is>
          <t>Alexey Lumpuy</t>
        </is>
      </c>
      <c r="C1224" s="9" t="inlineStr">
        <is>
          <t>CHC</t>
        </is>
      </c>
      <c r="D1224" s="9" t="n">
        <v>25</v>
      </c>
      <c r="E1224" s="16" t="inlineStr">
        <is>
          <t>L</t>
        </is>
      </c>
      <c r="F1224" s="16" t="n"/>
      <c r="G1224" s="9" t="n">
        <v>20.30769230769231</v>
      </c>
      <c r="H1224" s="9" t="n">
        <v>20.30769230769231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1" t="n">
        <v>1</v>
      </c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/>
      <c r="Y1224" s="17" t="n">
        <v>1</v>
      </c>
      <c r="Z1224" s="13">
        <f>SUMPRODUCT(N1224:Y1224,$N$2:$Y$2)*$K1224*$L1224*$M1224</f>
        <v/>
      </c>
      <c r="AA1224" s="14">
        <f>SUM(N1224:Y1224)</f>
        <v/>
      </c>
      <c r="AB1224" s="14">
        <f>IFERROR(IF(UPPER($E1224)="L",SUMPRODUCT(N1224:Y1224,$N$3:$Y$3,$N$2:$Y$2),SUMPRODUCT(N1224:Y1224,$N$4:$Y$4,$N$2:$Y$2))/(Z1224/($K1224*$L1224*$M1224)),"")</f>
        <v/>
      </c>
      <c r="AC1224" s="18" t="n"/>
    </row>
    <row r="1225">
      <c r="A1225" s="9" t="n">
        <v>800106</v>
      </c>
      <c r="B1225" s="9" t="inlineStr">
        <is>
          <t>Marcos Torres</t>
        </is>
      </c>
      <c r="C1225" s="9" t="inlineStr">
        <is>
          <t>TEX</t>
        </is>
      </c>
      <c r="D1225" s="9" t="n">
        <v>25</v>
      </c>
      <c r="E1225" s="16" t="inlineStr">
        <is>
          <t>L</t>
        </is>
      </c>
      <c r="F1225" s="16" t="n"/>
      <c r="G1225" s="9" t="n">
        <v>16.41025641025641</v>
      </c>
      <c r="H1225" s="9" t="n">
        <v>16.41025641025641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1" t="n">
        <v>1</v>
      </c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/>
      <c r="Y1225" s="17" t="n">
        <v>1</v>
      </c>
      <c r="Z1225" s="13">
        <f>SUMPRODUCT(N1225:Y1225,$N$2:$Y$2)*$K1225*$L1225*$M1225</f>
        <v/>
      </c>
      <c r="AA1225" s="14">
        <f>SUM(N1225:Y1225)</f>
        <v/>
      </c>
      <c r="AB1225" s="14">
        <f>IFERROR(IF(UPPER($E1225)="L",SUMPRODUCT(N1225:Y1225,$N$3:$Y$3,$N$2:$Y$2),SUMPRODUCT(N1225:Y1225,$N$4:$Y$4,$N$2:$Y$2))/(Z1225/($K1225*$L1225*$M1225)),"")</f>
        <v/>
      </c>
      <c r="AC1225" s="18" t="n"/>
    </row>
    <row r="1226">
      <c r="A1226" s="9" t="n">
        <v>806261</v>
      </c>
      <c r="B1226" s="9" t="inlineStr">
        <is>
          <t>Jaxon Willits</t>
        </is>
      </c>
      <c r="C1226" s="9" t="inlineStr">
        <is>
          <t>LAA</t>
        </is>
      </c>
      <c r="D1226" s="9" t="n">
        <v>25</v>
      </c>
      <c r="E1226" s="16" t="inlineStr">
        <is>
          <t>S</t>
        </is>
      </c>
      <c r="F1226" s="16" t="n"/>
      <c r="G1226" s="9" t="n">
        <v>14.4</v>
      </c>
      <c r="H1226" s="9" t="n">
        <v>14.4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1" t="n">
        <v>1</v>
      </c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/>
      <c r="Y1226" s="17" t="n">
        <v>1</v>
      </c>
      <c r="Z1226" s="13">
        <f>SUMPRODUCT(N1226:Y1226,$N$2:$Y$2)*$K1226*$L1226*$M1226</f>
        <v/>
      </c>
      <c r="AA1226" s="14">
        <f>SUM(N1226:Y1226)</f>
        <v/>
      </c>
      <c r="AB1226" s="14">
        <f>IFERROR(IF(UPPER($E1226)="L",SUMPRODUCT(N1226:Y1226,$N$3:$Y$3,$N$2:$Y$2),SUMPRODUCT(N1226:Y1226,$N$4:$Y$4,$N$2:$Y$2))/(Z1226/($K1226*$L1226*$M1226)),"")</f>
        <v/>
      </c>
      <c r="AC1226" s="18" t="n"/>
    </row>
    <row r="1227">
      <c r="A1227" s="9" t="n">
        <v>687066</v>
      </c>
      <c r="B1227" s="9" t="inlineStr">
        <is>
          <t>Eric Yang</t>
        </is>
      </c>
      <c r="C1227" s="9" t="inlineStr">
        <is>
          <t>CIN</t>
        </is>
      </c>
      <c r="D1227" s="9" t="n">
        <v>29</v>
      </c>
      <c r="E1227" s="16" t="inlineStr">
        <is>
          <t>R</t>
        </is>
      </c>
      <c r="F1227" s="16" t="n"/>
      <c r="G1227" s="9" t="n">
        <v>1</v>
      </c>
      <c r="H1227" s="9" t="n">
        <v>1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1" t="n">
        <v>1</v>
      </c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/>
      <c r="Y1227" s="17" t="n">
        <v>1</v>
      </c>
      <c r="Z1227" s="13">
        <f>SUMPRODUCT(N1227:Y1227,$N$2:$Y$2)*$K1227*$L1227*$M1227</f>
        <v/>
      </c>
      <c r="AA1227" s="14">
        <f>SUM(N1227:Y1227)</f>
        <v/>
      </c>
      <c r="AB1227" s="14">
        <f>IFERROR(IF(UPPER($E1227)="L",SUMPRODUCT(N1227:Y1227,$N$3:$Y$3,$N$2:$Y$2),SUMPRODUCT(N1227:Y1227,$N$4:$Y$4,$N$2:$Y$2))/(Z1227/($K1227*$L1227*$M1227)),"")</f>
        <v/>
      </c>
      <c r="AC1227" s="18" t="n"/>
    </row>
    <row r="1228">
      <c r="A1228" s="9" t="n">
        <v>821139</v>
      </c>
      <c r="B1228" s="9" t="inlineStr">
        <is>
          <t>Luis De La Cruz</t>
        </is>
      </c>
      <c r="C1228" s="9" t="inlineStr">
        <is>
          <t>CLE</t>
        </is>
      </c>
      <c r="D1228" s="9" t="n">
        <v>25</v>
      </c>
      <c r="E1228" s="16" t="inlineStr">
        <is>
          <t>S</t>
        </is>
      </c>
      <c r="F1228" s="16" t="n"/>
      <c r="G1228" s="9" t="n">
        <v>12.30769230769231</v>
      </c>
      <c r="H1228" s="9" t="n">
        <v>12.30769230769231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1" t="n">
        <v>1</v>
      </c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/>
      <c r="Y1228" s="17" t="n">
        <v>1</v>
      </c>
      <c r="Z1228" s="13">
        <f>SUMPRODUCT(N1228:Y1228,$N$2:$Y$2)*$K1228*$L1228*$M1228</f>
        <v/>
      </c>
      <c r="AA1228" s="14">
        <f>SUM(N1228:Y1228)</f>
        <v/>
      </c>
      <c r="AB1228" s="14">
        <f>IFERROR(IF(UPPER($E1228)="L",SUMPRODUCT(N1228:Y1228,$N$3:$Y$3,$N$2:$Y$2),SUMPRODUCT(N1228:Y1228,$N$4:$Y$4,$N$2:$Y$2))/(Z1228/($K1228*$L1228*$M1228)),"")</f>
        <v/>
      </c>
      <c r="AC1228" s="18" t="n"/>
    </row>
    <row r="1229">
      <c r="A1229" s="9" t="n">
        <v>815394</v>
      </c>
      <c r="B1229" s="9" t="inlineStr">
        <is>
          <t>Theo Gillen</t>
        </is>
      </c>
      <c r="C1229" s="9" t="inlineStr">
        <is>
          <t>TB</t>
        </is>
      </c>
      <c r="D1229" s="9" t="n">
        <v>25</v>
      </c>
      <c r="E1229" s="16" t="inlineStr">
        <is>
          <t>L</t>
        </is>
      </c>
      <c r="F1229" s="16" t="n"/>
      <c r="G1229" s="9" t="n">
        <v>94.05128205128204</v>
      </c>
      <c r="H1229" s="9" t="n">
        <v>94.05128205128204</v>
      </c>
      <c r="I1229" s="9" t="inlineStr">
        <is>
          <t>Bench Bat</t>
        </is>
      </c>
      <c r="J1229" s="16" t="inlineStr">
        <is>
          <t>Mid Season (~July)</t>
        </is>
      </c>
      <c r="K1229" s="11">
        <f>IFERROR(INDEX(Roles!$B$17:$B$20,MATCH(J1229,Roles!$A$17:$A$20,0)),1)</f>
        <v/>
      </c>
      <c r="L1229" s="17" t="n">
        <v>1</v>
      </c>
      <c r="M1229" s="11" t="n">
        <v>1</v>
      </c>
      <c r="N1229" s="17" t="n">
        <v>0.25</v>
      </c>
      <c r="O1229" s="17" t="n"/>
      <c r="P1229" s="17" t="n">
        <v>0.3</v>
      </c>
      <c r="Q1229" s="17" t="n"/>
      <c r="R1229" s="17" t="n"/>
      <c r="S1229" s="17" t="n"/>
      <c r="T1229" s="17" t="n"/>
      <c r="U1229" s="17" t="n"/>
      <c r="V1229" s="17" t="n"/>
      <c r="W1229" s="17" t="n">
        <v>0.45</v>
      </c>
      <c r="X1229" s="17" t="n"/>
      <c r="Y1229" s="17" t="n"/>
      <c r="Z1229" s="13">
        <f>SUMPRODUCT(N1229:Y1229,$N$2:$Y$2)*$K1229*$L1229*$M1229</f>
        <v/>
      </c>
      <c r="AA1229" s="14">
        <f>SUM(N1229:Y1229)</f>
        <v/>
      </c>
      <c r="AB1229" s="14">
        <f>IFERROR(IF(UPPER($E1229)="L",SUMPRODUCT(N1229:Y1229,$N$3:$Y$3,$N$2:$Y$2),SUMPRODUCT(N1229:Y1229,$N$4:$Y$4,$N$2:$Y$2))/(Z1229/($K1229*$L1229*$M1229)),"")</f>
        <v/>
      </c>
      <c r="AC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inlineStr">
        <is>
          <t>P</t>
        </is>
      </c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1" t="n">
        <v>1</v>
      </c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/>
      <c r="Y1230" s="17" t="n">
        <v>1</v>
      </c>
      <c r="Z1230" s="13">
        <f>SUMPRODUCT(N1230:Y1230,$N$2:$Y$2)*$K1230*$L1230*$M1230</f>
        <v/>
      </c>
      <c r="AA1230" s="14">
        <f>SUM(N1230:Y1230)</f>
        <v/>
      </c>
      <c r="AB1230" s="14">
        <f>IFERROR(IF(UPPER($E1230)="L",SUMPRODUCT(N1230:Y1230,$N$3:$Y$3,$N$2:$Y$2),SUMPRODUCT(N1230:Y1230,$N$4:$Y$4,$N$2:$Y$2))/(Z1230/($K1230*$L1230*$M1230)),"")</f>
        <v/>
      </c>
      <c r="AC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25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Late Season (~Sept)</t>
        </is>
      </c>
      <c r="K1231" s="11">
        <f>IFERROR(INDEX(Roles!$B$17:$B$20,MATCH(J1231,Roles!$A$17:$A$20,0)),1)</f>
        <v/>
      </c>
      <c r="L1231" s="17" t="n">
        <v>1</v>
      </c>
      <c r="M1231" s="11" t="n">
        <v>1</v>
      </c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/>
      <c r="Y1231" s="17" t="n">
        <v>1</v>
      </c>
      <c r="Z1231" s="13">
        <f>SUMPRODUCT(N1231:Y1231,$N$2:$Y$2)*$K1231*$L1231*$M1231</f>
        <v/>
      </c>
      <c r="AA1231" s="14">
        <f>SUM(N1231:Y1231)</f>
        <v/>
      </c>
      <c r="AB1231" s="14">
        <f>IFERROR(IF(UPPER($E1231)="L",SUMPRODUCT(N1231:Y1231,$N$3:$Y$3,$N$2:$Y$2),SUMPRODUCT(N1231:Y1231,$N$4:$Y$4,$N$2:$Y$2))/(Z1231/($K1231*$L1231*$M1231)),"")</f>
        <v/>
      </c>
      <c r="AC1231" s="18" t="n"/>
    </row>
    <row r="1232">
      <c r="A1232" s="9" t="n">
        <v>676896</v>
      </c>
      <c r="B1232" s="9" t="inlineStr">
        <is>
          <t>Chris Roller</t>
        </is>
      </c>
      <c r="C1232" s="9" t="inlineStr">
        <is>
          <t>MIL</t>
        </is>
      </c>
      <c r="D1232" s="9" t="n">
        <v>30</v>
      </c>
      <c r="E1232" s="16" t="inlineStr">
        <is>
          <t>R</t>
        </is>
      </c>
      <c r="F1232" s="16" t="inlineStr">
        <is>
          <t>CF</t>
        </is>
      </c>
      <c r="G1232" s="9" t="n">
        <v>1</v>
      </c>
      <c r="H1232" s="9" t="n">
        <v>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1" t="n">
        <v>1</v>
      </c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/>
      <c r="Y1232" s="17" t="n">
        <v>1</v>
      </c>
      <c r="Z1232" s="13">
        <f>SUMPRODUCT(N1232:Y1232,$N$2:$Y$2)*$K1232*$L1232*$M1232</f>
        <v/>
      </c>
      <c r="AA1232" s="14">
        <f>SUM(N1232:Y1232)</f>
        <v/>
      </c>
      <c r="AB1232" s="14">
        <f>IFERROR(IF(UPPER($E1232)="L",SUMPRODUCT(N1232:Y1232,$N$3:$Y$3,$N$2:$Y$2),SUMPRODUCT(N1232:Y1232,$N$4:$Y$4,$N$2:$Y$2))/(Z1232/($K1232*$L1232*$M1232)),"")</f>
        <v/>
      </c>
      <c r="AC1232" s="18" t="n"/>
    </row>
    <row r="1233">
      <c r="A1233" s="9" t="n">
        <v>543518</v>
      </c>
      <c r="B1233" s="9" t="inlineStr">
        <is>
          <t>Scott McGough</t>
        </is>
      </c>
      <c r="C1233" s="9" t="inlineStr">
        <is>
          <t>ARI</t>
        </is>
      </c>
      <c r="D1233" s="9" t="n">
        <v>37</v>
      </c>
      <c r="E1233" s="16" t="inlineStr">
        <is>
          <t>R</t>
        </is>
      </c>
      <c r="F1233" s="16" t="inlineStr">
        <is>
          <t>P</t>
        </is>
      </c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1" t="n">
        <v>1</v>
      </c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/>
      <c r="Y1233" s="17" t="n">
        <v>1</v>
      </c>
      <c r="Z1233" s="13">
        <f>SUMPRODUCT(N1233:Y1233,$N$2:$Y$2)*$K1233*$L1233*$M1233</f>
        <v/>
      </c>
      <c r="AA1233" s="14">
        <f>SUM(N1233:Y1233)</f>
        <v/>
      </c>
      <c r="AB1233" s="14">
        <f>IFERROR(IF(UPPER($E1233)="L",SUMPRODUCT(N1233:Y1233,$N$3:$Y$3,$N$2:$Y$2),SUMPRODUCT(N1233:Y1233,$N$4:$Y$4,$N$2:$Y$2))/(Z1233/($K1233*$L1233*$M1233)),"")</f>
        <v/>
      </c>
      <c r="AC1233" s="18" t="n"/>
    </row>
    <row r="1234">
      <c r="A1234" s="9" t="n">
        <v>671155</v>
      </c>
      <c r="B1234" s="9" t="inlineStr">
        <is>
          <t>Ivan Johnson</t>
        </is>
      </c>
      <c r="C1234" s="9" t="inlineStr">
        <is>
          <t>CIN</t>
        </is>
      </c>
      <c r="D1234" s="9" t="n">
        <v>28</v>
      </c>
      <c r="E1234" s="16" t="inlineStr">
        <is>
          <t>S</t>
        </is>
      </c>
      <c r="F1234" s="16" t="inlineStr">
        <is>
          <t>LF</t>
        </is>
      </c>
      <c r="G1234" s="9" t="n">
        <v>19</v>
      </c>
      <c r="H1234" s="9" t="n">
        <v>19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1" t="n">
        <v>1</v>
      </c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/>
      <c r="Y1234" s="17" t="n">
        <v>1</v>
      </c>
      <c r="Z1234" s="13">
        <f>SUMPRODUCT(N1234:Y1234,$N$2:$Y$2)*$K1234*$L1234*$M1234</f>
        <v/>
      </c>
      <c r="AA1234" s="14">
        <f>SUM(N1234:Y1234)</f>
        <v/>
      </c>
      <c r="AB1234" s="14">
        <f>IFERROR(IF(UPPER($E1234)="L",SUMPRODUCT(N1234:Y1234,$N$3:$Y$3,$N$2:$Y$2),SUMPRODUCT(N1234:Y1234,$N$4:$Y$4,$N$2:$Y$2))/(Z1234/($K1234*$L1234*$M1234)),"")</f>
        <v/>
      </c>
      <c r="AC1234" s="18" t="n"/>
    </row>
    <row r="1235">
      <c r="A1235" s="9" t="n">
        <v>800621</v>
      </c>
      <c r="B1235" s="9" t="inlineStr">
        <is>
          <t>Logun Clark</t>
        </is>
      </c>
      <c r="C1235" s="9" t="inlineStr">
        <is>
          <t>CLE</t>
        </is>
      </c>
      <c r="D1235" s="9" t="n">
        <v>25</v>
      </c>
      <c r="E1235" s="16" t="inlineStr">
        <is>
          <t>R</t>
        </is>
      </c>
      <c r="F1235" s="16" t="n"/>
      <c r="G1235" s="9" t="n">
        <v>7.897435897435898</v>
      </c>
      <c r="H1235" s="9" t="n">
        <v>7.897435897435898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1" t="n">
        <v>1</v>
      </c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/>
      <c r="Y1235" s="17" t="n">
        <v>1</v>
      </c>
      <c r="Z1235" s="13">
        <f>SUMPRODUCT(N1235:Y1235,$N$2:$Y$2)*$K1235*$L1235*$M1235</f>
        <v/>
      </c>
      <c r="AA1235" s="14">
        <f>SUM(N1235:Y1235)</f>
        <v/>
      </c>
      <c r="AB1235" s="14">
        <f>IFERROR(IF(UPPER($E1235)="L",SUMPRODUCT(N1235:Y1235,$N$3:$Y$3,$N$2:$Y$2),SUMPRODUCT(N1235:Y1235,$N$4:$Y$4,$N$2:$Y$2))/(Z1235/($K1235*$L1235*$M1235)),"")</f>
        <v/>
      </c>
      <c r="AC1235" s="18" t="n"/>
    </row>
    <row r="1236">
      <c r="A1236" s="9" t="n">
        <v>809772</v>
      </c>
      <c r="B1236" s="9" t="inlineStr">
        <is>
          <t>Luis Puello</t>
        </is>
      </c>
      <c r="C1236" s="9" t="inlineStr">
        <is>
          <t>NYY</t>
        </is>
      </c>
      <c r="D1236" s="9" t="n">
        <v>25</v>
      </c>
      <c r="E1236" s="16" t="inlineStr">
        <is>
          <t>R</t>
        </is>
      </c>
      <c r="F1236" s="16" t="n"/>
      <c r="G1236" s="9" t="n">
        <v>38.15384615384615</v>
      </c>
      <c r="H1236" s="9" t="n">
        <v>38.15384615384615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1" t="n">
        <v>1</v>
      </c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/>
      <c r="Y1236" s="17" t="n">
        <v>1</v>
      </c>
      <c r="Z1236" s="13">
        <f>SUMPRODUCT(N1236:Y1236,$N$2:$Y$2)*$K1236*$L1236*$M1236</f>
        <v/>
      </c>
      <c r="AA1236" s="14">
        <f>SUM(N1236:Y1236)</f>
        <v/>
      </c>
      <c r="AB1236" s="14">
        <f>IFERROR(IF(UPPER($E1236)="L",SUMPRODUCT(N1236:Y1236,$N$3:$Y$3,$N$2:$Y$2),SUMPRODUCT(N1236:Y1236,$N$4:$Y$4,$N$2:$Y$2))/(Z1236/($K1236*$L1236*$M1236)),"")</f>
        <v/>
      </c>
      <c r="AC1236" s="18" t="n"/>
    </row>
    <row r="1237">
      <c r="A1237" s="9" t="n">
        <v>829166</v>
      </c>
      <c r="B1237" s="9" t="inlineStr">
        <is>
          <t>Yamvier Carrero</t>
        </is>
      </c>
      <c r="C1237" s="9" t="inlineStr">
        <is>
          <t>ATL</t>
        </is>
      </c>
      <c r="D1237" s="9" t="n">
        <v>25</v>
      </c>
      <c r="E1237" s="16" t="inlineStr">
        <is>
          <t>R</t>
        </is>
      </c>
      <c r="F1237" s="16" t="n"/>
      <c r="G1237" s="9" t="n">
        <v>14.52307692307692</v>
      </c>
      <c r="H1237" s="9" t="n">
        <v>14.52307692307692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1" t="n">
        <v>1</v>
      </c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/>
      <c r="Y1237" s="17" t="n">
        <v>1</v>
      </c>
      <c r="Z1237" s="13">
        <f>SUMPRODUCT(N1237:Y1237,$N$2:$Y$2)*$K1237*$L1237*$M1237</f>
        <v/>
      </c>
      <c r="AA1237" s="14">
        <f>SUM(N1237:Y1237)</f>
        <v/>
      </c>
      <c r="AB1237" s="14">
        <f>IFERROR(IF(UPPER($E1237)="L",SUMPRODUCT(N1237:Y1237,$N$3:$Y$3,$N$2:$Y$2),SUMPRODUCT(N1237:Y1237,$N$4:$Y$4,$N$2:$Y$2))/(Z1237/($K1237*$L1237*$M1237)),"")</f>
        <v/>
      </c>
      <c r="AC1237" s="18" t="n"/>
    </row>
    <row r="1238">
      <c r="A1238" s="9" t="n">
        <v>694420</v>
      </c>
      <c r="B1238" s="9" t="inlineStr">
        <is>
          <t>Tatem Levins</t>
        </is>
      </c>
      <c r="C1238" s="9" t="inlineStr">
        <is>
          <t>TB</t>
        </is>
      </c>
      <c r="D1238" s="9" t="n">
        <v>25</v>
      </c>
      <c r="E1238" s="16" t="inlineStr">
        <is>
          <t>L</t>
        </is>
      </c>
      <c r="F1238" s="16" t="n"/>
      <c r="G1238" s="9" t="n">
        <v>208.1538461538462</v>
      </c>
      <c r="H1238" s="9" t="n">
        <v>208.1538461538462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1" t="n">
        <v>1</v>
      </c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/>
      <c r="Y1238" s="17" t="n">
        <v>1</v>
      </c>
      <c r="Z1238" s="13">
        <f>SUMPRODUCT(N1238:Y1238,$N$2:$Y$2)*$K1238*$L1238*$M1238</f>
        <v/>
      </c>
      <c r="AA1238" s="14">
        <f>SUM(N1238:Y1238)</f>
        <v/>
      </c>
      <c r="AB1238" s="14">
        <f>IFERROR(IF(UPPER($E1238)="L",SUMPRODUCT(N1238:Y1238,$N$3:$Y$3,$N$2:$Y$2),SUMPRODUCT(N1238:Y1238,$N$4:$Y$4,$N$2:$Y$2))/(Z1238/($K1238*$L1238*$M1238)),"")</f>
        <v/>
      </c>
      <c r="AC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inlineStr">
        <is>
          <t>1B</t>
        </is>
      </c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1" t="n">
        <v>1</v>
      </c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/>
      <c r="Y1239" s="17" t="n">
        <v>1</v>
      </c>
      <c r="Z1239" s="13">
        <f>SUMPRODUCT(N1239:Y1239,$N$2:$Y$2)*$K1239*$L1239*$M1239</f>
        <v/>
      </c>
      <c r="AA1239" s="14">
        <f>SUM(N1239:Y1239)</f>
        <v/>
      </c>
      <c r="AB1239" s="14">
        <f>IFERROR(IF(UPPER($E1239)="L",SUMPRODUCT(N1239:Y1239,$N$3:$Y$3,$N$2:$Y$2),SUMPRODUCT(N1239:Y1239,$N$4:$Y$4,$N$2:$Y$2))/(Z1239/($K1239*$L1239*$M1239)),"")</f>
        <v/>
      </c>
      <c r="AC1239" s="18" t="n"/>
    </row>
    <row r="1240">
      <c r="A1240" s="9" t="n">
        <v>829773</v>
      </c>
      <c r="B1240" s="9" t="inlineStr">
        <is>
          <t>Yovanny Duran</t>
        </is>
      </c>
      <c r="C1240" s="9" t="inlineStr">
        <is>
          <t>MIN</t>
        </is>
      </c>
      <c r="D1240" s="9" t="n">
        <v>25</v>
      </c>
      <c r="E1240" s="16" t="inlineStr">
        <is>
          <t>S</t>
        </is>
      </c>
      <c r="F1240" s="16" t="n"/>
      <c r="G1240" s="9" t="n">
        <v>10.09230769230769</v>
      </c>
      <c r="H1240" s="9" t="n">
        <v>10.09230769230769</v>
      </c>
      <c r="I1240" s="9" t="inlineStr">
        <is>
          <t>Depth (no MLB PA)</t>
        </is>
      </c>
      <c r="J1240" s="16" t="inlineStr">
        <is>
          <t>Late Season (~Sept)</t>
        </is>
      </c>
      <c r="K1240" s="11">
        <f>IFERROR(INDEX(Roles!$B$17:$B$20,MATCH(J1240,Roles!$A$17:$A$20,0)),1)</f>
        <v/>
      </c>
      <c r="L1240" s="17" t="n">
        <v>1</v>
      </c>
      <c r="M1240" s="11" t="n">
        <v>1</v>
      </c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/>
      <c r="Y1240" s="17" t="n">
        <v>1</v>
      </c>
      <c r="Z1240" s="13">
        <f>SUMPRODUCT(N1240:Y1240,$N$2:$Y$2)*$K1240*$L1240*$M1240</f>
        <v/>
      </c>
      <c r="AA1240" s="14">
        <f>SUM(N1240:Y1240)</f>
        <v/>
      </c>
      <c r="AB1240" s="14">
        <f>IFERROR(IF(UPPER($E1240)="L",SUMPRODUCT(N1240:Y1240,$N$3:$Y$3,$N$2:$Y$2),SUMPRODUCT(N1240:Y1240,$N$4:$Y$4,$N$2:$Y$2))/(Z1240/($K1240*$L1240*$M1240)),"")</f>
        <v/>
      </c>
      <c r="AC1240" s="18" t="n"/>
    </row>
    <row r="1241">
      <c r="A1241" s="9" t="n">
        <v>807277</v>
      </c>
      <c r="B1241" s="9" t="inlineStr">
        <is>
          <t>Nick Montgomery</t>
        </is>
      </c>
      <c r="C1241" s="9" t="inlineStr">
        <is>
          <t>ATL</t>
        </is>
      </c>
      <c r="D1241" s="9" t="n">
        <v>25</v>
      </c>
      <c r="E1241" s="16" t="inlineStr">
        <is>
          <t>R</t>
        </is>
      </c>
      <c r="F1241" s="16" t="n"/>
      <c r="G1241" s="9" t="n">
        <v>24.86153846153847</v>
      </c>
      <c r="H1241" s="9" t="n">
        <v>24.86153846153847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1" t="n">
        <v>1</v>
      </c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/>
      <c r="Y1241" s="17" t="n">
        <v>1</v>
      </c>
      <c r="Z1241" s="13">
        <f>SUMPRODUCT(N1241:Y1241,$N$2:$Y$2)*$K1241*$L1241*$M1241</f>
        <v/>
      </c>
      <c r="AA1241" s="14">
        <f>SUM(N1241:Y1241)</f>
        <v/>
      </c>
      <c r="AB1241" s="14">
        <f>IFERROR(IF(UPPER($E1241)="L",SUMPRODUCT(N1241:Y1241,$N$3:$Y$3,$N$2:$Y$2),SUMPRODUCT(N1241:Y1241,$N$4:$Y$4,$N$2:$Y$2))/(Z1241/($K1241*$L1241*$M1241)),"")</f>
        <v/>
      </c>
      <c r="AC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1" t="n">
        <v>1</v>
      </c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/>
      <c r="Y1242" s="17" t="n">
        <v>1</v>
      </c>
      <c r="Z1242" s="13">
        <f>SUMPRODUCT(N1242:Y1242,$N$2:$Y$2)*$K1242*$L1242*$M1242</f>
        <v/>
      </c>
      <c r="AA1242" s="14">
        <f>SUM(N1242:Y1242)</f>
        <v/>
      </c>
      <c r="AB1242" s="14">
        <f>IFERROR(IF(UPPER($E1242)="L",SUMPRODUCT(N1242:Y1242,$N$3:$Y$3,$N$2:$Y$2),SUMPRODUCT(N1242:Y1242,$N$4:$Y$4,$N$2:$Y$2))/(Z1242/($K1242*$L1242*$M1242)),"")</f>
        <v/>
      </c>
      <c r="AC1242" s="18" t="n"/>
    </row>
    <row r="1243">
      <c r="A1243" s="9" t="n">
        <v>683427</v>
      </c>
      <c r="B1243" s="9" t="inlineStr">
        <is>
          <t>Omar Hernandez</t>
        </is>
      </c>
      <c r="C1243" s="9" t="inlineStr">
        <is>
          <t>KC</t>
        </is>
      </c>
      <c r="D1243" s="9" t="n">
        <v>25</v>
      </c>
      <c r="E1243" s="16" t="inlineStr">
        <is>
          <t>R</t>
        </is>
      </c>
      <c r="F1243" s="16" t="n"/>
      <c r="G1243" s="9" t="n">
        <v>24.25641025641026</v>
      </c>
      <c r="H1243" s="9" t="n">
        <v>24.25641025641026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1" t="n">
        <v>1</v>
      </c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/>
      <c r="Y1243" s="17" t="n">
        <v>1</v>
      </c>
      <c r="Z1243" s="13">
        <f>SUMPRODUCT(N1243:Y1243,$N$2:$Y$2)*$K1243*$L1243*$M1243</f>
        <v/>
      </c>
      <c r="AA1243" s="14">
        <f>SUM(N1243:Y1243)</f>
        <v/>
      </c>
      <c r="AB1243" s="14">
        <f>IFERROR(IF(UPPER($E1243)="L",SUMPRODUCT(N1243:Y1243,$N$3:$Y$3,$N$2:$Y$2),SUMPRODUCT(N1243:Y1243,$N$4:$Y$4,$N$2:$Y$2))/(Z1243/($K1243*$L1243*$M1243)),"")</f>
        <v/>
      </c>
      <c r="AC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1" t="n">
        <v>1</v>
      </c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/>
      <c r="Y1244" s="17" t="n">
        <v>1</v>
      </c>
      <c r="Z1244" s="13">
        <f>SUMPRODUCT(N1244:Y1244,$N$2:$Y$2)*$K1244*$L1244*$M1244</f>
        <v/>
      </c>
      <c r="AA1244" s="14">
        <f>SUM(N1244:Y1244)</f>
        <v/>
      </c>
      <c r="AB1244" s="14">
        <f>IFERROR(IF(UPPER($E1244)="L",SUMPRODUCT(N1244:Y1244,$N$3:$Y$3,$N$2:$Y$2),SUMPRODUCT(N1244:Y1244,$N$4:$Y$4,$N$2:$Y$2))/(Z1244/($K1244*$L1244*$M1244)),"")</f>
        <v/>
      </c>
      <c r="AC1244" s="18" t="n"/>
    </row>
    <row r="1245">
      <c r="A1245" s="9" t="n">
        <v>814964</v>
      </c>
      <c r="B1245" s="9" t="inlineStr">
        <is>
          <t>Reece Moroney</t>
        </is>
      </c>
      <c r="C1245" s="9" t="inlineStr">
        <is>
          <t>PHI</t>
        </is>
      </c>
      <c r="D1245" s="9" t="n">
        <v>25</v>
      </c>
      <c r="E1245" s="16" t="inlineStr">
        <is>
          <t>R</t>
        </is>
      </c>
      <c r="F1245" s="16" t="n"/>
      <c r="G1245" s="9" t="n">
        <v>8.123076923076923</v>
      </c>
      <c r="H1245" s="9" t="n">
        <v>8.123076923076923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1" t="n">
        <v>1</v>
      </c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/>
      <c r="Y1245" s="17" t="n">
        <v>1</v>
      </c>
      <c r="Z1245" s="13">
        <f>SUMPRODUCT(N1245:Y1245,$N$2:$Y$2)*$K1245*$L1245*$M1245</f>
        <v/>
      </c>
      <c r="AA1245" s="14">
        <f>SUM(N1245:Y1245)</f>
        <v/>
      </c>
      <c r="AB1245" s="14">
        <f>IFERROR(IF(UPPER($E1245)="L",SUMPRODUCT(N1245:Y1245,$N$3:$Y$3,$N$2:$Y$2),SUMPRODUCT(N1245:Y1245,$N$4:$Y$4,$N$2:$Y$2))/(Z1245/($K1245*$L1245*$M1245)),"")</f>
        <v/>
      </c>
      <c r="AC1245" s="18" t="n"/>
    </row>
    <row r="1246">
      <c r="A1246" s="9" t="n">
        <v>836533</v>
      </c>
      <c r="B1246" s="9" t="inlineStr">
        <is>
          <t>Nick Monile</t>
        </is>
      </c>
      <c r="C1246" s="9" t="inlineStr">
        <is>
          <t>MIL</t>
        </is>
      </c>
      <c r="D1246" s="9" t="n">
        <v>25</v>
      </c>
      <c r="E1246" s="16" t="inlineStr">
        <is>
          <t>L</t>
        </is>
      </c>
      <c r="F1246" s="16" t="n"/>
      <c r="G1246" s="9" t="n">
        <v>10.09230769230769</v>
      </c>
      <c r="H1246" s="9" t="n">
        <v>10.09230769230769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1" t="n">
        <v>1</v>
      </c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/>
      <c r="Y1246" s="17" t="n">
        <v>1</v>
      </c>
      <c r="Z1246" s="13">
        <f>SUMPRODUCT(N1246:Y1246,$N$2:$Y$2)*$K1246*$L1246*$M1246</f>
        <v/>
      </c>
      <c r="AA1246" s="14">
        <f>SUM(N1246:Y1246)</f>
        <v/>
      </c>
      <c r="AB1246" s="14">
        <f>IFERROR(IF(UPPER($E1246)="L",SUMPRODUCT(N1246:Y1246,$N$3:$Y$3,$N$2:$Y$2),SUMPRODUCT(N1246:Y1246,$N$4:$Y$4,$N$2:$Y$2))/(Z1246/($K1246*$L1246*$M1246)),"")</f>
        <v/>
      </c>
      <c r="AC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1" t="n">
        <v>1</v>
      </c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/>
      <c r="Y1247" s="17" t="n">
        <v>1</v>
      </c>
      <c r="Z1247" s="13">
        <f>SUMPRODUCT(N1247:Y1247,$N$2:$Y$2)*$K1247*$L1247*$M1247</f>
        <v/>
      </c>
      <c r="AA1247" s="14">
        <f>SUM(N1247:Y1247)</f>
        <v/>
      </c>
      <c r="AB1247" s="14">
        <f>IFERROR(IF(UPPER($E1247)="L",SUMPRODUCT(N1247:Y1247,$N$3:$Y$3,$N$2:$Y$2),SUMPRODUCT(N1247:Y1247,$N$4:$Y$4,$N$2:$Y$2))/(Z1247/($K1247*$L1247*$M1247)),"")</f>
        <v/>
      </c>
      <c r="AC1247" s="18" t="n"/>
    </row>
    <row r="1248">
      <c r="A1248" s="9" t="n">
        <v>607067</v>
      </c>
      <c r="B1248" s="9" t="inlineStr">
        <is>
          <t>Colin Rea</t>
        </is>
      </c>
      <c r="C1248" s="9" t="inlineStr">
        <is>
          <t>CHC</t>
        </is>
      </c>
      <c r="D1248" s="9" t="n">
        <v>36</v>
      </c>
      <c r="E1248" s="16" t="inlineStr">
        <is>
          <t>R</t>
        </is>
      </c>
      <c r="F1248" s="16" t="inlineStr">
        <is>
          <t>P</t>
        </is>
      </c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1" t="n">
        <v>1</v>
      </c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/>
      <c r="Y1248" s="17" t="n">
        <v>1</v>
      </c>
      <c r="Z1248" s="13">
        <f>SUMPRODUCT(N1248:Y1248,$N$2:$Y$2)*$K1248*$L1248*$M1248</f>
        <v/>
      </c>
      <c r="AA1248" s="14">
        <f>SUM(N1248:Y1248)</f>
        <v/>
      </c>
      <c r="AB1248" s="14">
        <f>IFERROR(IF(UPPER($E1248)="L",SUMPRODUCT(N1248:Y1248,$N$3:$Y$3,$N$2:$Y$2),SUMPRODUCT(N1248:Y1248,$N$4:$Y$4,$N$2:$Y$2))/(Z1248/($K1248*$L1248*$M1248)),"")</f>
        <v/>
      </c>
      <c r="AC1248" s="18" t="n"/>
    </row>
    <row r="1249">
      <c r="A1249" s="9" t="n">
        <v>829272</v>
      </c>
      <c r="B1249" s="9" t="inlineStr">
        <is>
          <t>Shinnosuke Ogasawara</t>
        </is>
      </c>
      <c r="C1249" s="9" t="inlineStr">
        <is>
          <t>WSH</t>
        </is>
      </c>
      <c r="D1249" s="9" t="n">
        <v>29</v>
      </c>
      <c r="E1249" s="16" t="inlineStr">
        <is>
          <t>L</t>
        </is>
      </c>
      <c r="F1249" s="16" t="inlineStr">
        <is>
          <t>P</t>
        </is>
      </c>
      <c r="G1249" s="9" t="n">
        <v>1</v>
      </c>
      <c r="H1249" s="9" t="n">
        <v>1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1" t="n">
        <v>1</v>
      </c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/>
      <c r="Y1249" s="17" t="n">
        <v>1</v>
      </c>
      <c r="Z1249" s="13">
        <f>SUMPRODUCT(N1249:Y1249,$N$2:$Y$2)*$K1249*$L1249*$M1249</f>
        <v/>
      </c>
      <c r="AA1249" s="14">
        <f>SUM(N1249:Y1249)</f>
        <v/>
      </c>
      <c r="AB1249" s="14">
        <f>IFERROR(IF(UPPER($E1249)="L",SUMPRODUCT(N1249:Y1249,$N$3:$Y$3,$N$2:$Y$2),SUMPRODUCT(N1249:Y1249,$N$4:$Y$4,$N$2:$Y$2))/(Z1249/($K1249*$L1249*$M1249)),"")</f>
        <v/>
      </c>
      <c r="AC1249" s="18" t="n"/>
    </row>
    <row r="1250">
      <c r="A1250" s="9" t="n">
        <v>683004</v>
      </c>
      <c r="B1250" s="9" t="inlineStr">
        <is>
          <t>Jack Leiter</t>
        </is>
      </c>
      <c r="C1250" s="9" t="inlineStr">
        <is>
          <t>TEX</t>
        </is>
      </c>
      <c r="D1250" s="9" t="n">
        <v>27</v>
      </c>
      <c r="E1250" s="16" t="inlineStr">
        <is>
          <t>R</t>
        </is>
      </c>
      <c r="F1250" s="16" t="inlineStr">
        <is>
          <t>P</t>
        </is>
      </c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1" t="n">
        <v>1</v>
      </c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/>
      <c r="Y1250" s="17" t="n">
        <v>1</v>
      </c>
      <c r="Z1250" s="13">
        <f>SUMPRODUCT(N1250:Y1250,$N$2:$Y$2)*$K1250*$L1250*$M1250</f>
        <v/>
      </c>
      <c r="AA1250" s="14">
        <f>SUM(N1250:Y1250)</f>
        <v/>
      </c>
      <c r="AB1250" s="14">
        <f>IFERROR(IF(UPPER($E1250)="L",SUMPRODUCT(N1250:Y1250,$N$3:$Y$3,$N$2:$Y$2),SUMPRODUCT(N1250:Y1250,$N$4:$Y$4,$N$2:$Y$2))/(Z1250/($K1250*$L1250*$M1250)),"")</f>
        <v/>
      </c>
      <c r="AC1250" s="18" t="n"/>
    </row>
    <row r="1251">
      <c r="A1251" s="9" t="n">
        <v>694732</v>
      </c>
      <c r="B1251" s="9" t="inlineStr">
        <is>
          <t>Clayton Gray</t>
        </is>
      </c>
      <c r="C1251" s="9" t="inlineStr">
        <is>
          <t>COL</t>
        </is>
      </c>
      <c r="D1251" s="9" t="n">
        <v>25</v>
      </c>
      <c r="E1251" s="16" t="inlineStr">
        <is>
          <t>L</t>
        </is>
      </c>
      <c r="F1251" s="16" t="n"/>
      <c r="G1251" s="9" t="n">
        <v>16.61538461538462</v>
      </c>
      <c r="H1251" s="9" t="n">
        <v>16.61538461538462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1" t="n">
        <v>1</v>
      </c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/>
      <c r="Y1251" s="17" t="n">
        <v>1</v>
      </c>
      <c r="Z1251" s="13">
        <f>SUMPRODUCT(N1251:Y1251,$N$2:$Y$2)*$K1251*$L1251*$M1251</f>
        <v/>
      </c>
      <c r="AA1251" s="14">
        <f>SUM(N1251:Y1251)</f>
        <v/>
      </c>
      <c r="AB1251" s="14">
        <f>IFERROR(IF(UPPER($E1251)="L",SUMPRODUCT(N1251:Y1251,$N$3:$Y$3,$N$2:$Y$2),SUMPRODUCT(N1251:Y1251,$N$4:$Y$4,$N$2:$Y$2))/(Z1251/($K1251*$L1251*$M1251)),"")</f>
        <v/>
      </c>
      <c r="AC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1" t="n">
        <v>1</v>
      </c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/>
      <c r="Y1252" s="17" t="n">
        <v>1</v>
      </c>
      <c r="Z1252" s="13">
        <f>SUMPRODUCT(N1252:Y1252,$N$2:$Y$2)*$K1252*$L1252*$M1252</f>
        <v/>
      </c>
      <c r="AA1252" s="14">
        <f>SUM(N1252:Y1252)</f>
        <v/>
      </c>
      <c r="AB1252" s="14">
        <f>IFERROR(IF(UPPER($E1252)="L",SUMPRODUCT(N1252:Y1252,$N$3:$Y$3,$N$2:$Y$2),SUMPRODUCT(N1252:Y1252,$N$4:$Y$4,$N$2:$Y$2))/(Z1252/($K1252*$L1252*$M1252)),"")</f>
        <v/>
      </c>
      <c r="AC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inlineStr">
        <is>
          <t>2B</t>
        </is>
      </c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1" t="n">
        <v>1</v>
      </c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/>
      <c r="Y1253" s="17" t="n">
        <v>1</v>
      </c>
      <c r="Z1253" s="13">
        <f>SUMPRODUCT(N1253:Y1253,$N$2:$Y$2)*$K1253*$L1253*$M1253</f>
        <v/>
      </c>
      <c r="AA1253" s="14">
        <f>SUM(N1253:Y1253)</f>
        <v/>
      </c>
      <c r="AB1253" s="14">
        <f>IFERROR(IF(UPPER($E1253)="L",SUMPRODUCT(N1253:Y1253,$N$3:$Y$3,$N$2:$Y$2),SUMPRODUCT(N1253:Y1253,$N$4:$Y$4,$N$2:$Y$2))/(Z1253/($K1253*$L1253*$M1253)),"")</f>
        <v/>
      </c>
      <c r="AC1253" s="18" t="n"/>
    </row>
    <row r="1254">
      <c r="A1254" s="9" t="n">
        <v>805810</v>
      </c>
      <c r="B1254" s="9" t="inlineStr">
        <is>
          <t>Blake Mitchell</t>
        </is>
      </c>
      <c r="C1254" s="9" t="inlineStr">
        <is>
          <t>KC</t>
        </is>
      </c>
      <c r="D1254" s="9" t="n">
        <v>25</v>
      </c>
      <c r="E1254" s="16" t="inlineStr">
        <is>
          <t>L</t>
        </is>
      </c>
      <c r="F1254" s="16" t="n"/>
      <c r="G1254" s="9" t="n">
        <v>101.3333333333333</v>
      </c>
      <c r="H1254" s="9" t="n">
        <v>101.3333333333333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1" t="n">
        <v>1</v>
      </c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/>
      <c r="Y1254" s="17" t="n">
        <v>1</v>
      </c>
      <c r="Z1254" s="13">
        <f>SUMPRODUCT(N1254:Y1254,$N$2:$Y$2)*$K1254*$L1254*$M1254</f>
        <v/>
      </c>
      <c r="AA1254" s="14">
        <f>SUM(N1254:Y1254)</f>
        <v/>
      </c>
      <c r="AB1254" s="14">
        <f>IFERROR(IF(UPPER($E1254)="L",SUMPRODUCT(N1254:Y1254,$N$3:$Y$3,$N$2:$Y$2),SUMPRODUCT(N1254:Y1254,$N$4:$Y$4,$N$2:$Y$2))/(Z1254/($K1254*$L1254*$M1254)),"")</f>
        <v/>
      </c>
      <c r="AC1254" s="18" t="n"/>
    </row>
    <row r="1255">
      <c r="A1255" s="9" t="n">
        <v>806986</v>
      </c>
      <c r="B1255" s="9" t="inlineStr">
        <is>
          <t>Raymond Mola</t>
        </is>
      </c>
      <c r="C1255" s="9" t="inlineStr">
        <is>
          <t>PIT</t>
        </is>
      </c>
      <c r="D1255" s="9" t="n">
        <v>25</v>
      </c>
      <c r="E1255" s="16" t="inlineStr">
        <is>
          <t>R</t>
        </is>
      </c>
      <c r="F1255" s="16" t="n"/>
      <c r="G1255" s="9" t="n">
        <v>8.246153846153845</v>
      </c>
      <c r="H1255" s="9" t="n">
        <v>8.246153846153845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1" t="n">
        <v>1</v>
      </c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/>
      <c r="Y1255" s="17" t="n">
        <v>1</v>
      </c>
      <c r="Z1255" s="13">
        <f>SUMPRODUCT(N1255:Y1255,$N$2:$Y$2)*$K1255*$L1255*$M1255</f>
        <v/>
      </c>
      <c r="AA1255" s="14">
        <f>SUM(N1255:Y1255)</f>
        <v/>
      </c>
      <c r="AB1255" s="14">
        <f>IFERROR(IF(UPPER($E1255)="L",SUMPRODUCT(N1255:Y1255,$N$3:$Y$3,$N$2:$Y$2),SUMPRODUCT(N1255:Y1255,$N$4:$Y$4,$N$2:$Y$2))/(Z1255/($K1255*$L1255*$M1255)),"")</f>
        <v/>
      </c>
      <c r="AC1255" s="18" t="n"/>
    </row>
    <row r="1256">
      <c r="A1256" s="9" t="n">
        <v>800204</v>
      </c>
      <c r="B1256" s="9" t="inlineStr">
        <is>
          <t>Derek Bernard</t>
        </is>
      </c>
      <c r="C1256" s="9" t="inlineStr">
        <is>
          <t>COL</t>
        </is>
      </c>
      <c r="D1256" s="9" t="n">
        <v>25</v>
      </c>
      <c r="E1256" s="16" t="inlineStr">
        <is>
          <t>L</t>
        </is>
      </c>
      <c r="F1256" s="16" t="n"/>
      <c r="G1256" s="9" t="n">
        <v>12.51282051282051</v>
      </c>
      <c r="H1256" s="9" t="n">
        <v>12.51282051282051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1" t="n">
        <v>1</v>
      </c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/>
      <c r="Y1256" s="17" t="n">
        <v>1</v>
      </c>
      <c r="Z1256" s="13">
        <f>SUMPRODUCT(N1256:Y1256,$N$2:$Y$2)*$K1256*$L1256*$M1256</f>
        <v/>
      </c>
      <c r="AA1256" s="14">
        <f>SUM(N1256:Y1256)</f>
        <v/>
      </c>
      <c r="AB1256" s="14">
        <f>IFERROR(IF(UPPER($E1256)="L",SUMPRODUCT(N1256:Y1256,$N$3:$Y$3,$N$2:$Y$2),SUMPRODUCT(N1256:Y1256,$N$4:$Y$4,$N$2:$Y$2))/(Z1256/($K1256*$L1256*$M1256)),"")</f>
        <v/>
      </c>
      <c r="AC1256" s="18" t="n"/>
    </row>
    <row r="1257">
      <c r="A1257" s="9" t="n">
        <v>678232</v>
      </c>
      <c r="B1257" s="9" t="inlineStr">
        <is>
          <t>Jesus Valdez</t>
        </is>
      </c>
      <c r="C1257" s="9" t="inlineStr">
        <is>
          <t>ARI</t>
        </is>
      </c>
      <c r="D1257" s="9" t="n">
        <v>25</v>
      </c>
      <c r="E1257" s="16" t="inlineStr">
        <is>
          <t>R</t>
        </is>
      </c>
      <c r="F1257" s="16" t="n"/>
      <c r="G1257" s="9" t="n">
        <v>8.461538461538462</v>
      </c>
      <c r="H1257" s="9" t="n">
        <v>8.461538461538462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1" t="n">
        <v>1</v>
      </c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/>
      <c r="Y1257" s="17" t="n">
        <v>1</v>
      </c>
      <c r="Z1257" s="13">
        <f>SUMPRODUCT(N1257:Y1257,$N$2:$Y$2)*$K1257*$L1257*$M1257</f>
        <v/>
      </c>
      <c r="AA1257" s="14">
        <f>SUM(N1257:Y1257)</f>
        <v/>
      </c>
      <c r="AB1257" s="14">
        <f>IFERROR(IF(UPPER($E1257)="L",SUMPRODUCT(N1257:Y1257,$N$3:$Y$3,$N$2:$Y$2),SUMPRODUCT(N1257:Y1257,$N$4:$Y$4,$N$2:$Y$2))/(Z1257/($K1257*$L1257*$M1257)),"")</f>
        <v/>
      </c>
      <c r="AC1257" s="18" t="n"/>
    </row>
    <row r="1258">
      <c r="A1258" s="9" t="n">
        <v>829741</v>
      </c>
      <c r="B1258" s="9" t="inlineStr">
        <is>
          <t>Sebastian Dos Santos</t>
        </is>
      </c>
      <c r="C1258" s="9" t="inlineStr">
        <is>
          <t>STL</t>
        </is>
      </c>
      <c r="D1258" s="9" t="n">
        <v>25</v>
      </c>
      <c r="E1258" s="16" t="inlineStr">
        <is>
          <t>S</t>
        </is>
      </c>
      <c r="F1258" s="16" t="n"/>
      <c r="G1258" s="9" t="n">
        <v>29.9076923076923</v>
      </c>
      <c r="H1258" s="9" t="n">
        <v>29.9076923076923</v>
      </c>
      <c r="I1258" s="9" t="inlineStr">
        <is>
          <t>Depth (no MLB PA)</t>
        </is>
      </c>
      <c r="J1258" s="16" t="inlineStr">
        <is>
          <t>Late Season (~Sept)</t>
        </is>
      </c>
      <c r="K1258" s="11">
        <f>IFERROR(INDEX(Roles!$B$17:$B$20,MATCH(J1258,Roles!$A$17:$A$20,0)),1)</f>
        <v/>
      </c>
      <c r="L1258" s="17" t="n">
        <v>1</v>
      </c>
      <c r="M1258" s="11" t="n">
        <v>1</v>
      </c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/>
      <c r="Y1258" s="17" t="n">
        <v>1</v>
      </c>
      <c r="Z1258" s="13">
        <f>SUMPRODUCT(N1258:Y1258,$N$2:$Y$2)*$K1258*$L1258*$M1258</f>
        <v/>
      </c>
      <c r="AA1258" s="14">
        <f>SUM(N1258:Y1258)</f>
        <v/>
      </c>
      <c r="AB1258" s="14">
        <f>IFERROR(IF(UPPER($E1258)="L",SUMPRODUCT(N1258:Y1258,$N$3:$Y$3,$N$2:$Y$2),SUMPRODUCT(N1258:Y1258,$N$4:$Y$4,$N$2:$Y$2))/(Z1258/($K1258*$L1258*$M1258)),"")</f>
        <v/>
      </c>
      <c r="AC1258" s="18" t="n"/>
    </row>
    <row r="1259">
      <c r="A1259" s="9" t="n">
        <v>809719</v>
      </c>
      <c r="B1259" s="9" t="inlineStr">
        <is>
          <t>Austin Green</t>
        </is>
      </c>
      <c r="C1259" s="9" t="inlineStr">
        <is>
          <t>NYY</t>
        </is>
      </c>
      <c r="D1259" s="9" t="n">
        <v>25</v>
      </c>
      <c r="E1259" s="16" t="inlineStr">
        <is>
          <t>S</t>
        </is>
      </c>
      <c r="F1259" s="16" t="n"/>
      <c r="G1259" s="9" t="n">
        <v>10.70769230769231</v>
      </c>
      <c r="H1259" s="9" t="n">
        <v>10.70769230769231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1" t="n">
        <v>1</v>
      </c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/>
      <c r="Y1259" s="17" t="n">
        <v>1</v>
      </c>
      <c r="Z1259" s="13">
        <f>SUMPRODUCT(N1259:Y1259,$N$2:$Y$2)*$K1259*$L1259*$M1259</f>
        <v/>
      </c>
      <c r="AA1259" s="14">
        <f>SUM(N1259:Y1259)</f>
        <v/>
      </c>
      <c r="AB1259" s="14">
        <f>IFERROR(IF(UPPER($E1259)="L",SUMPRODUCT(N1259:Y1259,$N$3:$Y$3,$N$2:$Y$2),SUMPRODUCT(N1259:Y1259,$N$4:$Y$4,$N$2:$Y$2))/(Z1259/($K1259*$L1259*$M1259)),"")</f>
        <v/>
      </c>
      <c r="AC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1" t="n">
        <v>1</v>
      </c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/>
      <c r="Y1260" s="17" t="n">
        <v>1</v>
      </c>
      <c r="Z1260" s="13">
        <f>SUMPRODUCT(N1260:Y1260,$N$2:$Y$2)*$K1260*$L1260*$M1260</f>
        <v/>
      </c>
      <c r="AA1260" s="14">
        <f>SUM(N1260:Y1260)</f>
        <v/>
      </c>
      <c r="AB1260" s="14">
        <f>IFERROR(IF(UPPER($E1260)="L",SUMPRODUCT(N1260:Y1260,$N$3:$Y$3,$N$2:$Y$2),SUMPRODUCT(N1260:Y1260,$N$4:$Y$4,$N$2:$Y$2))/(Z1260/($K1260*$L1260*$M1260)),"")</f>
        <v/>
      </c>
      <c r="AC1260" s="18" t="n"/>
    </row>
    <row r="1261">
      <c r="A1261" s="9" t="n">
        <v>693822</v>
      </c>
      <c r="B1261" s="9" t="inlineStr">
        <is>
          <t>Murphy Stehly</t>
        </is>
      </c>
      <c r="C1261" s="9" t="inlineStr">
        <is>
          <t>MIN</t>
        </is>
      </c>
      <c r="D1261" s="9" t="n">
        <v>25</v>
      </c>
      <c r="E1261" s="16" t="inlineStr">
        <is>
          <t>R</t>
        </is>
      </c>
      <c r="F1261" s="16" t="n"/>
      <c r="G1261" s="9" t="n">
        <v>16.87179487179487</v>
      </c>
      <c r="H1261" s="9" t="n">
        <v>16.87179487179487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1" t="n">
        <v>1</v>
      </c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/>
      <c r="Y1261" s="17" t="n">
        <v>1</v>
      </c>
      <c r="Z1261" s="13">
        <f>SUMPRODUCT(N1261:Y1261,$N$2:$Y$2)*$K1261*$L1261*$M1261</f>
        <v/>
      </c>
      <c r="AA1261" s="14">
        <f>SUM(N1261:Y1261)</f>
        <v/>
      </c>
      <c r="AB1261" s="14">
        <f>IFERROR(IF(UPPER($E1261)="L",SUMPRODUCT(N1261:Y1261,$N$3:$Y$3,$N$2:$Y$2),SUMPRODUCT(N1261:Y1261,$N$4:$Y$4,$N$2:$Y$2))/(Z1261/($K1261*$L1261*$M1261)),"")</f>
        <v/>
      </c>
      <c r="AC1261" s="18" t="n"/>
    </row>
    <row r="1262">
      <c r="A1262" s="9" t="n">
        <v>695484</v>
      </c>
      <c r="B1262" s="9" t="inlineStr">
        <is>
          <t>Anson Aroz</t>
        </is>
      </c>
      <c r="C1262" s="9" t="inlineStr">
        <is>
          <t>LAD</t>
        </is>
      </c>
      <c r="D1262" s="9" t="n">
        <v>25</v>
      </c>
      <c r="E1262" s="16" t="inlineStr">
        <is>
          <t>S</t>
        </is>
      </c>
      <c r="F1262" s="16" t="n"/>
      <c r="G1262" s="9" t="n">
        <v>12.51282051282051</v>
      </c>
      <c r="H1262" s="9" t="n">
        <v>12.51282051282051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1" t="n">
        <v>1</v>
      </c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/>
      <c r="Y1262" s="17" t="n">
        <v>1</v>
      </c>
      <c r="Z1262" s="13">
        <f>SUMPRODUCT(N1262:Y1262,$N$2:$Y$2)*$K1262*$L1262*$M1262</f>
        <v/>
      </c>
      <c r="AA1262" s="14">
        <f>SUM(N1262:Y1262)</f>
        <v/>
      </c>
      <c r="AB1262" s="14">
        <f>IFERROR(IF(UPPER($E1262)="L",SUMPRODUCT(N1262:Y1262,$N$3:$Y$3,$N$2:$Y$2),SUMPRODUCT(N1262:Y1262,$N$4:$Y$4,$N$2:$Y$2))/(Z1262/($K1262*$L1262*$M1262)),"")</f>
        <v/>
      </c>
      <c r="AC1262" s="18" t="n"/>
    </row>
    <row r="1263">
      <c r="A1263" s="9" t="n">
        <v>623507</v>
      </c>
      <c r="B1263" s="9" t="inlineStr">
        <is>
          <t>Josh Lester</t>
        </is>
      </c>
      <c r="C1263" s="9" t="inlineStr">
        <is>
          <t>BAL</t>
        </is>
      </c>
      <c r="D1263" s="9" t="n">
        <v>32</v>
      </c>
      <c r="E1263" s="16" t="inlineStr">
        <is>
          <t>L</t>
        </is>
      </c>
      <c r="F1263" s="16" t="inlineStr">
        <is>
          <t>1B</t>
        </is>
      </c>
      <c r="G1263" s="9" t="n">
        <v>23</v>
      </c>
      <c r="H1263" s="9" t="n">
        <v>28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1" t="n">
        <v>1</v>
      </c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/>
      <c r="Y1263" s="17" t="n">
        <v>1</v>
      </c>
      <c r="Z1263" s="13">
        <f>SUMPRODUCT(N1263:Y1263,$N$2:$Y$2)*$K1263*$L1263*$M1263</f>
        <v/>
      </c>
      <c r="AA1263" s="14">
        <f>SUM(N1263:Y1263)</f>
        <v/>
      </c>
      <c r="AB1263" s="14">
        <f>IFERROR(IF(UPPER($E1263)="L",SUMPRODUCT(N1263:Y1263,$N$3:$Y$3,$N$2:$Y$2),SUMPRODUCT(N1263:Y1263,$N$4:$Y$4,$N$2:$Y$2))/(Z1263/($K1263*$L1263*$M1263)),"")</f>
        <v/>
      </c>
      <c r="AC1263" s="18" t="n"/>
    </row>
    <row r="1264">
      <c r="A1264" s="9" t="n">
        <v>821782</v>
      </c>
      <c r="B1264" s="9" t="inlineStr">
        <is>
          <t>Andreimi Antunez</t>
        </is>
      </c>
      <c r="C1264" s="9" t="inlineStr">
        <is>
          <t>TB</t>
        </is>
      </c>
      <c r="D1264" s="9" t="n">
        <v>25</v>
      </c>
      <c r="E1264" s="16" t="inlineStr">
        <is>
          <t>R</t>
        </is>
      </c>
      <c r="F1264" s="16" t="n"/>
      <c r="G1264" s="9" t="n">
        <v>15.13846153846154</v>
      </c>
      <c r="H1264" s="9" t="n">
        <v>15.13846153846154</v>
      </c>
      <c r="I1264" s="9" t="inlineStr">
        <is>
          <t>Depth (no MLB PA)</t>
        </is>
      </c>
      <c r="J1264" s="16" t="inlineStr">
        <is>
          <t>Late Season (~Sept)</t>
        </is>
      </c>
      <c r="K1264" s="11">
        <f>IFERROR(INDEX(Roles!$B$17:$B$20,MATCH(J1264,Roles!$A$17:$A$20,0)),1)</f>
        <v/>
      </c>
      <c r="L1264" s="17" t="n">
        <v>1</v>
      </c>
      <c r="M1264" s="11" t="n">
        <v>1</v>
      </c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/>
      <c r="Y1264" s="17" t="n">
        <v>1</v>
      </c>
      <c r="Z1264" s="13">
        <f>SUMPRODUCT(N1264:Y1264,$N$2:$Y$2)*$K1264*$L1264*$M1264</f>
        <v/>
      </c>
      <c r="AA1264" s="14">
        <f>SUM(N1264:Y1264)</f>
        <v/>
      </c>
      <c r="AB1264" s="14">
        <f>IFERROR(IF(UPPER($E1264)="L",SUMPRODUCT(N1264:Y1264,$N$3:$Y$3,$N$2:$Y$2),SUMPRODUCT(N1264:Y1264,$N$4:$Y$4,$N$2:$Y$2))/(Z1264/($K1264*$L1264*$M1264)),"")</f>
        <v/>
      </c>
      <c r="AC1264" s="18" t="n"/>
    </row>
    <row r="1265">
      <c r="A1265" s="9" t="n">
        <v>834672</v>
      </c>
      <c r="B1265" s="9" t="inlineStr">
        <is>
          <t>Michael Oliveto</t>
        </is>
      </c>
      <c r="C1265" s="9" t="inlineStr">
        <is>
          <t>DET</t>
        </is>
      </c>
      <c r="D1265" s="9" t="n">
        <v>25</v>
      </c>
      <c r="E1265" s="16" t="inlineStr">
        <is>
          <t>L</t>
        </is>
      </c>
      <c r="F1265" s="16" t="n"/>
      <c r="G1265" s="9" t="n">
        <v>10.70769230769231</v>
      </c>
      <c r="H1265" s="9" t="n">
        <v>10.70769230769231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1" t="n">
        <v>1</v>
      </c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/>
      <c r="Y1265" s="17" t="n">
        <v>1</v>
      </c>
      <c r="Z1265" s="13">
        <f>SUMPRODUCT(N1265:Y1265,$N$2:$Y$2)*$K1265*$L1265*$M1265</f>
        <v/>
      </c>
      <c r="AA1265" s="14">
        <f>SUM(N1265:Y1265)</f>
        <v/>
      </c>
      <c r="AB1265" s="14">
        <f>IFERROR(IF(UPPER($E1265)="L",SUMPRODUCT(N1265:Y1265,$N$3:$Y$3,$N$2:$Y$2),SUMPRODUCT(N1265:Y1265,$N$4:$Y$4,$N$2:$Y$2))/(Z1265/($K1265*$L1265*$M1265)),"")</f>
        <v/>
      </c>
      <c r="AC1265" s="18" t="n"/>
    </row>
    <row r="1266">
      <c r="A1266" s="9" t="n">
        <v>800953</v>
      </c>
      <c r="B1266" s="9" t="inlineStr">
        <is>
          <t>Brady Day</t>
        </is>
      </c>
      <c r="C1266" s="9" t="inlineStr">
        <is>
          <t>PHI</t>
        </is>
      </c>
      <c r="D1266" s="9" t="n">
        <v>25</v>
      </c>
      <c r="E1266" s="16" t="inlineStr">
        <is>
          <t>L</t>
        </is>
      </c>
      <c r="F1266" s="16" t="n"/>
      <c r="G1266" s="9" t="n">
        <v>29.94871794871795</v>
      </c>
      <c r="H1266" s="9" t="n">
        <v>29.94871794871795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1" t="n">
        <v>1</v>
      </c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/>
      <c r="Y1266" s="17" t="n">
        <v>1</v>
      </c>
      <c r="Z1266" s="13">
        <f>SUMPRODUCT(N1266:Y1266,$N$2:$Y$2)*$K1266*$L1266*$M1266</f>
        <v/>
      </c>
      <c r="AA1266" s="14">
        <f>SUM(N1266:Y1266)</f>
        <v/>
      </c>
      <c r="AB1266" s="14">
        <f>IFERROR(IF(UPPER($E1266)="L",SUMPRODUCT(N1266:Y1266,$N$3:$Y$3,$N$2:$Y$2),SUMPRODUCT(N1266:Y1266,$N$4:$Y$4,$N$2:$Y$2))/(Z1266/($K1266*$L1266*$M1266)),"")</f>
        <v/>
      </c>
      <c r="AC1266" s="18" t="n"/>
    </row>
    <row r="1267">
      <c r="A1267" s="9" t="n">
        <v>821673</v>
      </c>
      <c r="B1267" s="9" t="inlineStr">
        <is>
          <t>Jurdrick Profar</t>
        </is>
      </c>
      <c r="C1267" s="9" t="inlineStr">
        <is>
          <t>CWS</t>
        </is>
      </c>
      <c r="D1267" s="9" t="n">
        <v>25</v>
      </c>
      <c r="E1267" s="16" t="inlineStr">
        <is>
          <t>R</t>
        </is>
      </c>
      <c r="F1267" s="16" t="n"/>
      <c r="G1267" s="9" t="n">
        <v>10.58461538461538</v>
      </c>
      <c r="H1267" s="9" t="n">
        <v>10.58461538461538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1" t="n">
        <v>1</v>
      </c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/>
      <c r="Y1267" s="17" t="n">
        <v>1</v>
      </c>
      <c r="Z1267" s="13">
        <f>SUMPRODUCT(N1267:Y1267,$N$2:$Y$2)*$K1267*$L1267*$M1267</f>
        <v/>
      </c>
      <c r="AA1267" s="14">
        <f>SUM(N1267:Y1267)</f>
        <v/>
      </c>
      <c r="AB1267" s="14">
        <f>IFERROR(IF(UPPER($E1267)="L",SUMPRODUCT(N1267:Y1267,$N$3:$Y$3,$N$2:$Y$2),SUMPRODUCT(N1267:Y1267,$N$4:$Y$4,$N$2:$Y$2))/(Z1267/($K1267*$L1267*$M1267)),"")</f>
        <v/>
      </c>
      <c r="AC1267" s="18" t="n"/>
    </row>
    <row r="1268">
      <c r="A1268" s="9" t="n">
        <v>806701</v>
      </c>
      <c r="B1268" s="9" t="inlineStr">
        <is>
          <t>Jake Brown</t>
        </is>
      </c>
      <c r="C1268" s="9" t="inlineStr">
        <is>
          <t>SEA</t>
        </is>
      </c>
      <c r="D1268" s="9" t="n">
        <v>25</v>
      </c>
      <c r="E1268" s="16" t="inlineStr">
        <is>
          <t>L</t>
        </is>
      </c>
      <c r="F1268" s="16" t="n"/>
      <c r="G1268" s="9" t="n">
        <v>13.16923076923077</v>
      </c>
      <c r="H1268" s="9" t="n">
        <v>13.16923076923077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1" t="n">
        <v>1</v>
      </c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/>
      <c r="Y1268" s="17" t="n">
        <v>1</v>
      </c>
      <c r="Z1268" s="13">
        <f>SUMPRODUCT(N1268:Y1268,$N$2:$Y$2)*$K1268*$L1268*$M1268</f>
        <v/>
      </c>
      <c r="AA1268" s="14">
        <f>SUM(N1268:Y1268)</f>
        <v/>
      </c>
      <c r="AB1268" s="14">
        <f>IFERROR(IF(UPPER($E1268)="L",SUMPRODUCT(N1268:Y1268,$N$3:$Y$3,$N$2:$Y$2),SUMPRODUCT(N1268:Y1268,$N$4:$Y$4,$N$2:$Y$2))/(Z1268/($K1268*$L1268*$M1268)),"")</f>
        <v/>
      </c>
      <c r="AC1268" s="18" t="n"/>
    </row>
    <row r="1269">
      <c r="A1269" s="9" t="n">
        <v>703611</v>
      </c>
      <c r="B1269" s="9" t="inlineStr">
        <is>
          <t>Maximus Martin</t>
        </is>
      </c>
      <c r="C1269" s="9" t="inlineStr">
        <is>
          <t>BOS</t>
        </is>
      </c>
      <c r="D1269" s="9" t="n">
        <v>25</v>
      </c>
      <c r="E1269" s="16" t="inlineStr">
        <is>
          <t>R</t>
        </is>
      </c>
      <c r="F1269" s="16" t="n"/>
      <c r="G1269" s="9" t="n">
        <v>24.61538461538462</v>
      </c>
      <c r="H1269" s="9" t="n">
        <v>24.61538461538462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1" t="n">
        <v>1</v>
      </c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/>
      <c r="Y1269" s="17" t="n">
        <v>1</v>
      </c>
      <c r="Z1269" s="13">
        <f>SUMPRODUCT(N1269:Y1269,$N$2:$Y$2)*$K1269*$L1269*$M1269</f>
        <v/>
      </c>
      <c r="AA1269" s="14">
        <f>SUM(N1269:Y1269)</f>
        <v/>
      </c>
      <c r="AB1269" s="14">
        <f>IFERROR(IF(UPPER($E1269)="L",SUMPRODUCT(N1269:Y1269,$N$3:$Y$3,$N$2:$Y$2),SUMPRODUCT(N1269:Y1269,$N$4:$Y$4,$N$2:$Y$2))/(Z1269/($K1269*$L1269*$M1269)),"")</f>
        <v/>
      </c>
      <c r="AC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1" t="n">
        <v>1</v>
      </c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/>
      <c r="Y1270" s="17" t="n">
        <v>1</v>
      </c>
      <c r="Z1270" s="13">
        <f>SUMPRODUCT(N1270:Y1270,$N$2:$Y$2)*$K1270*$L1270*$M1270</f>
        <v/>
      </c>
      <c r="AA1270" s="14">
        <f>SUM(N1270:Y1270)</f>
        <v/>
      </c>
      <c r="AB1270" s="14">
        <f>IFERROR(IF(UPPER($E1270)="L",SUMPRODUCT(N1270:Y1270,$N$3:$Y$3,$N$2:$Y$2),SUMPRODUCT(N1270:Y1270,$N$4:$Y$4,$N$2:$Y$2))/(Z1270/($K1270*$L1270*$M1270)),"")</f>
        <v/>
      </c>
      <c r="AC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inlineStr">
        <is>
          <t>3B</t>
        </is>
      </c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1" t="n">
        <v>1</v>
      </c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/>
      <c r="Y1271" s="17" t="n">
        <v>1</v>
      </c>
      <c r="Z1271" s="13">
        <f>SUMPRODUCT(N1271:Y1271,$N$2:$Y$2)*$K1271*$L1271*$M1271</f>
        <v/>
      </c>
      <c r="AA1271" s="14">
        <f>SUM(N1271:Y1271)</f>
        <v/>
      </c>
      <c r="AB1271" s="14">
        <f>IFERROR(IF(UPPER($E1271)="L",SUMPRODUCT(N1271:Y1271,$N$3:$Y$3,$N$2:$Y$2),SUMPRODUCT(N1271:Y1271,$N$4:$Y$4,$N$2:$Y$2))/(Z1271/($K1271*$L1271*$M1271)),"")</f>
        <v/>
      </c>
      <c r="AC1271" s="18" t="n"/>
    </row>
    <row r="1272">
      <c r="A1272" s="9" t="n">
        <v>642215</v>
      </c>
      <c r="B1272" s="9" t="inlineStr">
        <is>
          <t>Weston Wilson</t>
        </is>
      </c>
      <c r="C1272" s="9" t="inlineStr">
        <is>
          <t>SEA</t>
        </is>
      </c>
      <c r="D1272" s="9" t="n">
        <v>32</v>
      </c>
      <c r="E1272" s="16" t="inlineStr">
        <is>
          <t>R</t>
        </is>
      </c>
      <c r="F1272" s="16" t="inlineStr">
        <is>
          <t>3B</t>
        </is>
      </c>
      <c r="G1272" s="9" t="n">
        <v>183</v>
      </c>
      <c r="H1272" s="9" t="n">
        <v>428</v>
      </c>
      <c r="I1272" s="9" t="inlineStr">
        <is>
          <t>Full Time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1" t="n">
        <v>1</v>
      </c>
      <c r="N1272" s="17" t="n">
        <v>0.6</v>
      </c>
      <c r="O1272" s="17" t="n"/>
      <c r="P1272" s="17" t="n"/>
      <c r="Q1272" s="17" t="n"/>
      <c r="R1272" s="17" t="n"/>
      <c r="S1272" s="17" t="n"/>
      <c r="T1272" s="17" t="n"/>
      <c r="U1272" s="17" t="n">
        <v>0.4</v>
      </c>
      <c r="V1272" s="17" t="n"/>
      <c r="W1272" s="17" t="n"/>
      <c r="X1272" s="17" t="n"/>
      <c r="Y1272" s="17" t="n"/>
      <c r="Z1272" s="13">
        <f>SUMPRODUCT(N1272:Y1272,$N$2:$Y$2)*$K1272*$L1272*$M1272</f>
        <v/>
      </c>
      <c r="AA1272" s="14">
        <f>SUM(N1272:Y1272)</f>
        <v/>
      </c>
      <c r="AB1272" s="14">
        <f>IFERROR(IF(UPPER($E1272)="L",SUMPRODUCT(N1272:Y1272,$N$3:$Y$3,$N$2:$Y$2),SUMPRODUCT(N1272:Y1272,$N$4:$Y$4,$N$2:$Y$2))/(Z1272/($K1272*$L1272*$M1272)),"")</f>
        <v/>
      </c>
      <c r="AC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1" t="n">
        <v>1</v>
      </c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/>
      <c r="Y1273" s="17" t="n">
        <v>1</v>
      </c>
      <c r="Z1273" s="13">
        <f>SUMPRODUCT(N1273:Y1273,$N$2:$Y$2)*$K1273*$L1273*$M1273</f>
        <v/>
      </c>
      <c r="AA1273" s="14">
        <f>SUM(N1273:Y1273)</f>
        <v/>
      </c>
      <c r="AB1273" s="14">
        <f>IFERROR(IF(UPPER($E1273)="L",SUMPRODUCT(N1273:Y1273,$N$3:$Y$3,$N$2:$Y$2),SUMPRODUCT(N1273:Y1273,$N$4:$Y$4,$N$2:$Y$2))/(Z1273/($K1273*$L1273*$M1273)),"")</f>
        <v/>
      </c>
      <c r="AC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1" t="n">
        <v>1</v>
      </c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/>
      <c r="Y1274" s="17" t="n">
        <v>1</v>
      </c>
      <c r="Z1274" s="13">
        <f>SUMPRODUCT(N1274:Y1274,$N$2:$Y$2)*$K1274*$L1274*$M1274</f>
        <v/>
      </c>
      <c r="AA1274" s="14">
        <f>SUM(N1274:Y1274)</f>
        <v/>
      </c>
      <c r="AB1274" s="14">
        <f>IFERROR(IF(UPPER($E1274)="L",SUMPRODUCT(N1274:Y1274,$N$3:$Y$3,$N$2:$Y$2),SUMPRODUCT(N1274:Y1274,$N$4:$Y$4,$N$2:$Y$2))/(Z1274/($K1274*$L1274*$M1274)),"")</f>
        <v/>
      </c>
      <c r="AC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1" t="n">
        <v>1</v>
      </c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/>
      <c r="Y1275" s="17" t="n">
        <v>1</v>
      </c>
      <c r="Z1275" s="13">
        <f>SUMPRODUCT(N1275:Y1275,$N$2:$Y$2)*$K1275*$L1275*$M1275</f>
        <v/>
      </c>
      <c r="AA1275" s="14">
        <f>SUM(N1275:Y1275)</f>
        <v/>
      </c>
      <c r="AB1275" s="14">
        <f>IFERROR(IF(UPPER($E1275)="L",SUMPRODUCT(N1275:Y1275,$N$3:$Y$3,$N$2:$Y$2),SUMPRODUCT(N1275:Y1275,$N$4:$Y$4,$N$2:$Y$2))/(Z1275/($K1275*$L1275*$M1275)),"")</f>
        <v/>
      </c>
      <c r="AC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1" t="n">
        <v>1</v>
      </c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/>
      <c r="Y1276" s="17" t="n">
        <v>1</v>
      </c>
      <c r="Z1276" s="13">
        <f>SUMPRODUCT(N1276:Y1276,$N$2:$Y$2)*$K1276*$L1276*$M1276</f>
        <v/>
      </c>
      <c r="AA1276" s="14">
        <f>SUM(N1276:Y1276)</f>
        <v/>
      </c>
      <c r="AB1276" s="14">
        <f>IFERROR(IF(UPPER($E1276)="L",SUMPRODUCT(N1276:Y1276,$N$3:$Y$3,$N$2:$Y$2),SUMPRODUCT(N1276:Y1276,$N$4:$Y$4,$N$2:$Y$2))/(Z1276/($K1276*$L1276*$M1276)),"")</f>
        <v/>
      </c>
      <c r="AC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1" t="n">
        <v>1</v>
      </c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/>
      <c r="Y1277" s="17" t="n">
        <v>1</v>
      </c>
      <c r="Z1277" s="13">
        <f>SUMPRODUCT(N1277:Y1277,$N$2:$Y$2)*$K1277*$L1277*$M1277</f>
        <v/>
      </c>
      <c r="AA1277" s="14">
        <f>SUM(N1277:Y1277)</f>
        <v/>
      </c>
      <c r="AB1277" s="14">
        <f>IFERROR(IF(UPPER($E1277)="L",SUMPRODUCT(N1277:Y1277,$N$3:$Y$3,$N$2:$Y$2),SUMPRODUCT(N1277:Y1277,$N$4:$Y$4,$N$2:$Y$2))/(Z1277/($K1277*$L1277*$M1277)),"")</f>
        <v/>
      </c>
      <c r="AC1277" s="18" t="n"/>
    </row>
    <row r="1278">
      <c r="A1278" s="9" t="n">
        <v>666149</v>
      </c>
      <c r="B1278" s="9" t="inlineStr">
        <is>
          <t>Tyler Fitzgerald</t>
        </is>
      </c>
      <c r="C1278" s="9" t="inlineStr">
        <is>
          <t>SF</t>
        </is>
      </c>
      <c r="D1278" s="9" t="n">
        <v>29</v>
      </c>
      <c r="E1278" s="16" t="inlineStr">
        <is>
          <t>R</t>
        </is>
      </c>
      <c r="F1278" s="16" t="inlineStr">
        <is>
          <t>2B</t>
        </is>
      </c>
      <c r="G1278" s="9" t="n">
        <v>243</v>
      </c>
      <c r="H1278" s="9" t="n">
        <v>618</v>
      </c>
      <c r="I1278" s="9" t="inlineStr">
        <is>
          <t>Utility IF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1" t="n">
        <v>1</v>
      </c>
      <c r="N1278" s="17" t="n"/>
      <c r="O1278" s="17" t="n"/>
      <c r="P1278" s="17" t="n"/>
      <c r="Q1278" s="17" t="n"/>
      <c r="R1278" s="17" t="n"/>
      <c r="S1278" s="17" t="n"/>
      <c r="T1278" s="17" t="n"/>
      <c r="U1278" s="17" t="n">
        <v>1</v>
      </c>
      <c r="V1278" s="17" t="n"/>
      <c r="W1278" s="17" t="n"/>
      <c r="X1278" s="17" t="n"/>
      <c r="Y1278" s="17" t="n"/>
      <c r="Z1278" s="13">
        <f>SUMPRODUCT(N1278:Y1278,$N$2:$Y$2)*$K1278*$L1278*$M1278</f>
        <v/>
      </c>
      <c r="AA1278" s="14">
        <f>SUM(N1278:Y1278)</f>
        <v/>
      </c>
      <c r="AB1278" s="14">
        <f>IFERROR(IF(UPPER($E1278)="L",SUMPRODUCT(N1278:Y1278,$N$3:$Y$3,$N$2:$Y$2),SUMPRODUCT(N1278:Y1278,$N$4:$Y$4,$N$2:$Y$2))/(Z1278/($K1278*$L1278*$M1278)),"")</f>
        <v/>
      </c>
      <c r="AC1278" s="18" t="n"/>
    </row>
    <row r="1279">
      <c r="A1279" s="9" t="n">
        <v>804911</v>
      </c>
      <c r="B1279" s="9" t="inlineStr">
        <is>
          <t>Brendan Summerhill</t>
        </is>
      </c>
      <c r="C1279" s="9" t="inlineStr">
        <is>
          <t>TB</t>
        </is>
      </c>
      <c r="D1279" s="9" t="n">
        <v>25</v>
      </c>
      <c r="E1279" s="16" t="inlineStr">
        <is>
          <t>L</t>
        </is>
      </c>
      <c r="F1279" s="16" t="n"/>
      <c r="G1279" s="9" t="n">
        <v>13.12820512820513</v>
      </c>
      <c r="H1279" s="9" t="n">
        <v>13.12820512820513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1" t="n">
        <v>1</v>
      </c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/>
      <c r="Y1279" s="17" t="n">
        <v>1</v>
      </c>
      <c r="Z1279" s="13">
        <f>SUMPRODUCT(N1279:Y1279,$N$2:$Y$2)*$K1279*$L1279*$M1279</f>
        <v/>
      </c>
      <c r="AA1279" s="14">
        <f>SUM(N1279:Y1279)</f>
        <v/>
      </c>
      <c r="AB1279" s="14">
        <f>IFERROR(IF(UPPER($E1279)="L",SUMPRODUCT(N1279:Y1279,$N$3:$Y$3,$N$2:$Y$2),SUMPRODUCT(N1279:Y1279,$N$4:$Y$4,$N$2:$Y$2))/(Z1279/($K1279*$L1279*$M1279)),"")</f>
        <v/>
      </c>
      <c r="AC1279" s="18" t="n"/>
    </row>
    <row r="1280">
      <c r="A1280" s="9" t="n">
        <v>640458</v>
      </c>
      <c r="B1280" s="9" t="inlineStr">
        <is>
          <t>Óscar Mercado</t>
        </is>
      </c>
      <c r="C1280" s="9" t="inlineStr">
        <is>
          <t>STL</t>
        </is>
      </c>
      <c r="D1280" s="9" t="n">
        <v>32</v>
      </c>
      <c r="E1280" s="16" t="inlineStr">
        <is>
          <t>R</t>
        </is>
      </c>
      <c r="F1280" s="16" t="inlineStr">
        <is>
          <t>RF</t>
        </is>
      </c>
      <c r="G1280" s="9" t="n">
        <v>32</v>
      </c>
      <c r="H1280" s="9" t="n">
        <v>160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1" t="n">
        <v>1</v>
      </c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/>
      <c r="Y1280" s="17" t="n">
        <v>1</v>
      </c>
      <c r="Z1280" s="13">
        <f>SUMPRODUCT(N1280:Y1280,$N$2:$Y$2)*$K1280*$L1280*$M1280</f>
        <v/>
      </c>
      <c r="AA1280" s="14">
        <f>SUM(N1280:Y1280)</f>
        <v/>
      </c>
      <c r="AB1280" s="14">
        <f>IFERROR(IF(UPPER($E1280)="L",SUMPRODUCT(N1280:Y1280,$N$3:$Y$3,$N$2:$Y$2),SUMPRODUCT(N1280:Y1280,$N$4:$Y$4,$N$2:$Y$2))/(Z1280/($K1280*$L1280*$M1280)),"")</f>
        <v/>
      </c>
      <c r="AC1280" s="18" t="n"/>
    </row>
    <row r="1281">
      <c r="A1281" s="9" t="n">
        <v>815816</v>
      </c>
      <c r="B1281" s="9" t="inlineStr">
        <is>
          <t>Brady Ebel</t>
        </is>
      </c>
      <c r="C1281" s="9" t="inlineStr">
        <is>
          <t>MIL</t>
        </is>
      </c>
      <c r="D1281" s="9" t="n">
        <v>25</v>
      </c>
      <c r="E1281" s="16" t="inlineStr">
        <is>
          <t>L</t>
        </is>
      </c>
      <c r="F1281" s="16" t="n"/>
      <c r="G1281" s="9" t="n">
        <v>8.615384615384617</v>
      </c>
      <c r="H1281" s="9" t="n">
        <v>8.615384615384617</v>
      </c>
      <c r="I1281" s="9" t="inlineStr">
        <is>
          <t>Depth (no MLB PA)</t>
        </is>
      </c>
      <c r="J1281" s="16" t="inlineStr">
        <is>
          <t>Late Season (~Sept)</t>
        </is>
      </c>
      <c r="K1281" s="11">
        <f>IFERROR(INDEX(Roles!$B$17:$B$20,MATCH(J1281,Roles!$A$17:$A$20,0)),1)</f>
        <v/>
      </c>
      <c r="L1281" s="17" t="n">
        <v>1</v>
      </c>
      <c r="M1281" s="11" t="n">
        <v>1</v>
      </c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/>
      <c r="Y1281" s="17" t="n">
        <v>1</v>
      </c>
      <c r="Z1281" s="13">
        <f>SUMPRODUCT(N1281:Y1281,$N$2:$Y$2)*$K1281*$L1281*$M1281</f>
        <v/>
      </c>
      <c r="AA1281" s="14">
        <f>SUM(N1281:Y1281)</f>
        <v/>
      </c>
      <c r="AB1281" s="14">
        <f>IFERROR(IF(UPPER($E1281)="L",SUMPRODUCT(N1281:Y1281,$N$3:$Y$3,$N$2:$Y$2),SUMPRODUCT(N1281:Y1281,$N$4:$Y$4,$N$2:$Y$2))/(Z1281/($K1281*$L1281*$M1281)),"")</f>
        <v/>
      </c>
      <c r="AC1281" s="18" t="n"/>
    </row>
    <row r="1282">
      <c r="A1282" s="9" t="n">
        <v>821279</v>
      </c>
      <c r="B1282" s="9" t="inlineStr">
        <is>
          <t>Edgardo De Leon</t>
        </is>
      </c>
      <c r="C1282" s="9" t="inlineStr">
        <is>
          <t>MIA</t>
        </is>
      </c>
      <c r="D1282" s="9" t="n">
        <v>25</v>
      </c>
      <c r="E1282" s="16" t="inlineStr">
        <is>
          <t>R</t>
        </is>
      </c>
      <c r="F1282" s="16" t="n"/>
      <c r="G1282" s="9" t="n">
        <v>17.23076923076923</v>
      </c>
      <c r="H1282" s="9" t="n">
        <v>17.23076923076923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1" t="n">
        <v>1</v>
      </c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/>
      <c r="Y1282" s="17" t="n">
        <v>1</v>
      </c>
      <c r="Z1282" s="13">
        <f>SUMPRODUCT(N1282:Y1282,$N$2:$Y$2)*$K1282*$L1282*$M1282</f>
        <v/>
      </c>
      <c r="AA1282" s="14">
        <f>SUM(N1282:Y1282)</f>
        <v/>
      </c>
      <c r="AB1282" s="14">
        <f>IFERROR(IF(UPPER($E1282)="L",SUMPRODUCT(N1282:Y1282,$N$3:$Y$3,$N$2:$Y$2),SUMPRODUCT(N1282:Y1282,$N$4:$Y$4,$N$2:$Y$2))/(Z1282/($K1282*$L1282*$M1282)),"")</f>
        <v/>
      </c>
      <c r="AC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1" t="n">
        <v>1</v>
      </c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/>
      <c r="Y1283" s="17" t="n">
        <v>1</v>
      </c>
      <c r="Z1283" s="13">
        <f>SUMPRODUCT(N1283:Y1283,$N$2:$Y$2)*$K1283*$L1283*$M1283</f>
        <v/>
      </c>
      <c r="AA1283" s="14">
        <f>SUM(N1283:Y1283)</f>
        <v/>
      </c>
      <c r="AB1283" s="14">
        <f>IFERROR(IF(UPPER($E1283)="L",SUMPRODUCT(N1283:Y1283,$N$3:$Y$3,$N$2:$Y$2),SUMPRODUCT(N1283:Y1283,$N$4:$Y$4,$N$2:$Y$2))/(Z1283/($K1283*$L1283*$M1283)),"")</f>
        <v/>
      </c>
      <c r="AC1283" s="18" t="n"/>
    </row>
    <row r="1284">
      <c r="A1284" s="9" t="n">
        <v>692564</v>
      </c>
      <c r="B1284" s="9" t="inlineStr">
        <is>
          <t>Johnfrank Salazar</t>
        </is>
      </c>
      <c r="C1284" s="9" t="inlineStr">
        <is>
          <t>STL</t>
        </is>
      </c>
      <c r="D1284" s="9" t="n">
        <v>25</v>
      </c>
      <c r="E1284" s="16" t="inlineStr">
        <is>
          <t>R</t>
        </is>
      </c>
      <c r="F1284" s="16" t="n"/>
      <c r="G1284" s="9" t="n">
        <v>11.07692307692308</v>
      </c>
      <c r="H1284" s="9" t="n">
        <v>11.07692307692308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1" t="n">
        <v>1</v>
      </c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/>
      <c r="Y1284" s="17" t="n">
        <v>1</v>
      </c>
      <c r="Z1284" s="13">
        <f>SUMPRODUCT(N1284:Y1284,$N$2:$Y$2)*$K1284*$L1284*$M1284</f>
        <v/>
      </c>
      <c r="AA1284" s="14">
        <f>SUM(N1284:Y1284)</f>
        <v/>
      </c>
      <c r="AB1284" s="14">
        <f>IFERROR(IF(UPPER($E1284)="L",SUMPRODUCT(N1284:Y1284,$N$3:$Y$3,$N$2:$Y$2),SUMPRODUCT(N1284:Y1284,$N$4:$Y$4,$N$2:$Y$2))/(Z1284/($K1284*$L1284*$M1284)),"")</f>
        <v/>
      </c>
      <c r="AC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1" t="n">
        <v>1</v>
      </c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/>
      <c r="Y1285" s="17" t="n">
        <v>1</v>
      </c>
      <c r="Z1285" s="13">
        <f>SUMPRODUCT(N1285:Y1285,$N$2:$Y$2)*$K1285*$L1285*$M1285</f>
        <v/>
      </c>
      <c r="AA1285" s="14">
        <f>SUM(N1285:Y1285)</f>
        <v/>
      </c>
      <c r="AB1285" s="14">
        <f>IFERROR(IF(UPPER($E1285)="L",SUMPRODUCT(N1285:Y1285,$N$3:$Y$3,$N$2:$Y$2),SUMPRODUCT(N1285:Y1285,$N$4:$Y$4,$N$2:$Y$2))/(Z1285/($K1285*$L1285*$M1285)),"")</f>
        <v/>
      </c>
      <c r="AC1285" s="18" t="n"/>
    </row>
    <row r="1286">
      <c r="A1286" s="9" t="n">
        <v>700358</v>
      </c>
      <c r="B1286" s="9" t="inlineStr">
        <is>
          <t>Narbe Cruz</t>
        </is>
      </c>
      <c r="C1286" s="9" t="inlineStr">
        <is>
          <t>HOU</t>
        </is>
      </c>
      <c r="D1286" s="9" t="n">
        <v>25</v>
      </c>
      <c r="E1286" s="16" t="inlineStr">
        <is>
          <t>R</t>
        </is>
      </c>
      <c r="F1286" s="16" t="n"/>
      <c r="G1286" s="9" t="n">
        <v>13.12820512820513</v>
      </c>
      <c r="H1286" s="9" t="n">
        <v>13.12820512820513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1" t="n">
        <v>1</v>
      </c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/>
      <c r="Y1286" s="17" t="n">
        <v>1</v>
      </c>
      <c r="Z1286" s="13">
        <f>SUMPRODUCT(N1286:Y1286,$N$2:$Y$2)*$K1286*$L1286*$M1286</f>
        <v/>
      </c>
      <c r="AA1286" s="14">
        <f>SUM(N1286:Y1286)</f>
        <v/>
      </c>
      <c r="AB1286" s="14">
        <f>IFERROR(IF(UPPER($E1286)="L",SUMPRODUCT(N1286:Y1286,$N$3:$Y$3,$N$2:$Y$2),SUMPRODUCT(N1286:Y1286,$N$4:$Y$4,$N$2:$Y$2))/(Z1286/($K1286*$L1286*$M1286)),"")</f>
        <v/>
      </c>
      <c r="AC1286" s="18" t="n"/>
    </row>
    <row r="1287">
      <c r="A1287" s="9" t="n">
        <v>811443</v>
      </c>
      <c r="B1287" s="9" t="inlineStr">
        <is>
          <t>Jake Berkland</t>
        </is>
      </c>
      <c r="C1287" s="9" t="inlineStr">
        <is>
          <t>CWS</t>
        </is>
      </c>
      <c r="D1287" s="9" t="n">
        <v>25</v>
      </c>
      <c r="E1287" s="16" t="inlineStr">
        <is>
          <t>R</t>
        </is>
      </c>
      <c r="F1287" s="16" t="n"/>
      <c r="G1287" s="9" t="n">
        <v>8.861538461538462</v>
      </c>
      <c r="H1287" s="9" t="n">
        <v>8.861538461538462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1" t="n">
        <v>1</v>
      </c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/>
      <c r="Y1287" s="17" t="n">
        <v>1</v>
      </c>
      <c r="Z1287" s="13">
        <f>SUMPRODUCT(N1287:Y1287,$N$2:$Y$2)*$K1287*$L1287*$M1287</f>
        <v/>
      </c>
      <c r="AA1287" s="14">
        <f>SUM(N1287:Y1287)</f>
        <v/>
      </c>
      <c r="AB1287" s="14">
        <f>IFERROR(IF(UPPER($E1287)="L",SUMPRODUCT(N1287:Y1287,$N$3:$Y$3,$N$2:$Y$2),SUMPRODUCT(N1287:Y1287,$N$4:$Y$4,$N$2:$Y$2))/(Z1287/($K1287*$L1287*$M1287)),"")</f>
        <v/>
      </c>
      <c r="AC1287" s="18" t="n"/>
    </row>
    <row r="1288">
      <c r="A1288" s="9" t="n">
        <v>543068</v>
      </c>
      <c r="B1288" s="9" t="inlineStr">
        <is>
          <t>C.J. Cron</t>
        </is>
      </c>
      <c r="C1288" s="9" t="inlineStr">
        <is>
          <t>LAA</t>
        </is>
      </c>
      <c r="D1288" s="9" t="n">
        <v>37</v>
      </c>
      <c r="E1288" s="16" t="inlineStr">
        <is>
          <t>R</t>
        </is>
      </c>
      <c r="F1288" s="16" t="inlineStr">
        <is>
          <t>1B</t>
        </is>
      </c>
      <c r="G1288" s="9" t="n">
        <v>278</v>
      </c>
      <c r="H1288" s="9" t="n">
        <v>910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1" t="n">
        <v>1</v>
      </c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/>
      <c r="Y1288" s="17" t="n">
        <v>1</v>
      </c>
      <c r="Z1288" s="13">
        <f>SUMPRODUCT(N1288:Y1288,$N$2:$Y$2)*$K1288*$L1288*$M1288</f>
        <v/>
      </c>
      <c r="AA1288" s="14">
        <f>SUM(N1288:Y1288)</f>
        <v/>
      </c>
      <c r="AB1288" s="14">
        <f>IFERROR(IF(UPPER($E1288)="L",SUMPRODUCT(N1288:Y1288,$N$3:$Y$3,$N$2:$Y$2),SUMPRODUCT(N1288:Y1288,$N$4:$Y$4,$N$2:$Y$2))/(Z1288/($K1288*$L1288*$M1288)),"")</f>
        <v/>
      </c>
      <c r="AC1288" s="18" t="n"/>
    </row>
    <row r="1289">
      <c r="A1289" s="9" t="n">
        <v>691422</v>
      </c>
      <c r="B1289" s="9" t="inlineStr">
        <is>
          <t>Kevin Rivas</t>
        </is>
      </c>
      <c r="C1289" s="9" t="inlineStr">
        <is>
          <t>CLE</t>
        </is>
      </c>
      <c r="D1289" s="9" t="n">
        <v>25</v>
      </c>
      <c r="E1289" s="16" t="inlineStr">
        <is>
          <t>S</t>
        </is>
      </c>
      <c r="F1289" s="16" t="n"/>
      <c r="G1289" s="9" t="n">
        <v>9.025641025641027</v>
      </c>
      <c r="H1289" s="9" t="n">
        <v>9.025641025641027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1" t="n">
        <v>1</v>
      </c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/>
      <c r="Y1289" s="17" t="n">
        <v>1</v>
      </c>
      <c r="Z1289" s="13">
        <f>SUMPRODUCT(N1289:Y1289,$N$2:$Y$2)*$K1289*$L1289*$M1289</f>
        <v/>
      </c>
      <c r="AA1289" s="14">
        <f>SUM(N1289:Y1289)</f>
        <v/>
      </c>
      <c r="AB1289" s="14">
        <f>IFERROR(IF(UPPER($E1289)="L",SUMPRODUCT(N1289:Y1289,$N$3:$Y$3,$N$2:$Y$2),SUMPRODUCT(N1289:Y1289,$N$4:$Y$4,$N$2:$Y$2))/(Z1289/($K1289*$L1289*$M1289)),"")</f>
        <v/>
      </c>
      <c r="AC1289" s="18" t="n"/>
    </row>
    <row r="1290">
      <c r="A1290" s="9" t="n">
        <v>829059</v>
      </c>
      <c r="B1290" s="9" t="inlineStr">
        <is>
          <t>Johan De Los Santos</t>
        </is>
      </c>
      <c r="C1290" s="9" t="inlineStr">
        <is>
          <t>PIT</t>
        </is>
      </c>
      <c r="D1290" s="9" t="n">
        <v>25</v>
      </c>
      <c r="E1290" s="16" t="inlineStr">
        <is>
          <t>L</t>
        </is>
      </c>
      <c r="F1290" s="16" t="n"/>
      <c r="G1290" s="9" t="n">
        <v>11.32307692307692</v>
      </c>
      <c r="H1290" s="9" t="n">
        <v>11.32307692307692</v>
      </c>
      <c r="I1290" s="9" t="inlineStr">
        <is>
          <t>Depth (no MLB PA)</t>
        </is>
      </c>
      <c r="J1290" s="16" t="inlineStr">
        <is>
          <t>Late Season (~Sept)</t>
        </is>
      </c>
      <c r="K1290" s="11">
        <f>IFERROR(INDEX(Roles!$B$17:$B$20,MATCH(J1290,Roles!$A$17:$A$20,0)),1)</f>
        <v/>
      </c>
      <c r="L1290" s="17" t="n">
        <v>1</v>
      </c>
      <c r="M1290" s="11" t="n">
        <v>1</v>
      </c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/>
      <c r="Y1290" s="17" t="n">
        <v>1</v>
      </c>
      <c r="Z1290" s="13">
        <f>SUMPRODUCT(N1290:Y1290,$N$2:$Y$2)*$K1290*$L1290*$M1290</f>
        <v/>
      </c>
      <c r="AA1290" s="14">
        <f>SUM(N1290:Y1290)</f>
        <v/>
      </c>
      <c r="AB1290" s="14">
        <f>IFERROR(IF(UPPER($E1290)="L",SUMPRODUCT(N1290:Y1290,$N$3:$Y$3,$N$2:$Y$2),SUMPRODUCT(N1290:Y1290,$N$4:$Y$4,$N$2:$Y$2))/(Z1290/($K1290*$L1290*$M1290)),"")</f>
        <v/>
      </c>
      <c r="AC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25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Late Season (~Sept)</t>
        </is>
      </c>
      <c r="K1291" s="11">
        <f>IFERROR(INDEX(Roles!$B$17:$B$20,MATCH(J1291,Roles!$A$17:$A$20,0)),1)</f>
        <v/>
      </c>
      <c r="L1291" s="17" t="n">
        <v>1</v>
      </c>
      <c r="M1291" s="11" t="n">
        <v>1</v>
      </c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/>
      <c r="Y1291" s="17" t="n">
        <v>1</v>
      </c>
      <c r="Z1291" s="13">
        <f>SUMPRODUCT(N1291:Y1291,$N$2:$Y$2)*$K1291*$L1291*$M1291</f>
        <v/>
      </c>
      <c r="AA1291" s="14">
        <f>SUM(N1291:Y1291)</f>
        <v/>
      </c>
      <c r="AB1291" s="14">
        <f>IFERROR(IF(UPPER($E1291)="L",SUMPRODUCT(N1291:Y1291,$N$3:$Y$3,$N$2:$Y$2),SUMPRODUCT(N1291:Y1291,$N$4:$Y$4,$N$2:$Y$2))/(Z1291/($K1291*$L1291*$M1291)),"")</f>
        <v/>
      </c>
      <c r="AC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1" t="n">
        <v>1</v>
      </c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/>
      <c r="Y1292" s="17" t="n">
        <v>1</v>
      </c>
      <c r="Z1292" s="13">
        <f>SUMPRODUCT(N1292:Y1292,$N$2:$Y$2)*$K1292*$L1292*$M1292</f>
        <v/>
      </c>
      <c r="AA1292" s="14">
        <f>SUM(N1292:Y1292)</f>
        <v/>
      </c>
      <c r="AB1292" s="14">
        <f>IFERROR(IF(UPPER($E1292)="L",SUMPRODUCT(N1292:Y1292,$N$3:$Y$3,$N$2:$Y$2),SUMPRODUCT(N1292:Y1292,$N$4:$Y$4,$N$2:$Y$2))/(Z1292/($K1292*$L1292*$M1292)),"")</f>
        <v/>
      </c>
      <c r="AC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1" t="n">
        <v>1</v>
      </c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/>
      <c r="Y1293" s="17" t="n">
        <v>1</v>
      </c>
      <c r="Z1293" s="13">
        <f>SUMPRODUCT(N1293:Y1293,$N$2:$Y$2)*$K1293*$L1293*$M1293</f>
        <v/>
      </c>
      <c r="AA1293" s="14">
        <f>SUM(N1293:Y1293)</f>
        <v/>
      </c>
      <c r="AB1293" s="14">
        <f>IFERROR(IF(UPPER($E1293)="L",SUMPRODUCT(N1293:Y1293,$N$3:$Y$3,$N$2:$Y$2),SUMPRODUCT(N1293:Y1293,$N$4:$Y$4,$N$2:$Y$2))/(Z1293/($K1293*$L1293*$M1293)),"")</f>
        <v/>
      </c>
      <c r="AC1293" s="18" t="n"/>
    </row>
    <row r="1294">
      <c r="A1294" s="9" t="n">
        <v>815792</v>
      </c>
      <c r="B1294" s="9" t="inlineStr">
        <is>
          <t>Chase Harlan</t>
        </is>
      </c>
      <c r="C1294" s="9" t="inlineStr">
        <is>
          <t>LAD</t>
        </is>
      </c>
      <c r="D1294" s="9" t="n">
        <v>25</v>
      </c>
      <c r="E1294" s="16" t="inlineStr">
        <is>
          <t>R</t>
        </is>
      </c>
      <c r="F1294" s="16" t="n"/>
      <c r="G1294" s="9" t="n">
        <v>25.84615384615385</v>
      </c>
      <c r="H1294" s="9" t="n">
        <v>25.84615384615385</v>
      </c>
      <c r="I1294" s="9" t="inlineStr">
        <is>
          <t>Depth (no MLB PA)</t>
        </is>
      </c>
      <c r="J1294" s="16" t="inlineStr">
        <is>
          <t>Late Season (~Sept)</t>
        </is>
      </c>
      <c r="K1294" s="11">
        <f>IFERROR(INDEX(Roles!$B$17:$B$20,MATCH(J1294,Roles!$A$17:$A$20,0)),1)</f>
        <v/>
      </c>
      <c r="L1294" s="17" t="n">
        <v>1</v>
      </c>
      <c r="M1294" s="11" t="n">
        <v>1</v>
      </c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/>
      <c r="Y1294" s="17" t="n">
        <v>1</v>
      </c>
      <c r="Z1294" s="13">
        <f>SUMPRODUCT(N1294:Y1294,$N$2:$Y$2)*$K1294*$L1294*$M1294</f>
        <v/>
      </c>
      <c r="AA1294" s="14">
        <f>SUM(N1294:Y1294)</f>
        <v/>
      </c>
      <c r="AB1294" s="14">
        <f>IFERROR(IF(UPPER($E1294)="L",SUMPRODUCT(N1294:Y1294,$N$3:$Y$3,$N$2:$Y$2),SUMPRODUCT(N1294:Y1294,$N$4:$Y$4,$N$2:$Y$2))/(Z1294/($K1294*$L1294*$M1294)),"")</f>
        <v/>
      </c>
      <c r="AC1294" s="18" t="n"/>
    </row>
    <row r="1295">
      <c r="A1295" s="9" t="n">
        <v>829670</v>
      </c>
      <c r="B1295" s="9" t="inlineStr">
        <is>
          <t>Brayden Smith</t>
        </is>
      </c>
      <c r="C1295" s="9" t="inlineStr">
        <is>
          <t>STL</t>
        </is>
      </c>
      <c r="D1295" s="9" t="n">
        <v>25</v>
      </c>
      <c r="E1295" s="16" t="inlineStr">
        <is>
          <t>L</t>
        </is>
      </c>
      <c r="F1295" s="16" t="n"/>
      <c r="G1295" s="9" t="n">
        <v>21.33333333333334</v>
      </c>
      <c r="H1295" s="9" t="n">
        <v>21.33333333333334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1" t="n">
        <v>1</v>
      </c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/>
      <c r="Y1295" s="17" t="n">
        <v>1</v>
      </c>
      <c r="Z1295" s="13">
        <f>SUMPRODUCT(N1295:Y1295,$N$2:$Y$2)*$K1295*$L1295*$M1295</f>
        <v/>
      </c>
      <c r="AA1295" s="14">
        <f>SUM(N1295:Y1295)</f>
        <v/>
      </c>
      <c r="AB1295" s="14">
        <f>IFERROR(IF(UPPER($E1295)="L",SUMPRODUCT(N1295:Y1295,$N$3:$Y$3,$N$2:$Y$2),SUMPRODUCT(N1295:Y1295,$N$4:$Y$4,$N$2:$Y$2))/(Z1295/($K1295*$L1295*$M1295)),"")</f>
        <v/>
      </c>
      <c r="AC1295" s="18" t="n"/>
    </row>
    <row r="1296">
      <c r="A1296" s="9" t="n">
        <v>806962</v>
      </c>
      <c r="B1296" s="9" t="inlineStr">
        <is>
          <t>Enmanuel Bonilla</t>
        </is>
      </c>
      <c r="C1296" s="9" t="inlineStr">
        <is>
          <t>TOR</t>
        </is>
      </c>
      <c r="D1296" s="9" t="n">
        <v>25</v>
      </c>
      <c r="E1296" s="16" t="inlineStr">
        <is>
          <t>R</t>
        </is>
      </c>
      <c r="F1296" s="16" t="n"/>
      <c r="G1296" s="9" t="n">
        <v>15.26153846153846</v>
      </c>
      <c r="H1296" s="9" t="n">
        <v>15.26153846153846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1" t="n">
        <v>1</v>
      </c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/>
      <c r="Y1296" s="17" t="n">
        <v>1</v>
      </c>
      <c r="Z1296" s="13">
        <f>SUMPRODUCT(N1296:Y1296,$N$2:$Y$2)*$K1296*$L1296*$M1296</f>
        <v/>
      </c>
      <c r="AA1296" s="14">
        <f>SUM(N1296:Y1296)</f>
        <v/>
      </c>
      <c r="AB1296" s="14">
        <f>IFERROR(IF(UPPER($E1296)="L",SUMPRODUCT(N1296:Y1296,$N$3:$Y$3,$N$2:$Y$2),SUMPRODUCT(N1296:Y1296,$N$4:$Y$4,$N$2:$Y$2))/(Z1296/($K1296*$L1296*$M1296)),"")</f>
        <v/>
      </c>
      <c r="AC1296" s="18" t="n"/>
    </row>
    <row r="1297">
      <c r="A1297" s="9" t="n">
        <v>694977</v>
      </c>
      <c r="B1297" s="9" t="inlineStr">
        <is>
          <t>Nate Nankil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35.53846153846154</v>
      </c>
      <c r="H1297" s="9" t="n">
        <v>35.53846153846154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1" t="n">
        <v>1</v>
      </c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/>
      <c r="Y1297" s="17" t="n">
        <v>1</v>
      </c>
      <c r="Z1297" s="13">
        <f>SUMPRODUCT(N1297:Y1297,$N$2:$Y$2)*$K1297*$L1297*$M1297</f>
        <v/>
      </c>
      <c r="AA1297" s="14">
        <f>SUM(N1297:Y1297)</f>
        <v/>
      </c>
      <c r="AB1297" s="14">
        <f>IFERROR(IF(UPPER($E1297)="L",SUMPRODUCT(N1297:Y1297,$N$3:$Y$3,$N$2:$Y$2),SUMPRODUCT(N1297:Y1297,$N$4:$Y$4,$N$2:$Y$2))/(Z1297/($K1297*$L1297*$M1297)),"")</f>
        <v/>
      </c>
      <c r="AC1297" s="18" t="n"/>
    </row>
    <row r="1298">
      <c r="A1298" s="9" t="n">
        <v>703194</v>
      </c>
      <c r="B1298" s="9" t="inlineStr">
        <is>
          <t>Randy De Jesus</t>
        </is>
      </c>
      <c r="C1298" s="9" t="inlineStr">
        <is>
          <t>LAA</t>
        </is>
      </c>
      <c r="D1298" s="9" t="n">
        <v>25</v>
      </c>
      <c r="E1298" s="16" t="inlineStr">
        <is>
          <t>R</t>
        </is>
      </c>
      <c r="F1298" s="16" t="n"/>
      <c r="G1298" s="9" t="n">
        <v>17.23076923076923</v>
      </c>
      <c r="H1298" s="9" t="n">
        <v>17.23076923076923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1" t="n">
        <v>1</v>
      </c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/>
      <c r="Y1298" s="17" t="n">
        <v>1</v>
      </c>
      <c r="Z1298" s="13">
        <f>SUMPRODUCT(N1298:Y1298,$N$2:$Y$2)*$K1298*$L1298*$M1298</f>
        <v/>
      </c>
      <c r="AA1298" s="14">
        <f>SUM(N1298:Y1298)</f>
        <v/>
      </c>
      <c r="AB1298" s="14">
        <f>IFERROR(IF(UPPER($E1298)="L",SUMPRODUCT(N1298:Y1298,$N$3:$Y$3,$N$2:$Y$2),SUMPRODUCT(N1298:Y1298,$N$4:$Y$4,$N$2:$Y$2))/(Z1298/($K1298*$L1298*$M1298)),"")</f>
        <v/>
      </c>
      <c r="AC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1" t="n">
        <v>1</v>
      </c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/>
      <c r="Y1299" s="17" t="n">
        <v>1</v>
      </c>
      <c r="Z1299" s="13">
        <f>SUMPRODUCT(N1299:Y1299,$N$2:$Y$2)*$K1299*$L1299*$M1299</f>
        <v/>
      </c>
      <c r="AA1299" s="14">
        <f>SUM(N1299:Y1299)</f>
        <v/>
      </c>
      <c r="AB1299" s="14">
        <f>IFERROR(IF(UPPER($E1299)="L",SUMPRODUCT(N1299:Y1299,$N$3:$Y$3,$N$2:$Y$2),SUMPRODUCT(N1299:Y1299,$N$4:$Y$4,$N$2:$Y$2))/(Z1299/($K1299*$L1299*$M1299)),"")</f>
        <v/>
      </c>
      <c r="AC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1" t="n">
        <v>1</v>
      </c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/>
      <c r="Y1300" s="17" t="n">
        <v>1</v>
      </c>
      <c r="Z1300" s="13">
        <f>SUMPRODUCT(N1300:Y1300,$N$2:$Y$2)*$K1300*$L1300*$M1300</f>
        <v/>
      </c>
      <c r="AA1300" s="14">
        <f>SUM(N1300:Y1300)</f>
        <v/>
      </c>
      <c r="AB1300" s="14">
        <f>IFERROR(IF(UPPER($E1300)="L",SUMPRODUCT(N1300:Y1300,$N$3:$Y$3,$N$2:$Y$2),SUMPRODUCT(N1300:Y1300,$N$4:$Y$4,$N$2:$Y$2))/(Z1300/($K1300*$L1300*$M1300)),"")</f>
        <v/>
      </c>
      <c r="AC1300" s="18" t="n"/>
    </row>
    <row r="1301">
      <c r="A1301" s="9" t="n">
        <v>699293</v>
      </c>
      <c r="B1301" s="9" t="inlineStr">
        <is>
          <t>Yohairo Cuevas</t>
        </is>
      </c>
      <c r="C1301" s="9" t="inlineStr">
        <is>
          <t>NYM</t>
        </is>
      </c>
      <c r="D1301" s="9" t="n">
        <v>25</v>
      </c>
      <c r="E1301" s="16" t="inlineStr">
        <is>
          <t>L</t>
        </is>
      </c>
      <c r="F1301" s="16" t="n"/>
      <c r="G1301" s="9" t="n">
        <v>9.333333333333334</v>
      </c>
      <c r="H1301" s="9" t="n">
        <v>9.333333333333334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1" t="n">
        <v>1</v>
      </c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/>
      <c r="Y1301" s="17" t="n">
        <v>1</v>
      </c>
      <c r="Z1301" s="13">
        <f>SUMPRODUCT(N1301:Y1301,$N$2:$Y$2)*$K1301*$L1301*$M1301</f>
        <v/>
      </c>
      <c r="AA1301" s="14">
        <f>SUM(N1301:Y1301)</f>
        <v/>
      </c>
      <c r="AB1301" s="14">
        <f>IFERROR(IF(UPPER($E1301)="L",SUMPRODUCT(N1301:Y1301,$N$3:$Y$3,$N$2:$Y$2),SUMPRODUCT(N1301:Y1301,$N$4:$Y$4,$N$2:$Y$2))/(Z1301/($K1301*$L1301*$M1301)),"")</f>
        <v/>
      </c>
      <c r="AC1301" s="18" t="n"/>
    </row>
    <row r="1302">
      <c r="A1302" s="9" t="n">
        <v>688875</v>
      </c>
      <c r="B1302" s="9" t="inlineStr">
        <is>
          <t>Trace Willhoite</t>
        </is>
      </c>
      <c r="C1302" s="9" t="inlineStr">
        <is>
          <t>NYM</t>
        </is>
      </c>
      <c r="D1302" s="9" t="n">
        <v>25</v>
      </c>
      <c r="E1302" s="16" t="inlineStr">
        <is>
          <t>R</t>
        </is>
      </c>
      <c r="F1302" s="16" t="n"/>
      <c r="G1302" s="9" t="n">
        <v>9.025641025641027</v>
      </c>
      <c r="H1302" s="9" t="n">
        <v>9.025641025641027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1" t="n">
        <v>1</v>
      </c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/>
      <c r="Y1302" s="17" t="n">
        <v>1</v>
      </c>
      <c r="Z1302" s="13">
        <f>SUMPRODUCT(N1302:Y1302,$N$2:$Y$2)*$K1302*$L1302*$M1302</f>
        <v/>
      </c>
      <c r="AA1302" s="14">
        <f>SUM(N1302:Y1302)</f>
        <v/>
      </c>
      <c r="AB1302" s="14">
        <f>IFERROR(IF(UPPER($E1302)="L",SUMPRODUCT(N1302:Y1302,$N$3:$Y$3,$N$2:$Y$2),SUMPRODUCT(N1302:Y1302,$N$4:$Y$4,$N$2:$Y$2))/(Z1302/($K1302*$L1302*$M1302)),"")</f>
        <v/>
      </c>
      <c r="AC1302" s="18" t="n"/>
    </row>
    <row r="1303">
      <c r="A1303" s="9" t="n">
        <v>800724</v>
      </c>
      <c r="B1303" s="9" t="inlineStr">
        <is>
          <t>Eric Bitonti</t>
        </is>
      </c>
      <c r="C1303" s="9" t="inlineStr">
        <is>
          <t>MIL</t>
        </is>
      </c>
      <c r="D1303" s="9" t="n">
        <v>25</v>
      </c>
      <c r="E1303" s="16" t="inlineStr">
        <is>
          <t>L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Late Season (~Sept)</t>
        </is>
      </c>
      <c r="K1303" s="11">
        <f>IFERROR(INDEX(Roles!$B$17:$B$20,MATCH(J1303,Roles!$A$17:$A$20,0)),1)</f>
        <v/>
      </c>
      <c r="L1303" s="17" t="n">
        <v>1</v>
      </c>
      <c r="M1303" s="11" t="n">
        <v>1</v>
      </c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/>
      <c r="Y1303" s="17" t="n">
        <v>1</v>
      </c>
      <c r="Z1303" s="13">
        <f>SUMPRODUCT(N1303:Y1303,$N$2:$Y$2)*$K1303*$L1303*$M1303</f>
        <v/>
      </c>
      <c r="AA1303" s="14">
        <f>SUM(N1303:Y1303)</f>
        <v/>
      </c>
      <c r="AB1303" s="14">
        <f>IFERROR(IF(UPPER($E1303)="L",SUMPRODUCT(N1303:Y1303,$N$3:$Y$3,$N$2:$Y$2),SUMPRODUCT(N1303:Y1303,$N$4:$Y$4,$N$2:$Y$2))/(Z1303/($K1303*$L1303*$M1303)),"")</f>
        <v/>
      </c>
      <c r="AC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1" t="n">
        <v>1</v>
      </c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/>
      <c r="Y1304" s="17" t="n">
        <v>1</v>
      </c>
      <c r="Z1304" s="13">
        <f>SUMPRODUCT(N1304:Y1304,$N$2:$Y$2)*$K1304*$L1304*$M1304</f>
        <v/>
      </c>
      <c r="AA1304" s="14">
        <f>SUM(N1304:Y1304)</f>
        <v/>
      </c>
      <c r="AB1304" s="14">
        <f>IFERROR(IF(UPPER($E1304)="L",SUMPRODUCT(N1304:Y1304,$N$3:$Y$3,$N$2:$Y$2),SUMPRODUCT(N1304:Y1304,$N$4:$Y$4,$N$2:$Y$2))/(Z1304/($K1304*$L1304*$M1304)),"")</f>
        <v/>
      </c>
      <c r="AC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inlineStr">
        <is>
          <t>CF</t>
        </is>
      </c>
      <c r="G1305" s="9" t="n">
        <v>15</v>
      </c>
      <c r="H1305" s="9" t="n">
        <v>1119</v>
      </c>
      <c r="I1305" s="9" t="inlineStr">
        <is>
          <t>Weak Side Platoon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1" t="n">
        <v>0.876944733567268</v>
      </c>
      <c r="N1305" s="17" t="n"/>
      <c r="O1305" s="17" t="n"/>
      <c r="P1305" s="17" t="n"/>
      <c r="Q1305" s="17" t="n">
        <v>1</v>
      </c>
      <c r="R1305" s="17" t="n"/>
      <c r="S1305" s="17" t="n"/>
      <c r="T1305" s="17" t="n"/>
      <c r="U1305" s="17" t="n"/>
      <c r="V1305" s="17" t="n"/>
      <c r="W1305" s="17" t="n"/>
      <c r="X1305" s="17" t="n"/>
      <c r="Y1305" s="17" t="n"/>
      <c r="Z1305" s="13">
        <f>SUMPRODUCT(N1305:Y1305,$N$2:$Y$2)*$K1305*$L1305*$M1305</f>
        <v/>
      </c>
      <c r="AA1305" s="14">
        <f>SUM(N1305:Y1305)</f>
        <v/>
      </c>
      <c r="AB1305" s="14">
        <f>IFERROR(IF(UPPER($E1305)="L",SUMPRODUCT(N1305:Y1305,$N$3:$Y$3,$N$2:$Y$2),SUMPRODUCT(N1305:Y1305,$N$4:$Y$4,$N$2:$Y$2))/(Z1305/($K1305*$L1305*$M1305)),"")</f>
        <v/>
      </c>
      <c r="AC1305" s="18" t="n"/>
    </row>
    <row r="1306">
      <c r="A1306" s="9" t="n">
        <v>703455</v>
      </c>
      <c r="B1306" s="9" t="inlineStr">
        <is>
          <t>Skylar King</t>
        </is>
      </c>
      <c r="C1306" s="9" t="inlineStr">
        <is>
          <t>BOS</t>
        </is>
      </c>
      <c r="D1306" s="9" t="n">
        <v>25</v>
      </c>
      <c r="E1306" s="16" t="inlineStr">
        <is>
          <t>L</t>
        </is>
      </c>
      <c r="F1306" s="16" t="n"/>
      <c r="G1306" s="9" t="n">
        <v>9.230769230769232</v>
      </c>
      <c r="H1306" s="9" t="n">
        <v>9.230769230769232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1" t="n">
        <v>1</v>
      </c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/>
      <c r="Y1306" s="17" t="n">
        <v>1</v>
      </c>
      <c r="Z1306" s="13">
        <f>SUMPRODUCT(N1306:Y1306,$N$2:$Y$2)*$K1306*$L1306*$M1306</f>
        <v/>
      </c>
      <c r="AA1306" s="14">
        <f>SUM(N1306:Y1306)</f>
        <v/>
      </c>
      <c r="AB1306" s="14">
        <f>IFERROR(IF(UPPER($E1306)="L",SUMPRODUCT(N1306:Y1306,$N$3:$Y$3,$N$2:$Y$2),SUMPRODUCT(N1306:Y1306,$N$4:$Y$4,$N$2:$Y$2))/(Z1306/($K1306*$L1306*$M1306)),"")</f>
        <v/>
      </c>
      <c r="AC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1" t="n">
        <v>1</v>
      </c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/>
      <c r="Y1307" s="17" t="n">
        <v>1</v>
      </c>
      <c r="Z1307" s="13">
        <f>SUMPRODUCT(N1307:Y1307,$N$2:$Y$2)*$K1307*$L1307*$M1307</f>
        <v/>
      </c>
      <c r="AA1307" s="14">
        <f>SUM(N1307:Y1307)</f>
        <v/>
      </c>
      <c r="AB1307" s="14">
        <f>IFERROR(IF(UPPER($E1307)="L",SUMPRODUCT(N1307:Y1307,$N$3:$Y$3,$N$2:$Y$2),SUMPRODUCT(N1307:Y1307,$N$4:$Y$4,$N$2:$Y$2))/(Z1307/($K1307*$L1307*$M1307)),"")</f>
        <v/>
      </c>
      <c r="AC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1" t="n">
        <v>1</v>
      </c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/>
      <c r="Y1308" s="17" t="n">
        <v>1</v>
      </c>
      <c r="Z1308" s="13">
        <f>SUMPRODUCT(N1308:Y1308,$N$2:$Y$2)*$K1308*$L1308*$M1308</f>
        <v/>
      </c>
      <c r="AA1308" s="14">
        <f>SUM(N1308:Y1308)</f>
        <v/>
      </c>
      <c r="AB1308" s="14">
        <f>IFERROR(IF(UPPER($E1308)="L",SUMPRODUCT(N1308:Y1308,$N$3:$Y$3,$N$2:$Y$2),SUMPRODUCT(N1308:Y1308,$N$4:$Y$4,$N$2:$Y$2))/(Z1308/($K1308*$L1308*$M1308)),"")</f>
        <v/>
      </c>
      <c r="AC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1" t="n">
        <v>1</v>
      </c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/>
      <c r="Y1309" s="17" t="n">
        <v>1</v>
      </c>
      <c r="Z1309" s="13">
        <f>SUMPRODUCT(N1309:Y1309,$N$2:$Y$2)*$K1309*$L1309*$M1309</f>
        <v/>
      </c>
      <c r="AA1309" s="14">
        <f>SUM(N1309:Y1309)</f>
        <v/>
      </c>
      <c r="AB1309" s="14">
        <f>IFERROR(IF(UPPER($E1309)="L",SUMPRODUCT(N1309:Y1309,$N$3:$Y$3,$N$2:$Y$2),SUMPRODUCT(N1309:Y1309,$N$4:$Y$4,$N$2:$Y$2))/(Z1309/($K1309*$L1309*$M1309)),"")</f>
        <v/>
      </c>
      <c r="AC1309" s="18" t="n"/>
    </row>
    <row r="1310">
      <c r="A1310" s="9" t="n">
        <v>703606</v>
      </c>
      <c r="B1310" s="9" t="inlineStr">
        <is>
          <t>Jared Thomas</t>
        </is>
      </c>
      <c r="C1310" s="9" t="inlineStr">
        <is>
          <t>COL</t>
        </is>
      </c>
      <c r="D1310" s="9" t="n">
        <v>25</v>
      </c>
      <c r="E1310" s="16" t="inlineStr">
        <is>
          <t>L</t>
        </is>
      </c>
      <c r="F1310" s="16" t="n"/>
      <c r="G1310" s="9" t="n">
        <v>42.71794871794872</v>
      </c>
      <c r="H1310" s="9" t="n">
        <v>42.71794871794872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1" t="n">
        <v>1</v>
      </c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/>
      <c r="Y1310" s="17" t="n">
        <v>1</v>
      </c>
      <c r="Z1310" s="13">
        <f>SUMPRODUCT(N1310:Y1310,$N$2:$Y$2)*$K1310*$L1310*$M1310</f>
        <v/>
      </c>
      <c r="AA1310" s="14">
        <f>SUM(N1310:Y1310)</f>
        <v/>
      </c>
      <c r="AB1310" s="14">
        <f>IFERROR(IF(UPPER($E1310)="L",SUMPRODUCT(N1310:Y1310,$N$3:$Y$3,$N$2:$Y$2),SUMPRODUCT(N1310:Y1310,$N$4:$Y$4,$N$2:$Y$2))/(Z1310/($K1310*$L1310*$M1310)),"")</f>
        <v/>
      </c>
      <c r="AC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1" t="n">
        <v>1</v>
      </c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/>
      <c r="Y1311" s="17" t="n">
        <v>1</v>
      </c>
      <c r="Z1311" s="13">
        <f>SUMPRODUCT(N1311:Y1311,$N$2:$Y$2)*$K1311*$L1311*$M1311</f>
        <v/>
      </c>
      <c r="AA1311" s="14">
        <f>SUM(N1311:Y1311)</f>
        <v/>
      </c>
      <c r="AB1311" s="14">
        <f>IFERROR(IF(UPPER($E1311)="L",SUMPRODUCT(N1311:Y1311,$N$3:$Y$3,$N$2:$Y$2),SUMPRODUCT(N1311:Y1311,$N$4:$Y$4,$N$2:$Y$2))/(Z1311/($K1311*$L1311*$M1311)),"")</f>
        <v/>
      </c>
      <c r="AC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1" t="n">
        <v>1</v>
      </c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/>
      <c r="Y1312" s="17" t="n">
        <v>1</v>
      </c>
      <c r="Z1312" s="13">
        <f>SUMPRODUCT(N1312:Y1312,$N$2:$Y$2)*$K1312*$L1312*$M1312</f>
        <v/>
      </c>
      <c r="AA1312" s="14">
        <f>SUM(N1312:Y1312)</f>
        <v/>
      </c>
      <c r="AB1312" s="14">
        <f>IFERROR(IF(UPPER($E1312)="L",SUMPRODUCT(N1312:Y1312,$N$3:$Y$3,$N$2:$Y$2),SUMPRODUCT(N1312:Y1312,$N$4:$Y$4,$N$2:$Y$2))/(Z1312/($K1312*$L1312*$M1312)),"")</f>
        <v/>
      </c>
      <c r="AC1312" s="18" t="n"/>
    </row>
    <row r="1313">
      <c r="A1313" s="9" t="n">
        <v>813359</v>
      </c>
      <c r="B1313" s="9" t="inlineStr">
        <is>
          <t>Aidan Teel</t>
        </is>
      </c>
      <c r="C1313" s="9" t="inlineStr">
        <is>
          <t>MIN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</v>
      </c>
      <c r="H1313" s="9" t="n">
        <v>9.23076923076923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1" t="n">
        <v>1</v>
      </c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/>
      <c r="Y1313" s="17" t="n">
        <v>1</v>
      </c>
      <c r="Z1313" s="13">
        <f>SUMPRODUCT(N1313:Y1313,$N$2:$Y$2)*$K1313*$L1313*$M1313</f>
        <v/>
      </c>
      <c r="AA1313" s="14">
        <f>SUM(N1313:Y1313)</f>
        <v/>
      </c>
      <c r="AB1313" s="14">
        <f>IFERROR(IF(UPPER($E1313)="L",SUMPRODUCT(N1313:Y1313,$N$3:$Y$3,$N$2:$Y$2),SUMPRODUCT(N1313:Y1313,$N$4:$Y$4,$N$2:$Y$2))/(Z1313/($K1313*$L1313*$M1313)),"")</f>
        <v/>
      </c>
      <c r="AC1313" s="18" t="n"/>
    </row>
    <row r="1314">
      <c r="A1314" s="9" t="n">
        <v>800272</v>
      </c>
      <c r="B1314" s="9" t="inlineStr">
        <is>
          <t>Manolfi Jimenez</t>
        </is>
      </c>
      <c r="C1314" s="9" t="inlineStr">
        <is>
          <t>PHI</t>
        </is>
      </c>
      <c r="D1314" s="9" t="n">
        <v>25</v>
      </c>
      <c r="E1314" s="16" t="inlineStr">
        <is>
          <t>L</t>
        </is>
      </c>
      <c r="F1314" s="16" t="n"/>
      <c r="G1314" s="9" t="n">
        <v>9.230769230769232</v>
      </c>
      <c r="H1314" s="9" t="n">
        <v>9.230769230769232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1" t="n">
        <v>1</v>
      </c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/>
      <c r="Y1314" s="17" t="n">
        <v>1</v>
      </c>
      <c r="Z1314" s="13">
        <f>SUMPRODUCT(N1314:Y1314,$N$2:$Y$2)*$K1314*$L1314*$M1314</f>
        <v/>
      </c>
      <c r="AA1314" s="14">
        <f>SUM(N1314:Y1314)</f>
        <v/>
      </c>
      <c r="AB1314" s="14">
        <f>IFERROR(IF(UPPER($E1314)="L",SUMPRODUCT(N1314:Y1314,$N$3:$Y$3,$N$2:$Y$2),SUMPRODUCT(N1314:Y1314,$N$4:$Y$4,$N$2:$Y$2))/(Z1314/($K1314*$L1314*$M1314)),"")</f>
        <v/>
      </c>
      <c r="AC1314" s="18" t="n"/>
    </row>
    <row r="1315">
      <c r="A1315" s="9" t="n">
        <v>694939</v>
      </c>
      <c r="B1315" s="9" t="inlineStr">
        <is>
          <t>Marcus Brown</t>
        </is>
      </c>
      <c r="C1315" s="9" t="inlineStr">
        <is>
          <t>HOU</t>
        </is>
      </c>
      <c r="D1315" s="9" t="n">
        <v>25</v>
      </c>
      <c r="E1315" s="16" t="inlineStr">
        <is>
          <t>L</t>
        </is>
      </c>
      <c r="F1315" s="16" t="n"/>
      <c r="G1315" s="9" t="n">
        <v>9.589743589743591</v>
      </c>
      <c r="H1315" s="9" t="n">
        <v>9.589743589743591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1" t="n">
        <v>1</v>
      </c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/>
      <c r="Y1315" s="17" t="n">
        <v>1</v>
      </c>
      <c r="Z1315" s="13">
        <f>SUMPRODUCT(N1315:Y1315,$N$2:$Y$2)*$K1315*$L1315*$M1315</f>
        <v/>
      </c>
      <c r="AA1315" s="14">
        <f>SUM(N1315:Y1315)</f>
        <v/>
      </c>
      <c r="AB1315" s="14">
        <f>IFERROR(IF(UPPER($E1315)="L",SUMPRODUCT(N1315:Y1315,$N$3:$Y$3,$N$2:$Y$2),SUMPRODUCT(N1315:Y1315,$N$4:$Y$4,$N$2:$Y$2))/(Z1315/($K1315*$L1315*$M1315)),"")</f>
        <v/>
      </c>
      <c r="AC1315" s="18" t="n"/>
    </row>
    <row r="1316">
      <c r="A1316" s="9" t="n">
        <v>694215</v>
      </c>
      <c r="B1316" s="9" t="inlineStr">
        <is>
          <t>Hans Montero</t>
        </is>
      </c>
      <c r="C1316" s="9" t="inlineStr">
        <is>
          <t>NYY</t>
        </is>
      </c>
      <c r="D1316" s="9" t="n">
        <v>25</v>
      </c>
      <c r="E1316" s="16" t="inlineStr">
        <is>
          <t>R</t>
        </is>
      </c>
      <c r="F1316" s="16" t="n"/>
      <c r="G1316" s="9" t="n">
        <v>13.33333333333334</v>
      </c>
      <c r="H1316" s="9" t="n">
        <v>13.33333333333334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1" t="n">
        <v>1</v>
      </c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/>
      <c r="Y1316" s="17" t="n">
        <v>1</v>
      </c>
      <c r="Z1316" s="13">
        <f>SUMPRODUCT(N1316:Y1316,$N$2:$Y$2)*$K1316*$L1316*$M1316</f>
        <v/>
      </c>
      <c r="AA1316" s="14">
        <f>SUM(N1316:Y1316)</f>
        <v/>
      </c>
      <c r="AB1316" s="14">
        <f>IFERROR(IF(UPPER($E1316)="L",SUMPRODUCT(N1316:Y1316,$N$3:$Y$3,$N$2:$Y$2),SUMPRODUCT(N1316:Y1316,$N$4:$Y$4,$N$2:$Y$2))/(Z1316/($K1316*$L1316*$M1316)),"")</f>
        <v/>
      </c>
      <c r="AC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1" t="n">
        <v>1</v>
      </c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/>
      <c r="Y1317" s="17" t="n">
        <v>1</v>
      </c>
      <c r="Z1317" s="13">
        <f>SUMPRODUCT(N1317:Y1317,$N$2:$Y$2)*$K1317*$L1317*$M1317</f>
        <v/>
      </c>
      <c r="AA1317" s="14">
        <f>SUM(N1317:Y1317)</f>
        <v/>
      </c>
      <c r="AB1317" s="14">
        <f>IFERROR(IF(UPPER($E1317)="L",SUMPRODUCT(N1317:Y1317,$N$3:$Y$3,$N$2:$Y$2),SUMPRODUCT(N1317:Y1317,$N$4:$Y$4,$N$2:$Y$2))/(Z1317/($K1317*$L1317*$M1317)),"")</f>
        <v/>
      </c>
      <c r="AC1317" s="18" t="n"/>
    </row>
    <row r="1318">
      <c r="A1318" s="9" t="n">
        <v>822676</v>
      </c>
      <c r="B1318" s="9" t="inlineStr">
        <is>
          <t>Alex Lodise</t>
        </is>
      </c>
      <c r="C1318" s="9" t="inlineStr">
        <is>
          <t>ATL</t>
        </is>
      </c>
      <c r="D1318" s="9" t="n">
        <v>25</v>
      </c>
      <c r="E1318" s="16" t="inlineStr">
        <is>
          <t>R</t>
        </is>
      </c>
      <c r="F1318" s="16" t="n"/>
      <c r="G1318" s="9" t="n">
        <v>35.53846153846154</v>
      </c>
      <c r="H1318" s="9" t="n">
        <v>35.53846153846154</v>
      </c>
      <c r="I1318" s="9" t="inlineStr">
        <is>
          <t>Depth (no MLB PA)</t>
        </is>
      </c>
      <c r="J1318" s="16" t="inlineStr">
        <is>
          <t>Mid Season (~July)</t>
        </is>
      </c>
      <c r="K1318" s="11">
        <f>IFERROR(INDEX(Roles!$B$17:$B$20,MATCH(J1318,Roles!$A$17:$A$20,0)),1)</f>
        <v/>
      </c>
      <c r="L1318" s="17" t="n">
        <v>1</v>
      </c>
      <c r="M1318" s="11" t="n">
        <v>1</v>
      </c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/>
      <c r="Y1318" s="17" t="n">
        <v>1</v>
      </c>
      <c r="Z1318" s="13">
        <f>SUMPRODUCT(N1318:Y1318,$N$2:$Y$2)*$K1318*$L1318*$M1318</f>
        <v/>
      </c>
      <c r="AA1318" s="14">
        <f>SUM(N1318:Y1318)</f>
        <v/>
      </c>
      <c r="AB1318" s="14">
        <f>IFERROR(IF(UPPER($E1318)="L",SUMPRODUCT(N1318:Y1318,$N$3:$Y$3,$N$2:$Y$2),SUMPRODUCT(N1318:Y1318,$N$4:$Y$4,$N$2:$Y$2))/(Z1318/($K1318*$L1318*$M1318)),"")</f>
        <v/>
      </c>
      <c r="AC1318" s="18" t="n"/>
    </row>
    <row r="1319">
      <c r="A1319" s="9" t="n">
        <v>812668</v>
      </c>
      <c r="B1319" s="9" t="inlineStr">
        <is>
          <t>Carson Kerce</t>
        </is>
      </c>
      <c r="C1319" s="9" t="inlineStr">
        <is>
          <t>ARI</t>
        </is>
      </c>
      <c r="D1319" s="9" t="n">
        <v>25</v>
      </c>
      <c r="E1319" s="16" t="inlineStr">
        <is>
          <t>R</t>
        </is>
      </c>
      <c r="F1319" s="16" t="n"/>
      <c r="G1319" s="9" t="n">
        <v>13.78461538461538</v>
      </c>
      <c r="H1319" s="9" t="n">
        <v>13.78461538461538</v>
      </c>
      <c r="I1319" s="9" t="inlineStr">
        <is>
          <t>Depth (no MLB PA)</t>
        </is>
      </c>
      <c r="J1319" s="16" t="inlineStr">
        <is>
          <t>Late Season (~Sept)</t>
        </is>
      </c>
      <c r="K1319" s="11">
        <f>IFERROR(INDEX(Roles!$B$17:$B$20,MATCH(J1319,Roles!$A$17:$A$20,0)),1)</f>
        <v/>
      </c>
      <c r="L1319" s="17" t="n">
        <v>1</v>
      </c>
      <c r="M1319" s="11" t="n">
        <v>1</v>
      </c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/>
      <c r="Y1319" s="17" t="n">
        <v>1</v>
      </c>
      <c r="Z1319" s="13">
        <f>SUMPRODUCT(N1319:Y1319,$N$2:$Y$2)*$K1319*$L1319*$M1319</f>
        <v/>
      </c>
      <c r="AA1319" s="14">
        <f>SUM(N1319:Y1319)</f>
        <v/>
      </c>
      <c r="AB1319" s="14">
        <f>IFERROR(IF(UPPER($E1319)="L",SUMPRODUCT(N1319:Y1319,$N$3:$Y$3,$N$2:$Y$2),SUMPRODUCT(N1319:Y1319,$N$4:$Y$4,$N$2:$Y$2))/(Z1319/($K1319*$L1319*$M1319)),"")</f>
        <v/>
      </c>
      <c r="AC1319" s="18" t="n"/>
    </row>
    <row r="1320">
      <c r="A1320" s="9" t="n">
        <v>830239</v>
      </c>
      <c r="B1320" s="9" t="inlineStr">
        <is>
          <t>Aaron Walton</t>
        </is>
      </c>
      <c r="C1320" s="9" t="inlineStr">
        <is>
          <t>CLE</t>
        </is>
      </c>
      <c r="D1320" s="9" t="n">
        <v>25</v>
      </c>
      <c r="E1320" s="16" t="inlineStr">
        <is>
          <t>R</t>
        </is>
      </c>
      <c r="F1320" s="16" t="n"/>
      <c r="G1320" s="9" t="n">
        <v>68.92307692307692</v>
      </c>
      <c r="H1320" s="9" t="n">
        <v>68.92307692307692</v>
      </c>
      <c r="I1320" s="9" t="inlineStr">
        <is>
          <t>Depth (no MLB PA)</t>
        </is>
      </c>
      <c r="J1320" s="16" t="inlineStr">
        <is>
          <t>Mid Season (~July)</t>
        </is>
      </c>
      <c r="K1320" s="11">
        <f>IFERROR(INDEX(Roles!$B$17:$B$20,MATCH(J1320,Roles!$A$17:$A$20,0)),1)</f>
        <v/>
      </c>
      <c r="L1320" s="17" t="n">
        <v>1</v>
      </c>
      <c r="M1320" s="11" t="n">
        <v>1</v>
      </c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/>
      <c r="Y1320" s="17" t="n">
        <v>1</v>
      </c>
      <c r="Z1320" s="13">
        <f>SUMPRODUCT(N1320:Y1320,$N$2:$Y$2)*$K1320*$L1320*$M1320</f>
        <v/>
      </c>
      <c r="AA1320" s="14">
        <f>SUM(N1320:Y1320)</f>
        <v/>
      </c>
      <c r="AB1320" s="14">
        <f>IFERROR(IF(UPPER($E1320)="L",SUMPRODUCT(N1320:Y1320,$N$3:$Y$3,$N$2:$Y$2),SUMPRODUCT(N1320:Y1320,$N$4:$Y$4,$N$2:$Y$2))/(Z1320/($K1320*$L1320*$M1320)),"")</f>
        <v/>
      </c>
      <c r="AC1320" s="18" t="n"/>
    </row>
    <row r="1321">
      <c r="A1321" s="9" t="n">
        <v>701296</v>
      </c>
      <c r="B1321" s="9" t="inlineStr">
        <is>
          <t>Carter Mathison</t>
        </is>
      </c>
      <c r="C1321" s="9" t="inlineStr">
        <is>
          <t>PHI</t>
        </is>
      </c>
      <c r="D1321" s="9" t="n">
        <v>25</v>
      </c>
      <c r="E1321" s="16" t="inlineStr">
        <is>
          <t>L</t>
        </is>
      </c>
      <c r="F1321" s="16" t="n"/>
      <c r="G1321" s="9" t="n">
        <v>57.84615384615385</v>
      </c>
      <c r="H1321" s="9" t="n">
        <v>57.84615384615385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1" t="n">
        <v>1</v>
      </c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/>
      <c r="Y1321" s="17" t="n">
        <v>1</v>
      </c>
      <c r="Z1321" s="13">
        <f>SUMPRODUCT(N1321:Y1321,$N$2:$Y$2)*$K1321*$L1321*$M1321</f>
        <v/>
      </c>
      <c r="AA1321" s="14">
        <f>SUM(N1321:Y1321)</f>
        <v/>
      </c>
      <c r="AB1321" s="14">
        <f>IFERROR(IF(UPPER($E1321)="L",SUMPRODUCT(N1321:Y1321,$N$3:$Y$3,$N$2:$Y$2),SUMPRODUCT(N1321:Y1321,$N$4:$Y$4,$N$2:$Y$2))/(Z1321/($K1321*$L1321*$M1321)),"")</f>
        <v/>
      </c>
      <c r="AC1321" s="18" t="n"/>
    </row>
    <row r="1322">
      <c r="A1322" s="9" t="n">
        <v>823114</v>
      </c>
      <c r="B1322" s="9" t="inlineStr">
        <is>
          <t>Nolan McCarthy</t>
        </is>
      </c>
      <c r="C1322" s="9" t="inlineStr">
        <is>
          <t>DET</t>
        </is>
      </c>
      <c r="D1322" s="9" t="n">
        <v>25</v>
      </c>
      <c r="E1322" s="16" t="inlineStr">
        <is>
          <t>R</t>
        </is>
      </c>
      <c r="F1322" s="16" t="n"/>
      <c r="G1322" s="9" t="n">
        <v>17.84615384615385</v>
      </c>
      <c r="H1322" s="9" t="n">
        <v>17.84615384615385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1" t="n">
        <v>1</v>
      </c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/>
      <c r="Y1322" s="17" t="n">
        <v>1</v>
      </c>
      <c r="Z1322" s="13">
        <f>SUMPRODUCT(N1322:Y1322,$N$2:$Y$2)*$K1322*$L1322*$M1322</f>
        <v/>
      </c>
      <c r="AA1322" s="14">
        <f>SUM(N1322:Y1322)</f>
        <v/>
      </c>
      <c r="AB1322" s="14">
        <f>IFERROR(IF(UPPER($E1322)="L",SUMPRODUCT(N1322:Y1322,$N$3:$Y$3,$N$2:$Y$2),SUMPRODUCT(N1322:Y1322,$N$4:$Y$4,$N$2:$Y$2))/(Z1322/($K1322*$L1322*$M1322)),"")</f>
        <v/>
      </c>
      <c r="AC1322" s="18" t="n"/>
    </row>
    <row r="1323">
      <c r="A1323" s="9" t="n">
        <v>806550</v>
      </c>
      <c r="B1323" s="9" t="inlineStr">
        <is>
          <t>Sir Jamison Jones</t>
        </is>
      </c>
      <c r="C1323" s="9" t="inlineStr">
        <is>
          <t>WSH</t>
        </is>
      </c>
      <c r="D1323" s="9" t="n">
        <v>25</v>
      </c>
      <c r="E1323" s="16" t="inlineStr">
        <is>
          <t>R</t>
        </is>
      </c>
      <c r="F1323" s="16" t="n"/>
      <c r="G1323" s="9" t="n">
        <v>31.01538461538461</v>
      </c>
      <c r="H1323" s="9" t="n">
        <v>31.01538461538461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1" t="n">
        <v>1</v>
      </c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/>
      <c r="Y1323" s="17" t="n">
        <v>1</v>
      </c>
      <c r="Z1323" s="13">
        <f>SUMPRODUCT(N1323:Y1323,$N$2:$Y$2)*$K1323*$L1323*$M1323</f>
        <v/>
      </c>
      <c r="AA1323" s="14">
        <f>SUM(N1323:Y1323)</f>
        <v/>
      </c>
      <c r="AB1323" s="14">
        <f>IFERROR(IF(UPPER($E1323)="L",SUMPRODUCT(N1323:Y1323,$N$3:$Y$3,$N$2:$Y$2),SUMPRODUCT(N1323:Y1323,$N$4:$Y$4,$N$2:$Y$2))/(Z1323/($K1323*$L1323*$M1323)),"")</f>
        <v/>
      </c>
      <c r="AC1323" s="18" t="n"/>
    </row>
    <row r="1324">
      <c r="A1324" s="9" t="n">
        <v>622110</v>
      </c>
      <c r="B1324" s="9" t="inlineStr">
        <is>
          <t>Matt Duffy</t>
        </is>
      </c>
      <c r="C1324" s="9" t="inlineStr">
        <is>
          <t>KC</t>
        </is>
      </c>
      <c r="D1324" s="9" t="n">
        <v>36</v>
      </c>
      <c r="E1324" s="16" t="inlineStr">
        <is>
          <t>R</t>
        </is>
      </c>
      <c r="F1324" s="16" t="inlineStr">
        <is>
          <t>3B</t>
        </is>
      </c>
      <c r="G1324" s="9" t="n">
        <v>10</v>
      </c>
      <c r="H1324" s="9" t="n">
        <v>466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1" t="n">
        <v>1</v>
      </c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/>
      <c r="Y1324" s="17" t="n">
        <v>1</v>
      </c>
      <c r="Z1324" s="13">
        <f>SUMPRODUCT(N1324:Y1324,$N$2:$Y$2)*$K1324*$L1324*$M1324</f>
        <v/>
      </c>
      <c r="AA1324" s="14">
        <f>SUM(N1324:Y1324)</f>
        <v/>
      </c>
      <c r="AB1324" s="14">
        <f>IFERROR(IF(UPPER($E1324)="L",SUMPRODUCT(N1324:Y1324,$N$3:$Y$3,$N$2:$Y$2),SUMPRODUCT(N1324:Y1324,$N$4:$Y$4,$N$2:$Y$2))/(Z1324/($K1324*$L1324*$M1324)),"")</f>
        <v/>
      </c>
      <c r="AC1324" s="18" t="n"/>
    </row>
    <row r="1325">
      <c r="A1325" s="9" t="n">
        <v>829976</v>
      </c>
      <c r="B1325" s="9" t="inlineStr">
        <is>
          <t>Manuel Campos</t>
        </is>
      </c>
      <c r="C1325" s="9" t="inlineStr">
        <is>
          <t>ATL</t>
        </is>
      </c>
      <c r="D1325" s="9" t="n">
        <v>25</v>
      </c>
      <c r="E1325" s="16" t="inlineStr">
        <is>
          <t>S</t>
        </is>
      </c>
      <c r="F1325" s="16" t="n"/>
      <c r="G1325" s="9" t="n">
        <v>13.78461538461538</v>
      </c>
      <c r="H1325" s="9" t="n">
        <v>13.78461538461538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1" t="n">
        <v>1</v>
      </c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/>
      <c r="Y1325" s="17" t="n">
        <v>1</v>
      </c>
      <c r="Z1325" s="13">
        <f>SUMPRODUCT(N1325:Y1325,$N$2:$Y$2)*$K1325*$L1325*$M1325</f>
        <v/>
      </c>
      <c r="AA1325" s="14">
        <f>SUM(N1325:Y1325)</f>
        <v/>
      </c>
      <c r="AB1325" s="14">
        <f>IFERROR(IF(UPPER($E1325)="L",SUMPRODUCT(N1325:Y1325,$N$3:$Y$3,$N$2:$Y$2),SUMPRODUCT(N1325:Y1325,$N$4:$Y$4,$N$2:$Y$2))/(Z1325/($K1325*$L1325*$M1325)),"")</f>
        <v/>
      </c>
      <c r="AC1325" s="18" t="n"/>
    </row>
    <row r="1326">
      <c r="A1326" s="9" t="n">
        <v>808401</v>
      </c>
      <c r="B1326" s="9" t="inlineStr">
        <is>
          <t>Angel Guzman</t>
        </is>
      </c>
      <c r="C1326" s="9" t="inlineStr">
        <is>
          <t>SF</t>
        </is>
      </c>
      <c r="D1326" s="9" t="n">
        <v>25</v>
      </c>
      <c r="E1326" s="16" t="inlineStr">
        <is>
          <t>L</t>
        </is>
      </c>
      <c r="F1326" s="16" t="n"/>
      <c r="G1326" s="9" t="n">
        <v>18.09230769230769</v>
      </c>
      <c r="H1326" s="9" t="n">
        <v>18.09230769230769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1" t="n">
        <v>1</v>
      </c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/>
      <c r="Y1326" s="17" t="n">
        <v>1</v>
      </c>
      <c r="Z1326" s="13">
        <f>SUMPRODUCT(N1326:Y1326,$N$2:$Y$2)*$K1326*$L1326*$M1326</f>
        <v/>
      </c>
      <c r="AA1326" s="14">
        <f>SUM(N1326:Y1326)</f>
        <v/>
      </c>
      <c r="AB1326" s="14">
        <f>IFERROR(IF(UPPER($E1326)="L",SUMPRODUCT(N1326:Y1326,$N$3:$Y$3,$N$2:$Y$2),SUMPRODUCT(N1326:Y1326,$N$4:$Y$4,$N$2:$Y$2))/(Z1326/($K1326*$L1326*$M1326)),"")</f>
        <v/>
      </c>
      <c r="AC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1" t="n">
        <v>1</v>
      </c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/>
      <c r="Y1327" s="17" t="n">
        <v>1</v>
      </c>
      <c r="Z1327" s="13">
        <f>SUMPRODUCT(N1327:Y1327,$N$2:$Y$2)*$K1327*$L1327*$M1327</f>
        <v/>
      </c>
      <c r="AA1327" s="14">
        <f>SUM(N1327:Y1327)</f>
        <v/>
      </c>
      <c r="AB1327" s="14">
        <f>IFERROR(IF(UPPER($E1327)="L",SUMPRODUCT(N1327:Y1327,$N$3:$Y$3,$N$2:$Y$2),SUMPRODUCT(N1327:Y1327,$N$4:$Y$4,$N$2:$Y$2))/(Z1327/($K1327*$L1327*$M1327)),"")</f>
        <v/>
      </c>
      <c r="AC1327" s="18" t="n"/>
    </row>
    <row r="1328">
      <c r="A1328" s="9" t="n">
        <v>702500</v>
      </c>
      <c r="B1328" s="9" t="inlineStr">
        <is>
          <t>Anthony Silva</t>
        </is>
      </c>
      <c r="C1328" s="9" t="inlineStr">
        <is>
          <t>CLE</t>
        </is>
      </c>
      <c r="D1328" s="9" t="n">
        <v>25</v>
      </c>
      <c r="E1328" s="16" t="inlineStr">
        <is>
          <t>R</t>
        </is>
      </c>
      <c r="F1328" s="16" t="n"/>
      <c r="G1328" s="9" t="n">
        <v>9.435897435897436</v>
      </c>
      <c r="H1328" s="9" t="n">
        <v>9.435897435897436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1" t="n">
        <v>1</v>
      </c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/>
      <c r="Y1328" s="17" t="n">
        <v>1</v>
      </c>
      <c r="Z1328" s="13">
        <f>SUMPRODUCT(N1328:Y1328,$N$2:$Y$2)*$K1328*$L1328*$M1328</f>
        <v/>
      </c>
      <c r="AA1328" s="14">
        <f>SUM(N1328:Y1328)</f>
        <v/>
      </c>
      <c r="AB1328" s="14">
        <f>IFERROR(IF(UPPER($E1328)="L",SUMPRODUCT(N1328:Y1328,$N$3:$Y$3,$N$2:$Y$2),SUMPRODUCT(N1328:Y1328,$N$4:$Y$4,$N$2:$Y$2))/(Z1328/($K1328*$L1328*$M1328)),"")</f>
        <v/>
      </c>
      <c r="AC1328" s="18" t="n"/>
    </row>
    <row r="1329">
      <c r="A1329" s="9" t="n">
        <v>830736</v>
      </c>
      <c r="B1329" s="9" t="inlineStr">
        <is>
          <t>Bryce Fowler</t>
        </is>
      </c>
      <c r="C1329" s="9" t="inlineStr">
        <is>
          <t>MIN</t>
        </is>
      </c>
      <c r="D1329" s="9" t="n">
        <v>25</v>
      </c>
      <c r="E1329" s="16" t="inlineStr">
        <is>
          <t>L</t>
        </is>
      </c>
      <c r="F1329" s="16" t="n"/>
      <c r="G1329" s="9" t="n">
        <v>9.353846153846154</v>
      </c>
      <c r="H1329" s="9" t="n">
        <v>9.353846153846154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1" t="n">
        <v>1</v>
      </c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/>
      <c r="Y1329" s="17" t="n">
        <v>1</v>
      </c>
      <c r="Z1329" s="13">
        <f>SUMPRODUCT(N1329:Y1329,$N$2:$Y$2)*$K1329*$L1329*$M1329</f>
        <v/>
      </c>
      <c r="AA1329" s="14">
        <f>SUM(N1329:Y1329)</f>
        <v/>
      </c>
      <c r="AB1329" s="14">
        <f>IFERROR(IF(UPPER($E1329)="L",SUMPRODUCT(N1329:Y1329,$N$3:$Y$3,$N$2:$Y$2),SUMPRODUCT(N1329:Y1329,$N$4:$Y$4,$N$2:$Y$2))/(Z1329/($K1329*$L1329*$M1329)),"")</f>
        <v/>
      </c>
      <c r="AC1329" s="18" t="n"/>
    </row>
    <row r="1330">
      <c r="A1330" s="9" t="n">
        <v>805910</v>
      </c>
      <c r="B1330" s="9" t="inlineStr">
        <is>
          <t>Jhoander Irigoyen</t>
        </is>
      </c>
      <c r="C1330" s="9" t="inlineStr">
        <is>
          <t>CHC</t>
        </is>
      </c>
      <c r="D1330" s="9" t="n">
        <v>25</v>
      </c>
      <c r="E1330" s="16" t="inlineStr">
        <is>
          <t>R</t>
        </is>
      </c>
      <c r="F1330" s="16" t="n"/>
      <c r="G1330" s="9" t="n">
        <v>9.723076923076922</v>
      </c>
      <c r="H1330" s="9" t="n">
        <v>9.723076923076922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1" t="n">
        <v>1</v>
      </c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/>
      <c r="Y1330" s="17" t="n">
        <v>1</v>
      </c>
      <c r="Z1330" s="13">
        <f>SUMPRODUCT(N1330:Y1330,$N$2:$Y$2)*$K1330*$L1330*$M1330</f>
        <v/>
      </c>
      <c r="AA1330" s="14">
        <f>SUM(N1330:Y1330)</f>
        <v/>
      </c>
      <c r="AB1330" s="14">
        <f>IFERROR(IF(UPPER($E1330)="L",SUMPRODUCT(N1330:Y1330,$N$3:$Y$3,$N$2:$Y$2),SUMPRODUCT(N1330:Y1330,$N$4:$Y$4,$N$2:$Y$2))/(Z1330/($K1330*$L1330*$M1330)),"")</f>
        <v/>
      </c>
      <c r="AC1330" s="18" t="n"/>
    </row>
    <row r="1331">
      <c r="A1331" s="9" t="n">
        <v>596059</v>
      </c>
      <c r="B1331" s="9" t="inlineStr">
        <is>
          <t>Rougned Odor</t>
        </is>
      </c>
      <c r="C1331" s="9" t="inlineStr">
        <is>
          <t>SD</t>
        </is>
      </c>
      <c r="D1331" s="9" t="n">
        <v>33</v>
      </c>
      <c r="E1331" s="16" t="inlineStr">
        <is>
          <t>L</t>
        </is>
      </c>
      <c r="F1331" s="16" t="inlineStr">
        <is>
          <t>2B</t>
        </is>
      </c>
      <c r="G1331" s="9" t="n">
        <v>157</v>
      </c>
      <c r="H1331" s="9" t="n">
        <v>629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1" t="n">
        <v>1</v>
      </c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/>
      <c r="Y1331" s="17" t="n">
        <v>1</v>
      </c>
      <c r="Z1331" s="13">
        <f>SUMPRODUCT(N1331:Y1331,$N$2:$Y$2)*$K1331*$L1331*$M1331</f>
        <v/>
      </c>
      <c r="AA1331" s="14">
        <f>SUM(N1331:Y1331)</f>
        <v/>
      </c>
      <c r="AB1331" s="14">
        <f>IFERROR(IF(UPPER($E1331)="L",SUMPRODUCT(N1331:Y1331,$N$3:$Y$3,$N$2:$Y$2),SUMPRODUCT(N1331:Y1331,$N$4:$Y$4,$N$2:$Y$2))/(Z1331/($K1331*$L1331*$M1331)),"")</f>
        <v/>
      </c>
      <c r="AC1331" s="18" t="n"/>
    </row>
    <row r="1332">
      <c r="A1332" s="9" t="n">
        <v>703154</v>
      </c>
      <c r="B1332" s="9" t="inlineStr">
        <is>
          <t>Yordany De Los Santos</t>
        </is>
      </c>
      <c r="C1332" s="9" t="inlineStr">
        <is>
          <t>PIT</t>
        </is>
      </c>
      <c r="D1332" s="9" t="n">
        <v>25</v>
      </c>
      <c r="E1332" s="16" t="inlineStr">
        <is>
          <t>R</t>
        </is>
      </c>
      <c r="F1332" s="16" t="n"/>
      <c r="G1332" s="9" t="n">
        <v>80.20512820512822</v>
      </c>
      <c r="H1332" s="9" t="n">
        <v>80.20512820512822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1" t="n">
        <v>1</v>
      </c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/>
      <c r="Y1332" s="17" t="n">
        <v>1</v>
      </c>
      <c r="Z1332" s="13">
        <f>SUMPRODUCT(N1332:Y1332,$N$2:$Y$2)*$K1332*$L1332*$M1332</f>
        <v/>
      </c>
      <c r="AA1332" s="14">
        <f>SUM(N1332:Y1332)</f>
        <v/>
      </c>
      <c r="AB1332" s="14">
        <f>IFERROR(IF(UPPER($E1332)="L",SUMPRODUCT(N1332:Y1332,$N$3:$Y$3,$N$2:$Y$2),SUMPRODUCT(N1332:Y1332,$N$4:$Y$4,$N$2:$Y$2))/(Z1332/($K1332*$L1332*$M1332)),"")</f>
        <v/>
      </c>
      <c r="AC1332" s="18" t="n"/>
    </row>
    <row r="1333">
      <c r="A1333" s="9" t="n">
        <v>823651</v>
      </c>
      <c r="B1333" s="9" t="inlineStr">
        <is>
          <t>J.P. Cabrera</t>
        </is>
      </c>
      <c r="C1333" s="9" t="inlineStr">
        <is>
          <t>STL</t>
        </is>
      </c>
      <c r="D1333" s="9" t="n">
        <v>25</v>
      </c>
      <c r="E1333" s="16" t="inlineStr">
        <is>
          <t>R</t>
        </is>
      </c>
      <c r="F1333" s="16" t="n"/>
      <c r="G1333" s="9" t="n">
        <v>11.81538461538462</v>
      </c>
      <c r="H1333" s="9" t="n">
        <v>11.81538461538462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1" t="n">
        <v>1</v>
      </c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/>
      <c r="Y1333" s="17" t="n">
        <v>1</v>
      </c>
      <c r="Z1333" s="13">
        <f>SUMPRODUCT(N1333:Y1333,$N$2:$Y$2)*$K1333*$L1333*$M1333</f>
        <v/>
      </c>
      <c r="AA1333" s="14">
        <f>SUM(N1333:Y1333)</f>
        <v/>
      </c>
      <c r="AB1333" s="14">
        <f>IFERROR(IF(UPPER($E1333)="L",SUMPRODUCT(N1333:Y1333,$N$3:$Y$3,$N$2:$Y$2),SUMPRODUCT(N1333:Y1333,$N$4:$Y$4,$N$2:$Y$2))/(Z1333/($K1333*$L1333*$M1333)),"")</f>
        <v/>
      </c>
      <c r="AC1333" s="18" t="n"/>
    </row>
    <row r="1334">
      <c r="A1334" s="9" t="n">
        <v>687930</v>
      </c>
      <c r="B1334" s="9" t="inlineStr">
        <is>
          <t>Tyresse Turner</t>
        </is>
      </c>
      <c r="C1334" s="9" t="inlineStr">
        <is>
          <t>CLE</t>
        </is>
      </c>
      <c r="D1334" s="9" t="n">
        <v>25</v>
      </c>
      <c r="E1334" s="16" t="inlineStr">
        <is>
          <t>S</t>
        </is>
      </c>
      <c r="F1334" s="16" t="n"/>
      <c r="G1334" s="9" t="n">
        <v>9.589743589743591</v>
      </c>
      <c r="H1334" s="9" t="n">
        <v>9.589743589743591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1" t="n">
        <v>1</v>
      </c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/>
      <c r="Y1334" s="17" t="n">
        <v>1</v>
      </c>
      <c r="Z1334" s="13">
        <f>SUMPRODUCT(N1334:Y1334,$N$2:$Y$2)*$K1334*$L1334*$M1334</f>
        <v/>
      </c>
      <c r="AA1334" s="14">
        <f>SUM(N1334:Y1334)</f>
        <v/>
      </c>
      <c r="AB1334" s="14">
        <f>IFERROR(IF(UPPER($E1334)="L",SUMPRODUCT(N1334:Y1334,$N$3:$Y$3,$N$2:$Y$2),SUMPRODUCT(N1334:Y1334,$N$4:$Y$4,$N$2:$Y$2))/(Z1334/($K1334*$L1334*$M1334)),"")</f>
        <v/>
      </c>
      <c r="AC1334" s="18" t="n"/>
    </row>
    <row r="1335">
      <c r="A1335" s="9" t="n">
        <v>680418</v>
      </c>
      <c r="B1335" s="9" t="inlineStr">
        <is>
          <t>Tyler Cropley</t>
        </is>
      </c>
      <c r="C1335" s="9" t="inlineStr">
        <is>
          <t>KC</t>
        </is>
      </c>
      <c r="D1335" s="9" t="n">
        <v>31</v>
      </c>
      <c r="E1335" s="16" t="inlineStr">
        <is>
          <t>R</t>
        </is>
      </c>
      <c r="F1335" s="16" t="inlineStr">
        <is>
          <t>C</t>
        </is>
      </c>
      <c r="G1335" s="9" t="n">
        <v>7</v>
      </c>
      <c r="H1335" s="9" t="n">
        <v>7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1" t="n">
        <v>1</v>
      </c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/>
      <c r="Y1335" s="17" t="n">
        <v>1</v>
      </c>
      <c r="Z1335" s="13">
        <f>SUMPRODUCT(N1335:Y1335,$N$2:$Y$2)*$K1335*$L1335*$M1335</f>
        <v/>
      </c>
      <c r="AA1335" s="14">
        <f>SUM(N1335:Y1335)</f>
        <v/>
      </c>
      <c r="AB1335" s="14">
        <f>IFERROR(IF(UPPER($E1335)="L",SUMPRODUCT(N1335:Y1335,$N$3:$Y$3,$N$2:$Y$2),SUMPRODUCT(N1335:Y1335,$N$4:$Y$4,$N$2:$Y$2))/(Z1335/($K1335*$L1335*$M1335)),"")</f>
        <v/>
      </c>
      <c r="AC1335" s="18" t="n"/>
    </row>
    <row r="1336">
      <c r="A1336" s="9" t="n">
        <v>672356</v>
      </c>
      <c r="B1336" s="9" t="inlineStr">
        <is>
          <t>Gabriel Arias</t>
        </is>
      </c>
      <c r="C1336" s="9" t="inlineStr">
        <is>
          <t>CHC</t>
        </is>
      </c>
      <c r="D1336" s="9" t="n">
        <v>27</v>
      </c>
      <c r="E1336" s="16" t="inlineStr">
        <is>
          <t>R</t>
        </is>
      </c>
      <c r="F1336" s="16" t="inlineStr">
        <is>
          <t>3B</t>
        </is>
      </c>
      <c r="G1336" s="9" t="n">
        <v>149</v>
      </c>
      <c r="H1336" s="9" t="n">
        <v>1183</v>
      </c>
      <c r="I1336" s="9" t="inlineStr">
        <is>
          <t>Utility IF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1" t="n">
        <v>0.9126834594258874</v>
      </c>
      <c r="N1336" s="17" t="n"/>
      <c r="O1336" s="17" t="n"/>
      <c r="P1336" s="17" t="n"/>
      <c r="Q1336" s="17" t="n"/>
      <c r="R1336" s="17" t="n"/>
      <c r="S1336" s="17" t="n"/>
      <c r="T1336" s="17" t="n"/>
      <c r="U1336" s="17" t="n">
        <v>0.7</v>
      </c>
      <c r="V1336" s="17" t="n"/>
      <c r="W1336" s="17" t="n">
        <v>0.3</v>
      </c>
      <c r="X1336" s="17" t="n"/>
      <c r="Y1336" s="17" t="n"/>
      <c r="Z1336" s="13">
        <f>SUMPRODUCT(N1336:Y1336,$N$2:$Y$2)*$K1336*$L1336*$M1336</f>
        <v/>
      </c>
      <c r="AA1336" s="14">
        <f>SUM(N1336:Y1336)</f>
        <v/>
      </c>
      <c r="AB1336" s="14">
        <f>IFERROR(IF(UPPER($E1336)="L",SUMPRODUCT(N1336:Y1336,$N$3:$Y$3,$N$2:$Y$2),SUMPRODUCT(N1336:Y1336,$N$4:$Y$4,$N$2:$Y$2))/(Z1336/($K1336*$L1336*$M1336)),"")</f>
        <v/>
      </c>
      <c r="AC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inlineStr">
        <is>
          <t>P</t>
        </is>
      </c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1" t="n">
        <v>1</v>
      </c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/>
      <c r="Y1337" s="17" t="n">
        <v>1</v>
      </c>
      <c r="Z1337" s="13">
        <f>SUMPRODUCT(N1337:Y1337,$N$2:$Y$2)*$K1337*$L1337*$M1337</f>
        <v/>
      </c>
      <c r="AA1337" s="14">
        <f>SUM(N1337:Y1337)</f>
        <v/>
      </c>
      <c r="AB1337" s="14">
        <f>IFERROR(IF(UPPER($E1337)="L",SUMPRODUCT(N1337:Y1337,$N$3:$Y$3,$N$2:$Y$2),SUMPRODUCT(N1337:Y1337,$N$4:$Y$4,$N$2:$Y$2))/(Z1337/($K1337*$L1337*$M1337)),"")</f>
        <v/>
      </c>
      <c r="AC1337" s="18" t="n"/>
    </row>
    <row r="1338">
      <c r="A1338" s="9" t="n">
        <v>694185</v>
      </c>
      <c r="B1338" s="9" t="inlineStr">
        <is>
          <t>Danny De Andrade</t>
        </is>
      </c>
      <c r="C1338" s="9" t="inlineStr">
        <is>
          <t>MIN</t>
        </is>
      </c>
      <c r="D1338" s="9" t="n">
        <v>25</v>
      </c>
      <c r="E1338" s="16" t="inlineStr">
        <is>
          <t>R</t>
        </is>
      </c>
      <c r="F1338" s="16" t="n"/>
      <c r="G1338" s="9" t="n">
        <v>9.692307692307692</v>
      </c>
      <c r="H1338" s="9" t="n">
        <v>9.692307692307692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1" t="n">
        <v>1</v>
      </c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/>
      <c r="Y1338" s="17" t="n">
        <v>1</v>
      </c>
      <c r="Z1338" s="13">
        <f>SUMPRODUCT(N1338:Y1338,$N$2:$Y$2)*$K1338*$L1338*$M1338</f>
        <v/>
      </c>
      <c r="AA1338" s="14">
        <f>SUM(N1338:Y1338)</f>
        <v/>
      </c>
      <c r="AB1338" s="14">
        <f>IFERROR(IF(UPPER($E1338)="L",SUMPRODUCT(N1338:Y1338,$N$3:$Y$3,$N$2:$Y$2),SUMPRODUCT(N1338:Y1338,$N$4:$Y$4,$N$2:$Y$2))/(Z1338/($K1338*$L1338*$M1338)),"")</f>
        <v/>
      </c>
      <c r="AC1338" s="18" t="n"/>
    </row>
    <row r="1339">
      <c r="A1339" s="9" t="n">
        <v>806191</v>
      </c>
      <c r="B1339" s="9" t="inlineStr">
        <is>
          <t>Tai Peete</t>
        </is>
      </c>
      <c r="C1339" s="9" t="inlineStr">
        <is>
          <t>STL</t>
        </is>
      </c>
      <c r="D1339" s="9" t="n">
        <v>25</v>
      </c>
      <c r="E1339" s="16" t="inlineStr">
        <is>
          <t>L</t>
        </is>
      </c>
      <c r="F1339" s="16" t="n"/>
      <c r="G1339" s="9" t="n">
        <v>35.8974358974359</v>
      </c>
      <c r="H1339" s="9" t="n">
        <v>35.8974358974359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1" t="n">
        <v>1</v>
      </c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/>
      <c r="Y1339" s="17" t="n">
        <v>1</v>
      </c>
      <c r="Z1339" s="13">
        <f>SUMPRODUCT(N1339:Y1339,$N$2:$Y$2)*$K1339*$L1339*$M1339</f>
        <v/>
      </c>
      <c r="AA1339" s="14">
        <f>SUM(N1339:Y1339)</f>
        <v/>
      </c>
      <c r="AB1339" s="14">
        <f>IFERROR(IF(UPPER($E1339)="L",SUMPRODUCT(N1339:Y1339,$N$3:$Y$3,$N$2:$Y$2),SUMPRODUCT(N1339:Y1339,$N$4:$Y$4,$N$2:$Y$2))/(Z1339/($K1339*$L1339*$M1339)),"")</f>
        <v/>
      </c>
      <c r="AC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1" t="n">
        <v>1</v>
      </c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/>
      <c r="Y1340" s="17" t="n">
        <v>1</v>
      </c>
      <c r="Z1340" s="13">
        <f>SUMPRODUCT(N1340:Y1340,$N$2:$Y$2)*$K1340*$L1340*$M1340</f>
        <v/>
      </c>
      <c r="AA1340" s="14">
        <f>SUM(N1340:Y1340)</f>
        <v/>
      </c>
      <c r="AB1340" s="14">
        <f>IFERROR(IF(UPPER($E1340)="L",SUMPRODUCT(N1340:Y1340,$N$3:$Y$3,$N$2:$Y$2),SUMPRODUCT(N1340:Y1340,$N$4:$Y$4,$N$2:$Y$2))/(Z1340/($K1340*$L1340*$M1340)),"")</f>
        <v/>
      </c>
      <c r="AC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inlineStr">
        <is>
          <t>2B</t>
        </is>
      </c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1" t="n">
        <v>1</v>
      </c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/>
      <c r="Y1341" s="17" t="n">
        <v>1</v>
      </c>
      <c r="Z1341" s="13">
        <f>SUMPRODUCT(N1341:Y1341,$N$2:$Y$2)*$K1341*$L1341*$M1341</f>
        <v/>
      </c>
      <c r="AA1341" s="14">
        <f>SUM(N1341:Y1341)</f>
        <v/>
      </c>
      <c r="AB1341" s="14">
        <f>IFERROR(IF(UPPER($E1341)="L",SUMPRODUCT(N1341:Y1341,$N$3:$Y$3,$N$2:$Y$2),SUMPRODUCT(N1341:Y1341,$N$4:$Y$4,$N$2:$Y$2))/(Z1341/($K1341*$L1341*$M1341)),"")</f>
        <v/>
      </c>
      <c r="AC1341" s="18" t="n"/>
    </row>
    <row r="1342">
      <c r="A1342" s="9" t="n">
        <v>595956</v>
      </c>
      <c r="B1342" s="9" t="inlineStr">
        <is>
          <t>Cam Gallagher</t>
        </is>
      </c>
      <c r="C1342" s="9" t="inlineStr">
        <is>
          <t>CLE</t>
        </is>
      </c>
      <c r="D1342" s="9" t="n">
        <v>34</v>
      </c>
      <c r="E1342" s="16" t="inlineStr">
        <is>
          <t>R</t>
        </is>
      </c>
      <c r="F1342" s="16" t="inlineStr">
        <is>
          <t>C</t>
        </is>
      </c>
      <c r="G1342" s="9" t="n">
        <v>149</v>
      </c>
      <c r="H1342" s="9" t="n">
        <v>196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1" t="n">
        <v>1</v>
      </c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/>
      <c r="Y1342" s="17" t="n">
        <v>1</v>
      </c>
      <c r="Z1342" s="13">
        <f>SUMPRODUCT(N1342:Y1342,$N$2:$Y$2)*$K1342*$L1342*$M1342</f>
        <v/>
      </c>
      <c r="AA1342" s="14">
        <f>SUM(N1342:Y1342)</f>
        <v/>
      </c>
      <c r="AB1342" s="14">
        <f>IFERROR(IF(UPPER($E1342)="L",SUMPRODUCT(N1342:Y1342,$N$3:$Y$3,$N$2:$Y$2),SUMPRODUCT(N1342:Y1342,$N$4:$Y$4,$N$2:$Y$2))/(Z1342/($K1342*$L1342*$M1342)),"")</f>
        <v/>
      </c>
      <c r="AC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25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Late Season (~Sept)</t>
        </is>
      </c>
      <c r="K1343" s="11">
        <f>IFERROR(INDEX(Roles!$B$17:$B$20,MATCH(J1343,Roles!$A$17:$A$20,0)),1)</f>
        <v/>
      </c>
      <c r="L1343" s="17" t="n">
        <v>1</v>
      </c>
      <c r="M1343" s="11" t="n">
        <v>1</v>
      </c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/>
      <c r="Y1343" s="17" t="n">
        <v>1</v>
      </c>
      <c r="Z1343" s="13">
        <f>SUMPRODUCT(N1343:Y1343,$N$2:$Y$2)*$K1343*$L1343*$M1343</f>
        <v/>
      </c>
      <c r="AA1343" s="14">
        <f>SUM(N1343:Y1343)</f>
        <v/>
      </c>
      <c r="AB1343" s="14">
        <f>IFERROR(IF(UPPER($E1343)="L",SUMPRODUCT(N1343:Y1343,$N$3:$Y$3,$N$2:$Y$2),SUMPRODUCT(N1343:Y1343,$N$4:$Y$4,$N$2:$Y$2))/(Z1343/($K1343*$L1343*$M1343)),"")</f>
        <v/>
      </c>
      <c r="AC1343" s="18" t="n"/>
    </row>
    <row r="1344">
      <c r="A1344" s="9" t="n">
        <v>820942</v>
      </c>
      <c r="B1344" s="9" t="inlineStr">
        <is>
          <t>Jesmaylin Arias</t>
        </is>
      </c>
      <c r="C1344" s="9" t="inlineStr">
        <is>
          <t>SD</t>
        </is>
      </c>
      <c r="D1344" s="9" t="n">
        <v>25</v>
      </c>
      <c r="E1344" s="16" t="inlineStr">
        <is>
          <t>L</t>
        </is>
      </c>
      <c r="F1344" s="16" t="n"/>
      <c r="G1344" s="9" t="n">
        <v>9.723076923076922</v>
      </c>
      <c r="H1344" s="9" t="n">
        <v>9.723076923076922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1" t="n">
        <v>1</v>
      </c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/>
      <c r="Y1344" s="17" t="n">
        <v>1</v>
      </c>
      <c r="Z1344" s="13">
        <f>SUMPRODUCT(N1344:Y1344,$N$2:$Y$2)*$K1344*$L1344*$M1344</f>
        <v/>
      </c>
      <c r="AA1344" s="14">
        <f>SUM(N1344:Y1344)</f>
        <v/>
      </c>
      <c r="AB1344" s="14">
        <f>IFERROR(IF(UPPER($E1344)="L",SUMPRODUCT(N1344:Y1344,$N$3:$Y$3,$N$2:$Y$2),SUMPRODUCT(N1344:Y1344,$N$4:$Y$4,$N$2:$Y$2))/(Z1344/($K1344*$L1344*$M1344)),"")</f>
        <v/>
      </c>
      <c r="AC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1" t="n">
        <v>1</v>
      </c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/>
      <c r="Y1345" s="17" t="n">
        <v>1</v>
      </c>
      <c r="Z1345" s="13">
        <f>SUMPRODUCT(N1345:Y1345,$N$2:$Y$2)*$K1345*$L1345*$M1345</f>
        <v/>
      </c>
      <c r="AA1345" s="14">
        <f>SUM(N1345:Y1345)</f>
        <v/>
      </c>
      <c r="AB1345" s="14">
        <f>IFERROR(IF(UPPER($E1345)="L",SUMPRODUCT(N1345:Y1345,$N$3:$Y$3,$N$2:$Y$2),SUMPRODUCT(N1345:Y1345,$N$4:$Y$4,$N$2:$Y$2))/(Z1345/($K1345*$L1345*$M1345)),"")</f>
        <v/>
      </c>
      <c r="AC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1" t="n">
        <v>1</v>
      </c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/>
      <c r="Y1346" s="17" t="n">
        <v>1</v>
      </c>
      <c r="Z1346" s="13">
        <f>SUMPRODUCT(N1346:Y1346,$N$2:$Y$2)*$K1346*$L1346*$M1346</f>
        <v/>
      </c>
      <c r="AA1346" s="14">
        <f>SUM(N1346:Y1346)</f>
        <v/>
      </c>
      <c r="AB1346" s="14">
        <f>IFERROR(IF(UPPER($E1346)="L",SUMPRODUCT(N1346:Y1346,$N$3:$Y$3,$N$2:$Y$2),SUMPRODUCT(N1346:Y1346,$N$4:$Y$4,$N$2:$Y$2))/(Z1346/($K1346*$L1346*$M1346)),"")</f>
        <v/>
      </c>
      <c r="AC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1" t="n">
        <v>1</v>
      </c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/>
      <c r="Y1347" s="17" t="n">
        <v>1</v>
      </c>
      <c r="Z1347" s="13">
        <f>SUMPRODUCT(N1347:Y1347,$N$2:$Y$2)*$K1347*$L1347*$M1347</f>
        <v/>
      </c>
      <c r="AA1347" s="14">
        <f>SUM(N1347:Y1347)</f>
        <v/>
      </c>
      <c r="AB1347" s="14">
        <f>IFERROR(IF(UPPER($E1347)="L",SUMPRODUCT(N1347:Y1347,$N$3:$Y$3,$N$2:$Y$2),SUMPRODUCT(N1347:Y1347,$N$4:$Y$4,$N$2:$Y$2))/(Z1347/($K1347*$L1347*$M1347)),"")</f>
        <v/>
      </c>
      <c r="AC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1" t="n">
        <v>1</v>
      </c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/>
      <c r="Y1348" s="17" t="n">
        <v>1</v>
      </c>
      <c r="Z1348" s="13">
        <f>SUMPRODUCT(N1348:Y1348,$N$2:$Y$2)*$K1348*$L1348*$M1348</f>
        <v/>
      </c>
      <c r="AA1348" s="14">
        <f>SUM(N1348:Y1348)</f>
        <v/>
      </c>
      <c r="AB1348" s="14">
        <f>IFERROR(IF(UPPER($E1348)="L",SUMPRODUCT(N1348:Y1348,$N$3:$Y$3,$N$2:$Y$2),SUMPRODUCT(N1348:Y1348,$N$4:$Y$4,$N$2:$Y$2))/(Z1348/($K1348*$L1348*$M1348)),"")</f>
        <v/>
      </c>
      <c r="AC1348" s="18" t="n"/>
    </row>
    <row r="1349">
      <c r="A1349" s="9" t="n">
        <v>804871</v>
      </c>
      <c r="B1349" s="9" t="inlineStr">
        <is>
          <t>Brooks Bryan</t>
        </is>
      </c>
      <c r="C1349" s="9" t="inlineStr">
        <is>
          <t>KC</t>
        </is>
      </c>
      <c r="D1349" s="9" t="n">
        <v>25</v>
      </c>
      <c r="E1349" s="16" t="inlineStr">
        <is>
          <t>L</t>
        </is>
      </c>
      <c r="F1349" s="16" t="n"/>
      <c r="G1349" s="9" t="n">
        <v>16.61538461538461</v>
      </c>
      <c r="H1349" s="9" t="n">
        <v>16.61538461538461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1" t="n">
        <v>1</v>
      </c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/>
      <c r="Y1349" s="17" t="n">
        <v>1</v>
      </c>
      <c r="Z1349" s="13">
        <f>SUMPRODUCT(N1349:Y1349,$N$2:$Y$2)*$K1349*$L1349*$M1349</f>
        <v/>
      </c>
      <c r="AA1349" s="14">
        <f>SUM(N1349:Y1349)</f>
        <v/>
      </c>
      <c r="AB1349" s="14">
        <f>IFERROR(IF(UPPER($E1349)="L",SUMPRODUCT(N1349:Y1349,$N$3:$Y$3,$N$2:$Y$2),SUMPRODUCT(N1349:Y1349,$N$4:$Y$4,$N$2:$Y$2))/(Z1349/($K1349*$L1349*$M1349)),"")</f>
        <v/>
      </c>
      <c r="AC1349" s="18" t="n"/>
    </row>
    <row r="1350">
      <c r="A1350" s="9" t="n">
        <v>703924</v>
      </c>
      <c r="B1350" s="9" t="inlineStr">
        <is>
          <t>David Beckles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11.93846153846154</v>
      </c>
      <c r="H1350" s="9" t="n">
        <v>11.93846153846154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1" t="n">
        <v>1</v>
      </c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/>
      <c r="Y1350" s="17" t="n">
        <v>1</v>
      </c>
      <c r="Z1350" s="13">
        <f>SUMPRODUCT(N1350:Y1350,$N$2:$Y$2)*$K1350*$L1350*$M1350</f>
        <v/>
      </c>
      <c r="AA1350" s="14">
        <f>SUM(N1350:Y1350)</f>
        <v/>
      </c>
      <c r="AB1350" s="14">
        <f>IFERROR(IF(UPPER($E1350)="L",SUMPRODUCT(N1350:Y1350,$N$3:$Y$3,$N$2:$Y$2),SUMPRODUCT(N1350:Y1350,$N$4:$Y$4,$N$2:$Y$2))/(Z1350/($K1350*$L1350*$M1350)),"")</f>
        <v/>
      </c>
      <c r="AC1350" s="18" t="n"/>
    </row>
    <row r="1351">
      <c r="A1351" s="9" t="n">
        <v>815535</v>
      </c>
      <c r="B1351" s="9" t="inlineStr">
        <is>
          <t>Eddie Rynders</t>
        </is>
      </c>
      <c r="C1351" s="9" t="inlineStr">
        <is>
          <t>PIT</t>
        </is>
      </c>
      <c r="D1351" s="9" t="n">
        <v>25</v>
      </c>
      <c r="E1351" s="16" t="inlineStr">
        <is>
          <t>L</t>
        </is>
      </c>
      <c r="F1351" s="16" t="n"/>
      <c r="G1351" s="9" t="n">
        <v>26.58461538461538</v>
      </c>
      <c r="H1351" s="9" t="n">
        <v>26.58461538461538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1" t="n">
        <v>1</v>
      </c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/>
      <c r="Y1351" s="17" t="n">
        <v>1</v>
      </c>
      <c r="Z1351" s="13">
        <f>SUMPRODUCT(N1351:Y1351,$N$2:$Y$2)*$K1351*$L1351*$M1351</f>
        <v/>
      </c>
      <c r="AA1351" s="14">
        <f>SUM(N1351:Y1351)</f>
        <v/>
      </c>
      <c r="AB1351" s="14">
        <f>IFERROR(IF(UPPER($E1351)="L",SUMPRODUCT(N1351:Y1351,$N$3:$Y$3,$N$2:$Y$2),SUMPRODUCT(N1351:Y1351,$N$4:$Y$4,$N$2:$Y$2))/(Z1351/($K1351*$L1351*$M1351)),"")</f>
        <v/>
      </c>
      <c r="AC1351" s="18" t="n"/>
    </row>
    <row r="1352">
      <c r="A1352" s="9" t="n">
        <v>691416</v>
      </c>
      <c r="B1352" s="9" t="inlineStr">
        <is>
          <t>Esteban González</t>
        </is>
      </c>
      <c r="C1352" s="9" t="inlineStr">
        <is>
          <t>CLE</t>
        </is>
      </c>
      <c r="D1352" s="9" t="n">
        <v>25</v>
      </c>
      <c r="E1352" s="16" t="inlineStr">
        <is>
          <t>L</t>
        </is>
      </c>
      <c r="F1352" s="16" t="n"/>
      <c r="G1352" s="9" t="n">
        <v>63.7948717948718</v>
      </c>
      <c r="H1352" s="9" t="n">
        <v>63.7948717948718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1" t="n">
        <v>1</v>
      </c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/>
      <c r="Y1352" s="17" t="n">
        <v>1</v>
      </c>
      <c r="Z1352" s="13">
        <f>SUMPRODUCT(N1352:Y1352,$N$2:$Y$2)*$K1352*$L1352*$M1352</f>
        <v/>
      </c>
      <c r="AA1352" s="14">
        <f>SUM(N1352:Y1352)</f>
        <v/>
      </c>
      <c r="AB1352" s="14">
        <f>IFERROR(IF(UPPER($E1352)="L",SUMPRODUCT(N1352:Y1352,$N$3:$Y$3,$N$2:$Y$2),SUMPRODUCT(N1352:Y1352,$N$4:$Y$4,$N$2:$Y$2))/(Z1352/($K1352*$L1352*$M1352)),"")</f>
        <v/>
      </c>
      <c r="AC1352" s="18" t="n"/>
    </row>
    <row r="1353">
      <c r="A1353" s="9" t="n">
        <v>807300</v>
      </c>
      <c r="B1353" s="9" t="inlineStr">
        <is>
          <t>Chris Rembert</t>
        </is>
      </c>
      <c r="C1353" s="9" t="inlineStr">
        <is>
          <t>PIT</t>
        </is>
      </c>
      <c r="D1353" s="9" t="n">
        <v>25</v>
      </c>
      <c r="E1353" s="16" t="inlineStr">
        <is>
          <t>R</t>
        </is>
      </c>
      <c r="F1353" s="16" t="n"/>
      <c r="G1353" s="9" t="n">
        <v>9.969230769230769</v>
      </c>
      <c r="H1353" s="9" t="n">
        <v>9.969230769230769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1" t="n">
        <v>1</v>
      </c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/>
      <c r="Y1353" s="17" t="n">
        <v>1</v>
      </c>
      <c r="Z1353" s="13">
        <f>SUMPRODUCT(N1353:Y1353,$N$2:$Y$2)*$K1353*$L1353*$M1353</f>
        <v/>
      </c>
      <c r="AA1353" s="14">
        <f>SUM(N1353:Y1353)</f>
        <v/>
      </c>
      <c r="AB1353" s="14">
        <f>IFERROR(IF(UPPER($E1353)="L",SUMPRODUCT(N1353:Y1353,$N$3:$Y$3,$N$2:$Y$2),SUMPRODUCT(N1353:Y1353,$N$4:$Y$4,$N$2:$Y$2))/(Z1353/($K1353*$L1353*$M1353)),"")</f>
        <v/>
      </c>
      <c r="AC1353" s="18" t="n"/>
    </row>
    <row r="1354">
      <c r="A1354" s="9" t="n">
        <v>808382</v>
      </c>
      <c r="B1354" s="9" t="inlineStr">
        <is>
          <t>D'Angelo Tejada</t>
        </is>
      </c>
      <c r="C1354" s="9" t="inlineStr">
        <is>
          <t>CWS</t>
        </is>
      </c>
      <c r="D1354" s="9" t="n">
        <v>25</v>
      </c>
      <c r="E1354" s="16" t="inlineStr">
        <is>
          <t>R</t>
        </is>
      </c>
      <c r="F1354" s="16" t="n"/>
      <c r="G1354" s="9" t="n">
        <v>11.93846153846154</v>
      </c>
      <c r="H1354" s="9" t="n">
        <v>11.93846153846154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1" t="n">
        <v>1</v>
      </c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/>
      <c r="Y1354" s="17" t="n">
        <v>1</v>
      </c>
      <c r="Z1354" s="13">
        <f>SUMPRODUCT(N1354:Y1354,$N$2:$Y$2)*$K1354*$L1354*$M1354</f>
        <v/>
      </c>
      <c r="AA1354" s="14">
        <f>SUM(N1354:Y1354)</f>
        <v/>
      </c>
      <c r="AB1354" s="14">
        <f>IFERROR(IF(UPPER($E1354)="L",SUMPRODUCT(N1354:Y1354,$N$3:$Y$3,$N$2:$Y$2),SUMPRODUCT(N1354:Y1354,$N$4:$Y$4,$N$2:$Y$2))/(Z1354/($K1354*$L1354*$M1354)),"")</f>
        <v/>
      </c>
      <c r="AC1354" s="18" t="n"/>
    </row>
    <row r="1355">
      <c r="A1355" s="9" t="n">
        <v>815096</v>
      </c>
      <c r="B1355" s="9" t="inlineStr">
        <is>
          <t>Jackson Appel</t>
        </is>
      </c>
      <c r="C1355" s="9" t="inlineStr">
        <is>
          <t>CWS</t>
        </is>
      </c>
      <c r="D1355" s="9" t="n">
        <v>25</v>
      </c>
      <c r="E1355" s="16" t="inlineStr">
        <is>
          <t>S</t>
        </is>
      </c>
      <c r="F1355" s="16" t="n"/>
      <c r="G1355" s="9" t="n">
        <v>14.35897435897436</v>
      </c>
      <c r="H1355" s="9" t="n">
        <v>14.35897435897436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1" t="n">
        <v>1</v>
      </c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/>
      <c r="Y1355" s="17" t="n">
        <v>1</v>
      </c>
      <c r="Z1355" s="13">
        <f>SUMPRODUCT(N1355:Y1355,$N$2:$Y$2)*$K1355*$L1355*$M1355</f>
        <v/>
      </c>
      <c r="AA1355" s="14">
        <f>SUM(N1355:Y1355)</f>
        <v/>
      </c>
      <c r="AB1355" s="14">
        <f>IFERROR(IF(UPPER($E1355)="L",SUMPRODUCT(N1355:Y1355,$N$3:$Y$3,$N$2:$Y$2),SUMPRODUCT(N1355:Y1355,$N$4:$Y$4,$N$2:$Y$2))/(Z1355/($K1355*$L1355*$M1355)),"")</f>
        <v/>
      </c>
      <c r="AC1355" s="18" t="n"/>
    </row>
    <row r="1356">
      <c r="A1356" s="9" t="n">
        <v>682641</v>
      </c>
      <c r="B1356" s="9" t="inlineStr">
        <is>
          <t>Luis Matos</t>
        </is>
      </c>
      <c r="C1356" s="9" t="inlineStr">
        <is>
          <t>SF</t>
        </is>
      </c>
      <c r="D1356" s="9" t="n">
        <v>25</v>
      </c>
      <c r="E1356" s="16" t="inlineStr">
        <is>
          <t>R</t>
        </is>
      </c>
      <c r="F1356" s="16" t="inlineStr">
        <is>
          <t>RF</t>
        </is>
      </c>
      <c r="G1356" s="9" t="n">
        <v>21</v>
      </c>
      <c r="H1356" s="9" t="n">
        <v>614</v>
      </c>
      <c r="I1356" s="9" t="inlineStr">
        <is>
          <t>Bench Bat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1" t="n">
        <v>1</v>
      </c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/>
      <c r="W1356" s="17" t="n">
        <v>1</v>
      </c>
      <c r="X1356" s="17" t="n"/>
      <c r="Y1356" s="17" t="n"/>
      <c r="Z1356" s="13">
        <f>SUMPRODUCT(N1356:Y1356,$N$2:$Y$2)*$K1356*$L1356*$M1356</f>
        <v/>
      </c>
      <c r="AA1356" s="14">
        <f>SUM(N1356:Y1356)</f>
        <v/>
      </c>
      <c r="AB1356" s="14">
        <f>IFERROR(IF(UPPER($E1356)="L",SUMPRODUCT(N1356:Y1356,$N$3:$Y$3,$N$2:$Y$2),SUMPRODUCT(N1356:Y1356,$N$4:$Y$4,$N$2:$Y$2))/(Z1356/($K1356*$L1356*$M1356)),"")</f>
        <v/>
      </c>
      <c r="AC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1" t="n">
        <v>1</v>
      </c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/>
      <c r="Y1357" s="17" t="n">
        <v>1</v>
      </c>
      <c r="Z1357" s="13">
        <f>SUMPRODUCT(N1357:Y1357,$N$2:$Y$2)*$K1357*$L1357*$M1357</f>
        <v/>
      </c>
      <c r="AA1357" s="14">
        <f>SUM(N1357:Y1357)</f>
        <v/>
      </c>
      <c r="AB1357" s="14">
        <f>IFERROR(IF(UPPER($E1357)="L",SUMPRODUCT(N1357:Y1357,$N$3:$Y$3,$N$2:$Y$2),SUMPRODUCT(N1357:Y1357,$N$4:$Y$4,$N$2:$Y$2))/(Z1357/($K1357*$L1357*$M1357)),"")</f>
        <v/>
      </c>
      <c r="AC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1" t="n">
        <v>1</v>
      </c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/>
      <c r="Y1358" s="17" t="n">
        <v>1</v>
      </c>
      <c r="Z1358" s="13">
        <f>SUMPRODUCT(N1358:Y1358,$N$2:$Y$2)*$K1358*$L1358*$M1358</f>
        <v/>
      </c>
      <c r="AA1358" s="14">
        <f>SUM(N1358:Y1358)</f>
        <v/>
      </c>
      <c r="AB1358" s="14">
        <f>IFERROR(IF(UPPER($E1358)="L",SUMPRODUCT(N1358:Y1358,$N$3:$Y$3,$N$2:$Y$2),SUMPRODUCT(N1358:Y1358,$N$4:$Y$4,$N$2:$Y$2))/(Z1358/($K1358*$L1358*$M1358)),"")</f>
        <v/>
      </c>
      <c r="AC1358" s="18" t="n"/>
    </row>
    <row r="1359">
      <c r="A1359" s="9" t="n">
        <v>703861</v>
      </c>
      <c r="B1359" s="9" t="inlineStr">
        <is>
          <t>Victor Ortega</t>
        </is>
      </c>
      <c r="C1359" s="9" t="inlineStr">
        <is>
          <t>MIA</t>
        </is>
      </c>
      <c r="D1359" s="9" t="n">
        <v>25</v>
      </c>
      <c r="E1359" s="16" t="inlineStr">
        <is>
          <t>L</t>
        </is>
      </c>
      <c r="F1359" s="16" t="n"/>
      <c r="G1359" s="9" t="n">
        <v>9.846153846153848</v>
      </c>
      <c r="H1359" s="9" t="n">
        <v>9.846153846153848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1" t="n">
        <v>1</v>
      </c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/>
      <c r="Y1359" s="17" t="n">
        <v>1</v>
      </c>
      <c r="Z1359" s="13">
        <f>SUMPRODUCT(N1359:Y1359,$N$2:$Y$2)*$K1359*$L1359*$M1359</f>
        <v/>
      </c>
      <c r="AA1359" s="14">
        <f>SUM(N1359:Y1359)</f>
        <v/>
      </c>
      <c r="AB1359" s="14">
        <f>IFERROR(IF(UPPER($E1359)="L",SUMPRODUCT(N1359:Y1359,$N$3:$Y$3,$N$2:$Y$2),SUMPRODUCT(N1359:Y1359,$N$4:$Y$4,$N$2:$Y$2))/(Z1359/($K1359*$L1359*$M1359)),"")</f>
        <v/>
      </c>
      <c r="AC1359" s="18" t="n"/>
    </row>
    <row r="1360">
      <c r="A1360" s="9" t="n">
        <v>694191</v>
      </c>
      <c r="B1360" s="9" t="inlineStr">
        <is>
          <t>Pedro Pineda</t>
        </is>
      </c>
      <c r="C1360" s="9" t="inlineStr">
        <is>
          <t>OAK</t>
        </is>
      </c>
      <c r="D1360" s="9" t="n">
        <v>25</v>
      </c>
      <c r="E1360" s="16" t="inlineStr">
        <is>
          <t>R</t>
        </is>
      </c>
      <c r="F1360" s="16" t="n"/>
      <c r="G1360" s="9" t="n">
        <v>10.05128205128205</v>
      </c>
      <c r="H1360" s="9" t="n">
        <v>10.05128205128205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1" t="n">
        <v>1</v>
      </c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/>
      <c r="Y1360" s="17" t="n">
        <v>1</v>
      </c>
      <c r="Z1360" s="13">
        <f>SUMPRODUCT(N1360:Y1360,$N$2:$Y$2)*$K1360*$L1360*$M1360</f>
        <v/>
      </c>
      <c r="AA1360" s="14">
        <f>SUM(N1360:Y1360)</f>
        <v/>
      </c>
      <c r="AB1360" s="14">
        <f>IFERROR(IF(UPPER($E1360)="L",SUMPRODUCT(N1360:Y1360,$N$3:$Y$3,$N$2:$Y$2),SUMPRODUCT(N1360:Y1360,$N$4:$Y$4,$N$2:$Y$2))/(Z1360/($K1360*$L1360*$M1360)),"")</f>
        <v/>
      </c>
      <c r="AC1360" s="18" t="n"/>
    </row>
    <row r="1361">
      <c r="A1361" s="9" t="n">
        <v>702522</v>
      </c>
      <c r="B1361" s="9" t="inlineStr">
        <is>
          <t>Aiden Taurek</t>
        </is>
      </c>
      <c r="C1361" s="9" t="inlineStr">
        <is>
          <t>SEA</t>
        </is>
      </c>
      <c r="D1361" s="9" t="n">
        <v>25</v>
      </c>
      <c r="E1361" s="16" t="inlineStr">
        <is>
          <t>R</t>
        </is>
      </c>
      <c r="F1361" s="16" t="n"/>
      <c r="G1361" s="9" t="n">
        <v>26.87179487179488</v>
      </c>
      <c r="H1361" s="9" t="n">
        <v>26.87179487179488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1" t="n">
        <v>1</v>
      </c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/>
      <c r="Y1361" s="17" t="n">
        <v>1</v>
      </c>
      <c r="Z1361" s="13">
        <f>SUMPRODUCT(N1361:Y1361,$N$2:$Y$2)*$K1361*$L1361*$M1361</f>
        <v/>
      </c>
      <c r="AA1361" s="14">
        <f>SUM(N1361:Y1361)</f>
        <v/>
      </c>
      <c r="AB1361" s="14">
        <f>IFERROR(IF(UPPER($E1361)="L",SUMPRODUCT(N1361:Y1361,$N$3:$Y$3,$N$2:$Y$2),SUMPRODUCT(N1361:Y1361,$N$4:$Y$4,$N$2:$Y$2))/(Z1361/($K1361*$L1361*$M1361)),"")</f>
        <v/>
      </c>
      <c r="AC1361" s="18" t="n"/>
    </row>
    <row r="1362">
      <c r="A1362" s="9" t="n">
        <v>807083</v>
      </c>
      <c r="B1362" s="9" t="inlineStr">
        <is>
          <t>Nathan Flewelling</t>
        </is>
      </c>
      <c r="C1362" s="9" t="inlineStr">
        <is>
          <t>TB</t>
        </is>
      </c>
      <c r="D1362" s="9" t="n">
        <v>25</v>
      </c>
      <c r="E1362" s="16" t="inlineStr">
        <is>
          <t>L</t>
        </is>
      </c>
      <c r="F1362" s="16" t="n"/>
      <c r="G1362" s="9" t="n">
        <v>97.23076923076924</v>
      </c>
      <c r="H1362" s="9" t="n">
        <v>97.23076923076924</v>
      </c>
      <c r="I1362" s="9" t="inlineStr">
        <is>
          <t>Depth (no MLB PA)</t>
        </is>
      </c>
      <c r="J1362" s="16" t="inlineStr">
        <is>
          <t>Late Season (~Sept)</t>
        </is>
      </c>
      <c r="K1362" s="11">
        <f>IFERROR(INDEX(Roles!$B$17:$B$20,MATCH(J1362,Roles!$A$17:$A$20,0)),1)</f>
        <v/>
      </c>
      <c r="L1362" s="17" t="n">
        <v>1</v>
      </c>
      <c r="M1362" s="11" t="n">
        <v>1</v>
      </c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/>
      <c r="Y1362" s="17" t="n">
        <v>1</v>
      </c>
      <c r="Z1362" s="13">
        <f>SUMPRODUCT(N1362:Y1362,$N$2:$Y$2)*$K1362*$L1362*$M1362</f>
        <v/>
      </c>
      <c r="AA1362" s="14">
        <f>SUM(N1362:Y1362)</f>
        <v/>
      </c>
      <c r="AB1362" s="14">
        <f>IFERROR(IF(UPPER($E1362)="L",SUMPRODUCT(N1362:Y1362,$N$3:$Y$3,$N$2:$Y$2),SUMPRODUCT(N1362:Y1362,$N$4:$Y$4,$N$2:$Y$2))/(Z1362/($K1362*$L1362*$M1362)),"")</f>
        <v/>
      </c>
      <c r="AC1362" s="18" t="n"/>
    </row>
    <row r="1363">
      <c r="A1363" s="9" t="n">
        <v>808027</v>
      </c>
      <c r="B1363" s="9" t="inlineStr">
        <is>
          <t>Juan Sierra</t>
        </is>
      </c>
      <c r="C1363" s="9" t="inlineStr">
        <is>
          <t>HOU</t>
        </is>
      </c>
      <c r="D1363" s="9" t="n">
        <v>25</v>
      </c>
      <c r="E1363" s="16" t="inlineStr">
        <is>
          <t>R</t>
        </is>
      </c>
      <c r="F1363" s="16" t="n"/>
      <c r="G1363" s="9" t="n">
        <v>31.87692307692308</v>
      </c>
      <c r="H1363" s="9" t="n">
        <v>31.87692307692308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1" t="n">
        <v>1</v>
      </c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/>
      <c r="Y1363" s="17" t="n">
        <v>1</v>
      </c>
      <c r="Z1363" s="13">
        <f>SUMPRODUCT(N1363:Y1363,$N$2:$Y$2)*$K1363*$L1363*$M1363</f>
        <v/>
      </c>
      <c r="AA1363" s="14">
        <f>SUM(N1363:Y1363)</f>
        <v/>
      </c>
      <c r="AB1363" s="14">
        <f>IFERROR(IF(UPPER($E1363)="L",SUMPRODUCT(N1363:Y1363,$N$3:$Y$3,$N$2:$Y$2),SUMPRODUCT(N1363:Y1363,$N$4:$Y$4,$N$2:$Y$2))/(Z1363/($K1363*$L1363*$M1363)),"")</f>
        <v/>
      </c>
      <c r="AC1363" s="18" t="n"/>
    </row>
    <row r="1364">
      <c r="A1364" s="9" t="n">
        <v>806953</v>
      </c>
      <c r="B1364" s="9" t="inlineStr">
        <is>
          <t>Eduardo Tait</t>
        </is>
      </c>
      <c r="C1364" s="9" t="inlineStr">
        <is>
          <t>MIN</t>
        </is>
      </c>
      <c r="D1364" s="9" t="n">
        <v>25</v>
      </c>
      <c r="E1364" s="16" t="inlineStr">
        <is>
          <t>L</t>
        </is>
      </c>
      <c r="F1364" s="16" t="n"/>
      <c r="G1364" s="9" t="n">
        <v>103.7948717948718</v>
      </c>
      <c r="H1364" s="9" t="n">
        <v>103.7948717948718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1" t="n">
        <v>1</v>
      </c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/>
      <c r="Y1364" s="17" t="n">
        <v>1</v>
      </c>
      <c r="Z1364" s="13">
        <f>SUMPRODUCT(N1364:Y1364,$N$2:$Y$2)*$K1364*$L1364*$M1364</f>
        <v/>
      </c>
      <c r="AA1364" s="14">
        <f>SUM(N1364:Y1364)</f>
        <v/>
      </c>
      <c r="AB1364" s="14">
        <f>IFERROR(IF(UPPER($E1364)="L",SUMPRODUCT(N1364:Y1364,$N$3:$Y$3,$N$2:$Y$2),SUMPRODUCT(N1364:Y1364,$N$4:$Y$4,$N$2:$Y$2))/(Z1364/($K1364*$L1364*$M1364)),"")</f>
        <v/>
      </c>
      <c r="AC1364" s="18" t="n"/>
    </row>
    <row r="1365">
      <c r="A1365" s="9" t="n">
        <v>800164</v>
      </c>
      <c r="B1365" s="9" t="inlineStr">
        <is>
          <t>Ronny Ugarte</t>
        </is>
      </c>
      <c r="C1365" s="9" t="inlineStr">
        <is>
          <t>COL</t>
        </is>
      </c>
      <c r="D1365" s="9" t="n">
        <v>25</v>
      </c>
      <c r="E1365" s="16" t="inlineStr">
        <is>
          <t>L</t>
        </is>
      </c>
      <c r="F1365" s="16" t="n"/>
      <c r="G1365" s="9" t="n">
        <v>14.64615384615385</v>
      </c>
      <c r="H1365" s="9" t="n">
        <v>14.64615384615385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1" t="n">
        <v>1</v>
      </c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/>
      <c r="Y1365" s="17" t="n">
        <v>1</v>
      </c>
      <c r="Z1365" s="13">
        <f>SUMPRODUCT(N1365:Y1365,$N$2:$Y$2)*$K1365*$L1365*$M1365</f>
        <v/>
      </c>
      <c r="AA1365" s="14">
        <f>SUM(N1365:Y1365)</f>
        <v/>
      </c>
      <c r="AB1365" s="14">
        <f>IFERROR(IF(UPPER($E1365)="L",SUMPRODUCT(N1365:Y1365,$N$3:$Y$3,$N$2:$Y$2),SUMPRODUCT(N1365:Y1365,$N$4:$Y$4,$N$2:$Y$2))/(Z1365/($K1365*$L1365*$M1365)),"")</f>
        <v/>
      </c>
      <c r="AC1365" s="18" t="n"/>
    </row>
    <row r="1366">
      <c r="A1366" s="9" t="n">
        <v>701330</v>
      </c>
      <c r="B1366" s="9" t="inlineStr">
        <is>
          <t>Brody Donay</t>
        </is>
      </c>
      <c r="C1366" s="9" t="inlineStr">
        <is>
          <t>TB</t>
        </is>
      </c>
      <c r="D1366" s="9" t="n">
        <v>25</v>
      </c>
      <c r="E1366" s="16" t="inlineStr">
        <is>
          <t>R</t>
        </is>
      </c>
      <c r="F1366" s="16" t="n"/>
      <c r="G1366" s="9" t="n">
        <v>18.33846153846154</v>
      </c>
      <c r="H1366" s="9" t="n">
        <v>18.33846153846154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1" t="n">
        <v>1</v>
      </c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/>
      <c r="Y1366" s="17" t="n">
        <v>1</v>
      </c>
      <c r="Z1366" s="13">
        <f>SUMPRODUCT(N1366:Y1366,$N$2:$Y$2)*$K1366*$L1366*$M1366</f>
        <v/>
      </c>
      <c r="AA1366" s="14">
        <f>SUM(N1366:Y1366)</f>
        <v/>
      </c>
      <c r="AB1366" s="14">
        <f>IFERROR(IF(UPPER($E1366)="L",SUMPRODUCT(N1366:Y1366,$N$3:$Y$3,$N$2:$Y$2),SUMPRODUCT(N1366:Y1366,$N$4:$Y$4,$N$2:$Y$2))/(Z1366/($K1366*$L1366*$M1366)),"")</f>
        <v/>
      </c>
      <c r="AC1366" s="18" t="n"/>
    </row>
    <row r="1367">
      <c r="A1367" s="9" t="n">
        <v>695606</v>
      </c>
      <c r="B1367" s="9" t="inlineStr">
        <is>
          <t>Ty Hodge</t>
        </is>
      </c>
      <c r="C1367" s="9" t="inlineStr">
        <is>
          <t>BOS</t>
        </is>
      </c>
      <c r="D1367" s="9" t="n">
        <v>25</v>
      </c>
      <c r="E1367" s="16" t="inlineStr">
        <is>
          <t>R</t>
        </is>
      </c>
      <c r="F1367" s="16" t="n"/>
      <c r="G1367" s="9" t="n">
        <v>14.52307692307692</v>
      </c>
      <c r="H1367" s="9" t="n">
        <v>14.52307692307692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1" t="n">
        <v>1</v>
      </c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/>
      <c r="Y1367" s="17" t="n">
        <v>1</v>
      </c>
      <c r="Z1367" s="13">
        <f>SUMPRODUCT(N1367:Y1367,$N$2:$Y$2)*$K1367*$L1367*$M1367</f>
        <v/>
      </c>
      <c r="AA1367" s="14">
        <f>SUM(N1367:Y1367)</f>
        <v/>
      </c>
      <c r="AB1367" s="14">
        <f>IFERROR(IF(UPPER($E1367)="L",SUMPRODUCT(N1367:Y1367,$N$3:$Y$3,$N$2:$Y$2),SUMPRODUCT(N1367:Y1367,$N$4:$Y$4,$N$2:$Y$2))/(Z1367/($K1367*$L1367*$M1367)),"")</f>
        <v/>
      </c>
      <c r="AC1367" s="18" t="n"/>
    </row>
    <row r="1368">
      <c r="A1368" s="9" t="n">
        <v>641531</v>
      </c>
      <c r="B1368" s="9" t="inlineStr">
        <is>
          <t>Hunter Dozier</t>
        </is>
      </c>
      <c r="C1368" s="9" t="inlineStr">
        <is>
          <t>KC</t>
        </is>
      </c>
      <c r="D1368" s="9" t="n">
        <v>35</v>
      </c>
      <c r="E1368" s="16" t="inlineStr">
        <is>
          <t>R</t>
        </is>
      </c>
      <c r="F1368" s="16" t="inlineStr">
        <is>
          <t>3B</t>
        </is>
      </c>
      <c r="G1368" s="9" t="n">
        <v>91</v>
      </c>
      <c r="H1368" s="9" t="n">
        <v>591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1" t="n">
        <v>1</v>
      </c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/>
      <c r="Y1368" s="17" t="n">
        <v>1</v>
      </c>
      <c r="Z1368" s="13">
        <f>SUMPRODUCT(N1368:Y1368,$N$2:$Y$2)*$K1368*$L1368*$M1368</f>
        <v/>
      </c>
      <c r="AA1368" s="14">
        <f>SUM(N1368:Y1368)</f>
        <v/>
      </c>
      <c r="AB1368" s="14">
        <f>IFERROR(IF(UPPER($E1368)="L",SUMPRODUCT(N1368:Y1368,$N$3:$Y$3,$N$2:$Y$2),SUMPRODUCT(N1368:Y1368,$N$4:$Y$4,$N$2:$Y$2))/(Z1368/($K1368*$L1368*$M1368)),"")</f>
        <v/>
      </c>
      <c r="AC1368" s="18" t="n"/>
    </row>
    <row r="1369">
      <c r="A1369" s="9" t="n">
        <v>695524</v>
      </c>
      <c r="B1369" s="9" t="inlineStr">
        <is>
          <t>Jacob Cozart</t>
        </is>
      </c>
      <c r="C1369" s="9" t="inlineStr">
        <is>
          <t>LAA</t>
        </is>
      </c>
      <c r="D1369" s="9" t="n">
        <v>25</v>
      </c>
      <c r="E1369" s="16" t="inlineStr">
        <is>
          <t>L</t>
        </is>
      </c>
      <c r="F1369" s="16" t="n"/>
      <c r="G1369" s="9" t="n">
        <v>156.5128205128205</v>
      </c>
      <c r="H1369" s="9" t="n">
        <v>156.5128205128205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1" t="n">
        <v>1</v>
      </c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/>
      <c r="Y1369" s="17" t="n">
        <v>1</v>
      </c>
      <c r="Z1369" s="13">
        <f>SUMPRODUCT(N1369:Y1369,$N$2:$Y$2)*$K1369*$L1369*$M1369</f>
        <v/>
      </c>
      <c r="AA1369" s="14">
        <f>SUM(N1369:Y1369)</f>
        <v/>
      </c>
      <c r="AB1369" s="14">
        <f>IFERROR(IF(UPPER($E1369)="L",SUMPRODUCT(N1369:Y1369,$N$3:$Y$3,$N$2:$Y$2),SUMPRODUCT(N1369:Y1369,$N$4:$Y$4,$N$2:$Y$2))/(Z1369/($K1369*$L1369*$M1369)),"")</f>
        <v/>
      </c>
      <c r="AC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inlineStr">
        <is>
          <t>RF</t>
        </is>
      </c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1" t="n">
        <v>1</v>
      </c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/>
      <c r="Y1370" s="17" t="n">
        <v>1</v>
      </c>
      <c r="Z1370" s="13">
        <f>SUMPRODUCT(N1370:Y1370,$N$2:$Y$2)*$K1370*$L1370*$M1370</f>
        <v/>
      </c>
      <c r="AA1370" s="14">
        <f>SUM(N1370:Y1370)</f>
        <v/>
      </c>
      <c r="AB1370" s="14">
        <f>IFERROR(IF(UPPER($E1370)="L",SUMPRODUCT(N1370:Y1370,$N$3:$Y$3,$N$2:$Y$2),SUMPRODUCT(N1370:Y1370,$N$4:$Y$4,$N$2:$Y$2))/(Z1370/($K1370*$L1370*$M1370)),"")</f>
        <v/>
      </c>
      <c r="AC1370" s="18" t="n"/>
    </row>
    <row r="1371">
      <c r="A1371" s="9" t="n">
        <v>805491</v>
      </c>
      <c r="B1371" s="9" t="inlineStr">
        <is>
          <t>Aaron Piasecki</t>
        </is>
      </c>
      <c r="C1371" s="9" t="inlineStr">
        <is>
          <t>HOU</t>
        </is>
      </c>
      <c r="D1371" s="9" t="n">
        <v>25</v>
      </c>
      <c r="E1371" s="16" t="inlineStr">
        <is>
          <t>L</t>
        </is>
      </c>
      <c r="F1371" s="16" t="n"/>
      <c r="G1371" s="9" t="n">
        <v>10.33846153846154</v>
      </c>
      <c r="H1371" s="9" t="n">
        <v>10.33846153846154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1" t="n">
        <v>1</v>
      </c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/>
      <c r="Y1371" s="17" t="n">
        <v>1</v>
      </c>
      <c r="Z1371" s="13">
        <f>SUMPRODUCT(N1371:Y1371,$N$2:$Y$2)*$K1371*$L1371*$M1371</f>
        <v/>
      </c>
      <c r="AA1371" s="14">
        <f>SUM(N1371:Y1371)</f>
        <v/>
      </c>
      <c r="AB1371" s="14">
        <f>IFERROR(IF(UPPER($E1371)="L",SUMPRODUCT(N1371:Y1371,$N$3:$Y$3,$N$2:$Y$2),SUMPRODUCT(N1371:Y1371,$N$4:$Y$4,$N$2:$Y$2))/(Z1371/($K1371*$L1371*$M1371)),"")</f>
        <v/>
      </c>
      <c r="AC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Early Season (~May)</t>
        </is>
      </c>
      <c r="K1372" s="11">
        <f>IFERROR(INDEX(Roles!$B$17:$B$20,MATCH(J1372,Roles!$A$17:$A$20,0)),1)</f>
        <v/>
      </c>
      <c r="L1372" s="17" t="n">
        <v>1</v>
      </c>
      <c r="M1372" s="11" t="n">
        <v>1</v>
      </c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/>
      <c r="Y1372" s="17" t="n">
        <v>1</v>
      </c>
      <c r="Z1372" s="13">
        <f>SUMPRODUCT(N1372:Y1372,$N$2:$Y$2)*$K1372*$L1372*$M1372</f>
        <v/>
      </c>
      <c r="AA1372" s="14">
        <f>SUM(N1372:Y1372)</f>
        <v/>
      </c>
      <c r="AB1372" s="14">
        <f>IFERROR(IF(UPPER($E1372)="L",SUMPRODUCT(N1372:Y1372,$N$3:$Y$3,$N$2:$Y$2),SUMPRODUCT(N1372:Y1372,$N$4:$Y$4,$N$2:$Y$2))/(Z1372/($K1372*$L1372*$M1372)),"")</f>
        <v/>
      </c>
      <c r="AC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1" t="n">
        <v>1</v>
      </c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/>
      <c r="Y1373" s="17" t="n">
        <v>1</v>
      </c>
      <c r="Z1373" s="13">
        <f>SUMPRODUCT(N1373:Y1373,$N$2:$Y$2)*$K1373*$L1373*$M1373</f>
        <v/>
      </c>
      <c r="AA1373" s="14">
        <f>SUM(N1373:Y1373)</f>
        <v/>
      </c>
      <c r="AB1373" s="14">
        <f>IFERROR(IF(UPPER($E1373)="L",SUMPRODUCT(N1373:Y1373,$N$3:$Y$3,$N$2:$Y$2),SUMPRODUCT(N1373:Y1373,$N$4:$Y$4,$N$2:$Y$2))/(Z1373/($K1373*$L1373*$M1373)),"")</f>
        <v/>
      </c>
      <c r="AC1373" s="18" t="n"/>
    </row>
    <row r="1374">
      <c r="A1374" s="9" t="n">
        <v>813939</v>
      </c>
      <c r="B1374" s="9" t="inlineStr">
        <is>
          <t>Jan Luis Reyes</t>
        </is>
      </c>
      <c r="C1374" s="9" t="inlineStr">
        <is>
          <t>CHC</t>
        </is>
      </c>
      <c r="D1374" s="9" t="n">
        <v>25</v>
      </c>
      <c r="E1374" s="16" t="inlineStr">
        <is>
          <t>L</t>
        </is>
      </c>
      <c r="F1374" s="16" t="n"/>
      <c r="G1374" s="9" t="n">
        <v>10.21538461538462</v>
      </c>
      <c r="H1374" s="9" t="n">
        <v>10.21538461538462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1" t="n">
        <v>1</v>
      </c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/>
      <c r="Y1374" s="17" t="n">
        <v>1</v>
      </c>
      <c r="Z1374" s="13">
        <f>SUMPRODUCT(N1374:Y1374,$N$2:$Y$2)*$K1374*$L1374*$M1374</f>
        <v/>
      </c>
      <c r="AA1374" s="14">
        <f>SUM(N1374:Y1374)</f>
        <v/>
      </c>
      <c r="AB1374" s="14">
        <f>IFERROR(IF(UPPER($E1374)="L",SUMPRODUCT(N1374:Y1374,$N$3:$Y$3,$N$2:$Y$2),SUMPRODUCT(N1374:Y1374,$N$4:$Y$4,$N$2:$Y$2))/(Z1374/($K1374*$L1374*$M1374)),"")</f>
        <v/>
      </c>
      <c r="AC1374" s="18" t="n"/>
    </row>
    <row r="1375">
      <c r="A1375" s="9" t="n">
        <v>828076</v>
      </c>
      <c r="B1375" s="9" t="inlineStr">
        <is>
          <t>Dax Kilby</t>
        </is>
      </c>
      <c r="C1375" s="9" t="inlineStr">
        <is>
          <t>NYY</t>
        </is>
      </c>
      <c r="D1375" s="9" t="n">
        <v>25</v>
      </c>
      <c r="E1375" s="16" t="inlineStr">
        <is>
          <t>L</t>
        </is>
      </c>
      <c r="F1375" s="16" t="n"/>
      <c r="G1375" s="9" t="n">
        <v>18.95384615384616</v>
      </c>
      <c r="H1375" s="9" t="n">
        <v>18.95384615384616</v>
      </c>
      <c r="I1375" s="9" t="inlineStr">
        <is>
          <t>Depth (no MLB PA)</t>
        </is>
      </c>
      <c r="J1375" s="16" t="inlineStr">
        <is>
          <t>Late Season (~Sept)</t>
        </is>
      </c>
      <c r="K1375" s="11">
        <f>IFERROR(INDEX(Roles!$B$17:$B$20,MATCH(J1375,Roles!$A$17:$A$20,0)),1)</f>
        <v/>
      </c>
      <c r="L1375" s="17" t="n">
        <v>1</v>
      </c>
      <c r="M1375" s="11" t="n">
        <v>1</v>
      </c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/>
      <c r="Y1375" s="17" t="n">
        <v>1</v>
      </c>
      <c r="Z1375" s="13">
        <f>SUMPRODUCT(N1375:Y1375,$N$2:$Y$2)*$K1375*$L1375*$M1375</f>
        <v/>
      </c>
      <c r="AA1375" s="14">
        <f>SUM(N1375:Y1375)</f>
        <v/>
      </c>
      <c r="AB1375" s="14">
        <f>IFERROR(IF(UPPER($E1375)="L",SUMPRODUCT(N1375:Y1375,$N$3:$Y$3,$N$2:$Y$2),SUMPRODUCT(N1375:Y1375,$N$4:$Y$4,$N$2:$Y$2))/(Z1375/($K1375*$L1375*$M1375)),"")</f>
        <v/>
      </c>
      <c r="AC1375" s="18" t="n"/>
    </row>
    <row r="1376">
      <c r="A1376" s="9" t="n">
        <v>680776</v>
      </c>
      <c r="B1376" s="9" t="inlineStr">
        <is>
          <t>Jarren Duran</t>
        </is>
      </c>
      <c r="C1376" s="9" t="inlineStr">
        <is>
          <t>BOS</t>
        </is>
      </c>
      <c r="D1376" s="9" t="n">
        <v>30</v>
      </c>
      <c r="E1376" s="16" t="inlineStr">
        <is>
          <t>L</t>
        </is>
      </c>
      <c r="F1376" s="16" t="inlineStr">
        <is>
          <t>LF</t>
        </is>
      </c>
      <c r="G1376" s="9" t="n">
        <v>608</v>
      </c>
      <c r="H1376" s="9" t="n">
        <v>2624</v>
      </c>
      <c r="I1376" s="9" t="inlineStr">
        <is>
          <t>Strong Side Platoon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1" t="n">
        <v>1.15</v>
      </c>
      <c r="N1376" s="17" t="n">
        <v>0.4</v>
      </c>
      <c r="O1376" s="17" t="n"/>
      <c r="P1376" s="17" t="n">
        <v>0.6</v>
      </c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7" t="n"/>
      <c r="Z1376" s="13">
        <f>SUMPRODUCT(N1376:Y1376,$N$2:$Y$2)*$K1376*$L1376*$M1376</f>
        <v/>
      </c>
      <c r="AA1376" s="14">
        <f>SUM(N1376:Y1376)</f>
        <v/>
      </c>
      <c r="AB1376" s="14">
        <f>IFERROR(IF(UPPER($E1376)="L",SUMPRODUCT(N1376:Y1376,$N$3:$Y$3,$N$2:$Y$2),SUMPRODUCT(N1376:Y1376,$N$4:$Y$4,$N$2:$Y$2))/(Z1376/($K1376*$L1376*$M1376)),"")</f>
        <v/>
      </c>
      <c r="AC1376" s="18" t="n"/>
    </row>
    <row r="1377">
      <c r="A1377" s="9" t="n">
        <v>669742</v>
      </c>
      <c r="B1377" s="9" t="inlineStr">
        <is>
          <t>Darick Hall</t>
        </is>
      </c>
      <c r="C1377" s="9" t="inlineStr">
        <is>
          <t>PHI</t>
        </is>
      </c>
      <c r="D1377" s="9" t="n">
        <v>31</v>
      </c>
      <c r="E1377" s="16" t="inlineStr">
        <is>
          <t>L</t>
        </is>
      </c>
      <c r="F1377" s="16" t="inlineStr">
        <is>
          <t>1B</t>
        </is>
      </c>
      <c r="G1377" s="9" t="n">
        <v>56</v>
      </c>
      <c r="H1377" s="9" t="n">
        <v>198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1" t="n">
        <v>1</v>
      </c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/>
      <c r="Y1377" s="17" t="n">
        <v>1</v>
      </c>
      <c r="Z1377" s="13">
        <f>SUMPRODUCT(N1377:Y1377,$N$2:$Y$2)*$K1377*$L1377*$M1377</f>
        <v/>
      </c>
      <c r="AA1377" s="14">
        <f>SUM(N1377:Y1377)</f>
        <v/>
      </c>
      <c r="AB1377" s="14">
        <f>IFERROR(IF(UPPER($E1377)="L",SUMPRODUCT(N1377:Y1377,$N$3:$Y$3,$N$2:$Y$2),SUMPRODUCT(N1377:Y1377,$N$4:$Y$4,$N$2:$Y$2))/(Z1377/($K1377*$L1377*$M1377)),"")</f>
        <v/>
      </c>
      <c r="AC1377" s="18" t="n"/>
    </row>
    <row r="1378">
      <c r="A1378" s="9" t="n">
        <v>694834</v>
      </c>
      <c r="B1378" s="9" t="inlineStr">
        <is>
          <t>Tyler Wilson</t>
        </is>
      </c>
      <c r="C1378" s="9" t="inlineStr">
        <is>
          <t>NYY</t>
        </is>
      </c>
      <c r="D1378" s="9" t="n">
        <v>25</v>
      </c>
      <c r="E1378" s="16" t="inlineStr">
        <is>
          <t>S</t>
        </is>
      </c>
      <c r="F1378" s="16" t="n"/>
      <c r="G1378" s="9" t="n">
        <v>10.46153846153846</v>
      </c>
      <c r="H1378" s="9" t="n">
        <v>10.46153846153846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1" t="n">
        <v>1</v>
      </c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/>
      <c r="Y1378" s="17" t="n">
        <v>1</v>
      </c>
      <c r="Z1378" s="13">
        <f>SUMPRODUCT(N1378:Y1378,$N$2:$Y$2)*$K1378*$L1378*$M1378</f>
        <v/>
      </c>
      <c r="AA1378" s="14">
        <f>SUM(N1378:Y1378)</f>
        <v/>
      </c>
      <c r="AB1378" s="14">
        <f>IFERROR(IF(UPPER($E1378)="L",SUMPRODUCT(N1378:Y1378,$N$3:$Y$3,$N$2:$Y$2),SUMPRODUCT(N1378:Y1378,$N$4:$Y$4,$N$2:$Y$2))/(Z1378/($K1378*$L1378*$M1378)),"")</f>
        <v/>
      </c>
      <c r="AC1378" s="18" t="n"/>
    </row>
    <row r="1379">
      <c r="A1379" s="9" t="n">
        <v>833382</v>
      </c>
      <c r="B1379" s="9" t="inlineStr">
        <is>
          <t>Owen Hull</t>
        </is>
      </c>
      <c r="C1379" s="9" t="inlineStr">
        <is>
          <t>BOS</t>
        </is>
      </c>
      <c r="D1379" s="9" t="n">
        <v>25</v>
      </c>
      <c r="E1379" s="16" t="inlineStr">
        <is>
          <t>L</t>
        </is>
      </c>
      <c r="F1379" s="16" t="n"/>
      <c r="G1379" s="9" t="n">
        <v>23.38461538461539</v>
      </c>
      <c r="H1379" s="9" t="n">
        <v>23.38461538461539</v>
      </c>
      <c r="I1379" s="9" t="inlineStr">
        <is>
          <t>Depth (no MLB PA)</t>
        </is>
      </c>
      <c r="J1379" s="16" t="inlineStr">
        <is>
          <t>Late Season (~Sept)</t>
        </is>
      </c>
      <c r="K1379" s="11">
        <f>IFERROR(INDEX(Roles!$B$17:$B$20,MATCH(J1379,Roles!$A$17:$A$20,0)),1)</f>
        <v/>
      </c>
      <c r="L1379" s="17" t="n">
        <v>1</v>
      </c>
      <c r="M1379" s="11" t="n">
        <v>1</v>
      </c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/>
      <c r="Y1379" s="17" t="n">
        <v>1</v>
      </c>
      <c r="Z1379" s="13">
        <f>SUMPRODUCT(N1379:Y1379,$N$2:$Y$2)*$K1379*$L1379*$M1379</f>
        <v/>
      </c>
      <c r="AA1379" s="14">
        <f>SUM(N1379:Y1379)</f>
        <v/>
      </c>
      <c r="AB1379" s="14">
        <f>IFERROR(IF(UPPER($E1379)="L",SUMPRODUCT(N1379:Y1379,$N$3:$Y$3,$N$2:$Y$2),SUMPRODUCT(N1379:Y1379,$N$4:$Y$4,$N$2:$Y$2))/(Z1379/($K1379*$L1379*$M1379)),"")</f>
        <v/>
      </c>
      <c r="AC1379" s="18" t="n"/>
    </row>
    <row r="1380">
      <c r="A1380" s="9" t="n">
        <v>803290</v>
      </c>
      <c r="B1380" s="9" t="inlineStr">
        <is>
          <t>Estevan Moreno</t>
        </is>
      </c>
      <c r="C1380" s="9" t="inlineStr">
        <is>
          <t>SEA</t>
        </is>
      </c>
      <c r="D1380" s="9" t="n">
        <v>25</v>
      </c>
      <c r="E1380" s="16" t="inlineStr">
        <is>
          <t>R</t>
        </is>
      </c>
      <c r="F1380" s="16" t="n"/>
      <c r="G1380" s="9" t="n">
        <v>48.61538461538461</v>
      </c>
      <c r="H1380" s="9" t="n">
        <v>48.61538461538461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1" t="n">
        <v>1</v>
      </c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/>
      <c r="Y1380" s="17" t="n">
        <v>1</v>
      </c>
      <c r="Z1380" s="13">
        <f>SUMPRODUCT(N1380:Y1380,$N$2:$Y$2)*$K1380*$L1380*$M1380</f>
        <v/>
      </c>
      <c r="AA1380" s="14">
        <f>SUM(N1380:Y1380)</f>
        <v/>
      </c>
      <c r="AB1380" s="14">
        <f>IFERROR(IF(UPPER($E1380)="L",SUMPRODUCT(N1380:Y1380,$N$3:$Y$3,$N$2:$Y$2),SUMPRODUCT(N1380:Y1380,$N$4:$Y$4,$N$2:$Y$2))/(Z1380/($K1380*$L1380*$M1380)),"")</f>
        <v/>
      </c>
      <c r="AC1380" s="18" t="n"/>
    </row>
    <row r="1381">
      <c r="A1381" s="9" t="n">
        <v>694371</v>
      </c>
      <c r="B1381" s="9" t="inlineStr">
        <is>
          <t>Tommy Troy</t>
        </is>
      </c>
      <c r="C1381" s="9" t="inlineStr">
        <is>
          <t>ARI</t>
        </is>
      </c>
      <c r="D1381" s="9" t="n">
        <v>25</v>
      </c>
      <c r="E1381" s="16" t="inlineStr">
        <is>
          <t>R</t>
        </is>
      </c>
      <c r="F1381" s="16" t="inlineStr">
        <is>
          <t>LF</t>
        </is>
      </c>
      <c r="G1381" s="9" t="n">
        <v>143</v>
      </c>
      <c r="H1381" s="9" t="n">
        <v>143</v>
      </c>
      <c r="I1381" s="9" t="inlineStr">
        <is>
          <t>Bench Bat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1" t="n">
        <v>1</v>
      </c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/>
      <c r="W1381" s="17" t="n">
        <v>1</v>
      </c>
      <c r="X1381" s="17" t="n"/>
      <c r="Y1381" s="17" t="n"/>
      <c r="Z1381" s="13">
        <f>SUMPRODUCT(N1381:Y1381,$N$2:$Y$2)*$K1381*$L1381*$M1381</f>
        <v/>
      </c>
      <c r="AA1381" s="14">
        <f>SUM(N1381:Y1381)</f>
        <v/>
      </c>
      <c r="AB1381" s="14">
        <f>IFERROR(IF(UPPER($E1381)="L",SUMPRODUCT(N1381:Y1381,$N$3:$Y$3,$N$2:$Y$2),SUMPRODUCT(N1381:Y1381,$N$4:$Y$4,$N$2:$Y$2))/(Z1381/($K1381*$L1381*$M1381)),"")</f>
        <v/>
      </c>
      <c r="AC1381" s="18" t="n"/>
    </row>
    <row r="1382">
      <c r="A1382" s="9" t="n">
        <v>821246</v>
      </c>
      <c r="B1382" s="9" t="inlineStr">
        <is>
          <t>Alejandro Blasco</t>
        </is>
      </c>
      <c r="C1382" s="9" t="inlineStr">
        <is>
          <t>CLE</t>
        </is>
      </c>
      <c r="D1382" s="9" t="n">
        <v>25</v>
      </c>
      <c r="E1382" s="16" t="inlineStr">
        <is>
          <t>S</t>
        </is>
      </c>
      <c r="F1382" s="16" t="n"/>
      <c r="G1382" s="9" t="n">
        <v>12.55384615384615</v>
      </c>
      <c r="H1382" s="9" t="n">
        <v>12.55384615384615</v>
      </c>
      <c r="I1382" s="9" t="inlineStr">
        <is>
          <t>Depth (no MLB PA)</t>
        </is>
      </c>
      <c r="J1382" s="16" t="inlineStr">
        <is>
          <t>Late Season (~Sept)</t>
        </is>
      </c>
      <c r="K1382" s="11">
        <f>IFERROR(INDEX(Roles!$B$17:$B$20,MATCH(J1382,Roles!$A$17:$A$20,0)),1)</f>
        <v/>
      </c>
      <c r="L1382" s="17" t="n">
        <v>1</v>
      </c>
      <c r="M1382" s="11" t="n">
        <v>1</v>
      </c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/>
      <c r="Y1382" s="17" t="n">
        <v>1</v>
      </c>
      <c r="Z1382" s="13">
        <f>SUMPRODUCT(N1382:Y1382,$N$2:$Y$2)*$K1382*$L1382*$M1382</f>
        <v/>
      </c>
      <c r="AA1382" s="14">
        <f>SUM(N1382:Y1382)</f>
        <v/>
      </c>
      <c r="AB1382" s="14">
        <f>IFERROR(IF(UPPER($E1382)="L",SUMPRODUCT(N1382:Y1382,$N$3:$Y$3,$N$2:$Y$2),SUMPRODUCT(N1382:Y1382,$N$4:$Y$4,$N$2:$Y$2))/(Z1382/($K1382*$L1382*$M1382)),"")</f>
        <v/>
      </c>
      <c r="AC1382" s="18" t="n"/>
    </row>
    <row r="1383">
      <c r="A1383" s="9" t="n">
        <v>809091</v>
      </c>
      <c r="B1383" s="9" t="inlineStr">
        <is>
          <t>Ben Newton</t>
        </is>
      </c>
      <c r="C1383" s="9" t="inlineStr">
        <is>
          <t>OAK</t>
        </is>
      </c>
      <c r="D1383" s="9" t="n">
        <v>25</v>
      </c>
      <c r="E1383" s="16" t="inlineStr">
        <is>
          <t>S</t>
        </is>
      </c>
      <c r="F1383" s="16" t="n"/>
      <c r="G1383" s="9" t="n">
        <v>10.05128205128205</v>
      </c>
      <c r="H1383" s="9" t="n">
        <v>10.05128205128205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1" t="n">
        <v>1</v>
      </c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/>
      <c r="Y1383" s="17" t="n">
        <v>1</v>
      </c>
      <c r="Z1383" s="13">
        <f>SUMPRODUCT(N1383:Y1383,$N$2:$Y$2)*$K1383*$L1383*$M1383</f>
        <v/>
      </c>
      <c r="AA1383" s="14">
        <f>SUM(N1383:Y1383)</f>
        <v/>
      </c>
      <c r="AB1383" s="14">
        <f>IFERROR(IF(UPPER($E1383)="L",SUMPRODUCT(N1383:Y1383,$N$3:$Y$3,$N$2:$Y$2),SUMPRODUCT(N1383:Y1383,$N$4:$Y$4,$N$2:$Y$2))/(Z1383/($K1383*$L1383*$M1383)),"")</f>
        <v/>
      </c>
      <c r="AC1383" s="18" t="n"/>
    </row>
    <row r="1384">
      <c r="A1384" s="9" t="n">
        <v>812807</v>
      </c>
      <c r="B1384" s="9" t="inlineStr">
        <is>
          <t>Kyle Jones</t>
        </is>
      </c>
      <c r="C1384" s="9" t="inlineStr">
        <is>
          <t>MIL</t>
        </is>
      </c>
      <c r="D1384" s="9" t="n">
        <v>25</v>
      </c>
      <c r="E1384" s="16" t="inlineStr">
        <is>
          <t>R</t>
        </is>
      </c>
      <c r="F1384" s="16" t="n"/>
      <c r="G1384" s="9" t="n">
        <v>12.67692307692308</v>
      </c>
      <c r="H1384" s="9" t="n">
        <v>12.67692307692308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1" t="n">
        <v>1</v>
      </c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/>
      <c r="Y1384" s="17" t="n">
        <v>1</v>
      </c>
      <c r="Z1384" s="13">
        <f>SUMPRODUCT(N1384:Y1384,$N$2:$Y$2)*$K1384*$L1384*$M1384</f>
        <v/>
      </c>
      <c r="AA1384" s="14">
        <f>SUM(N1384:Y1384)</f>
        <v/>
      </c>
      <c r="AB1384" s="14">
        <f>IFERROR(IF(UPPER($E1384)="L",SUMPRODUCT(N1384:Y1384,$N$3:$Y$3,$N$2:$Y$2),SUMPRODUCT(N1384:Y1384,$N$4:$Y$4,$N$2:$Y$2))/(Z1384/($K1384*$L1384*$M1384)),"")</f>
        <v/>
      </c>
      <c r="AC1384" s="18" t="n"/>
    </row>
    <row r="1385">
      <c r="A1385" s="9" t="n">
        <v>543228</v>
      </c>
      <c r="B1385" s="9" t="inlineStr">
        <is>
          <t>Yan Gomes</t>
        </is>
      </c>
      <c r="C1385" s="9" t="inlineStr">
        <is>
          <t>CHC</t>
        </is>
      </c>
      <c r="D1385" s="9" t="n">
        <v>39</v>
      </c>
      <c r="E1385" s="16" t="inlineStr">
        <is>
          <t>R</t>
        </is>
      </c>
      <c r="F1385" s="16" t="inlineStr">
        <is>
          <t>C</t>
        </is>
      </c>
      <c r="G1385" s="9" t="n">
        <v>96</v>
      </c>
      <c r="H1385" s="9" t="n">
        <v>808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1" t="n">
        <v>1</v>
      </c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/>
      <c r="Y1385" s="17" t="n">
        <v>1</v>
      </c>
      <c r="Z1385" s="13">
        <f>SUMPRODUCT(N1385:Y1385,$N$2:$Y$2)*$K1385*$L1385*$M1385</f>
        <v/>
      </c>
      <c r="AA1385" s="14">
        <f>SUM(N1385:Y1385)</f>
        <v/>
      </c>
      <c r="AB1385" s="14">
        <f>IFERROR(IF(UPPER($E1385)="L",SUMPRODUCT(N1385:Y1385,$N$3:$Y$3,$N$2:$Y$2),SUMPRODUCT(N1385:Y1385,$N$4:$Y$4,$N$2:$Y$2))/(Z1385/($K1385*$L1385*$M1385)),"")</f>
        <v/>
      </c>
      <c r="AC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1" t="n">
        <v>1</v>
      </c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/>
      <c r="Y1386" s="17" t="n">
        <v>1</v>
      </c>
      <c r="Z1386" s="13">
        <f>SUMPRODUCT(N1386:Y1386,$N$2:$Y$2)*$K1386*$L1386*$M1386</f>
        <v/>
      </c>
      <c r="AA1386" s="14">
        <f>SUM(N1386:Y1386)</f>
        <v/>
      </c>
      <c r="AB1386" s="14">
        <f>IFERROR(IF(UPPER($E1386)="L",SUMPRODUCT(N1386:Y1386,$N$3:$Y$3,$N$2:$Y$2),SUMPRODUCT(N1386:Y1386,$N$4:$Y$4,$N$2:$Y$2))/(Z1386/($K1386*$L1386*$M1386)),"")</f>
        <v/>
      </c>
      <c r="AC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1" t="n">
        <v>1</v>
      </c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/>
      <c r="Y1387" s="17" t="n">
        <v>1</v>
      </c>
      <c r="Z1387" s="13">
        <f>SUMPRODUCT(N1387:Y1387,$N$2:$Y$2)*$K1387*$L1387*$M1387</f>
        <v/>
      </c>
      <c r="AA1387" s="14">
        <f>SUM(N1387:Y1387)</f>
        <v/>
      </c>
      <c r="AB1387" s="14">
        <f>IFERROR(IF(UPPER($E1387)="L",SUMPRODUCT(N1387:Y1387,$N$3:$Y$3,$N$2:$Y$2),SUMPRODUCT(N1387:Y1387,$N$4:$Y$4,$N$2:$Y$2))/(Z1387/($K1387*$L1387*$M1387)),"")</f>
        <v/>
      </c>
      <c r="AC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1" t="n">
        <v>1</v>
      </c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/>
      <c r="Y1388" s="17" t="n">
        <v>1</v>
      </c>
      <c r="Z1388" s="13">
        <f>SUMPRODUCT(N1388:Y1388,$N$2:$Y$2)*$K1388*$L1388*$M1388</f>
        <v/>
      </c>
      <c r="AA1388" s="14">
        <f>SUM(N1388:Y1388)</f>
        <v/>
      </c>
      <c r="AB1388" s="14">
        <f>IFERROR(IF(UPPER($E1388)="L",SUMPRODUCT(N1388:Y1388,$N$3:$Y$3,$N$2:$Y$2),SUMPRODUCT(N1388:Y1388,$N$4:$Y$4,$N$2:$Y$2))/(Z1388/($K1388*$L1388*$M1388)),"")</f>
        <v/>
      </c>
      <c r="AC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1" t="n">
        <v>1</v>
      </c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/>
      <c r="Y1389" s="17" t="n">
        <v>1</v>
      </c>
      <c r="Z1389" s="13">
        <f>SUMPRODUCT(N1389:Y1389,$N$2:$Y$2)*$K1389*$L1389*$M1389</f>
        <v/>
      </c>
      <c r="AA1389" s="14">
        <f>SUM(N1389:Y1389)</f>
        <v/>
      </c>
      <c r="AB1389" s="14">
        <f>IFERROR(IF(UPPER($E1389)="L",SUMPRODUCT(N1389:Y1389,$N$3:$Y$3,$N$2:$Y$2),SUMPRODUCT(N1389:Y1389,$N$4:$Y$4,$N$2:$Y$2))/(Z1389/($K1389*$L1389*$M1389)),"")</f>
        <v/>
      </c>
      <c r="AC1389" s="18" t="n"/>
    </row>
    <row r="1390">
      <c r="A1390" s="9" t="n">
        <v>699111</v>
      </c>
      <c r="B1390" s="9" t="inlineStr">
        <is>
          <t>Diego Omana</t>
        </is>
      </c>
      <c r="C1390" s="9" t="inlineStr">
        <is>
          <t>CIN</t>
        </is>
      </c>
      <c r="D1390" s="9" t="n">
        <v>25</v>
      </c>
      <c r="E1390" s="16" t="inlineStr">
        <is>
          <t>R</t>
        </is>
      </c>
      <c r="F1390" s="16" t="n"/>
      <c r="G1390" s="9" t="n">
        <v>10.41025641025641</v>
      </c>
      <c r="H1390" s="9" t="n">
        <v>10.41025641025641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1" t="n">
        <v>1</v>
      </c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/>
      <c r="Y1390" s="17" t="n">
        <v>1</v>
      </c>
      <c r="Z1390" s="13">
        <f>SUMPRODUCT(N1390:Y1390,$N$2:$Y$2)*$K1390*$L1390*$M1390</f>
        <v/>
      </c>
      <c r="AA1390" s="14">
        <f>SUM(N1390:Y1390)</f>
        <v/>
      </c>
      <c r="AB1390" s="14">
        <f>IFERROR(IF(UPPER($E1390)="L",SUMPRODUCT(N1390:Y1390,$N$3:$Y$3,$N$2:$Y$2),SUMPRODUCT(N1390:Y1390,$N$4:$Y$4,$N$2:$Y$2))/(Z1390/($K1390*$L1390*$M1390)),"")</f>
        <v/>
      </c>
      <c r="AC1390" s="18" t="n"/>
    </row>
    <row r="1391">
      <c r="A1391" s="9" t="n">
        <v>676053</v>
      </c>
      <c r="B1391" s="9" t="inlineStr">
        <is>
          <t>Casey Opitz</t>
        </is>
      </c>
      <c r="C1391" s="9" t="inlineStr">
        <is>
          <t>CHC</t>
        </is>
      </c>
      <c r="D1391" s="9" t="n">
        <v>25</v>
      </c>
      <c r="E1391" s="16" t="inlineStr">
        <is>
          <t>S</t>
        </is>
      </c>
      <c r="F1391" s="16" t="n"/>
      <c r="G1391" s="9" t="n">
        <v>25.94871794871795</v>
      </c>
      <c r="H1391" s="9" t="n">
        <v>25.94871794871795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1" t="n">
        <v>1</v>
      </c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/>
      <c r="Y1391" s="17" t="n">
        <v>1</v>
      </c>
      <c r="Z1391" s="13">
        <f>SUMPRODUCT(N1391:Y1391,$N$2:$Y$2)*$K1391*$L1391*$M1391</f>
        <v/>
      </c>
      <c r="AA1391" s="14">
        <f>SUM(N1391:Y1391)</f>
        <v/>
      </c>
      <c r="AB1391" s="14">
        <f>IFERROR(IF(UPPER($E1391)="L",SUMPRODUCT(N1391:Y1391,$N$3:$Y$3,$N$2:$Y$2),SUMPRODUCT(N1391:Y1391,$N$4:$Y$4,$N$2:$Y$2))/(Z1391/($K1391*$L1391*$M1391)),"")</f>
        <v/>
      </c>
      <c r="AC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1" t="n">
        <v>1</v>
      </c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/>
      <c r="Y1392" s="17" t="n">
        <v>1</v>
      </c>
      <c r="Z1392" s="13">
        <f>SUMPRODUCT(N1392:Y1392,$N$2:$Y$2)*$K1392*$L1392*$M1392</f>
        <v/>
      </c>
      <c r="AA1392" s="14">
        <f>SUM(N1392:Y1392)</f>
        <v/>
      </c>
      <c r="AB1392" s="14">
        <f>IFERROR(IF(UPPER($E1392)="L",SUMPRODUCT(N1392:Y1392,$N$3:$Y$3,$N$2:$Y$2),SUMPRODUCT(N1392:Y1392,$N$4:$Y$4,$N$2:$Y$2))/(Z1392/($K1392*$L1392*$M1392)),"")</f>
        <v/>
      </c>
      <c r="AC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1" t="n">
        <v>1</v>
      </c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/>
      <c r="Y1393" s="17" t="n">
        <v>1</v>
      </c>
      <c r="Z1393" s="13">
        <f>SUMPRODUCT(N1393:Y1393,$N$2:$Y$2)*$K1393*$L1393*$M1393</f>
        <v/>
      </c>
      <c r="AA1393" s="14">
        <f>SUM(N1393:Y1393)</f>
        <v/>
      </c>
      <c r="AB1393" s="14">
        <f>IFERROR(IF(UPPER($E1393)="L",SUMPRODUCT(N1393:Y1393,$N$3:$Y$3,$N$2:$Y$2),SUMPRODUCT(N1393:Y1393,$N$4:$Y$4,$N$2:$Y$2))/(Z1393/($K1393*$L1393*$M1393)),"")</f>
        <v/>
      </c>
      <c r="AC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1" t="n">
        <v>1</v>
      </c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/>
      <c r="Y1394" s="17" t="n">
        <v>1</v>
      </c>
      <c r="Z1394" s="13">
        <f>SUMPRODUCT(N1394:Y1394,$N$2:$Y$2)*$K1394*$L1394*$M1394</f>
        <v/>
      </c>
      <c r="AA1394" s="14">
        <f>SUM(N1394:Y1394)</f>
        <v/>
      </c>
      <c r="AB1394" s="14">
        <f>IFERROR(IF(UPPER($E1394)="L",SUMPRODUCT(N1394:Y1394,$N$3:$Y$3,$N$2:$Y$2),SUMPRODUCT(N1394:Y1394,$N$4:$Y$4,$N$2:$Y$2))/(Z1394/($K1394*$L1394*$M1394)),"")</f>
        <v/>
      </c>
      <c r="AC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1" t="n">
        <v>1</v>
      </c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/>
      <c r="Y1395" s="17" t="n">
        <v>1</v>
      </c>
      <c r="Z1395" s="13">
        <f>SUMPRODUCT(N1395:Y1395,$N$2:$Y$2)*$K1395*$L1395*$M1395</f>
        <v/>
      </c>
      <c r="AA1395" s="14">
        <f>SUM(N1395:Y1395)</f>
        <v/>
      </c>
      <c r="AB1395" s="14">
        <f>IFERROR(IF(UPPER($E1395)="L",SUMPRODUCT(N1395:Y1395,$N$3:$Y$3,$N$2:$Y$2),SUMPRODUCT(N1395:Y1395,$N$4:$Y$4,$N$2:$Y$2))/(Z1395/($K1395*$L1395*$M1395)),"")</f>
        <v/>
      </c>
      <c r="AC1395" s="18" t="n"/>
    </row>
    <row r="1396">
      <c r="A1396" s="9" t="n">
        <v>808708</v>
      </c>
      <c r="B1396" s="9" t="inlineStr">
        <is>
          <t>Marcelo Alcala</t>
        </is>
      </c>
      <c r="C1396" s="9" t="inlineStr">
        <is>
          <t>CWS</t>
        </is>
      </c>
      <c r="D1396" s="9" t="n">
        <v>25</v>
      </c>
      <c r="E1396" s="16" t="inlineStr">
        <is>
          <t>R</t>
        </is>
      </c>
      <c r="F1396" s="16" t="n"/>
      <c r="G1396" s="9" t="n">
        <v>16.73846153846154</v>
      </c>
      <c r="H1396" s="9" t="n">
        <v>16.73846153846154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1" t="n">
        <v>1</v>
      </c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/>
      <c r="Y1396" s="17" t="n">
        <v>1</v>
      </c>
      <c r="Z1396" s="13">
        <f>SUMPRODUCT(N1396:Y1396,$N$2:$Y$2)*$K1396*$L1396*$M1396</f>
        <v/>
      </c>
      <c r="AA1396" s="14">
        <f>SUM(N1396:Y1396)</f>
        <v/>
      </c>
      <c r="AB1396" s="14">
        <f>IFERROR(IF(UPPER($E1396)="L",SUMPRODUCT(N1396:Y1396,$N$3:$Y$3,$N$2:$Y$2),SUMPRODUCT(N1396:Y1396,$N$4:$Y$4,$N$2:$Y$2))/(Z1396/($K1396*$L1396*$M1396)),"")</f>
        <v/>
      </c>
      <c r="AC1396" s="18" t="n"/>
    </row>
    <row r="1397">
      <c r="A1397" s="9" t="n">
        <v>805550</v>
      </c>
      <c r="B1397" s="9" t="inlineStr">
        <is>
          <t>Ryan Weingartner</t>
        </is>
      </c>
      <c r="C1397" s="9" t="inlineStr">
        <is>
          <t>STL</t>
        </is>
      </c>
      <c r="D1397" s="9" t="n">
        <v>25</v>
      </c>
      <c r="E1397" s="16" t="inlineStr">
        <is>
          <t>R</t>
        </is>
      </c>
      <c r="F1397" s="16" t="n"/>
      <c r="G1397" s="9" t="n">
        <v>10.66666666666667</v>
      </c>
      <c r="H1397" s="9" t="n">
        <v>10.66666666666667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1" t="n">
        <v>1</v>
      </c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/>
      <c r="Y1397" s="17" t="n">
        <v>1</v>
      </c>
      <c r="Z1397" s="13">
        <f>SUMPRODUCT(N1397:Y1397,$N$2:$Y$2)*$K1397*$L1397*$M1397</f>
        <v/>
      </c>
      <c r="AA1397" s="14">
        <f>SUM(N1397:Y1397)</f>
        <v/>
      </c>
      <c r="AB1397" s="14">
        <f>IFERROR(IF(UPPER($E1397)="L",SUMPRODUCT(N1397:Y1397,$N$3:$Y$3,$N$2:$Y$2),SUMPRODUCT(N1397:Y1397,$N$4:$Y$4,$N$2:$Y$2))/(Z1397/($K1397*$L1397*$M1397)),"")</f>
        <v/>
      </c>
      <c r="AC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1" t="n">
        <v>1</v>
      </c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/>
      <c r="Y1398" s="17" t="n">
        <v>1</v>
      </c>
      <c r="Z1398" s="13">
        <f>SUMPRODUCT(N1398:Y1398,$N$2:$Y$2)*$K1398*$L1398*$M1398</f>
        <v/>
      </c>
      <c r="AA1398" s="14">
        <f>SUM(N1398:Y1398)</f>
        <v/>
      </c>
      <c r="AB1398" s="14">
        <f>IFERROR(IF(UPPER($E1398)="L",SUMPRODUCT(N1398:Y1398,$N$3:$Y$3,$N$2:$Y$2),SUMPRODUCT(N1398:Y1398,$N$4:$Y$4,$N$2:$Y$2))/(Z1398/($K1398*$L1398*$M1398)),"")</f>
        <v/>
      </c>
      <c r="AC1398" s="18" t="n"/>
    </row>
    <row r="1399">
      <c r="A1399" s="9" t="n">
        <v>812518</v>
      </c>
      <c r="B1399" s="9" t="inlineStr">
        <is>
          <t>Camden Janik</t>
        </is>
      </c>
      <c r="C1399" s="9" t="inlineStr">
        <is>
          <t>PIT</t>
        </is>
      </c>
      <c r="D1399" s="9" t="n">
        <v>25</v>
      </c>
      <c r="E1399" s="16" t="inlineStr">
        <is>
          <t>R</t>
        </is>
      </c>
      <c r="F1399" s="16" t="n"/>
      <c r="G1399" s="9" t="n">
        <v>10.76923076923077</v>
      </c>
      <c r="H1399" s="9" t="n">
        <v>10.76923076923077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1" t="n">
        <v>1</v>
      </c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/>
      <c r="Y1399" s="17" t="n">
        <v>1</v>
      </c>
      <c r="Z1399" s="13">
        <f>SUMPRODUCT(N1399:Y1399,$N$2:$Y$2)*$K1399*$L1399*$M1399</f>
        <v/>
      </c>
      <c r="AA1399" s="14">
        <f>SUM(N1399:Y1399)</f>
        <v/>
      </c>
      <c r="AB1399" s="14">
        <f>IFERROR(IF(UPPER($E1399)="L",SUMPRODUCT(N1399:Y1399,$N$3:$Y$3,$N$2:$Y$2),SUMPRODUCT(N1399:Y1399,$N$4:$Y$4,$N$2:$Y$2))/(Z1399/($K1399*$L1399*$M1399)),"")</f>
        <v/>
      </c>
      <c r="AC1399" s="18" t="n"/>
    </row>
    <row r="1400">
      <c r="A1400" s="9" t="n">
        <v>813916</v>
      </c>
      <c r="B1400" s="9" t="inlineStr">
        <is>
          <t>Kellon Lindsey</t>
        </is>
      </c>
      <c r="C1400" s="9" t="inlineStr">
        <is>
          <t>LAD</t>
        </is>
      </c>
      <c r="D1400" s="9" t="n">
        <v>25</v>
      </c>
      <c r="E1400" s="16" t="inlineStr">
        <is>
          <t>R</t>
        </is>
      </c>
      <c r="F1400" s="16" t="n"/>
      <c r="G1400" s="9" t="n">
        <v>34.33846153846154</v>
      </c>
      <c r="H1400" s="9" t="n">
        <v>34.33846153846154</v>
      </c>
      <c r="I1400" s="9" t="inlineStr">
        <is>
          <t>Depth (no MLB PA)</t>
        </is>
      </c>
      <c r="J1400" s="16" t="inlineStr">
        <is>
          <t>Late Season (~Sept)</t>
        </is>
      </c>
      <c r="K1400" s="11">
        <f>IFERROR(INDEX(Roles!$B$17:$B$20,MATCH(J1400,Roles!$A$17:$A$20,0)),1)</f>
        <v/>
      </c>
      <c r="L1400" s="17" t="n">
        <v>1</v>
      </c>
      <c r="M1400" s="11" t="n">
        <v>1</v>
      </c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/>
      <c r="Y1400" s="17" t="n">
        <v>1</v>
      </c>
      <c r="Z1400" s="13">
        <f>SUMPRODUCT(N1400:Y1400,$N$2:$Y$2)*$K1400*$L1400*$M1400</f>
        <v/>
      </c>
      <c r="AA1400" s="14">
        <f>SUM(N1400:Y1400)</f>
        <v/>
      </c>
      <c r="AB1400" s="14">
        <f>IFERROR(IF(UPPER($E1400)="L",SUMPRODUCT(N1400:Y1400,$N$3:$Y$3,$N$2:$Y$2),SUMPRODUCT(N1400:Y1400,$N$4:$Y$4,$N$2:$Y$2))/(Z1400/($K1400*$L1400*$M1400)),"")</f>
        <v/>
      </c>
      <c r="AC1400" s="18" t="n"/>
    </row>
    <row r="1401">
      <c r="A1401" s="9" t="n">
        <v>687521</v>
      </c>
      <c r="B1401" s="9" t="inlineStr">
        <is>
          <t>Eric Brown Jr.</t>
        </is>
      </c>
      <c r="C1401" s="9" t="inlineStr">
        <is>
          <t>MIL</t>
        </is>
      </c>
      <c r="D1401" s="9" t="n">
        <v>25</v>
      </c>
      <c r="E1401" s="16" t="inlineStr">
        <is>
          <t>R</t>
        </is>
      </c>
      <c r="F1401" s="16" t="n"/>
      <c r="G1401" s="9" t="n">
        <v>26.51282051282051</v>
      </c>
      <c r="H1401" s="9" t="n">
        <v>26.51282051282051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1" t="n">
        <v>1</v>
      </c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/>
      <c r="Y1401" s="17" t="n">
        <v>1</v>
      </c>
      <c r="Z1401" s="13">
        <f>SUMPRODUCT(N1401:Y1401,$N$2:$Y$2)*$K1401*$L1401*$M1401</f>
        <v/>
      </c>
      <c r="AA1401" s="14">
        <f>SUM(N1401:Y1401)</f>
        <v/>
      </c>
      <c r="AB1401" s="14">
        <f>IFERROR(IF(UPPER($E1401)="L",SUMPRODUCT(N1401:Y1401,$N$3:$Y$3,$N$2:$Y$2),SUMPRODUCT(N1401:Y1401,$N$4:$Y$4,$N$2:$Y$2))/(Z1401/($K1401*$L1401*$M1401)),"")</f>
        <v/>
      </c>
      <c r="AC1401" s="18" t="n"/>
    </row>
    <row r="1402">
      <c r="A1402" s="9" t="n">
        <v>694194</v>
      </c>
      <c r="B1402" s="9" t="inlineStr">
        <is>
          <t>Miguel Bleis</t>
        </is>
      </c>
      <c r="C1402" s="9" t="inlineStr">
        <is>
          <t>BOS</t>
        </is>
      </c>
      <c r="D1402" s="9" t="n">
        <v>25</v>
      </c>
      <c r="E1402" s="16" t="inlineStr">
        <is>
          <t>R</t>
        </is>
      </c>
      <c r="F1402" s="16" t="n"/>
      <c r="G1402" s="9" t="n">
        <v>124.5641025641026</v>
      </c>
      <c r="H1402" s="9" t="n">
        <v>124.5641025641026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1" t="n">
        <v>1</v>
      </c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/>
      <c r="Y1402" s="17" t="n">
        <v>1</v>
      </c>
      <c r="Z1402" s="13">
        <f>SUMPRODUCT(N1402:Y1402,$N$2:$Y$2)*$K1402*$L1402*$M1402</f>
        <v/>
      </c>
      <c r="AA1402" s="14">
        <f>SUM(N1402:Y1402)</f>
        <v/>
      </c>
      <c r="AB1402" s="14">
        <f>IFERROR(IF(UPPER($E1402)="L",SUMPRODUCT(N1402:Y1402,$N$3:$Y$3,$N$2:$Y$2),SUMPRODUCT(N1402:Y1402,$N$4:$Y$4,$N$2:$Y$2))/(Z1402/($K1402*$L1402*$M1402)),"")</f>
        <v/>
      </c>
      <c r="AC1402" s="18" t="n"/>
    </row>
    <row r="1403">
      <c r="A1403" s="9" t="n">
        <v>824424</v>
      </c>
      <c r="B1403" s="9" t="inlineStr">
        <is>
          <t>Bear Harrison</t>
        </is>
      </c>
      <c r="C1403" s="9" t="inlineStr">
        <is>
          <t>NYY</t>
        </is>
      </c>
      <c r="D1403" s="9" t="n">
        <v>25</v>
      </c>
      <c r="E1403" s="16" t="inlineStr">
        <is>
          <t>R</t>
        </is>
      </c>
      <c r="F1403" s="16" t="n"/>
      <c r="G1403" s="9" t="n">
        <v>10.58461538461538</v>
      </c>
      <c r="H1403" s="9" t="n">
        <v>10.58461538461538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1" t="n">
        <v>1</v>
      </c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/>
      <c r="Y1403" s="17" t="n">
        <v>1</v>
      </c>
      <c r="Z1403" s="13">
        <f>SUMPRODUCT(N1403:Y1403,$N$2:$Y$2)*$K1403*$L1403*$M1403</f>
        <v/>
      </c>
      <c r="AA1403" s="14">
        <f>SUM(N1403:Y1403)</f>
        <v/>
      </c>
      <c r="AB1403" s="14">
        <f>IFERROR(IF(UPPER($E1403)="L",SUMPRODUCT(N1403:Y1403,$N$3:$Y$3,$N$2:$Y$2),SUMPRODUCT(N1403:Y1403,$N$4:$Y$4,$N$2:$Y$2))/(Z1403/($K1403*$L1403*$M1403)),"")</f>
        <v/>
      </c>
      <c r="AC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1" t="n">
        <v>1</v>
      </c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/>
      <c r="Y1404" s="17" t="n">
        <v>1</v>
      </c>
      <c r="Z1404" s="13">
        <f>SUMPRODUCT(N1404:Y1404,$N$2:$Y$2)*$K1404*$L1404*$M1404</f>
        <v/>
      </c>
      <c r="AA1404" s="14">
        <f>SUM(N1404:Y1404)</f>
        <v/>
      </c>
      <c r="AB1404" s="14">
        <f>IFERROR(IF(UPPER($E1404)="L",SUMPRODUCT(N1404:Y1404,$N$3:$Y$3,$N$2:$Y$2),SUMPRODUCT(N1404:Y1404,$N$4:$Y$4,$N$2:$Y$2))/(Z1404/($K1404*$L1404*$M1404)),"")</f>
        <v/>
      </c>
      <c r="AC1404" s="18" t="n"/>
    </row>
    <row r="1405">
      <c r="A1405" s="9" t="n">
        <v>809372</v>
      </c>
      <c r="B1405" s="9" t="inlineStr">
        <is>
          <t>Victor Figueroa</t>
        </is>
      </c>
      <c r="C1405" s="9" t="inlineStr">
        <is>
          <t>BAL</t>
        </is>
      </c>
      <c r="D1405" s="9" t="n">
        <v>25</v>
      </c>
      <c r="E1405" s="16" t="inlineStr">
        <is>
          <t>L</t>
        </is>
      </c>
      <c r="F1405" s="16" t="n"/>
      <c r="G1405" s="9" t="n">
        <v>53.12820512820512</v>
      </c>
      <c r="H1405" s="9" t="n">
        <v>53.12820512820512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1" t="n">
        <v>1</v>
      </c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/>
      <c r="Y1405" s="17" t="n">
        <v>1</v>
      </c>
      <c r="Z1405" s="13">
        <f>SUMPRODUCT(N1405:Y1405,$N$2:$Y$2)*$K1405*$L1405*$M1405</f>
        <v/>
      </c>
      <c r="AA1405" s="14">
        <f>SUM(N1405:Y1405)</f>
        <v/>
      </c>
      <c r="AB1405" s="14">
        <f>IFERROR(IF(UPPER($E1405)="L",SUMPRODUCT(N1405:Y1405,$N$3:$Y$3,$N$2:$Y$2),SUMPRODUCT(N1405:Y1405,$N$4:$Y$4,$N$2:$Y$2))/(Z1405/($K1405*$L1405*$M1405)),"")</f>
        <v/>
      </c>
      <c r="AC1405" s="18" t="n"/>
    </row>
    <row r="1406">
      <c r="A1406" s="9" t="n">
        <v>641553</v>
      </c>
      <c r="B1406" s="9" t="inlineStr">
        <is>
          <t>Adam Engel</t>
        </is>
      </c>
      <c r="C1406" s="9" t="inlineStr">
        <is>
          <t>CWS</t>
        </is>
      </c>
      <c r="D1406" s="9" t="n">
        <v>35</v>
      </c>
      <c r="E1406" s="16" t="inlineStr">
        <is>
          <t>R</t>
        </is>
      </c>
      <c r="F1406" s="16" t="inlineStr">
        <is>
          <t>CF</t>
        </is>
      </c>
      <c r="G1406" s="9" t="n">
        <v>6</v>
      </c>
      <c r="H1406" s="9" t="n">
        <v>266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1" t="n">
        <v>1</v>
      </c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/>
      <c r="Y1406" s="17" t="n">
        <v>1</v>
      </c>
      <c r="Z1406" s="13">
        <f>SUMPRODUCT(N1406:Y1406,$N$2:$Y$2)*$K1406*$L1406*$M1406</f>
        <v/>
      </c>
      <c r="AA1406" s="14">
        <f>SUM(N1406:Y1406)</f>
        <v/>
      </c>
      <c r="AB1406" s="14">
        <f>IFERROR(IF(UPPER($E1406)="L",SUMPRODUCT(N1406:Y1406,$N$3:$Y$3,$N$2:$Y$2),SUMPRODUCT(N1406:Y1406,$N$4:$Y$4,$N$2:$Y$2))/(Z1406/($K1406*$L1406*$M1406)),"")</f>
        <v/>
      </c>
      <c r="AC1406" s="18" t="n"/>
    </row>
    <row r="1407">
      <c r="A1407" s="9" t="n">
        <v>812185</v>
      </c>
      <c r="B1407" s="9" t="inlineStr">
        <is>
          <t>Clay Burdette</t>
        </is>
      </c>
      <c r="C1407" s="9" t="inlineStr">
        <is>
          <t>CWS</t>
        </is>
      </c>
      <c r="D1407" s="9" t="n">
        <v>25</v>
      </c>
      <c r="E1407" s="16" t="inlineStr">
        <is>
          <t>R</t>
        </is>
      </c>
      <c r="F1407" s="16" t="n"/>
      <c r="G1407" s="9" t="n">
        <v>14.76923076923077</v>
      </c>
      <c r="H1407" s="9" t="n">
        <v>14.76923076923077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1" t="n">
        <v>1</v>
      </c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/>
      <c r="Y1407" s="17" t="n">
        <v>1</v>
      </c>
      <c r="Z1407" s="13">
        <f>SUMPRODUCT(N1407:Y1407,$N$2:$Y$2)*$K1407*$L1407*$M1407</f>
        <v/>
      </c>
      <c r="AA1407" s="14">
        <f>SUM(N1407:Y1407)</f>
        <v/>
      </c>
      <c r="AB1407" s="14">
        <f>IFERROR(IF(UPPER($E1407)="L",SUMPRODUCT(N1407:Y1407,$N$3:$Y$3,$N$2:$Y$2),SUMPRODUCT(N1407:Y1407,$N$4:$Y$4,$N$2:$Y$2))/(Z1407/($K1407*$L1407*$M1407)),"")</f>
        <v/>
      </c>
      <c r="AC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1" t="n">
        <v>1</v>
      </c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/>
      <c r="Y1408" s="17" t="n">
        <v>1</v>
      </c>
      <c r="Z1408" s="13">
        <f>SUMPRODUCT(N1408:Y1408,$N$2:$Y$2)*$K1408*$L1408*$M1408</f>
        <v/>
      </c>
      <c r="AA1408" s="14">
        <f>SUM(N1408:Y1408)</f>
        <v/>
      </c>
      <c r="AB1408" s="14">
        <f>IFERROR(IF(UPPER($E1408)="L",SUMPRODUCT(N1408:Y1408,$N$3:$Y$3,$N$2:$Y$2),SUMPRODUCT(N1408:Y1408,$N$4:$Y$4,$N$2:$Y$2))/(Z1408/($K1408*$L1408*$M1408)),"")</f>
        <v/>
      </c>
      <c r="AC1408" s="18" t="n"/>
    </row>
    <row r="1409">
      <c r="A1409" s="9" t="n">
        <v>687201</v>
      </c>
      <c r="B1409" s="9" t="inlineStr">
        <is>
          <t>Kevin Kilpatrick Jr.</t>
        </is>
      </c>
      <c r="C1409" s="9" t="inlineStr">
        <is>
          <t>ATL</t>
        </is>
      </c>
      <c r="D1409" s="9" t="n">
        <v>25</v>
      </c>
      <c r="E1409" s="16" t="inlineStr">
        <is>
          <t>R</t>
        </is>
      </c>
      <c r="F1409" s="16" t="n"/>
      <c r="G1409" s="9" t="n">
        <v>10.71794871794872</v>
      </c>
      <c r="H1409" s="9" t="n">
        <v>10.71794871794872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1" t="n">
        <v>1</v>
      </c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/>
      <c r="Y1409" s="17" t="n">
        <v>1</v>
      </c>
      <c r="Z1409" s="13">
        <f>SUMPRODUCT(N1409:Y1409,$N$2:$Y$2)*$K1409*$L1409*$M1409</f>
        <v/>
      </c>
      <c r="AA1409" s="14">
        <f>SUM(N1409:Y1409)</f>
        <v/>
      </c>
      <c r="AB1409" s="14">
        <f>IFERROR(IF(UPPER($E1409)="L",SUMPRODUCT(N1409:Y1409,$N$3:$Y$3,$N$2:$Y$2),SUMPRODUCT(N1409:Y1409,$N$4:$Y$4,$N$2:$Y$2))/(Z1409/($K1409*$L1409*$M1409)),"")</f>
        <v/>
      </c>
      <c r="AC1409" s="18" t="n"/>
    </row>
    <row r="1410">
      <c r="A1410" s="9" t="n">
        <v>676625</v>
      </c>
      <c r="B1410" s="9" t="inlineStr">
        <is>
          <t>Rylan Bannon</t>
        </is>
      </c>
      <c r="C1410" s="9" t="inlineStr">
        <is>
          <t>HOU</t>
        </is>
      </c>
      <c r="D1410" s="9" t="n">
        <v>31</v>
      </c>
      <c r="E1410" s="16" t="inlineStr">
        <is>
          <t>R</t>
        </is>
      </c>
      <c r="F1410" s="16" t="inlineStr">
        <is>
          <t>2B</t>
        </is>
      </c>
      <c r="G1410" s="9" t="n">
        <v>6</v>
      </c>
      <c r="H1410" s="9" t="n">
        <v>21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1" t="n">
        <v>1</v>
      </c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/>
      <c r="Y1410" s="17" t="n">
        <v>1</v>
      </c>
      <c r="Z1410" s="13">
        <f>SUMPRODUCT(N1410:Y1410,$N$2:$Y$2)*$K1410*$L1410*$M1410</f>
        <v/>
      </c>
      <c r="AA1410" s="14">
        <f>SUM(N1410:Y1410)</f>
        <v/>
      </c>
      <c r="AB1410" s="14">
        <f>IFERROR(IF(UPPER($E1410)="L",SUMPRODUCT(N1410:Y1410,$N$3:$Y$3,$N$2:$Y$2),SUMPRODUCT(N1410:Y1410,$N$4:$Y$4,$N$2:$Y$2))/(Z1410/($K1410*$L1410*$M1410)),"")</f>
        <v/>
      </c>
      <c r="AC1410" s="18" t="n"/>
    </row>
    <row r="1411">
      <c r="A1411" s="9" t="n">
        <v>808337</v>
      </c>
      <c r="B1411" s="9" t="inlineStr">
        <is>
          <t>Adriander Mejía</t>
        </is>
      </c>
      <c r="C1411" s="9" t="inlineStr">
        <is>
          <t>BAL</t>
        </is>
      </c>
      <c r="D1411" s="9" t="n">
        <v>25</v>
      </c>
      <c r="E1411" s="16" t="inlineStr">
        <is>
          <t>R</t>
        </is>
      </c>
      <c r="F1411" s="16" t="n"/>
      <c r="G1411" s="9" t="n">
        <v>10.83076923076923</v>
      </c>
      <c r="H1411" s="9" t="n">
        <v>10.83076923076923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1" t="n">
        <v>1</v>
      </c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/>
      <c r="Y1411" s="17" t="n">
        <v>1</v>
      </c>
      <c r="Z1411" s="13">
        <f>SUMPRODUCT(N1411:Y1411,$N$2:$Y$2)*$K1411*$L1411*$M1411</f>
        <v/>
      </c>
      <c r="AA1411" s="14">
        <f>SUM(N1411:Y1411)</f>
        <v/>
      </c>
      <c r="AB1411" s="14">
        <f>IFERROR(IF(UPPER($E1411)="L",SUMPRODUCT(N1411:Y1411,$N$3:$Y$3,$N$2:$Y$2),SUMPRODUCT(N1411:Y1411,$N$4:$Y$4,$N$2:$Y$2))/(Z1411/($K1411*$L1411*$M1411)),"")</f>
        <v/>
      </c>
      <c r="AC1411" s="18" t="n"/>
    </row>
    <row r="1412">
      <c r="A1412" s="9" t="n">
        <v>804053</v>
      </c>
      <c r="B1412" s="9" t="inlineStr">
        <is>
          <t>Brayden Dowd</t>
        </is>
      </c>
      <c r="C1412" s="9" t="inlineStr">
        <is>
          <t>ARI</t>
        </is>
      </c>
      <c r="D1412" s="9" t="n">
        <v>25</v>
      </c>
      <c r="E1412" s="16" t="inlineStr">
        <is>
          <t>L</t>
        </is>
      </c>
      <c r="F1412" s="16" t="n"/>
      <c r="G1412" s="9" t="n">
        <v>13.04615384615385</v>
      </c>
      <c r="H1412" s="9" t="n">
        <v>13.04615384615385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1" t="n">
        <v>1</v>
      </c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/>
      <c r="Y1412" s="17" t="n">
        <v>1</v>
      </c>
      <c r="Z1412" s="13">
        <f>SUMPRODUCT(N1412:Y1412,$N$2:$Y$2)*$K1412*$L1412*$M1412</f>
        <v/>
      </c>
      <c r="AA1412" s="14">
        <f>SUM(N1412:Y1412)</f>
        <v/>
      </c>
      <c r="AB1412" s="14">
        <f>IFERROR(IF(UPPER($E1412)="L",SUMPRODUCT(N1412:Y1412,$N$3:$Y$3,$N$2:$Y$2),SUMPRODUCT(N1412:Y1412,$N$4:$Y$4,$N$2:$Y$2))/(Z1412/($K1412*$L1412*$M1412)),"")</f>
        <v/>
      </c>
      <c r="AC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1" t="n">
        <v>1</v>
      </c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/>
      <c r="Y1413" s="17" t="n">
        <v>1</v>
      </c>
      <c r="Z1413" s="13">
        <f>SUMPRODUCT(N1413:Y1413,$N$2:$Y$2)*$K1413*$L1413*$M1413</f>
        <v/>
      </c>
      <c r="AA1413" s="14">
        <f>SUM(N1413:Y1413)</f>
        <v/>
      </c>
      <c r="AB1413" s="14">
        <f>IFERROR(IF(UPPER($E1413)="L",SUMPRODUCT(N1413:Y1413,$N$3:$Y$3,$N$2:$Y$2),SUMPRODUCT(N1413:Y1413,$N$4:$Y$4,$N$2:$Y$2))/(Z1413/($K1413*$L1413*$M1413)),"")</f>
        <v/>
      </c>
      <c r="AC1413" s="18" t="n"/>
    </row>
    <row r="1414">
      <c r="A1414" s="9" t="n">
        <v>695046</v>
      </c>
      <c r="B1414" s="9" t="inlineStr">
        <is>
          <t>Drew Brutcher</t>
        </is>
      </c>
      <c r="C1414" s="9" t="inlineStr">
        <is>
          <t>HOU</t>
        </is>
      </c>
      <c r="D1414" s="9" t="n">
        <v>25</v>
      </c>
      <c r="E1414" s="16" t="inlineStr">
        <is>
          <t>L</t>
        </is>
      </c>
      <c r="F1414" s="16" t="n"/>
      <c r="G1414" s="9" t="n">
        <v>45.23076923076923</v>
      </c>
      <c r="H1414" s="9" t="n">
        <v>45.23076923076923</v>
      </c>
      <c r="I1414" s="9" t="inlineStr">
        <is>
          <t>Depth (no MLB PA)</t>
        </is>
      </c>
      <c r="J1414" s="16" t="inlineStr">
        <is>
          <t>Mid Season (~July)</t>
        </is>
      </c>
      <c r="K1414" s="11">
        <f>IFERROR(INDEX(Roles!$B$17:$B$20,MATCH(J1414,Roles!$A$17:$A$20,0)),1)</f>
        <v/>
      </c>
      <c r="L1414" s="17" t="n">
        <v>1</v>
      </c>
      <c r="M1414" s="11" t="n">
        <v>1</v>
      </c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/>
      <c r="Y1414" s="17" t="n">
        <v>1</v>
      </c>
      <c r="Z1414" s="13">
        <f>SUMPRODUCT(N1414:Y1414,$N$2:$Y$2)*$K1414*$L1414*$M1414</f>
        <v/>
      </c>
      <c r="AA1414" s="14">
        <f>SUM(N1414:Y1414)</f>
        <v/>
      </c>
      <c r="AB1414" s="14">
        <f>IFERROR(IF(UPPER($E1414)="L",SUMPRODUCT(N1414:Y1414,$N$3:$Y$3,$N$2:$Y$2),SUMPRODUCT(N1414:Y1414,$N$4:$Y$4,$N$2:$Y$2))/(Z1414/($K1414*$L1414*$M1414)),"")</f>
        <v/>
      </c>
      <c r="AC1414" s="18" t="n"/>
    </row>
    <row r="1415">
      <c r="A1415" s="9" t="n">
        <v>806053</v>
      </c>
      <c r="B1415" s="9" t="inlineStr">
        <is>
          <t>Dean Curley</t>
        </is>
      </c>
      <c r="C1415" s="9" t="inlineStr">
        <is>
          <t>CLE</t>
        </is>
      </c>
      <c r="D1415" s="9" t="n">
        <v>25</v>
      </c>
      <c r="E1415" s="16" t="inlineStr">
        <is>
          <t>R</t>
        </is>
      </c>
      <c r="F1415" s="16" t="n"/>
      <c r="G1415" s="9" t="n">
        <v>70</v>
      </c>
      <c r="H1415" s="9" t="n">
        <v>70</v>
      </c>
      <c r="I1415" s="9" t="inlineStr">
        <is>
          <t>Depth (no MLB PA)</t>
        </is>
      </c>
      <c r="J1415" s="16" t="inlineStr">
        <is>
          <t>Mid Season (~July)</t>
        </is>
      </c>
      <c r="K1415" s="11">
        <f>IFERROR(INDEX(Roles!$B$17:$B$20,MATCH(J1415,Roles!$A$17:$A$20,0)),1)</f>
        <v/>
      </c>
      <c r="L1415" s="17" t="n">
        <v>1</v>
      </c>
      <c r="M1415" s="11" t="n">
        <v>1</v>
      </c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/>
      <c r="Y1415" s="17" t="n">
        <v>1</v>
      </c>
      <c r="Z1415" s="13">
        <f>SUMPRODUCT(N1415:Y1415,$N$2:$Y$2)*$K1415*$L1415*$M1415</f>
        <v/>
      </c>
      <c r="AA1415" s="14">
        <f>SUM(N1415:Y1415)</f>
        <v/>
      </c>
      <c r="AB1415" s="14">
        <f>IFERROR(IF(UPPER($E1415)="L",SUMPRODUCT(N1415:Y1415,$N$3:$Y$3,$N$2:$Y$2),SUMPRODUCT(N1415:Y1415,$N$4:$Y$4,$N$2:$Y$2))/(Z1415/($K1415*$L1415*$M1415)),"")</f>
        <v/>
      </c>
      <c r="AC1415" s="18" t="n"/>
    </row>
    <row r="1416">
      <c r="A1416" s="9" t="n">
        <v>809860</v>
      </c>
      <c r="B1416" s="9" t="inlineStr">
        <is>
          <t>Mason Lytle</t>
        </is>
      </c>
      <c r="C1416" s="9" t="inlineStr">
        <is>
          <t>HOU</t>
        </is>
      </c>
      <c r="D1416" s="9" t="n">
        <v>25</v>
      </c>
      <c r="E1416" s="16" t="inlineStr">
        <is>
          <t>R</t>
        </is>
      </c>
      <c r="F1416" s="16" t="n"/>
      <c r="G1416" s="9" t="n">
        <v>11.12820512820513</v>
      </c>
      <c r="H1416" s="9" t="n">
        <v>11.12820512820513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1" t="n">
        <v>1</v>
      </c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/>
      <c r="Y1416" s="17" t="n">
        <v>1</v>
      </c>
      <c r="Z1416" s="13">
        <f>SUMPRODUCT(N1416:Y1416,$N$2:$Y$2)*$K1416*$L1416*$M1416</f>
        <v/>
      </c>
      <c r="AA1416" s="14">
        <f>SUM(N1416:Y1416)</f>
        <v/>
      </c>
      <c r="AB1416" s="14">
        <f>IFERROR(IF(UPPER($E1416)="L",SUMPRODUCT(N1416:Y1416,$N$3:$Y$3,$N$2:$Y$2),SUMPRODUCT(N1416:Y1416,$N$4:$Y$4,$N$2:$Y$2))/(Z1416/($K1416*$L1416*$M1416)),"")</f>
        <v/>
      </c>
      <c r="AC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1" t="n">
        <v>1</v>
      </c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/>
      <c r="Y1417" s="17" t="n">
        <v>1</v>
      </c>
      <c r="Z1417" s="13">
        <f>SUMPRODUCT(N1417:Y1417,$N$2:$Y$2)*$K1417*$L1417*$M1417</f>
        <v/>
      </c>
      <c r="AA1417" s="14">
        <f>SUM(N1417:Y1417)</f>
        <v/>
      </c>
      <c r="AB1417" s="14">
        <f>IFERROR(IF(UPPER($E1417)="L",SUMPRODUCT(N1417:Y1417,$N$3:$Y$3,$N$2:$Y$2),SUMPRODUCT(N1417:Y1417,$N$4:$Y$4,$N$2:$Y$2))/(Z1417/($K1417*$L1417*$M1417)),"")</f>
        <v/>
      </c>
      <c r="AC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1" t="n">
        <v>1</v>
      </c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/>
      <c r="Y1418" s="17" t="n">
        <v>1</v>
      </c>
      <c r="Z1418" s="13">
        <f>SUMPRODUCT(N1418:Y1418,$N$2:$Y$2)*$K1418*$L1418*$M1418</f>
        <v/>
      </c>
      <c r="AA1418" s="14">
        <f>SUM(N1418:Y1418)</f>
        <v/>
      </c>
      <c r="AB1418" s="14">
        <f>IFERROR(IF(UPPER($E1418)="L",SUMPRODUCT(N1418:Y1418,$N$3:$Y$3,$N$2:$Y$2),SUMPRODUCT(N1418:Y1418,$N$4:$Y$4,$N$2:$Y$2))/(Z1418/($K1418*$L1418*$M1418)),"")</f>
        <v/>
      </c>
      <c r="AC1418" s="18" t="n"/>
    </row>
    <row r="1419">
      <c r="A1419" s="9" t="n">
        <v>808503</v>
      </c>
      <c r="B1419" s="9" t="inlineStr">
        <is>
          <t>Jeremy Almonte</t>
        </is>
      </c>
      <c r="C1419" s="9" t="inlineStr">
        <is>
          <t>MIA</t>
        </is>
      </c>
      <c r="D1419" s="9" t="n">
        <v>25</v>
      </c>
      <c r="E1419" s="16" t="inlineStr">
        <is>
          <t>R</t>
        </is>
      </c>
      <c r="F1419" s="16" t="n"/>
      <c r="G1419" s="9" t="n">
        <v>17.72307692307692</v>
      </c>
      <c r="H1419" s="9" t="n">
        <v>17.72307692307692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1" t="n">
        <v>1</v>
      </c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/>
      <c r="Y1419" s="17" t="n">
        <v>1</v>
      </c>
      <c r="Z1419" s="13">
        <f>SUMPRODUCT(N1419:Y1419,$N$2:$Y$2)*$K1419*$L1419*$M1419</f>
        <v/>
      </c>
      <c r="AA1419" s="14">
        <f>SUM(N1419:Y1419)</f>
        <v/>
      </c>
      <c r="AB1419" s="14">
        <f>IFERROR(IF(UPPER($E1419)="L",SUMPRODUCT(N1419:Y1419,$N$3:$Y$3,$N$2:$Y$2),SUMPRODUCT(N1419:Y1419,$N$4:$Y$4,$N$2:$Y$2))/(Z1419/($K1419*$L1419*$M1419)),"")</f>
        <v/>
      </c>
      <c r="AC1419" s="18" t="n"/>
    </row>
    <row r="1420">
      <c r="A1420" s="9" t="n">
        <v>806981</v>
      </c>
      <c r="B1420" s="9" t="inlineStr">
        <is>
          <t>Luis Almeyda</t>
        </is>
      </c>
      <c r="C1420" s="9" t="inlineStr">
        <is>
          <t>BAL</t>
        </is>
      </c>
      <c r="D1420" s="9" t="n">
        <v>25</v>
      </c>
      <c r="E1420" s="16" t="inlineStr">
        <is>
          <t>R</t>
        </is>
      </c>
      <c r="F1420" s="16" t="n"/>
      <c r="G1420" s="9" t="n">
        <v>11.07692307692308</v>
      </c>
      <c r="H1420" s="9" t="n">
        <v>11.07692307692308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1" t="n">
        <v>1</v>
      </c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/>
      <c r="Y1420" s="17" t="n">
        <v>1</v>
      </c>
      <c r="Z1420" s="13">
        <f>SUMPRODUCT(N1420:Y1420,$N$2:$Y$2)*$K1420*$L1420*$M1420</f>
        <v/>
      </c>
      <c r="AA1420" s="14">
        <f>SUM(N1420:Y1420)</f>
        <v/>
      </c>
      <c r="AB1420" s="14">
        <f>IFERROR(IF(UPPER($E1420)="L",SUMPRODUCT(N1420:Y1420,$N$3:$Y$3,$N$2:$Y$2),SUMPRODUCT(N1420:Y1420,$N$4:$Y$4,$N$2:$Y$2))/(Z1420/($K1420*$L1420*$M1420)),"")</f>
        <v/>
      </c>
      <c r="AC1420" s="18" t="n"/>
    </row>
    <row r="1421">
      <c r="A1421" s="9" t="n">
        <v>700681</v>
      </c>
      <c r="B1421" s="9" t="inlineStr">
        <is>
          <t>Nick Lorusso</t>
        </is>
      </c>
      <c r="C1421" s="9" t="inlineStr">
        <is>
          <t>NYM</t>
        </is>
      </c>
      <c r="D1421" s="9" t="n">
        <v>25</v>
      </c>
      <c r="E1421" s="16" t="inlineStr">
        <is>
          <t>R</t>
        </is>
      </c>
      <c r="F1421" s="16" t="n"/>
      <c r="G1421" s="9" t="n">
        <v>58.10256410256411</v>
      </c>
      <c r="H1421" s="9" t="n">
        <v>58.10256410256411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1" t="n">
        <v>1</v>
      </c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/>
      <c r="Y1421" s="17" t="n">
        <v>1</v>
      </c>
      <c r="Z1421" s="13">
        <f>SUMPRODUCT(N1421:Y1421,$N$2:$Y$2)*$K1421*$L1421*$M1421</f>
        <v/>
      </c>
      <c r="AA1421" s="14">
        <f>SUM(N1421:Y1421)</f>
        <v/>
      </c>
      <c r="AB1421" s="14">
        <f>IFERROR(IF(UPPER($E1421)="L",SUMPRODUCT(N1421:Y1421,$N$3:$Y$3,$N$2:$Y$2),SUMPRODUCT(N1421:Y1421,$N$4:$Y$4,$N$2:$Y$2))/(Z1421/($K1421*$L1421*$M1421)),"")</f>
        <v/>
      </c>
      <c r="AC1421" s="18" t="n"/>
    </row>
    <row r="1422">
      <c r="A1422" s="9" t="n">
        <v>685716</v>
      </c>
      <c r="B1422" s="9" t="inlineStr">
        <is>
          <t>Nelson Quiroz</t>
        </is>
      </c>
      <c r="C1422" s="9" t="inlineStr">
        <is>
          <t>LAD</t>
        </is>
      </c>
      <c r="D1422" s="9" t="n">
        <v>25</v>
      </c>
      <c r="E1422" s="16" t="inlineStr">
        <is>
          <t>L</t>
        </is>
      </c>
      <c r="F1422" s="16" t="n"/>
      <c r="G1422" s="9" t="n">
        <v>20.10256410256411</v>
      </c>
      <c r="H1422" s="9" t="n">
        <v>20.10256410256411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1" t="n">
        <v>1</v>
      </c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/>
      <c r="Y1422" s="17" t="n">
        <v>1</v>
      </c>
      <c r="Z1422" s="13">
        <f>SUMPRODUCT(N1422:Y1422,$N$2:$Y$2)*$K1422*$L1422*$M1422</f>
        <v/>
      </c>
      <c r="AA1422" s="14">
        <f>SUM(N1422:Y1422)</f>
        <v/>
      </c>
      <c r="AB1422" s="14">
        <f>IFERROR(IF(UPPER($E1422)="L",SUMPRODUCT(N1422:Y1422,$N$3:$Y$3,$N$2:$Y$2),SUMPRODUCT(N1422:Y1422,$N$4:$Y$4,$N$2:$Y$2))/(Z1422/($K1422*$L1422*$M1422)),"")</f>
        <v/>
      </c>
      <c r="AC1422" s="18" t="n"/>
    </row>
    <row r="1423">
      <c r="A1423" s="9" t="n">
        <v>834966</v>
      </c>
      <c r="B1423" s="9" t="inlineStr">
        <is>
          <t>Dylan Grego</t>
        </is>
      </c>
      <c r="C1423" s="9" t="inlineStr">
        <is>
          <t>SD</t>
        </is>
      </c>
      <c r="D1423" s="9" t="n">
        <v>25</v>
      </c>
      <c r="E1423" s="16" t="inlineStr">
        <is>
          <t>S</t>
        </is>
      </c>
      <c r="F1423" s="16" t="n"/>
      <c r="G1423" s="9" t="n">
        <v>11.28205128205128</v>
      </c>
      <c r="H1423" s="9" t="n">
        <v>11.28205128205128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1" t="n">
        <v>1</v>
      </c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/>
      <c r="Y1423" s="17" t="n">
        <v>1</v>
      </c>
      <c r="Z1423" s="13">
        <f>SUMPRODUCT(N1423:Y1423,$N$2:$Y$2)*$K1423*$L1423*$M1423</f>
        <v/>
      </c>
      <c r="AA1423" s="14">
        <f>SUM(N1423:Y1423)</f>
        <v/>
      </c>
      <c r="AB1423" s="14">
        <f>IFERROR(IF(UPPER($E1423)="L",SUMPRODUCT(N1423:Y1423,$N$3:$Y$3,$N$2:$Y$2),SUMPRODUCT(N1423:Y1423,$N$4:$Y$4,$N$2:$Y$2))/(Z1423/($K1423*$L1423*$M1423)),"")</f>
        <v/>
      </c>
      <c r="AC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1" t="n">
        <v>1</v>
      </c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/>
      <c r="Y1424" s="17" t="n">
        <v>1</v>
      </c>
      <c r="Z1424" s="13">
        <f>SUMPRODUCT(N1424:Y1424,$N$2:$Y$2)*$K1424*$L1424*$M1424</f>
        <v/>
      </c>
      <c r="AA1424" s="14">
        <f>SUM(N1424:Y1424)</f>
        <v/>
      </c>
      <c r="AB1424" s="14">
        <f>IFERROR(IF(UPPER($E1424)="L",SUMPRODUCT(N1424:Y1424,$N$3:$Y$3,$N$2:$Y$2),SUMPRODUCT(N1424:Y1424,$N$4:$Y$4,$N$2:$Y$2))/(Z1424/($K1424*$L1424*$M1424)),"")</f>
        <v/>
      </c>
      <c r="AC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25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Late Season (~Sept)</t>
        </is>
      </c>
      <c r="K1425" s="11">
        <f>IFERROR(INDEX(Roles!$B$17:$B$20,MATCH(J1425,Roles!$A$17:$A$20,0)),1)</f>
        <v/>
      </c>
      <c r="L1425" s="17" t="n">
        <v>1</v>
      </c>
      <c r="M1425" s="11" t="n">
        <v>1</v>
      </c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/>
      <c r="Y1425" s="17" t="n">
        <v>1</v>
      </c>
      <c r="Z1425" s="13">
        <f>SUMPRODUCT(N1425:Y1425,$N$2:$Y$2)*$K1425*$L1425*$M1425</f>
        <v/>
      </c>
      <c r="AA1425" s="14">
        <f>SUM(N1425:Y1425)</f>
        <v/>
      </c>
      <c r="AB1425" s="14">
        <f>IFERROR(IF(UPPER($E1425)="L",SUMPRODUCT(N1425:Y1425,$N$3:$Y$3,$N$2:$Y$2),SUMPRODUCT(N1425:Y1425,$N$4:$Y$4,$N$2:$Y$2))/(Z1425/($K1425*$L1425*$M1425)),"")</f>
        <v/>
      </c>
      <c r="AC1425" s="18" t="n"/>
    </row>
    <row r="1426">
      <c r="A1426" s="9" t="n">
        <v>677007</v>
      </c>
      <c r="B1426" s="9" t="inlineStr">
        <is>
          <t>Josh Breaux</t>
        </is>
      </c>
      <c r="C1426" s="9" t="inlineStr">
        <is>
          <t>CWS</t>
        </is>
      </c>
      <c r="D1426" s="9" t="n">
        <v>25</v>
      </c>
      <c r="E1426" s="16" t="inlineStr">
        <is>
          <t>R</t>
        </is>
      </c>
      <c r="F1426" s="16" t="n"/>
      <c r="G1426" s="9" t="n">
        <v>26.51282051282051</v>
      </c>
      <c r="H1426" s="9" t="n">
        <v>26.51282051282051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1" t="n">
        <v>1</v>
      </c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/>
      <c r="Y1426" s="17" t="n">
        <v>1</v>
      </c>
      <c r="Z1426" s="13">
        <f>SUMPRODUCT(N1426:Y1426,$N$2:$Y$2)*$K1426*$L1426*$M1426</f>
        <v/>
      </c>
      <c r="AA1426" s="14">
        <f>SUM(N1426:Y1426)</f>
        <v/>
      </c>
      <c r="AB1426" s="14">
        <f>IFERROR(IF(UPPER($E1426)="L",SUMPRODUCT(N1426:Y1426,$N$3:$Y$3,$N$2:$Y$2),SUMPRODUCT(N1426:Y1426,$N$4:$Y$4,$N$2:$Y$2))/(Z1426/($K1426*$L1426*$M1426)),"")</f>
        <v/>
      </c>
      <c r="AC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1" t="n">
        <v>1</v>
      </c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/>
      <c r="Y1427" s="17" t="n">
        <v>1</v>
      </c>
      <c r="Z1427" s="13">
        <f>SUMPRODUCT(N1427:Y1427,$N$2:$Y$2)*$K1427*$L1427*$M1427</f>
        <v/>
      </c>
      <c r="AA1427" s="14">
        <f>SUM(N1427:Y1427)</f>
        <v/>
      </c>
      <c r="AB1427" s="14">
        <f>IFERROR(IF(UPPER($E1427)="L",SUMPRODUCT(N1427:Y1427,$N$3:$Y$3,$N$2:$Y$2),SUMPRODUCT(N1427:Y1427,$N$4:$Y$4,$N$2:$Y$2))/(Z1427/($K1427*$L1427*$M1427)),"")</f>
        <v/>
      </c>
      <c r="AC1427" s="18" t="n"/>
    </row>
    <row r="1428">
      <c r="A1428" s="9" t="n">
        <v>701701</v>
      </c>
      <c r="B1428" s="9" t="inlineStr">
        <is>
          <t>Quincy Scott</t>
        </is>
      </c>
      <c r="C1428" s="9" t="inlineStr">
        <is>
          <t>TEX</t>
        </is>
      </c>
      <c r="D1428" s="9" t="n">
        <v>25</v>
      </c>
      <c r="E1428" s="16" t="inlineStr">
        <is>
          <t>R</t>
        </is>
      </c>
      <c r="F1428" s="16" t="n"/>
      <c r="G1428" s="9" t="n">
        <v>70.97435897435898</v>
      </c>
      <c r="H1428" s="9" t="n">
        <v>70.97435897435898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1" t="n">
        <v>1</v>
      </c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/>
      <c r="Y1428" s="17" t="n">
        <v>1</v>
      </c>
      <c r="Z1428" s="13">
        <f>SUMPRODUCT(N1428:Y1428,$N$2:$Y$2)*$K1428*$L1428*$M1428</f>
        <v/>
      </c>
      <c r="AA1428" s="14">
        <f>SUM(N1428:Y1428)</f>
        <v/>
      </c>
      <c r="AB1428" s="14">
        <f>IFERROR(IF(UPPER($E1428)="L",SUMPRODUCT(N1428:Y1428,$N$3:$Y$3,$N$2:$Y$2),SUMPRODUCT(N1428:Y1428,$N$4:$Y$4,$N$2:$Y$2))/(Z1428/($K1428*$L1428*$M1428)),"")</f>
        <v/>
      </c>
      <c r="AC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1" t="n">
        <v>1</v>
      </c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/>
      <c r="Y1429" s="17" t="n">
        <v>1</v>
      </c>
      <c r="Z1429" s="13">
        <f>SUMPRODUCT(N1429:Y1429,$N$2:$Y$2)*$K1429*$L1429*$M1429</f>
        <v/>
      </c>
      <c r="AA1429" s="14">
        <f>SUM(N1429:Y1429)</f>
        <v/>
      </c>
      <c r="AB1429" s="14">
        <f>IFERROR(IF(UPPER($E1429)="L",SUMPRODUCT(N1429:Y1429,$N$3:$Y$3,$N$2:$Y$2),SUMPRODUCT(N1429:Y1429,$N$4:$Y$4,$N$2:$Y$2))/(Z1429/($K1429*$L1429*$M1429)),"")</f>
        <v/>
      </c>
      <c r="AC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1" t="n">
        <v>1</v>
      </c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/>
      <c r="Y1430" s="17" t="n">
        <v>1</v>
      </c>
      <c r="Z1430" s="13">
        <f>SUMPRODUCT(N1430:Y1430,$N$2:$Y$2)*$K1430*$L1430*$M1430</f>
        <v/>
      </c>
      <c r="AA1430" s="14">
        <f>SUM(N1430:Y1430)</f>
        <v/>
      </c>
      <c r="AB1430" s="14">
        <f>IFERROR(IF(UPPER($E1430)="L",SUMPRODUCT(N1430:Y1430,$N$3:$Y$3,$N$2:$Y$2),SUMPRODUCT(N1430:Y1430,$N$4:$Y$4,$N$2:$Y$2))/(Z1430/($K1430*$L1430*$M1430)),"")</f>
        <v/>
      </c>
      <c r="AC1430" s="18" t="n"/>
    </row>
    <row r="1431">
      <c r="A1431" s="9" t="n">
        <v>691442</v>
      </c>
      <c r="B1431" s="9" t="inlineStr">
        <is>
          <t>Wilfred Veras</t>
        </is>
      </c>
      <c r="C1431" s="9" t="inlineStr">
        <is>
          <t>CWS</t>
        </is>
      </c>
      <c r="D1431" s="9" t="n">
        <v>25</v>
      </c>
      <c r="E1431" s="16" t="inlineStr">
        <is>
          <t>R</t>
        </is>
      </c>
      <c r="F1431" s="16" t="n"/>
      <c r="G1431" s="9" t="n">
        <v>62.46153846153845</v>
      </c>
      <c r="H1431" s="9" t="n">
        <v>62.46153846153845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1" t="n">
        <v>1</v>
      </c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/>
      <c r="Y1431" s="17" t="n">
        <v>1</v>
      </c>
      <c r="Z1431" s="13">
        <f>SUMPRODUCT(N1431:Y1431,$N$2:$Y$2)*$K1431*$L1431*$M1431</f>
        <v/>
      </c>
      <c r="AA1431" s="14">
        <f>SUM(N1431:Y1431)</f>
        <v/>
      </c>
      <c r="AB1431" s="14">
        <f>IFERROR(IF(UPPER($E1431)="L",SUMPRODUCT(N1431:Y1431,$N$3:$Y$3,$N$2:$Y$2),SUMPRODUCT(N1431:Y1431,$N$4:$Y$4,$N$2:$Y$2))/(Z1431/($K1431*$L1431*$M1431)),"")</f>
        <v/>
      </c>
      <c r="AC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1" t="n">
        <v>1</v>
      </c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/>
      <c r="Y1432" s="17" t="n">
        <v>1</v>
      </c>
      <c r="Z1432" s="13">
        <f>SUMPRODUCT(N1432:Y1432,$N$2:$Y$2)*$K1432*$L1432*$M1432</f>
        <v/>
      </c>
      <c r="AA1432" s="14">
        <f>SUM(N1432:Y1432)</f>
        <v/>
      </c>
      <c r="AB1432" s="14">
        <f>IFERROR(IF(UPPER($E1432)="L",SUMPRODUCT(N1432:Y1432,$N$3:$Y$3,$N$2:$Y$2),SUMPRODUCT(N1432:Y1432,$N$4:$Y$4,$N$2:$Y$2))/(Z1432/($K1432*$L1432*$M1432)),"")</f>
        <v/>
      </c>
      <c r="AC1432" s="18" t="n"/>
    </row>
    <row r="1433">
      <c r="A1433" s="9" t="n">
        <v>682729</v>
      </c>
      <c r="B1433" s="9" t="inlineStr">
        <is>
          <t>Jonatan Clase</t>
        </is>
      </c>
      <c r="C1433" s="9" t="inlineStr">
        <is>
          <t>TOR</t>
        </is>
      </c>
      <c r="D1433" s="9" t="n">
        <v>25</v>
      </c>
      <c r="E1433" s="16" t="inlineStr">
        <is>
          <t>S</t>
        </is>
      </c>
      <c r="F1433" s="16" t="inlineStr">
        <is>
          <t>LF</t>
        </is>
      </c>
      <c r="G1433" s="9" t="n">
        <v>25</v>
      </c>
      <c r="H1433" s="9" t="n">
        <v>203</v>
      </c>
      <c r="I1433" s="9" t="inlineStr">
        <is>
          <t>Injury Replacement / 26th Man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1" t="n">
        <v>1</v>
      </c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/>
      <c r="W1433" s="17" t="n">
        <v>0.15</v>
      </c>
      <c r="X1433" s="17" t="n">
        <v>0.85</v>
      </c>
      <c r="Y1433" s="17" t="n"/>
      <c r="Z1433" s="13">
        <f>SUMPRODUCT(N1433:Y1433,$N$2:$Y$2)*$K1433*$L1433*$M1433</f>
        <v/>
      </c>
      <c r="AA1433" s="14">
        <f>SUM(N1433:Y1433)</f>
        <v/>
      </c>
      <c r="AB1433" s="14">
        <f>IFERROR(IF(UPPER($E1433)="L",SUMPRODUCT(N1433:Y1433,$N$3:$Y$3,$N$2:$Y$2),SUMPRODUCT(N1433:Y1433,$N$4:$Y$4,$N$2:$Y$2))/(Z1433/($K1433*$L1433*$M1433)),"")</f>
        <v/>
      </c>
      <c r="AC1433" s="18" t="n"/>
    </row>
    <row r="1434">
      <c r="A1434" s="9" t="n">
        <v>804946</v>
      </c>
      <c r="B1434" s="9" t="inlineStr">
        <is>
          <t>Tyler Howard</t>
        </is>
      </c>
      <c r="C1434" s="9" t="inlineStr">
        <is>
          <t>CLE</t>
        </is>
      </c>
      <c r="D1434" s="9" t="n">
        <v>25</v>
      </c>
      <c r="E1434" s="16" t="inlineStr">
        <is>
          <t>R</t>
        </is>
      </c>
      <c r="F1434" s="16" t="n"/>
      <c r="G1434" s="9" t="n">
        <v>24.41025641025641</v>
      </c>
      <c r="H1434" s="9" t="n">
        <v>24.41025641025641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1" t="n">
        <v>1</v>
      </c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/>
      <c r="Y1434" s="17" t="n">
        <v>1</v>
      </c>
      <c r="Z1434" s="13">
        <f>SUMPRODUCT(N1434:Y1434,$N$2:$Y$2)*$K1434*$L1434*$M1434</f>
        <v/>
      </c>
      <c r="AA1434" s="14">
        <f>SUM(N1434:Y1434)</f>
        <v/>
      </c>
      <c r="AB1434" s="14">
        <f>IFERROR(IF(UPPER($E1434)="L",SUMPRODUCT(N1434:Y1434,$N$3:$Y$3,$N$2:$Y$2),SUMPRODUCT(N1434:Y1434,$N$4:$Y$4,$N$2:$Y$2))/(Z1434/($K1434*$L1434*$M1434)),"")</f>
        <v/>
      </c>
      <c r="AC1434" s="18" t="n"/>
    </row>
    <row r="1435">
      <c r="A1435" s="9" t="n">
        <v>692366</v>
      </c>
      <c r="B1435" s="9" t="inlineStr">
        <is>
          <t>Onil Perez</t>
        </is>
      </c>
      <c r="C1435" s="9" t="inlineStr">
        <is>
          <t>SF</t>
        </is>
      </c>
      <c r="D1435" s="9" t="n">
        <v>25</v>
      </c>
      <c r="E1435" s="16" t="inlineStr">
        <is>
          <t>R</t>
        </is>
      </c>
      <c r="F1435" s="16" t="n"/>
      <c r="G1435" s="9" t="n">
        <v>11.48717948717949</v>
      </c>
      <c r="H1435" s="9" t="n">
        <v>11.48717948717949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1" t="n">
        <v>1</v>
      </c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/>
      <c r="Y1435" s="17" t="n">
        <v>1</v>
      </c>
      <c r="Z1435" s="13">
        <f>SUMPRODUCT(N1435:Y1435,$N$2:$Y$2)*$K1435*$L1435*$M1435</f>
        <v/>
      </c>
      <c r="AA1435" s="14">
        <f>SUM(N1435:Y1435)</f>
        <v/>
      </c>
      <c r="AB1435" s="14">
        <f>IFERROR(IF(UPPER($E1435)="L",SUMPRODUCT(N1435:Y1435,$N$3:$Y$3,$N$2:$Y$2),SUMPRODUCT(N1435:Y1435,$N$4:$Y$4,$N$2:$Y$2))/(Z1435/($K1435*$L1435*$M1435)),"")</f>
        <v/>
      </c>
      <c r="AC1435" s="18" t="n"/>
    </row>
    <row r="1436">
      <c r="A1436" s="9" t="n">
        <v>676761</v>
      </c>
      <c r="B1436" s="9" t="inlineStr">
        <is>
          <t>Irving Lopez</t>
        </is>
      </c>
      <c r="C1436" s="9" t="inlineStr">
        <is>
          <t>STL</t>
        </is>
      </c>
      <c r="D1436" s="9" t="n">
        <v>32</v>
      </c>
      <c r="E1436" s="16" t="inlineStr">
        <is>
          <t>L</t>
        </is>
      </c>
      <c r="F1436" s="16" t="inlineStr">
        <is>
          <t>3B</t>
        </is>
      </c>
      <c r="G1436" s="9" t="n">
        <v>12</v>
      </c>
      <c r="H1436" s="9" t="n">
        <v>12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1" t="n">
        <v>1</v>
      </c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/>
      <c r="Y1436" s="17" t="n">
        <v>1</v>
      </c>
      <c r="Z1436" s="13">
        <f>SUMPRODUCT(N1436:Y1436,$N$2:$Y$2)*$K1436*$L1436*$M1436</f>
        <v/>
      </c>
      <c r="AA1436" s="14">
        <f>SUM(N1436:Y1436)</f>
        <v/>
      </c>
      <c r="AB1436" s="14">
        <f>IFERROR(IF(UPPER($E1436)="L",SUMPRODUCT(N1436:Y1436,$N$3:$Y$3,$N$2:$Y$2),SUMPRODUCT(N1436:Y1436,$N$4:$Y$4,$N$2:$Y$2))/(Z1436/($K1436*$L1436*$M1436)),"")</f>
        <v/>
      </c>
      <c r="AC1436" s="18" t="n"/>
    </row>
    <row r="1437">
      <c r="A1437" s="9" t="n">
        <v>687553</v>
      </c>
      <c r="B1437" s="9" t="inlineStr">
        <is>
          <t>Kamren James</t>
        </is>
      </c>
      <c r="C1437" s="9" t="inlineStr">
        <is>
          <t>TB</t>
        </is>
      </c>
      <c r="D1437" s="9" t="n">
        <v>25</v>
      </c>
      <c r="E1437" s="16" t="inlineStr">
        <is>
          <t>R</t>
        </is>
      </c>
      <c r="F1437" s="16" t="n"/>
      <c r="G1437" s="9" t="n">
        <v>71.7948717948718</v>
      </c>
      <c r="H1437" s="9" t="n">
        <v>71.7948717948718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1" t="n">
        <v>1</v>
      </c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/>
      <c r="Y1437" s="17" t="n">
        <v>1</v>
      </c>
      <c r="Z1437" s="13">
        <f>SUMPRODUCT(N1437:Y1437,$N$2:$Y$2)*$K1437*$L1437*$M1437</f>
        <v/>
      </c>
      <c r="AA1437" s="14">
        <f>SUM(N1437:Y1437)</f>
        <v/>
      </c>
      <c r="AB1437" s="14">
        <f>IFERROR(IF(UPPER($E1437)="L",SUMPRODUCT(N1437:Y1437,$N$3:$Y$3,$N$2:$Y$2),SUMPRODUCT(N1437:Y1437,$N$4:$Y$4,$N$2:$Y$2))/(Z1437/($K1437*$L1437*$M1437)),"")</f>
        <v/>
      </c>
      <c r="AC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1" t="n">
        <v>1</v>
      </c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/>
      <c r="Y1438" s="17" t="n">
        <v>1</v>
      </c>
      <c r="Z1438" s="13">
        <f>SUMPRODUCT(N1438:Y1438,$N$2:$Y$2)*$K1438*$L1438*$M1438</f>
        <v/>
      </c>
      <c r="AA1438" s="14">
        <f>SUM(N1438:Y1438)</f>
        <v/>
      </c>
      <c r="AB1438" s="14">
        <f>IFERROR(IF(UPPER($E1438)="L",SUMPRODUCT(N1438:Y1438,$N$3:$Y$3,$N$2:$Y$2),SUMPRODUCT(N1438:Y1438,$N$4:$Y$4,$N$2:$Y$2))/(Z1438/($K1438*$L1438*$M1438)),"")</f>
        <v/>
      </c>
      <c r="AC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1" t="n">
        <v>1</v>
      </c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/>
      <c r="Y1439" s="17" t="n">
        <v>1</v>
      </c>
      <c r="Z1439" s="13">
        <f>SUMPRODUCT(N1439:Y1439,$N$2:$Y$2)*$K1439*$L1439*$M1439</f>
        <v/>
      </c>
      <c r="AA1439" s="14">
        <f>SUM(N1439:Y1439)</f>
        <v/>
      </c>
      <c r="AB1439" s="14">
        <f>IFERROR(IF(UPPER($E1439)="L",SUMPRODUCT(N1439:Y1439,$N$3:$Y$3,$N$2:$Y$2),SUMPRODUCT(N1439:Y1439,$N$4:$Y$4,$N$2:$Y$2))/(Z1439/($K1439*$L1439*$M1439)),"")</f>
        <v/>
      </c>
      <c r="AC1439" s="18" t="n"/>
    </row>
    <row r="1440">
      <c r="A1440" s="9" t="n">
        <v>816207</v>
      </c>
      <c r="B1440" s="9" t="inlineStr">
        <is>
          <t>Jared Davis</t>
        </is>
      </c>
      <c r="C1440" s="9" t="inlineStr">
        <is>
          <t>OAK</t>
        </is>
      </c>
      <c r="D1440" s="9" t="n">
        <v>25</v>
      </c>
      <c r="E1440" s="16" t="inlineStr">
        <is>
          <t>R</t>
        </is>
      </c>
      <c r="F1440" s="16" t="n"/>
      <c r="G1440" s="9" t="n">
        <v>11.69230769230769</v>
      </c>
      <c r="H1440" s="9" t="n">
        <v>11.69230769230769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1" t="n">
        <v>1</v>
      </c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/>
      <c r="Y1440" s="17" t="n">
        <v>1</v>
      </c>
      <c r="Z1440" s="13">
        <f>SUMPRODUCT(N1440:Y1440,$N$2:$Y$2)*$K1440*$L1440*$M1440</f>
        <v/>
      </c>
      <c r="AA1440" s="14">
        <f>SUM(N1440:Y1440)</f>
        <v/>
      </c>
      <c r="AB1440" s="14">
        <f>IFERROR(IF(UPPER($E1440)="L",SUMPRODUCT(N1440:Y1440,$N$3:$Y$3,$N$2:$Y$2),SUMPRODUCT(N1440:Y1440,$N$4:$Y$4,$N$2:$Y$2))/(Z1440/($K1440*$L1440*$M1440)),"")</f>
        <v/>
      </c>
      <c r="AC1440" s="18" t="n"/>
    </row>
    <row r="1441">
      <c r="A1441" s="9" t="n">
        <v>702114</v>
      </c>
      <c r="B1441" s="9" t="inlineStr">
        <is>
          <t>John Michael Faile</t>
        </is>
      </c>
      <c r="C1441" s="9" t="inlineStr">
        <is>
          <t>CIN</t>
        </is>
      </c>
      <c r="D1441" s="9" t="n">
        <v>25</v>
      </c>
      <c r="E1441" s="16" t="inlineStr">
        <is>
          <t>R</t>
        </is>
      </c>
      <c r="F1441" s="16" t="n"/>
      <c r="G1441" s="9" t="n">
        <v>71.58974358974359</v>
      </c>
      <c r="H1441" s="9" t="n">
        <v>71.58974358974359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1" t="n">
        <v>1</v>
      </c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/>
      <c r="Y1441" s="17" t="n">
        <v>1</v>
      </c>
      <c r="Z1441" s="13">
        <f>SUMPRODUCT(N1441:Y1441,$N$2:$Y$2)*$K1441*$L1441*$M1441</f>
        <v/>
      </c>
      <c r="AA1441" s="14">
        <f>SUM(N1441:Y1441)</f>
        <v/>
      </c>
      <c r="AB1441" s="14">
        <f>IFERROR(IF(UPPER($E1441)="L",SUMPRODUCT(N1441:Y1441,$N$3:$Y$3,$N$2:$Y$2),SUMPRODUCT(N1441:Y1441,$N$4:$Y$4,$N$2:$Y$2))/(Z1441/($K1441*$L1441*$M1441)),"")</f>
        <v/>
      </c>
      <c r="AC1441" s="18" t="n"/>
    </row>
    <row r="1442">
      <c r="A1442" s="9" t="n">
        <v>702517</v>
      </c>
      <c r="B1442" s="9" t="inlineStr">
        <is>
          <t>Mason White</t>
        </is>
      </c>
      <c r="C1442" s="9" t="inlineStr">
        <is>
          <t>BOS</t>
        </is>
      </c>
      <c r="D1442" s="9" t="n">
        <v>25</v>
      </c>
      <c r="E1442" s="16" t="inlineStr">
        <is>
          <t>L</t>
        </is>
      </c>
      <c r="F1442" s="16" t="n"/>
      <c r="G1442" s="9" t="n">
        <v>45.23076923076923</v>
      </c>
      <c r="H1442" s="9" t="n">
        <v>45.23076923076923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1" t="n">
        <v>1</v>
      </c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/>
      <c r="Y1442" s="17" t="n">
        <v>1</v>
      </c>
      <c r="Z1442" s="13">
        <f>SUMPRODUCT(N1442:Y1442,$N$2:$Y$2)*$K1442*$L1442*$M1442</f>
        <v/>
      </c>
      <c r="AA1442" s="14">
        <f>SUM(N1442:Y1442)</f>
        <v/>
      </c>
      <c r="AB1442" s="14">
        <f>IFERROR(IF(UPPER($E1442)="L",SUMPRODUCT(N1442:Y1442,$N$3:$Y$3,$N$2:$Y$2),SUMPRODUCT(N1442:Y1442,$N$4:$Y$4,$N$2:$Y$2))/(Z1442/($K1442*$L1442*$M1442)),"")</f>
        <v/>
      </c>
      <c r="AC1442" s="18" t="n"/>
    </row>
    <row r="1443">
      <c r="A1443" s="9" t="n">
        <v>814748</v>
      </c>
      <c r="B1443" s="9" t="inlineStr">
        <is>
          <t>Dariel Ramon</t>
        </is>
      </c>
      <c r="C1443" s="9" t="inlineStr">
        <is>
          <t>TOR</t>
        </is>
      </c>
      <c r="D1443" s="9" t="n">
        <v>25</v>
      </c>
      <c r="E1443" s="16" t="inlineStr">
        <is>
          <t>R</t>
        </is>
      </c>
      <c r="F1443" s="16" t="n"/>
      <c r="G1443" s="9" t="n">
        <v>11.48717948717949</v>
      </c>
      <c r="H1443" s="9" t="n">
        <v>11.48717948717949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1" t="n">
        <v>1</v>
      </c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/>
      <c r="Y1443" s="17" t="n">
        <v>1</v>
      </c>
      <c r="Z1443" s="13">
        <f>SUMPRODUCT(N1443:Y1443,$N$2:$Y$2)*$K1443*$L1443*$M1443</f>
        <v/>
      </c>
      <c r="AA1443" s="14">
        <f>SUM(N1443:Y1443)</f>
        <v/>
      </c>
      <c r="AB1443" s="14">
        <f>IFERROR(IF(UPPER($E1443)="L",SUMPRODUCT(N1443:Y1443,$N$3:$Y$3,$N$2:$Y$2),SUMPRODUCT(N1443:Y1443,$N$4:$Y$4,$N$2:$Y$2))/(Z1443/($K1443*$L1443*$M1443)),"")</f>
        <v/>
      </c>
      <c r="AC1443" s="18" t="n"/>
    </row>
    <row r="1444">
      <c r="A1444" s="9" t="n">
        <v>694204</v>
      </c>
      <c r="B1444" s="9" t="inlineStr">
        <is>
          <t>Maikol Hernández</t>
        </is>
      </c>
      <c r="C1444" s="9" t="inlineStr">
        <is>
          <t>BAL</t>
        </is>
      </c>
      <c r="D1444" s="9" t="n">
        <v>25</v>
      </c>
      <c r="E1444" s="16" t="inlineStr">
        <is>
          <t>R</t>
        </is>
      </c>
      <c r="F1444" s="16" t="n"/>
      <c r="G1444" s="9" t="n">
        <v>11.28205128205128</v>
      </c>
      <c r="H1444" s="9" t="n">
        <v>11.28205128205128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1" t="n">
        <v>1</v>
      </c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/>
      <c r="Y1444" s="17" t="n">
        <v>1</v>
      </c>
      <c r="Z1444" s="13">
        <f>SUMPRODUCT(N1444:Y1444,$N$2:$Y$2)*$K1444*$L1444*$M1444</f>
        <v/>
      </c>
      <c r="AA1444" s="14">
        <f>SUM(N1444:Y1444)</f>
        <v/>
      </c>
      <c r="AB1444" s="14">
        <f>IFERROR(IF(UPPER($E1444)="L",SUMPRODUCT(N1444:Y1444,$N$3:$Y$3,$N$2:$Y$2),SUMPRODUCT(N1444:Y1444,$N$4:$Y$4,$N$2:$Y$2))/(Z1444/($K1444*$L1444*$M1444)),"")</f>
        <v/>
      </c>
      <c r="AC1444" s="18" t="n"/>
    </row>
    <row r="1445">
      <c r="A1445" s="9" t="n">
        <v>828519</v>
      </c>
      <c r="B1445" s="9" t="inlineStr">
        <is>
          <t>Braylon Whitaker</t>
        </is>
      </c>
      <c r="C1445" s="9" t="inlineStr">
        <is>
          <t>BAL</t>
        </is>
      </c>
      <c r="D1445" s="9" t="n">
        <v>25</v>
      </c>
      <c r="E1445" s="16" t="inlineStr">
        <is>
          <t>L</t>
        </is>
      </c>
      <c r="F1445" s="16" t="n"/>
      <c r="G1445" s="9" t="n">
        <v>16</v>
      </c>
      <c r="H1445" s="9" t="n">
        <v>16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1" t="n">
        <v>1</v>
      </c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/>
      <c r="Y1445" s="17" t="n">
        <v>1</v>
      </c>
      <c r="Z1445" s="13">
        <f>SUMPRODUCT(N1445:Y1445,$N$2:$Y$2)*$K1445*$L1445*$M1445</f>
        <v/>
      </c>
      <c r="AA1445" s="14">
        <f>SUM(N1445:Y1445)</f>
        <v/>
      </c>
      <c r="AB1445" s="14">
        <f>IFERROR(IF(UPPER($E1445)="L",SUMPRODUCT(N1445:Y1445,$N$3:$Y$3,$N$2:$Y$2),SUMPRODUCT(N1445:Y1445,$N$4:$Y$4,$N$2:$Y$2))/(Z1445/($K1445*$L1445*$M1445)),"")</f>
        <v/>
      </c>
      <c r="AC1445" s="18" t="n"/>
    </row>
    <row r="1446">
      <c r="A1446" s="9" t="n">
        <v>801260</v>
      </c>
      <c r="B1446" s="9" t="inlineStr">
        <is>
          <t>Jairo Diaz</t>
        </is>
      </c>
      <c r="C1446" s="9" t="inlineStr">
        <is>
          <t>CHC</t>
        </is>
      </c>
      <c r="D1446" s="9" t="n">
        <v>25</v>
      </c>
      <c r="E1446" s="16" t="inlineStr">
        <is>
          <t>L</t>
        </is>
      </c>
      <c r="F1446" s="16" t="n"/>
      <c r="G1446" s="9" t="n">
        <v>15.63076923076923</v>
      </c>
      <c r="H1446" s="9" t="n">
        <v>15.63076923076923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1" t="n">
        <v>1</v>
      </c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/>
      <c r="Y1446" s="17" t="n">
        <v>1</v>
      </c>
      <c r="Z1446" s="13">
        <f>SUMPRODUCT(N1446:Y1446,$N$2:$Y$2)*$K1446*$L1446*$M1446</f>
        <v/>
      </c>
      <c r="AA1446" s="14">
        <f>SUM(N1446:Y1446)</f>
        <v/>
      </c>
      <c r="AB1446" s="14">
        <f>IFERROR(IF(UPPER($E1446)="L",SUMPRODUCT(N1446:Y1446,$N$3:$Y$3,$N$2:$Y$2),SUMPRODUCT(N1446:Y1446,$N$4:$Y$4,$N$2:$Y$2))/(Z1446/($K1446*$L1446*$M1446)),"")</f>
        <v/>
      </c>
      <c r="AC1446" s="18" t="n"/>
    </row>
    <row r="1447">
      <c r="A1447" s="9" t="n">
        <v>815897</v>
      </c>
      <c r="B1447" s="9" t="inlineStr">
        <is>
          <t>Robert Arias</t>
        </is>
      </c>
      <c r="C1447" s="9" t="inlineStr">
        <is>
          <t>CLE</t>
        </is>
      </c>
      <c r="D1447" s="9" t="n">
        <v>25</v>
      </c>
      <c r="E1447" s="16" t="inlineStr">
        <is>
          <t>L</t>
        </is>
      </c>
      <c r="F1447" s="16" t="n"/>
      <c r="G1447" s="9" t="n">
        <v>23.01538461538461</v>
      </c>
      <c r="H1447" s="9" t="n">
        <v>23.01538461538461</v>
      </c>
      <c r="I1447" s="9" t="inlineStr">
        <is>
          <t>Depth (no MLB PA)</t>
        </is>
      </c>
      <c r="J1447" s="16" t="inlineStr">
        <is>
          <t>Late Season (~Sept)</t>
        </is>
      </c>
      <c r="K1447" s="11">
        <f>IFERROR(INDEX(Roles!$B$17:$B$20,MATCH(J1447,Roles!$A$17:$A$20,0)),1)</f>
        <v/>
      </c>
      <c r="L1447" s="17" t="n">
        <v>1</v>
      </c>
      <c r="M1447" s="11" t="n">
        <v>1</v>
      </c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/>
      <c r="Y1447" s="17" t="n">
        <v>1</v>
      </c>
      <c r="Z1447" s="13">
        <f>SUMPRODUCT(N1447:Y1447,$N$2:$Y$2)*$K1447*$L1447*$M1447</f>
        <v/>
      </c>
      <c r="AA1447" s="14">
        <f>SUM(N1447:Y1447)</f>
        <v/>
      </c>
      <c r="AB1447" s="14">
        <f>IFERROR(IF(UPPER($E1447)="L",SUMPRODUCT(N1447:Y1447,$N$3:$Y$3,$N$2:$Y$2),SUMPRODUCT(N1447:Y1447,$N$4:$Y$4,$N$2:$Y$2))/(Z1447/($K1447*$L1447*$M1447)),"")</f>
        <v/>
      </c>
      <c r="AC1447" s="18" t="n"/>
    </row>
    <row r="1448">
      <c r="A1448" s="9" t="n">
        <v>683169</v>
      </c>
      <c r="B1448" s="9" t="inlineStr">
        <is>
          <t>Sean McLain</t>
        </is>
      </c>
      <c r="C1448" s="9" t="inlineStr">
        <is>
          <t>LAD</t>
        </is>
      </c>
      <c r="D1448" s="9" t="n">
        <v>25</v>
      </c>
      <c r="E1448" s="16" t="inlineStr">
        <is>
          <t>R</t>
        </is>
      </c>
      <c r="F1448" s="16" t="n"/>
      <c r="G1448" s="9" t="n">
        <v>71.43589743589743</v>
      </c>
      <c r="H1448" s="9" t="n">
        <v>71.43589743589743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1" t="n">
        <v>1</v>
      </c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/>
      <c r="Y1448" s="17" t="n">
        <v>1</v>
      </c>
      <c r="Z1448" s="13">
        <f>SUMPRODUCT(N1448:Y1448,$N$2:$Y$2)*$K1448*$L1448*$M1448</f>
        <v/>
      </c>
      <c r="AA1448" s="14">
        <f>SUM(N1448:Y1448)</f>
        <v/>
      </c>
      <c r="AB1448" s="14">
        <f>IFERROR(IF(UPPER($E1448)="L",SUMPRODUCT(N1448:Y1448,$N$3:$Y$3,$N$2:$Y$2),SUMPRODUCT(N1448:Y1448,$N$4:$Y$4,$N$2:$Y$2))/(Z1448/($K1448*$L1448*$M1448)),"")</f>
        <v/>
      </c>
      <c r="AC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1" t="n">
        <v>1</v>
      </c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/>
      <c r="Y1449" s="17" t="n">
        <v>1</v>
      </c>
      <c r="Z1449" s="13">
        <f>SUMPRODUCT(N1449:Y1449,$N$2:$Y$2)*$K1449*$L1449*$M1449</f>
        <v/>
      </c>
      <c r="AA1449" s="14">
        <f>SUM(N1449:Y1449)</f>
        <v/>
      </c>
      <c r="AB1449" s="14">
        <f>IFERROR(IF(UPPER($E1449)="L",SUMPRODUCT(N1449:Y1449,$N$3:$Y$3,$N$2:$Y$2),SUMPRODUCT(N1449:Y1449,$N$4:$Y$4,$N$2:$Y$2))/(Z1449/($K1449*$L1449*$M1449)),"")</f>
        <v/>
      </c>
      <c r="AC1449" s="18" t="n"/>
    </row>
    <row r="1450">
      <c r="A1450" s="9" t="n">
        <v>694842</v>
      </c>
      <c r="B1450" s="9" t="inlineStr">
        <is>
          <t>JT Benson</t>
        </is>
      </c>
      <c r="C1450" s="9" t="inlineStr">
        <is>
          <t>NYM</t>
        </is>
      </c>
      <c r="D1450" s="9" t="n">
        <v>25</v>
      </c>
      <c r="E1450" s="16" t="inlineStr">
        <is>
          <t>R</t>
        </is>
      </c>
      <c r="F1450" s="16" t="n"/>
      <c r="G1450" s="9" t="n">
        <v>29.07692307692308</v>
      </c>
      <c r="H1450" s="9" t="n">
        <v>29.07692307692308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1" t="n">
        <v>1</v>
      </c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/>
      <c r="Y1450" s="17" t="n">
        <v>1</v>
      </c>
      <c r="Z1450" s="13">
        <f>SUMPRODUCT(N1450:Y1450,$N$2:$Y$2)*$K1450*$L1450*$M1450</f>
        <v/>
      </c>
      <c r="AA1450" s="14">
        <f>SUM(N1450:Y1450)</f>
        <v/>
      </c>
      <c r="AB1450" s="14">
        <f>IFERROR(IF(UPPER($E1450)="L",SUMPRODUCT(N1450:Y1450,$N$3:$Y$3,$N$2:$Y$2),SUMPRODUCT(N1450:Y1450,$N$4:$Y$4,$N$2:$Y$2))/(Z1450/($K1450*$L1450*$M1450)),"")</f>
        <v/>
      </c>
      <c r="AC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1" t="n">
        <v>1</v>
      </c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/>
      <c r="Y1451" s="17" t="n">
        <v>1</v>
      </c>
      <c r="Z1451" s="13">
        <f>SUMPRODUCT(N1451:Y1451,$N$2:$Y$2)*$K1451*$L1451*$M1451</f>
        <v/>
      </c>
      <c r="AA1451" s="14">
        <f>SUM(N1451:Y1451)</f>
        <v/>
      </c>
      <c r="AB1451" s="14">
        <f>IFERROR(IF(UPPER($E1451)="L",SUMPRODUCT(N1451:Y1451,$N$3:$Y$3,$N$2:$Y$2),SUMPRODUCT(N1451:Y1451,$N$4:$Y$4,$N$2:$Y$2))/(Z1451/($K1451*$L1451*$M1451)),"")</f>
        <v/>
      </c>
      <c r="AC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1" t="n">
        <v>1</v>
      </c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/>
      <c r="Y1452" s="17" t="n">
        <v>1</v>
      </c>
      <c r="Z1452" s="13">
        <f>SUMPRODUCT(N1452:Y1452,$N$2:$Y$2)*$K1452*$L1452*$M1452</f>
        <v/>
      </c>
      <c r="AA1452" s="14">
        <f>SUM(N1452:Y1452)</f>
        <v/>
      </c>
      <c r="AB1452" s="14">
        <f>IFERROR(IF(UPPER($E1452)="L",SUMPRODUCT(N1452:Y1452,$N$3:$Y$3,$N$2:$Y$2),SUMPRODUCT(N1452:Y1452,$N$4:$Y$4,$N$2:$Y$2))/(Z1452/($K1452*$L1452*$M1452)),"")</f>
        <v/>
      </c>
      <c r="AC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1" t="n">
        <v>1</v>
      </c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/>
      <c r="Y1453" s="17" t="n">
        <v>1</v>
      </c>
      <c r="Z1453" s="13">
        <f>SUMPRODUCT(N1453:Y1453,$N$2:$Y$2)*$K1453*$L1453*$M1453</f>
        <v/>
      </c>
      <c r="AA1453" s="14">
        <f>SUM(N1453:Y1453)</f>
        <v/>
      </c>
      <c r="AB1453" s="14">
        <f>IFERROR(IF(UPPER($E1453)="L",SUMPRODUCT(N1453:Y1453,$N$3:$Y$3,$N$2:$Y$2),SUMPRODUCT(N1453:Y1453,$N$4:$Y$4,$N$2:$Y$2))/(Z1453/($K1453*$L1453*$M1453)),"")</f>
        <v/>
      </c>
      <c r="AC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1" t="n">
        <v>1</v>
      </c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/>
      <c r="Y1454" s="17" t="n">
        <v>1</v>
      </c>
      <c r="Z1454" s="13">
        <f>SUMPRODUCT(N1454:Y1454,$N$2:$Y$2)*$K1454*$L1454*$M1454</f>
        <v/>
      </c>
      <c r="AA1454" s="14">
        <f>SUM(N1454:Y1454)</f>
        <v/>
      </c>
      <c r="AB1454" s="14">
        <f>IFERROR(IF(UPPER($E1454)="L",SUMPRODUCT(N1454:Y1454,$N$3:$Y$3,$N$2:$Y$2),SUMPRODUCT(N1454:Y1454,$N$4:$Y$4,$N$2:$Y$2))/(Z1454/($K1454*$L1454*$M1454)),"")</f>
        <v/>
      </c>
      <c r="AC1454" s="18" t="n"/>
    </row>
    <row r="1455">
      <c r="A1455" s="9" t="n">
        <v>829398</v>
      </c>
      <c r="B1455" s="9" t="inlineStr">
        <is>
          <t>Franklin Primera</t>
        </is>
      </c>
      <c r="C1455" s="9" t="inlineStr">
        <is>
          <t>BOS</t>
        </is>
      </c>
      <c r="D1455" s="9" t="n">
        <v>25</v>
      </c>
      <c r="E1455" s="16" t="inlineStr">
        <is>
          <t>R</t>
        </is>
      </c>
      <c r="F1455" s="16" t="n"/>
      <c r="G1455" s="9" t="n">
        <v>23.38461538461539</v>
      </c>
      <c r="H1455" s="9" t="n">
        <v>23.38461538461539</v>
      </c>
      <c r="I1455" s="9" t="inlineStr">
        <is>
          <t>Depth (no MLB PA)</t>
        </is>
      </c>
      <c r="J1455" s="16" t="inlineStr">
        <is>
          <t>Late Season (~Sept)</t>
        </is>
      </c>
      <c r="K1455" s="11">
        <f>IFERROR(INDEX(Roles!$B$17:$B$20,MATCH(J1455,Roles!$A$17:$A$20,0)),1)</f>
        <v/>
      </c>
      <c r="L1455" s="17" t="n">
        <v>1</v>
      </c>
      <c r="M1455" s="11" t="n">
        <v>1</v>
      </c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/>
      <c r="Y1455" s="17" t="n">
        <v>1</v>
      </c>
      <c r="Z1455" s="13">
        <f>SUMPRODUCT(N1455:Y1455,$N$2:$Y$2)*$K1455*$L1455*$M1455</f>
        <v/>
      </c>
      <c r="AA1455" s="14">
        <f>SUM(N1455:Y1455)</f>
        <v/>
      </c>
      <c r="AB1455" s="14">
        <f>IFERROR(IF(UPPER($E1455)="L",SUMPRODUCT(N1455:Y1455,$N$3:$Y$3,$N$2:$Y$2),SUMPRODUCT(N1455:Y1455,$N$4:$Y$4,$N$2:$Y$2))/(Z1455/($K1455*$L1455*$M1455)),"")</f>
        <v/>
      </c>
      <c r="AC1455" s="18" t="n"/>
    </row>
    <row r="1456">
      <c r="A1456" s="9" t="n">
        <v>592656</v>
      </c>
      <c r="B1456" s="9" t="inlineStr">
        <is>
          <t>Henry Ramos</t>
        </is>
      </c>
      <c r="C1456" s="9" t="inlineStr">
        <is>
          <t>CIN</t>
        </is>
      </c>
      <c r="D1456" s="9" t="n">
        <v>35</v>
      </c>
      <c r="E1456" s="16" t="inlineStr">
        <is>
          <t>S</t>
        </is>
      </c>
      <c r="F1456" s="16" t="inlineStr">
        <is>
          <t>RF</t>
        </is>
      </c>
      <c r="G1456" s="9" t="n">
        <v>86</v>
      </c>
      <c r="H1456" s="9" t="n">
        <v>86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1" t="n">
        <v>1</v>
      </c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/>
      <c r="Y1456" s="17" t="n">
        <v>1</v>
      </c>
      <c r="Z1456" s="13">
        <f>SUMPRODUCT(N1456:Y1456,$N$2:$Y$2)*$K1456*$L1456*$M1456</f>
        <v/>
      </c>
      <c r="AA1456" s="14">
        <f>SUM(N1456:Y1456)</f>
        <v/>
      </c>
      <c r="AB1456" s="14">
        <f>IFERROR(IF(UPPER($E1456)="L",SUMPRODUCT(N1456:Y1456,$N$3:$Y$3,$N$2:$Y$2),SUMPRODUCT(N1456:Y1456,$N$4:$Y$4,$N$2:$Y$2))/(Z1456/($K1456*$L1456*$M1456)),"")</f>
        <v/>
      </c>
      <c r="AC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1" t="n">
        <v>1</v>
      </c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/>
      <c r="Y1457" s="17" t="n">
        <v>1</v>
      </c>
      <c r="Z1457" s="13">
        <f>SUMPRODUCT(N1457:Y1457,$N$2:$Y$2)*$K1457*$L1457*$M1457</f>
        <v/>
      </c>
      <c r="AA1457" s="14">
        <f>SUM(N1457:Y1457)</f>
        <v/>
      </c>
      <c r="AB1457" s="14">
        <f>IFERROR(IF(UPPER($E1457)="L",SUMPRODUCT(N1457:Y1457,$N$3:$Y$3,$N$2:$Y$2),SUMPRODUCT(N1457:Y1457,$N$4:$Y$4,$N$2:$Y$2))/(Z1457/($K1457*$L1457*$M1457)),"")</f>
        <v/>
      </c>
      <c r="AC1457" s="18" t="n"/>
    </row>
    <row r="1458">
      <c r="A1458" s="9" t="n">
        <v>688367</v>
      </c>
      <c r="B1458" s="9" t="inlineStr">
        <is>
          <t>Tucker Mitchell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12.20512820512821</v>
      </c>
      <c r="H1458" s="9" t="n">
        <v>12.20512820512821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1" t="n">
        <v>1</v>
      </c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/>
      <c r="Y1458" s="17" t="n">
        <v>1</v>
      </c>
      <c r="Z1458" s="13">
        <f>SUMPRODUCT(N1458:Y1458,$N$2:$Y$2)*$K1458*$L1458*$M1458</f>
        <v/>
      </c>
      <c r="AA1458" s="14">
        <f>SUM(N1458:Y1458)</f>
        <v/>
      </c>
      <c r="AB1458" s="14">
        <f>IFERROR(IF(UPPER($E1458)="L",SUMPRODUCT(N1458:Y1458,$N$3:$Y$3,$N$2:$Y$2),SUMPRODUCT(N1458:Y1458,$N$4:$Y$4,$N$2:$Y$2))/(Z1458/($K1458*$L1458*$M1458)),"")</f>
        <v/>
      </c>
      <c r="AC1458" s="18" t="n"/>
    </row>
    <row r="1459">
      <c r="A1459" s="9" t="n">
        <v>645277</v>
      </c>
      <c r="B1459" s="9" t="inlineStr">
        <is>
          <t>Ozzie Albies</t>
        </is>
      </c>
      <c r="C1459" s="9" t="inlineStr">
        <is>
          <t>ATL</t>
        </is>
      </c>
      <c r="D1459" s="9" t="n">
        <v>30</v>
      </c>
      <c r="E1459" s="16" t="inlineStr">
        <is>
          <t>S</t>
        </is>
      </c>
      <c r="F1459" s="16" t="inlineStr">
        <is>
          <t>2B</t>
        </is>
      </c>
      <c r="G1459" s="9" t="n">
        <v>683</v>
      </c>
      <c r="H1459" s="9" t="n">
        <v>2714</v>
      </c>
      <c r="I1459" s="9" t="inlineStr">
        <is>
          <t>Full Time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1" t="n">
        <v>1.139541614513385</v>
      </c>
      <c r="N1459" s="17" t="n">
        <v>1</v>
      </c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7" t="n"/>
      <c r="Z1459" s="13">
        <f>SUMPRODUCT(N1459:Y1459,$N$2:$Y$2)*$K1459*$L1459*$M1459</f>
        <v/>
      </c>
      <c r="AA1459" s="14">
        <f>SUM(N1459:Y1459)</f>
        <v/>
      </c>
      <c r="AB1459" s="14">
        <f>IFERROR(IF(UPPER($E1459)="L",SUMPRODUCT(N1459:Y1459,$N$3:$Y$3,$N$2:$Y$2),SUMPRODUCT(N1459:Y1459,$N$4:$Y$4,$N$2:$Y$2))/(Z1459/($K1459*$L1459*$M1459)),"")</f>
        <v/>
      </c>
      <c r="AC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25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Late Season (~Sept)</t>
        </is>
      </c>
      <c r="K1460" s="11">
        <f>IFERROR(INDEX(Roles!$B$17:$B$20,MATCH(J1460,Roles!$A$17:$A$20,0)),1)</f>
        <v/>
      </c>
      <c r="L1460" s="17" t="n">
        <v>1</v>
      </c>
      <c r="M1460" s="11" t="n">
        <v>1</v>
      </c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/>
      <c r="Y1460" s="17" t="n">
        <v>1</v>
      </c>
      <c r="Z1460" s="13">
        <f>SUMPRODUCT(N1460:Y1460,$N$2:$Y$2)*$K1460*$L1460*$M1460</f>
        <v/>
      </c>
      <c r="AA1460" s="14">
        <f>SUM(N1460:Y1460)</f>
        <v/>
      </c>
      <c r="AB1460" s="14">
        <f>IFERROR(IF(UPPER($E1460)="L",SUMPRODUCT(N1460:Y1460,$N$3:$Y$3,$N$2:$Y$2),SUMPRODUCT(N1460:Y1460,$N$4:$Y$4,$N$2:$Y$2))/(Z1460/($K1460*$L1460*$M1460)),"")</f>
        <v/>
      </c>
      <c r="AC1460" s="18" t="n"/>
    </row>
    <row r="1461">
      <c r="A1461" s="9" t="n">
        <v>808744</v>
      </c>
      <c r="B1461" s="9" t="inlineStr">
        <is>
          <t>Cal Stark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27.8974358974359</v>
      </c>
      <c r="H1461" s="9" t="n">
        <v>27.8974358974359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1" t="n">
        <v>1</v>
      </c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/>
      <c r="Y1461" s="17" t="n">
        <v>1</v>
      </c>
      <c r="Z1461" s="13">
        <f>SUMPRODUCT(N1461:Y1461,$N$2:$Y$2)*$K1461*$L1461*$M1461</f>
        <v/>
      </c>
      <c r="AA1461" s="14">
        <f>SUM(N1461:Y1461)</f>
        <v/>
      </c>
      <c r="AB1461" s="14">
        <f>IFERROR(IF(UPPER($E1461)="L",SUMPRODUCT(N1461:Y1461,$N$3:$Y$3,$N$2:$Y$2),SUMPRODUCT(N1461:Y1461,$N$4:$Y$4,$N$2:$Y$2))/(Z1461/($K1461*$L1461*$M1461)),"")</f>
        <v/>
      </c>
      <c r="AC1461" s="18" t="n"/>
    </row>
    <row r="1462">
      <c r="A1462" s="9" t="n">
        <v>806983</v>
      </c>
      <c r="B1462" s="9" t="inlineStr">
        <is>
          <t>Yophery Rodriguez</t>
        </is>
      </c>
      <c r="C1462" s="9" t="inlineStr">
        <is>
          <t>BOS</t>
        </is>
      </c>
      <c r="D1462" s="9" t="n">
        <v>25</v>
      </c>
      <c r="E1462" s="16" t="inlineStr">
        <is>
          <t>L</t>
        </is>
      </c>
      <c r="F1462" s="16" t="n"/>
      <c r="G1462" s="9" t="n">
        <v>80.20512820512822</v>
      </c>
      <c r="H1462" s="9" t="n">
        <v>80.20512820512822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1" t="n">
        <v>1</v>
      </c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/>
      <c r="Y1462" s="17" t="n">
        <v>1</v>
      </c>
      <c r="Z1462" s="13">
        <f>SUMPRODUCT(N1462:Y1462,$N$2:$Y$2)*$K1462*$L1462*$M1462</f>
        <v/>
      </c>
      <c r="AA1462" s="14">
        <f>SUM(N1462:Y1462)</f>
        <v/>
      </c>
      <c r="AB1462" s="14">
        <f>IFERROR(IF(UPPER($E1462)="L",SUMPRODUCT(N1462:Y1462,$N$3:$Y$3,$N$2:$Y$2),SUMPRODUCT(N1462:Y1462,$N$4:$Y$4,$N$2:$Y$2))/(Z1462/($K1462*$L1462*$M1462)),"")</f>
        <v/>
      </c>
      <c r="AC1462" s="18" t="n"/>
    </row>
    <row r="1463">
      <c r="A1463" s="9" t="n">
        <v>800444</v>
      </c>
      <c r="B1463" s="9" t="inlineStr">
        <is>
          <t>Nikau Pouaka-Grego</t>
        </is>
      </c>
      <c r="C1463" s="9" t="inlineStr">
        <is>
          <t>PHI</t>
        </is>
      </c>
      <c r="D1463" s="9" t="n">
        <v>25</v>
      </c>
      <c r="E1463" s="16" t="inlineStr">
        <is>
          <t>L</t>
        </is>
      </c>
      <c r="F1463" s="16" t="n"/>
      <c r="G1463" s="9" t="n">
        <v>11.48717948717949</v>
      </c>
      <c r="H1463" s="9" t="n">
        <v>11.48717948717949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1" t="n">
        <v>1</v>
      </c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/>
      <c r="Y1463" s="17" t="n">
        <v>1</v>
      </c>
      <c r="Z1463" s="13">
        <f>SUMPRODUCT(N1463:Y1463,$N$2:$Y$2)*$K1463*$L1463*$M1463</f>
        <v/>
      </c>
      <c r="AA1463" s="14">
        <f>SUM(N1463:Y1463)</f>
        <v/>
      </c>
      <c r="AB1463" s="14">
        <f>IFERROR(IF(UPPER($E1463)="L",SUMPRODUCT(N1463:Y1463,$N$3:$Y$3,$N$2:$Y$2),SUMPRODUCT(N1463:Y1463,$N$4:$Y$4,$N$2:$Y$2))/(Z1463/($K1463*$L1463*$M1463)),"")</f>
        <v/>
      </c>
      <c r="AC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1" t="n">
        <v>1</v>
      </c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/>
      <c r="Y1464" s="17" t="n">
        <v>1</v>
      </c>
      <c r="Z1464" s="13">
        <f>SUMPRODUCT(N1464:Y1464,$N$2:$Y$2)*$K1464*$L1464*$M1464</f>
        <v/>
      </c>
      <c r="AA1464" s="14">
        <f>SUM(N1464:Y1464)</f>
        <v/>
      </c>
      <c r="AB1464" s="14">
        <f>IFERROR(IF(UPPER($E1464)="L",SUMPRODUCT(N1464:Y1464,$N$3:$Y$3,$N$2:$Y$2),SUMPRODUCT(N1464:Y1464,$N$4:$Y$4,$N$2:$Y$2))/(Z1464/($K1464*$L1464*$M1464)),"")</f>
        <v/>
      </c>
      <c r="AC1464" s="18" t="n"/>
    </row>
    <row r="1465">
      <c r="A1465" s="9" t="n">
        <v>691183</v>
      </c>
      <c r="B1465" s="9" t="inlineStr">
        <is>
          <t>Kevin Made</t>
        </is>
      </c>
      <c r="C1465" s="9" t="inlineStr">
        <is>
          <t>WSH</t>
        </is>
      </c>
      <c r="D1465" s="9" t="n">
        <v>25</v>
      </c>
      <c r="E1465" s="16" t="inlineStr">
        <is>
          <t>R</t>
        </is>
      </c>
      <c r="F1465" s="16" t="n"/>
      <c r="G1465" s="9" t="n">
        <v>11.84615384615384</v>
      </c>
      <c r="H1465" s="9" t="n">
        <v>11.84615384615384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1" t="n">
        <v>1</v>
      </c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/>
      <c r="Y1465" s="17" t="n">
        <v>1</v>
      </c>
      <c r="Z1465" s="13">
        <f>SUMPRODUCT(N1465:Y1465,$N$2:$Y$2)*$K1465*$L1465*$M1465</f>
        <v/>
      </c>
      <c r="AA1465" s="14">
        <f>SUM(N1465:Y1465)</f>
        <v/>
      </c>
      <c r="AB1465" s="14">
        <f>IFERROR(IF(UPPER($E1465)="L",SUMPRODUCT(N1465:Y1465,$N$3:$Y$3,$N$2:$Y$2),SUMPRODUCT(N1465:Y1465,$N$4:$Y$4,$N$2:$Y$2))/(Z1465/($K1465*$L1465*$M1465)),"")</f>
        <v/>
      </c>
      <c r="AC1465" s="18" t="n"/>
    </row>
    <row r="1466">
      <c r="A1466" s="9" t="n">
        <v>831188</v>
      </c>
      <c r="B1466" s="9" t="inlineStr">
        <is>
          <t>Steven Lancia</t>
        </is>
      </c>
      <c r="C1466" s="9" t="inlineStr">
        <is>
          <t>CWS</t>
        </is>
      </c>
      <c r="D1466" s="9" t="n">
        <v>25</v>
      </c>
      <c r="E1466" s="16" t="inlineStr">
        <is>
          <t>R</t>
        </is>
      </c>
      <c r="F1466" s="16" t="n"/>
      <c r="G1466" s="9" t="n">
        <v>16.36923076923077</v>
      </c>
      <c r="H1466" s="9" t="n">
        <v>16.36923076923077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1" t="n">
        <v>1</v>
      </c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/>
      <c r="Y1466" s="17" t="n">
        <v>1</v>
      </c>
      <c r="Z1466" s="13">
        <f>SUMPRODUCT(N1466:Y1466,$N$2:$Y$2)*$K1466*$L1466*$M1466</f>
        <v/>
      </c>
      <c r="AA1466" s="14">
        <f>SUM(N1466:Y1466)</f>
        <v/>
      </c>
      <c r="AB1466" s="14">
        <f>IFERROR(IF(UPPER($E1466)="L",SUMPRODUCT(N1466:Y1466,$N$3:$Y$3,$N$2:$Y$2),SUMPRODUCT(N1466:Y1466,$N$4:$Y$4,$N$2:$Y$2))/(Z1466/($K1466*$L1466*$M1466)),"")</f>
        <v/>
      </c>
      <c r="AC1466" s="18" t="n"/>
    </row>
    <row r="1467">
      <c r="A1467" s="9" t="n">
        <v>834925</v>
      </c>
      <c r="B1467" s="9" t="inlineStr">
        <is>
          <t>Jose Silva</t>
        </is>
      </c>
      <c r="C1467" s="9" t="inlineStr">
        <is>
          <t>CHC</t>
        </is>
      </c>
      <c r="D1467" s="9" t="n">
        <v>25</v>
      </c>
      <c r="E1467" s="16" t="inlineStr">
        <is>
          <t>R</t>
        </is>
      </c>
      <c r="F1467" s="16" t="n"/>
      <c r="G1467" s="9" t="n">
        <v>16</v>
      </c>
      <c r="H1467" s="9" t="n">
        <v>16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1" t="n">
        <v>1</v>
      </c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/>
      <c r="Y1467" s="17" t="n">
        <v>1</v>
      </c>
      <c r="Z1467" s="13">
        <f>SUMPRODUCT(N1467:Y1467,$N$2:$Y$2)*$K1467*$L1467*$M1467</f>
        <v/>
      </c>
      <c r="AA1467" s="14">
        <f>SUM(N1467:Y1467)</f>
        <v/>
      </c>
      <c r="AB1467" s="14">
        <f>IFERROR(IF(UPPER($E1467)="L",SUMPRODUCT(N1467:Y1467,$N$3:$Y$3,$N$2:$Y$2),SUMPRODUCT(N1467:Y1467,$N$4:$Y$4,$N$2:$Y$2))/(Z1467/($K1467*$L1467*$M1467)),"")</f>
        <v/>
      </c>
      <c r="AC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inlineStr">
        <is>
          <t>1B</t>
        </is>
      </c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1" t="n">
        <v>1</v>
      </c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/>
      <c r="Y1468" s="17" t="n">
        <v>1</v>
      </c>
      <c r="Z1468" s="13">
        <f>SUMPRODUCT(N1468:Y1468,$N$2:$Y$2)*$K1468*$L1468*$M1468</f>
        <v/>
      </c>
      <c r="AA1468" s="14">
        <f>SUM(N1468:Y1468)</f>
        <v/>
      </c>
      <c r="AB1468" s="14">
        <f>IFERROR(IF(UPPER($E1468)="L",SUMPRODUCT(N1468:Y1468,$N$3:$Y$3,$N$2:$Y$2),SUMPRODUCT(N1468:Y1468,$N$4:$Y$4,$N$2:$Y$2))/(Z1468/($K1468*$L1468*$M1468)),"")</f>
        <v/>
      </c>
      <c r="AC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1" t="n">
        <v>1</v>
      </c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/>
      <c r="Y1469" s="17" t="n">
        <v>1</v>
      </c>
      <c r="Z1469" s="13">
        <f>SUMPRODUCT(N1469:Y1469,$N$2:$Y$2)*$K1469*$L1469*$M1469</f>
        <v/>
      </c>
      <c r="AA1469" s="14">
        <f>SUM(N1469:Y1469)</f>
        <v/>
      </c>
      <c r="AB1469" s="14">
        <f>IFERROR(IF(UPPER($E1469)="L",SUMPRODUCT(N1469:Y1469,$N$3:$Y$3,$N$2:$Y$2),SUMPRODUCT(N1469:Y1469,$N$4:$Y$4,$N$2:$Y$2))/(Z1469/($K1469*$L1469*$M1469)),"")</f>
        <v/>
      </c>
      <c r="AC1469" s="18" t="n"/>
    </row>
    <row r="1470">
      <c r="A1470" s="9" t="n">
        <v>808852</v>
      </c>
      <c r="B1470" s="9" t="inlineStr">
        <is>
          <t>Gable Mitchell</t>
        </is>
      </c>
      <c r="C1470" s="9" t="inlineStr">
        <is>
          <t>TOR</t>
        </is>
      </c>
      <c r="D1470" s="9" t="n">
        <v>25</v>
      </c>
      <c r="E1470" s="16" t="inlineStr">
        <is>
          <t>S</t>
        </is>
      </c>
      <c r="F1470" s="16" t="n"/>
      <c r="G1470" s="9" t="n">
        <v>20.71794871794872</v>
      </c>
      <c r="H1470" s="9" t="n">
        <v>20.71794871794872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1" t="n">
        <v>1</v>
      </c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/>
      <c r="Y1470" s="17" t="n">
        <v>1</v>
      </c>
      <c r="Z1470" s="13">
        <f>SUMPRODUCT(N1470:Y1470,$N$2:$Y$2)*$K1470*$L1470*$M1470</f>
        <v/>
      </c>
      <c r="AA1470" s="14">
        <f>SUM(N1470:Y1470)</f>
        <v/>
      </c>
      <c r="AB1470" s="14">
        <f>IFERROR(IF(UPPER($E1470)="L",SUMPRODUCT(N1470:Y1470,$N$3:$Y$3,$N$2:$Y$2),SUMPRODUCT(N1470:Y1470,$N$4:$Y$4,$N$2:$Y$2))/(Z1470/($K1470*$L1470*$M1470)),"")</f>
        <v/>
      </c>
      <c r="AC1470" s="18" t="n"/>
    </row>
    <row r="1471">
      <c r="A1471" s="9" t="n">
        <v>811948</v>
      </c>
      <c r="B1471" s="9" t="inlineStr">
        <is>
          <t>Tony Santa Maria</t>
        </is>
      </c>
      <c r="C1471" s="9" t="inlineStr">
        <is>
          <t>TB</t>
        </is>
      </c>
      <c r="D1471" s="9" t="n">
        <v>25</v>
      </c>
      <c r="E1471" s="16" t="inlineStr">
        <is>
          <t>R</t>
        </is>
      </c>
      <c r="F1471" s="16" t="n"/>
      <c r="G1471" s="9" t="n">
        <v>27.64102564102564</v>
      </c>
      <c r="H1471" s="9" t="n">
        <v>27.64102564102564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1" t="n">
        <v>1</v>
      </c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/>
      <c r="Y1471" s="17" t="n">
        <v>1</v>
      </c>
      <c r="Z1471" s="13">
        <f>SUMPRODUCT(N1471:Y1471,$N$2:$Y$2)*$K1471*$L1471*$M1471</f>
        <v/>
      </c>
      <c r="AA1471" s="14">
        <f>SUM(N1471:Y1471)</f>
        <v/>
      </c>
      <c r="AB1471" s="14">
        <f>IFERROR(IF(UPPER($E1471)="L",SUMPRODUCT(N1471:Y1471,$N$3:$Y$3,$N$2:$Y$2),SUMPRODUCT(N1471:Y1471,$N$4:$Y$4,$N$2:$Y$2))/(Z1471/($K1471*$L1471*$M1471)),"")</f>
        <v/>
      </c>
      <c r="AC1471" s="18" t="n"/>
    </row>
    <row r="1472">
      <c r="A1472" s="9" t="n">
        <v>820831</v>
      </c>
      <c r="B1472" s="9" t="inlineStr">
        <is>
          <t>Sawyer Strosnider</t>
        </is>
      </c>
      <c r="C1472" s="9" t="inlineStr">
        <is>
          <t>MIL</t>
        </is>
      </c>
      <c r="D1472" s="9" t="n">
        <v>25</v>
      </c>
      <c r="E1472" s="16" t="inlineStr">
        <is>
          <t>L</t>
        </is>
      </c>
      <c r="F1472" s="16" t="n"/>
      <c r="G1472" s="9" t="n">
        <v>20.30769230769231</v>
      </c>
      <c r="H1472" s="9" t="n">
        <v>20.30769230769231</v>
      </c>
      <c r="I1472" s="9" t="inlineStr">
        <is>
          <t>Depth (no MLB PA)</t>
        </is>
      </c>
      <c r="J1472" s="16" t="inlineStr">
        <is>
          <t>Late Season (~Sept)</t>
        </is>
      </c>
      <c r="K1472" s="11">
        <f>IFERROR(INDEX(Roles!$B$17:$B$20,MATCH(J1472,Roles!$A$17:$A$20,0)),1)</f>
        <v/>
      </c>
      <c r="L1472" s="17" t="n">
        <v>1</v>
      </c>
      <c r="M1472" s="11" t="n">
        <v>1</v>
      </c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/>
      <c r="Y1472" s="17" t="n">
        <v>1</v>
      </c>
      <c r="Z1472" s="13">
        <f>SUMPRODUCT(N1472:Y1472,$N$2:$Y$2)*$K1472*$L1472*$M1472</f>
        <v/>
      </c>
      <c r="AA1472" s="14">
        <f>SUM(N1472:Y1472)</f>
        <v/>
      </c>
      <c r="AB1472" s="14">
        <f>IFERROR(IF(UPPER($E1472)="L",SUMPRODUCT(N1472:Y1472,$N$3:$Y$3,$N$2:$Y$2),SUMPRODUCT(N1472:Y1472,$N$4:$Y$4,$N$2:$Y$2))/(Z1472/($K1472*$L1472*$M1472)),"")</f>
        <v/>
      </c>
      <c r="AC1472" s="18" t="n"/>
    </row>
    <row r="1473">
      <c r="A1473" s="9" t="n">
        <v>691605</v>
      </c>
      <c r="B1473" s="9" t="inlineStr">
        <is>
          <t>Miguel Briceno</t>
        </is>
      </c>
      <c r="C1473" s="9" t="inlineStr">
        <is>
          <t>MIN</t>
        </is>
      </c>
      <c r="D1473" s="9" t="n">
        <v>25</v>
      </c>
      <c r="E1473" s="16" t="inlineStr">
        <is>
          <t>R</t>
        </is>
      </c>
      <c r="F1473" s="16" t="n"/>
      <c r="G1473" s="9" t="n">
        <v>12.20512820512821</v>
      </c>
      <c r="H1473" s="9" t="n">
        <v>12.20512820512821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1" t="n">
        <v>1</v>
      </c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/>
      <c r="Y1473" s="17" t="n">
        <v>1</v>
      </c>
      <c r="Z1473" s="13">
        <f>SUMPRODUCT(N1473:Y1473,$N$2:$Y$2)*$K1473*$L1473*$M1473</f>
        <v/>
      </c>
      <c r="AA1473" s="14">
        <f>SUM(N1473:Y1473)</f>
        <v/>
      </c>
      <c r="AB1473" s="14">
        <f>IFERROR(IF(UPPER($E1473)="L",SUMPRODUCT(N1473:Y1473,$N$3:$Y$3,$N$2:$Y$2),SUMPRODUCT(N1473:Y1473,$N$4:$Y$4,$N$2:$Y$2))/(Z1473/($K1473*$L1473*$M1473)),"")</f>
        <v/>
      </c>
      <c r="AC1473" s="18" t="n"/>
    </row>
    <row r="1474">
      <c r="A1474" s="9" t="n">
        <v>691281</v>
      </c>
      <c r="B1474" s="9" t="inlineStr">
        <is>
          <t>Diosfran Cabeza</t>
        </is>
      </c>
      <c r="C1474" s="9" t="inlineStr">
        <is>
          <t>ARI</t>
        </is>
      </c>
      <c r="D1474" s="9" t="n">
        <v>25</v>
      </c>
      <c r="E1474" s="16" t="inlineStr">
        <is>
          <t>S</t>
        </is>
      </c>
      <c r="F1474" s="16" t="n"/>
      <c r="G1474" s="9" t="n">
        <v>12.1025641025641</v>
      </c>
      <c r="H1474" s="9" t="n">
        <v>12.1025641025641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1" t="n">
        <v>1</v>
      </c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/>
      <c r="Y1474" s="17" t="n">
        <v>1</v>
      </c>
      <c r="Z1474" s="13">
        <f>SUMPRODUCT(N1474:Y1474,$N$2:$Y$2)*$K1474*$L1474*$M1474</f>
        <v/>
      </c>
      <c r="AA1474" s="14">
        <f>SUM(N1474:Y1474)</f>
        <v/>
      </c>
      <c r="AB1474" s="14">
        <f>IFERROR(IF(UPPER($E1474)="L",SUMPRODUCT(N1474:Y1474,$N$3:$Y$3,$N$2:$Y$2),SUMPRODUCT(N1474:Y1474,$N$4:$Y$4,$N$2:$Y$2))/(Z1474/($K1474*$L1474*$M1474)),"")</f>
        <v/>
      </c>
      <c r="AC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1" t="n">
        <v>1</v>
      </c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/>
      <c r="Y1475" s="17" t="n">
        <v>1</v>
      </c>
      <c r="Z1475" s="13">
        <f>SUMPRODUCT(N1475:Y1475,$N$2:$Y$2)*$K1475*$L1475*$M1475</f>
        <v/>
      </c>
      <c r="AA1475" s="14">
        <f>SUM(N1475:Y1475)</f>
        <v/>
      </c>
      <c r="AB1475" s="14">
        <f>IFERROR(IF(UPPER($E1475)="L",SUMPRODUCT(N1475:Y1475,$N$3:$Y$3,$N$2:$Y$2),SUMPRODUCT(N1475:Y1475,$N$4:$Y$4,$N$2:$Y$2))/(Z1475/($K1475*$L1475*$M1475)),"")</f>
        <v/>
      </c>
      <c r="AC1475" s="18" t="n"/>
    </row>
    <row r="1476">
      <c r="A1476" s="9" t="n">
        <v>543543</v>
      </c>
      <c r="B1476" s="9" t="inlineStr">
        <is>
          <t>Brad Miller</t>
        </is>
      </c>
      <c r="C1476" s="9" t="inlineStr">
        <is>
          <t>TEX</t>
        </is>
      </c>
      <c r="D1476" s="9" t="n">
        <v>37</v>
      </c>
      <c r="E1476" s="16" t="inlineStr">
        <is>
          <t>L</t>
        </is>
      </c>
      <c r="F1476" s="16" t="inlineStr">
        <is>
          <t>1B</t>
        </is>
      </c>
      <c r="G1476" s="9" t="n">
        <v>67</v>
      </c>
      <c r="H1476" s="9" t="n">
        <v>308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1" t="n">
        <v>1</v>
      </c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/>
      <c r="Y1476" s="17" t="n">
        <v>1</v>
      </c>
      <c r="Z1476" s="13">
        <f>SUMPRODUCT(N1476:Y1476,$N$2:$Y$2)*$K1476*$L1476*$M1476</f>
        <v/>
      </c>
      <c r="AA1476" s="14">
        <f>SUM(N1476:Y1476)</f>
        <v/>
      </c>
      <c r="AB1476" s="14">
        <f>IFERROR(IF(UPPER($E1476)="L",SUMPRODUCT(N1476:Y1476,$N$3:$Y$3,$N$2:$Y$2),SUMPRODUCT(N1476:Y1476,$N$4:$Y$4,$N$2:$Y$2))/(Z1476/($K1476*$L1476*$M1476)),"")</f>
        <v/>
      </c>
      <c r="AC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inlineStr">
        <is>
          <t>1B</t>
        </is>
      </c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1" t="n">
        <v>1</v>
      </c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/>
      <c r="Y1477" s="17" t="n">
        <v>1</v>
      </c>
      <c r="Z1477" s="13">
        <f>SUMPRODUCT(N1477:Y1477,$N$2:$Y$2)*$K1477*$L1477*$M1477</f>
        <v/>
      </c>
      <c r="AA1477" s="14">
        <f>SUM(N1477:Y1477)</f>
        <v/>
      </c>
      <c r="AB1477" s="14">
        <f>IFERROR(IF(UPPER($E1477)="L",SUMPRODUCT(N1477:Y1477,$N$3:$Y$3,$N$2:$Y$2),SUMPRODUCT(N1477:Y1477,$N$4:$Y$4,$N$2:$Y$2))/(Z1477/($K1477*$L1477*$M1477)),"")</f>
        <v/>
      </c>
      <c r="AC1477" s="18" t="n"/>
    </row>
    <row r="1478">
      <c r="A1478" s="9" t="n">
        <v>680994</v>
      </c>
      <c r="B1478" s="9" t="inlineStr">
        <is>
          <t>Nick Biddison</t>
        </is>
      </c>
      <c r="C1478" s="9" t="inlineStr">
        <is>
          <t>PHI</t>
        </is>
      </c>
      <c r="D1478" s="9" t="n">
        <v>25</v>
      </c>
      <c r="E1478" s="16" t="inlineStr">
        <is>
          <t>R</t>
        </is>
      </c>
      <c r="F1478" s="16" t="n"/>
      <c r="G1478" s="9" t="n">
        <v>12.41025641025641</v>
      </c>
      <c r="H1478" s="9" t="n">
        <v>12.41025641025641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1" t="n">
        <v>1</v>
      </c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/>
      <c r="Y1478" s="17" t="n">
        <v>1</v>
      </c>
      <c r="Z1478" s="13">
        <f>SUMPRODUCT(N1478:Y1478,$N$2:$Y$2)*$K1478*$L1478*$M1478</f>
        <v/>
      </c>
      <c r="AA1478" s="14">
        <f>SUM(N1478:Y1478)</f>
        <v/>
      </c>
      <c r="AB1478" s="14">
        <f>IFERROR(IF(UPPER($E1478)="L",SUMPRODUCT(N1478:Y1478,$N$3:$Y$3,$N$2:$Y$2),SUMPRODUCT(N1478:Y1478,$N$4:$Y$4,$N$2:$Y$2))/(Z1478/($K1478*$L1478*$M1478)),"")</f>
        <v/>
      </c>
      <c r="AC1478" s="18" t="n"/>
    </row>
    <row r="1479">
      <c r="A1479" s="9" t="n">
        <v>702574</v>
      </c>
      <c r="B1479" s="9" t="inlineStr">
        <is>
          <t>David Mershon</t>
        </is>
      </c>
      <c r="C1479" s="9" t="inlineStr">
        <is>
          <t>LAA</t>
        </is>
      </c>
      <c r="D1479" s="9" t="n">
        <v>25</v>
      </c>
      <c r="E1479" s="16" t="inlineStr">
        <is>
          <t>S</t>
        </is>
      </c>
      <c r="F1479" s="16" t="n"/>
      <c r="G1479" s="9" t="n">
        <v>12.20512820512821</v>
      </c>
      <c r="H1479" s="9" t="n">
        <v>12.20512820512821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1" t="n">
        <v>1</v>
      </c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/>
      <c r="Y1479" s="17" t="n">
        <v>1</v>
      </c>
      <c r="Z1479" s="13">
        <f>SUMPRODUCT(N1479:Y1479,$N$2:$Y$2)*$K1479*$L1479*$M1479</f>
        <v/>
      </c>
      <c r="AA1479" s="14">
        <f>SUM(N1479:Y1479)</f>
        <v/>
      </c>
      <c r="AB1479" s="14">
        <f>IFERROR(IF(UPPER($E1479)="L",SUMPRODUCT(N1479:Y1479,$N$3:$Y$3,$N$2:$Y$2),SUMPRODUCT(N1479:Y1479,$N$4:$Y$4,$N$2:$Y$2))/(Z1479/($K1479*$L1479*$M1479)),"")</f>
        <v/>
      </c>
      <c r="AC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1" t="n">
        <v>1</v>
      </c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/>
      <c r="Y1480" s="17" t="n">
        <v>1</v>
      </c>
      <c r="Z1480" s="13">
        <f>SUMPRODUCT(N1480:Y1480,$N$2:$Y$2)*$K1480*$L1480*$M1480</f>
        <v/>
      </c>
      <c r="AA1480" s="14">
        <f>SUM(N1480:Y1480)</f>
        <v/>
      </c>
      <c r="AB1480" s="14">
        <f>IFERROR(IF(UPPER($E1480)="L",SUMPRODUCT(N1480:Y1480,$N$3:$Y$3,$N$2:$Y$2),SUMPRODUCT(N1480:Y1480,$N$4:$Y$4,$N$2:$Y$2))/(Z1480/($K1480*$L1480*$M1480)),"")</f>
        <v/>
      </c>
      <c r="AC1480" s="18" t="n"/>
    </row>
    <row r="1481">
      <c r="A1481" s="9" t="n">
        <v>701860</v>
      </c>
      <c r="B1481" s="9" t="inlineStr">
        <is>
          <t>Carter Cunningham</t>
        </is>
      </c>
      <c r="C1481" s="9" t="inlineStr">
        <is>
          <t>TOR</t>
        </is>
      </c>
      <c r="D1481" s="9" t="n">
        <v>25</v>
      </c>
      <c r="E1481" s="16" t="inlineStr">
        <is>
          <t>L</t>
        </is>
      </c>
      <c r="F1481" s="16" t="n"/>
      <c r="G1481" s="9" t="n">
        <v>96.92307692307691</v>
      </c>
      <c r="H1481" s="9" t="n">
        <v>96.92307692307691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1" t="n">
        <v>1</v>
      </c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/>
      <c r="Y1481" s="17" t="n">
        <v>1</v>
      </c>
      <c r="Z1481" s="13">
        <f>SUMPRODUCT(N1481:Y1481,$N$2:$Y$2)*$K1481*$L1481*$M1481</f>
        <v/>
      </c>
      <c r="AA1481" s="14">
        <f>SUM(N1481:Y1481)</f>
        <v/>
      </c>
      <c r="AB1481" s="14">
        <f>IFERROR(IF(UPPER($E1481)="L",SUMPRODUCT(N1481:Y1481,$N$3:$Y$3,$N$2:$Y$2),SUMPRODUCT(N1481:Y1481,$N$4:$Y$4,$N$2:$Y$2))/(Z1481/($K1481*$L1481*$M1481)),"")</f>
        <v/>
      </c>
      <c r="AC1481" s="18" t="n"/>
    </row>
    <row r="1482">
      <c r="A1482" s="9" t="n">
        <v>691559</v>
      </c>
      <c r="B1482" s="9" t="inlineStr">
        <is>
          <t>Jose D. Hernandez</t>
        </is>
      </c>
      <c r="C1482" s="9" t="inlineStr">
        <is>
          <t>LAD</t>
        </is>
      </c>
      <c r="D1482" s="9" t="n">
        <v>25</v>
      </c>
      <c r="E1482" s="16" t="inlineStr">
        <is>
          <t>R</t>
        </is>
      </c>
      <c r="F1482" s="16" t="n"/>
      <c r="G1482" s="9" t="n">
        <v>25.43589743589744</v>
      </c>
      <c r="H1482" s="9" t="n">
        <v>25.43589743589744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1" t="n">
        <v>1</v>
      </c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/>
      <c r="Y1482" s="17" t="n">
        <v>1</v>
      </c>
      <c r="Z1482" s="13">
        <f>SUMPRODUCT(N1482:Y1482,$N$2:$Y$2)*$K1482*$L1482*$M1482</f>
        <v/>
      </c>
      <c r="AA1482" s="14">
        <f>SUM(N1482:Y1482)</f>
        <v/>
      </c>
      <c r="AB1482" s="14">
        <f>IFERROR(IF(UPPER($E1482)="L",SUMPRODUCT(N1482:Y1482,$N$3:$Y$3,$N$2:$Y$2),SUMPRODUCT(N1482:Y1482,$N$4:$Y$4,$N$2:$Y$2))/(Z1482/($K1482*$L1482*$M1482)),"")</f>
        <v/>
      </c>
      <c r="AC1482" s="18" t="n"/>
    </row>
    <row r="1483">
      <c r="A1483" s="9" t="n">
        <v>691269</v>
      </c>
      <c r="B1483" s="9" t="inlineStr">
        <is>
          <t>Adrian Placencia</t>
        </is>
      </c>
      <c r="C1483" s="9" t="inlineStr">
        <is>
          <t>LAA</t>
        </is>
      </c>
      <c r="D1483" s="9" t="n">
        <v>25</v>
      </c>
      <c r="E1483" s="16" t="inlineStr">
        <is>
          <t>S</t>
        </is>
      </c>
      <c r="F1483" s="16" t="n"/>
      <c r="G1483" s="9" t="n">
        <v>40.41025641025641</v>
      </c>
      <c r="H1483" s="9" t="n">
        <v>40.41025641025641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1" t="n">
        <v>1</v>
      </c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/>
      <c r="Y1483" s="17" t="n">
        <v>1</v>
      </c>
      <c r="Z1483" s="13">
        <f>SUMPRODUCT(N1483:Y1483,$N$2:$Y$2)*$K1483*$L1483*$M1483</f>
        <v/>
      </c>
      <c r="AA1483" s="14">
        <f>SUM(N1483:Y1483)</f>
        <v/>
      </c>
      <c r="AB1483" s="14">
        <f>IFERROR(IF(UPPER($E1483)="L",SUMPRODUCT(N1483:Y1483,$N$3:$Y$3,$N$2:$Y$2),SUMPRODUCT(N1483:Y1483,$N$4:$Y$4,$N$2:$Y$2))/(Z1483/($K1483*$L1483*$M1483)),"")</f>
        <v/>
      </c>
      <c r="AC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1" t="n">
        <v>1</v>
      </c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/>
      <c r="Y1484" s="17" t="n">
        <v>1</v>
      </c>
      <c r="Z1484" s="13">
        <f>SUMPRODUCT(N1484:Y1484,$N$2:$Y$2)*$K1484*$L1484*$M1484</f>
        <v/>
      </c>
      <c r="AA1484" s="14">
        <f>SUM(N1484:Y1484)</f>
        <v/>
      </c>
      <c r="AB1484" s="14">
        <f>IFERROR(IF(UPPER($E1484)="L",SUMPRODUCT(N1484:Y1484,$N$3:$Y$3,$N$2:$Y$2),SUMPRODUCT(N1484:Y1484,$N$4:$Y$4,$N$2:$Y$2))/(Z1484/($K1484*$L1484*$M1484)),"")</f>
        <v/>
      </c>
      <c r="AC1484" s="18" t="n"/>
    </row>
    <row r="1485">
      <c r="A1485" s="9" t="n">
        <v>827084</v>
      </c>
      <c r="B1485" s="9" t="inlineStr">
        <is>
          <t>Jay McQueen</t>
        </is>
      </c>
      <c r="C1485" s="9" t="inlineStr">
        <is>
          <t>TEX</t>
        </is>
      </c>
      <c r="D1485" s="9" t="n">
        <v>25</v>
      </c>
      <c r="E1485" s="16" t="inlineStr">
        <is>
          <t>R</t>
        </is>
      </c>
      <c r="F1485" s="16" t="n"/>
      <c r="G1485" s="9" t="n">
        <v>12.30769230769231</v>
      </c>
      <c r="H1485" s="9" t="n">
        <v>12.30769230769231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1" t="n">
        <v>1</v>
      </c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/>
      <c r="Y1485" s="17" t="n">
        <v>1</v>
      </c>
      <c r="Z1485" s="13">
        <f>SUMPRODUCT(N1485:Y1485,$N$2:$Y$2)*$K1485*$L1485*$M1485</f>
        <v/>
      </c>
      <c r="AA1485" s="14">
        <f>SUM(N1485:Y1485)</f>
        <v/>
      </c>
      <c r="AB1485" s="14">
        <f>IFERROR(IF(UPPER($E1485)="L",SUMPRODUCT(N1485:Y1485,$N$3:$Y$3,$N$2:$Y$2),SUMPRODUCT(N1485:Y1485,$N$4:$Y$4,$N$2:$Y$2))/(Z1485/($K1485*$L1485*$M1485)),"")</f>
        <v/>
      </c>
      <c r="AC1485" s="18" t="n"/>
    </row>
    <row r="1486">
      <c r="A1486" s="9" t="n">
        <v>694444</v>
      </c>
      <c r="B1486" s="9" t="inlineStr">
        <is>
          <t>Tavian Josenberger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1" t="n">
        <v>1</v>
      </c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/>
      <c r="Y1486" s="17" t="n">
        <v>1</v>
      </c>
      <c r="Z1486" s="13">
        <f>SUMPRODUCT(N1486:Y1486,$N$2:$Y$2)*$K1486*$L1486*$M1486</f>
        <v/>
      </c>
      <c r="AA1486" s="14">
        <f>SUM(N1486:Y1486)</f>
        <v/>
      </c>
      <c r="AB1486" s="14">
        <f>IFERROR(IF(UPPER($E1486)="L",SUMPRODUCT(N1486:Y1486,$N$3:$Y$3,$N$2:$Y$2),SUMPRODUCT(N1486:Y1486,$N$4:$Y$4,$N$2:$Y$2))/(Z1486/($K1486*$L1486*$M1486)),"")</f>
        <v/>
      </c>
      <c r="AC1486" s="18" t="n"/>
    </row>
    <row r="1487">
      <c r="A1487" s="9" t="n">
        <v>821270</v>
      </c>
      <c r="B1487" s="9" t="inlineStr">
        <is>
          <t>Luis Peña</t>
        </is>
      </c>
      <c r="C1487" s="9" t="inlineStr">
        <is>
          <t>MIL</t>
        </is>
      </c>
      <c r="D1487" s="9" t="n">
        <v>25</v>
      </c>
      <c r="E1487" s="16" t="inlineStr">
        <is>
          <t>R</t>
        </is>
      </c>
      <c r="F1487" s="16" t="n"/>
      <c r="G1487" s="9" t="n">
        <v>21.53846153846154</v>
      </c>
      <c r="H1487" s="9" t="n">
        <v>21.53846153846154</v>
      </c>
      <c r="I1487" s="9" t="inlineStr">
        <is>
          <t>Bench Bat</t>
        </is>
      </c>
      <c r="J1487" s="16" t="inlineStr">
        <is>
          <t>Mid Season (~July)</t>
        </is>
      </c>
      <c r="K1487" s="11">
        <f>IFERROR(INDEX(Roles!$B$17:$B$20,MATCH(J1487,Roles!$A$17:$A$20,0)),1)</f>
        <v/>
      </c>
      <c r="L1487" s="17" t="n">
        <v>1</v>
      </c>
      <c r="M1487" s="11" t="n">
        <v>1</v>
      </c>
      <c r="N1487" s="17" t="n">
        <v>0.25</v>
      </c>
      <c r="O1487" s="17" t="n"/>
      <c r="P1487" s="17" t="n">
        <v>0.3</v>
      </c>
      <c r="Q1487" s="17" t="n"/>
      <c r="R1487" s="17" t="n"/>
      <c r="S1487" s="17" t="n"/>
      <c r="T1487" s="17" t="n"/>
      <c r="U1487" s="17" t="n"/>
      <c r="V1487" s="17" t="n"/>
      <c r="W1487" s="17" t="n">
        <v>0.45</v>
      </c>
      <c r="X1487" s="17" t="n"/>
      <c r="Y1487" s="17" t="n"/>
      <c r="Z1487" s="13">
        <f>SUMPRODUCT(N1487:Y1487,$N$2:$Y$2)*$K1487*$L1487*$M1487</f>
        <v/>
      </c>
      <c r="AA1487" s="14">
        <f>SUM(N1487:Y1487)</f>
        <v/>
      </c>
      <c r="AB1487" s="14">
        <f>IFERROR(IF(UPPER($E1487)="L",SUMPRODUCT(N1487:Y1487,$N$3:$Y$3,$N$2:$Y$2),SUMPRODUCT(N1487:Y1487,$N$4:$Y$4,$N$2:$Y$2))/(Z1487/($K1487*$L1487*$M1487)),"")</f>
        <v/>
      </c>
      <c r="AC1487" s="18" t="n"/>
    </row>
    <row r="1488">
      <c r="A1488" s="9" t="n">
        <v>842179</v>
      </c>
      <c r="B1488" s="9" t="inlineStr">
        <is>
          <t>Tanner Mally</t>
        </is>
      </c>
      <c r="C1488" s="9" t="inlineStr">
        <is>
          <t>SF</t>
        </is>
      </c>
      <c r="D1488" s="9" t="n">
        <v>25</v>
      </c>
      <c r="E1488" s="16" t="inlineStr">
        <is>
          <t>R</t>
        </is>
      </c>
      <c r="F1488" s="16" t="n"/>
      <c r="G1488" s="9" t="n">
        <v>12.43076923076923</v>
      </c>
      <c r="H1488" s="9" t="n">
        <v>12.43076923076923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1" t="n">
        <v>1</v>
      </c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/>
      <c r="Y1488" s="17" t="n">
        <v>1</v>
      </c>
      <c r="Z1488" s="13">
        <f>SUMPRODUCT(N1488:Y1488,$N$2:$Y$2)*$K1488*$L1488*$M1488</f>
        <v/>
      </c>
      <c r="AA1488" s="14">
        <f>SUM(N1488:Y1488)</f>
        <v/>
      </c>
      <c r="AB1488" s="14">
        <f>IFERROR(IF(UPPER($E1488)="L",SUMPRODUCT(N1488:Y1488,$N$3:$Y$3,$N$2:$Y$2),SUMPRODUCT(N1488:Y1488,$N$4:$Y$4,$N$2:$Y$2))/(Z1488/($K1488*$L1488*$M1488)),"")</f>
        <v/>
      </c>
      <c r="AC1488" s="18" t="n"/>
    </row>
    <row r="1489">
      <c r="A1489" s="9" t="n">
        <v>800433</v>
      </c>
      <c r="B1489" s="9" t="inlineStr">
        <is>
          <t>Elis Cuevas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41.84615384615385</v>
      </c>
      <c r="H1489" s="9" t="n">
        <v>41.84615384615385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1" t="n">
        <v>1</v>
      </c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/>
      <c r="Y1489" s="17" t="n">
        <v>1</v>
      </c>
      <c r="Z1489" s="13">
        <f>SUMPRODUCT(N1489:Y1489,$N$2:$Y$2)*$K1489*$L1489*$M1489</f>
        <v/>
      </c>
      <c r="AA1489" s="14">
        <f>SUM(N1489:Y1489)</f>
        <v/>
      </c>
      <c r="AB1489" s="14">
        <f>IFERROR(IF(UPPER($E1489)="L",SUMPRODUCT(N1489:Y1489,$N$3:$Y$3,$N$2:$Y$2),SUMPRODUCT(N1489:Y1489,$N$4:$Y$4,$N$2:$Y$2))/(Z1489/($K1489*$L1489*$M1489)),"")</f>
        <v/>
      </c>
      <c r="AC1489" s="18" t="n"/>
    </row>
    <row r="1490">
      <c r="A1490" s="9" t="n">
        <v>827636</v>
      </c>
      <c r="B1490" s="9" t="inlineStr">
        <is>
          <t>Trent Youngblood</t>
        </is>
      </c>
      <c r="C1490" s="9" t="inlineStr">
        <is>
          <t>ARI</t>
        </is>
      </c>
      <c r="D1490" s="9" t="n">
        <v>25</v>
      </c>
      <c r="E1490" s="16" t="inlineStr">
        <is>
          <t>L</t>
        </is>
      </c>
      <c r="F1490" s="16" t="n"/>
      <c r="G1490" s="9" t="n">
        <v>12.41025641025641</v>
      </c>
      <c r="H1490" s="9" t="n">
        <v>12.41025641025641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1" t="n">
        <v>1</v>
      </c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/>
      <c r="Y1490" s="17" t="n">
        <v>1</v>
      </c>
      <c r="Z1490" s="13">
        <f>SUMPRODUCT(N1490:Y1490,$N$2:$Y$2)*$K1490*$L1490*$M1490</f>
        <v/>
      </c>
      <c r="AA1490" s="14">
        <f>SUM(N1490:Y1490)</f>
        <v/>
      </c>
      <c r="AB1490" s="14">
        <f>IFERROR(IF(UPPER($E1490)="L",SUMPRODUCT(N1490:Y1490,$N$3:$Y$3,$N$2:$Y$2),SUMPRODUCT(N1490:Y1490,$N$4:$Y$4,$N$2:$Y$2))/(Z1490/($K1490*$L1490*$M1490)),"")</f>
        <v/>
      </c>
      <c r="AC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1" t="n">
        <v>1</v>
      </c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/>
      <c r="Y1491" s="17" t="n">
        <v>1</v>
      </c>
      <c r="Z1491" s="13">
        <f>SUMPRODUCT(N1491:Y1491,$N$2:$Y$2)*$K1491*$L1491*$M1491</f>
        <v/>
      </c>
      <c r="AA1491" s="14">
        <f>SUM(N1491:Y1491)</f>
        <v/>
      </c>
      <c r="AB1491" s="14">
        <f>IFERROR(IF(UPPER($E1491)="L",SUMPRODUCT(N1491:Y1491,$N$3:$Y$3,$N$2:$Y$2),SUMPRODUCT(N1491:Y1491,$N$4:$Y$4,$N$2:$Y$2))/(Z1491/($K1491*$L1491*$M1491)),"")</f>
        <v/>
      </c>
      <c r="AC1491" s="18" t="n"/>
    </row>
    <row r="1492">
      <c r="A1492" s="9" t="n">
        <v>807722</v>
      </c>
      <c r="B1492" s="9" t="inlineStr">
        <is>
          <t>Maxton Martin</t>
        </is>
      </c>
      <c r="C1492" s="9" t="inlineStr">
        <is>
          <t>TEX</t>
        </is>
      </c>
      <c r="D1492" s="9" t="n">
        <v>25</v>
      </c>
      <c r="E1492" s="16" t="inlineStr">
        <is>
          <t>L</t>
        </is>
      </c>
      <c r="F1492" s="16" t="n"/>
      <c r="G1492" s="9" t="n">
        <v>102.1538461538462</v>
      </c>
      <c r="H1492" s="9" t="n">
        <v>102.1538461538462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1" t="n">
        <v>1</v>
      </c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/>
      <c r="Y1492" s="17" t="n">
        <v>1</v>
      </c>
      <c r="Z1492" s="13">
        <f>SUMPRODUCT(N1492:Y1492,$N$2:$Y$2)*$K1492*$L1492*$M1492</f>
        <v/>
      </c>
      <c r="AA1492" s="14">
        <f>SUM(N1492:Y1492)</f>
        <v/>
      </c>
      <c r="AB1492" s="14">
        <f>IFERROR(IF(UPPER($E1492)="L",SUMPRODUCT(N1492:Y1492,$N$3:$Y$3,$N$2:$Y$2),SUMPRODUCT(N1492:Y1492,$N$4:$Y$4,$N$2:$Y$2))/(Z1492/($K1492*$L1492*$M1492)),"")</f>
        <v/>
      </c>
      <c r="AC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1" t="n">
        <v>1</v>
      </c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/>
      <c r="Y1493" s="17" t="n">
        <v>1</v>
      </c>
      <c r="Z1493" s="13">
        <f>SUMPRODUCT(N1493:Y1493,$N$2:$Y$2)*$K1493*$L1493*$M1493</f>
        <v/>
      </c>
      <c r="AA1493" s="14">
        <f>SUM(N1493:Y1493)</f>
        <v/>
      </c>
      <c r="AB1493" s="14">
        <f>IFERROR(IF(UPPER($E1493)="L",SUMPRODUCT(N1493:Y1493,$N$3:$Y$3,$N$2:$Y$2),SUMPRODUCT(N1493:Y1493,$N$4:$Y$4,$N$2:$Y$2))/(Z1493/($K1493*$L1493*$M1493)),"")</f>
        <v/>
      </c>
      <c r="AC1493" s="18" t="n"/>
    </row>
    <row r="1494">
      <c r="A1494" s="9" t="n">
        <v>842969</v>
      </c>
      <c r="B1494" s="9" t="inlineStr">
        <is>
          <t>Corey Nunez</t>
        </is>
      </c>
      <c r="C1494" s="9" t="inlineStr">
        <is>
          <t>CHC</t>
        </is>
      </c>
      <c r="D1494" s="9" t="n">
        <v>25</v>
      </c>
      <c r="E1494" s="16" t="inlineStr">
        <is>
          <t>R</t>
        </is>
      </c>
      <c r="F1494" s="16" t="n"/>
      <c r="G1494" s="9" t="n">
        <v>12.8</v>
      </c>
      <c r="H1494" s="9" t="n">
        <v>12.8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1" t="n">
        <v>1</v>
      </c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/>
      <c r="Y1494" s="17" t="n">
        <v>1</v>
      </c>
      <c r="Z1494" s="13">
        <f>SUMPRODUCT(N1494:Y1494,$N$2:$Y$2)*$K1494*$L1494*$M1494</f>
        <v/>
      </c>
      <c r="AA1494" s="14">
        <f>SUM(N1494:Y1494)</f>
        <v/>
      </c>
      <c r="AB1494" s="14">
        <f>IFERROR(IF(UPPER($E1494)="L",SUMPRODUCT(N1494:Y1494,$N$3:$Y$3,$N$2:$Y$2),SUMPRODUCT(N1494:Y1494,$N$4:$Y$4,$N$2:$Y$2))/(Z1494/($K1494*$L1494*$M1494)),"")</f>
        <v/>
      </c>
      <c r="AC1494" s="18" t="n"/>
    </row>
    <row r="1495">
      <c r="A1495" s="9" t="n">
        <v>806969</v>
      </c>
      <c r="B1495" s="9" t="inlineStr">
        <is>
          <t>Camilo Diaz</t>
        </is>
      </c>
      <c r="C1495" s="9" t="inlineStr">
        <is>
          <t>HOU</t>
        </is>
      </c>
      <c r="D1495" s="9" t="n">
        <v>25</v>
      </c>
      <c r="E1495" s="16" t="inlineStr">
        <is>
          <t>R</t>
        </is>
      </c>
      <c r="F1495" s="16" t="n"/>
      <c r="G1495" s="9" t="n">
        <v>24.98461538461538</v>
      </c>
      <c r="H1495" s="9" t="n">
        <v>24.98461538461538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1" t="n">
        <v>1</v>
      </c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/>
      <c r="Y1495" s="17" t="n">
        <v>1</v>
      </c>
      <c r="Z1495" s="13">
        <f>SUMPRODUCT(N1495:Y1495,$N$2:$Y$2)*$K1495*$L1495*$M1495</f>
        <v/>
      </c>
      <c r="AA1495" s="14">
        <f>SUM(N1495:Y1495)</f>
        <v/>
      </c>
      <c r="AB1495" s="14">
        <f>IFERROR(IF(UPPER($E1495)="L",SUMPRODUCT(N1495:Y1495,$N$3:$Y$3,$N$2:$Y$2),SUMPRODUCT(N1495:Y1495,$N$4:$Y$4,$N$2:$Y$2))/(Z1495/($K1495*$L1495*$M1495)),"")</f>
        <v/>
      </c>
      <c r="AC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25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Bench Bat</t>
        </is>
      </c>
      <c r="J1496" s="16" t="inlineStr">
        <is>
          <t>Mid Season (~July)</t>
        </is>
      </c>
      <c r="K1496" s="11">
        <f>IFERROR(INDEX(Roles!$B$17:$B$20,MATCH(J1496,Roles!$A$17:$A$20,0)),1)</f>
        <v/>
      </c>
      <c r="L1496" s="17" t="n">
        <v>1</v>
      </c>
      <c r="M1496" s="11" t="n">
        <v>1</v>
      </c>
      <c r="N1496" s="17" t="n">
        <v>0.25</v>
      </c>
      <c r="O1496" s="17" t="n"/>
      <c r="P1496" s="17" t="n">
        <v>0.3</v>
      </c>
      <c r="Q1496" s="17" t="n"/>
      <c r="R1496" s="17" t="n"/>
      <c r="S1496" s="17" t="n"/>
      <c r="T1496" s="17" t="n"/>
      <c r="U1496" s="17" t="n"/>
      <c r="V1496" s="17" t="n"/>
      <c r="W1496" s="17" t="n">
        <v>0.45</v>
      </c>
      <c r="X1496" s="17" t="n"/>
      <c r="Y1496" s="17" t="n"/>
      <c r="Z1496" s="13">
        <f>SUMPRODUCT(N1496:Y1496,$N$2:$Y$2)*$K1496*$L1496*$M1496</f>
        <v/>
      </c>
      <c r="AA1496" s="14">
        <f>SUM(N1496:Y1496)</f>
        <v/>
      </c>
      <c r="AB1496" s="14">
        <f>IFERROR(IF(UPPER($E1496)="L",SUMPRODUCT(N1496:Y1496,$N$3:$Y$3,$N$2:$Y$2),SUMPRODUCT(N1496:Y1496,$N$4:$Y$4,$N$2:$Y$2))/(Z1496/($K1496*$L1496*$M1496)),"")</f>
        <v/>
      </c>
      <c r="AC1496" s="18" t="n"/>
    </row>
    <row r="1497">
      <c r="A1497" s="9" t="n">
        <v>808297</v>
      </c>
      <c r="B1497" s="9" t="inlineStr">
        <is>
          <t>Deward Tovar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51.32307692307692</v>
      </c>
      <c r="H1497" s="9" t="n">
        <v>51.32307692307692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1" t="n">
        <v>1</v>
      </c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/>
      <c r="Y1497" s="17" t="n">
        <v>1</v>
      </c>
      <c r="Z1497" s="13">
        <f>SUMPRODUCT(N1497:Y1497,$N$2:$Y$2)*$K1497*$L1497*$M1497</f>
        <v/>
      </c>
      <c r="AA1497" s="14">
        <f>SUM(N1497:Y1497)</f>
        <v/>
      </c>
      <c r="AB1497" s="14">
        <f>IFERROR(IF(UPPER($E1497)="L",SUMPRODUCT(N1497:Y1497,$N$3:$Y$3,$N$2:$Y$2),SUMPRODUCT(N1497:Y1497,$N$4:$Y$4,$N$2:$Y$2))/(Z1497/($K1497*$L1497*$M1497)),"")</f>
        <v/>
      </c>
      <c r="AC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1" t="n">
        <v>1</v>
      </c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/>
      <c r="Y1498" s="17" t="n">
        <v>1</v>
      </c>
      <c r="Z1498" s="13">
        <f>SUMPRODUCT(N1498:Y1498,$N$2:$Y$2)*$K1498*$L1498*$M1498</f>
        <v/>
      </c>
      <c r="AA1498" s="14">
        <f>SUM(N1498:Y1498)</f>
        <v/>
      </c>
      <c r="AB1498" s="14">
        <f>IFERROR(IF(UPPER($E1498)="L",SUMPRODUCT(N1498:Y1498,$N$3:$Y$3,$N$2:$Y$2),SUMPRODUCT(N1498:Y1498,$N$4:$Y$4,$N$2:$Y$2))/(Z1498/($K1498*$L1498*$M1498)),"")</f>
        <v/>
      </c>
      <c r="AC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1" t="n">
        <v>1</v>
      </c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/>
      <c r="Y1499" s="17" t="n">
        <v>1</v>
      </c>
      <c r="Z1499" s="13">
        <f>SUMPRODUCT(N1499:Y1499,$N$2:$Y$2)*$K1499*$L1499*$M1499</f>
        <v/>
      </c>
      <c r="AA1499" s="14">
        <f>SUM(N1499:Y1499)</f>
        <v/>
      </c>
      <c r="AB1499" s="14">
        <f>IFERROR(IF(UPPER($E1499)="L",SUMPRODUCT(N1499:Y1499,$N$3:$Y$3,$N$2:$Y$2),SUMPRODUCT(N1499:Y1499,$N$4:$Y$4,$N$2:$Y$2))/(Z1499/($K1499*$L1499*$M1499)),"")</f>
        <v/>
      </c>
      <c r="AC1499" s="18" t="n"/>
    </row>
    <row r="1500">
      <c r="A1500" s="9" t="n">
        <v>696160</v>
      </c>
      <c r="B1500" s="9" t="inlineStr">
        <is>
          <t>Jake Rucker</t>
        </is>
      </c>
      <c r="C1500" s="9" t="inlineStr">
        <is>
          <t>MIN</t>
        </is>
      </c>
      <c r="D1500" s="9" t="n">
        <v>25</v>
      </c>
      <c r="E1500" s="16" t="inlineStr">
        <is>
          <t>R</t>
        </is>
      </c>
      <c r="F1500" s="16" t="n"/>
      <c r="G1500" s="9" t="n">
        <v>27.64102564102564</v>
      </c>
      <c r="H1500" s="9" t="n">
        <v>27.64102564102564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1" t="n">
        <v>1</v>
      </c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/>
      <c r="Y1500" s="17" t="n">
        <v>1</v>
      </c>
      <c r="Z1500" s="13">
        <f>SUMPRODUCT(N1500:Y1500,$N$2:$Y$2)*$K1500*$L1500*$M1500</f>
        <v/>
      </c>
      <c r="AA1500" s="14">
        <f>SUM(N1500:Y1500)</f>
        <v/>
      </c>
      <c r="AB1500" s="14">
        <f>IFERROR(IF(UPPER($E1500)="L",SUMPRODUCT(N1500:Y1500,$N$3:$Y$3,$N$2:$Y$2),SUMPRODUCT(N1500:Y1500,$N$4:$Y$4,$N$2:$Y$2))/(Z1500/($K1500*$L1500*$M1500)),"")</f>
        <v/>
      </c>
      <c r="AC1500" s="18" t="n"/>
    </row>
    <row r="1501">
      <c r="A1501" s="9" t="n">
        <v>701493</v>
      </c>
      <c r="B1501" s="9" t="inlineStr">
        <is>
          <t>Hunter Dobbins</t>
        </is>
      </c>
      <c r="C1501" s="9" t="inlineStr">
        <is>
          <t>DET</t>
        </is>
      </c>
      <c r="D1501" s="9" t="n">
        <v>25</v>
      </c>
      <c r="E1501" s="16" t="inlineStr">
        <is>
          <t>R</t>
        </is>
      </c>
      <c r="F1501" s="16" t="n"/>
      <c r="G1501" s="9" t="n">
        <v>16.41025641025641</v>
      </c>
      <c r="H1501" s="9" t="n">
        <v>16.41025641025641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1" t="n">
        <v>1</v>
      </c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/>
      <c r="Y1501" s="17" t="n">
        <v>1</v>
      </c>
      <c r="Z1501" s="13">
        <f>SUMPRODUCT(N1501:Y1501,$N$2:$Y$2)*$K1501*$L1501*$M1501</f>
        <v/>
      </c>
      <c r="AA1501" s="14">
        <f>SUM(N1501:Y1501)</f>
        <v/>
      </c>
      <c r="AB1501" s="14">
        <f>IFERROR(IF(UPPER($E1501)="L",SUMPRODUCT(N1501:Y1501,$N$3:$Y$3,$N$2:$Y$2),SUMPRODUCT(N1501:Y1501,$N$4:$Y$4,$N$2:$Y$2))/(Z1501/($K1501*$L1501*$M1501)),"")</f>
        <v/>
      </c>
      <c r="AC1501" s="18" t="n"/>
    </row>
    <row r="1502">
      <c r="A1502" s="9" t="n">
        <v>822531</v>
      </c>
      <c r="B1502" s="9" t="inlineStr">
        <is>
          <t>Kyle Fossum</t>
        </is>
      </c>
      <c r="C1502" s="9" t="inlineStr">
        <is>
          <t>COL</t>
        </is>
      </c>
      <c r="D1502" s="9" t="n">
        <v>25</v>
      </c>
      <c r="E1502" s="16" t="inlineStr">
        <is>
          <t>R</t>
        </is>
      </c>
      <c r="F1502" s="16" t="n"/>
      <c r="G1502" s="9" t="n">
        <v>31.75384615384615</v>
      </c>
      <c r="H1502" s="9" t="n">
        <v>31.75384615384615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1" t="n">
        <v>1</v>
      </c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/>
      <c r="Y1502" s="17" t="n">
        <v>1</v>
      </c>
      <c r="Z1502" s="13">
        <f>SUMPRODUCT(N1502:Y1502,$N$2:$Y$2)*$K1502*$L1502*$M1502</f>
        <v/>
      </c>
      <c r="AA1502" s="14">
        <f>SUM(N1502:Y1502)</f>
        <v/>
      </c>
      <c r="AB1502" s="14">
        <f>IFERROR(IF(UPPER($E1502)="L",SUMPRODUCT(N1502:Y1502,$N$3:$Y$3,$N$2:$Y$2),SUMPRODUCT(N1502:Y1502,$N$4:$Y$4,$N$2:$Y$2))/(Z1502/($K1502*$L1502*$M1502)),"")</f>
        <v/>
      </c>
      <c r="AC1502" s="18" t="n"/>
    </row>
    <row r="1503">
      <c r="A1503" s="9" t="n">
        <v>691449</v>
      </c>
      <c r="B1503" s="9" t="inlineStr">
        <is>
          <t>Roberto Campos</t>
        </is>
      </c>
      <c r="C1503" s="9" t="inlineStr">
        <is>
          <t>DET</t>
        </is>
      </c>
      <c r="D1503" s="9" t="n">
        <v>25</v>
      </c>
      <c r="E1503" s="16" t="inlineStr">
        <is>
          <t>R</t>
        </is>
      </c>
      <c r="F1503" s="16" t="n"/>
      <c r="G1503" s="9" t="n">
        <v>30.15384615384616</v>
      </c>
      <c r="H1503" s="9" t="n">
        <v>30.15384615384616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1" t="n">
        <v>1</v>
      </c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/>
      <c r="Y1503" s="17" t="n">
        <v>1</v>
      </c>
      <c r="Z1503" s="13">
        <f>SUMPRODUCT(N1503:Y1503,$N$2:$Y$2)*$K1503*$L1503*$M1503</f>
        <v/>
      </c>
      <c r="AA1503" s="14">
        <f>SUM(N1503:Y1503)</f>
        <v/>
      </c>
      <c r="AB1503" s="14">
        <f>IFERROR(IF(UPPER($E1503)="L",SUMPRODUCT(N1503:Y1503,$N$3:$Y$3,$N$2:$Y$2),SUMPRODUCT(N1503:Y1503,$N$4:$Y$4,$N$2:$Y$2))/(Z1503/($K1503*$L1503*$M1503)),"")</f>
        <v/>
      </c>
      <c r="AC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1" t="n">
        <v>1</v>
      </c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/>
      <c r="Y1504" s="17" t="n">
        <v>1</v>
      </c>
      <c r="Z1504" s="13">
        <f>SUMPRODUCT(N1504:Y1504,$N$2:$Y$2)*$K1504*$L1504*$M1504</f>
        <v/>
      </c>
      <c r="AA1504" s="14">
        <f>SUM(N1504:Y1504)</f>
        <v/>
      </c>
      <c r="AB1504" s="14">
        <f>IFERROR(IF(UPPER($E1504)="L",SUMPRODUCT(N1504:Y1504,$N$3:$Y$3,$N$2:$Y$2),SUMPRODUCT(N1504:Y1504,$N$4:$Y$4,$N$2:$Y$2))/(Z1504/($K1504*$L1504*$M1504)),"")</f>
        <v/>
      </c>
      <c r="AC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25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Late Season (~Sept)</t>
        </is>
      </c>
      <c r="K1505" s="11">
        <f>IFERROR(INDEX(Roles!$B$17:$B$20,MATCH(J1505,Roles!$A$17:$A$20,0)),1)</f>
        <v/>
      </c>
      <c r="L1505" s="17" t="n">
        <v>1</v>
      </c>
      <c r="M1505" s="11" t="n">
        <v>1</v>
      </c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/>
      <c r="Y1505" s="17" t="n">
        <v>1</v>
      </c>
      <c r="Z1505" s="13">
        <f>SUMPRODUCT(N1505:Y1505,$N$2:$Y$2)*$K1505*$L1505*$M1505</f>
        <v/>
      </c>
      <c r="AA1505" s="14">
        <f>SUM(N1505:Y1505)</f>
        <v/>
      </c>
      <c r="AB1505" s="14">
        <f>IFERROR(IF(UPPER($E1505)="L",SUMPRODUCT(N1505:Y1505,$N$3:$Y$3,$N$2:$Y$2),SUMPRODUCT(N1505:Y1505,$N$4:$Y$4,$N$2:$Y$2))/(Z1505/($K1505*$L1505*$M1505)),"")</f>
        <v/>
      </c>
      <c r="AC1505" s="18" t="n"/>
    </row>
    <row r="1506">
      <c r="A1506" s="9" t="n">
        <v>808691</v>
      </c>
      <c r="B1506" s="9" t="inlineStr">
        <is>
          <t>Adrian Gil</t>
        </is>
      </c>
      <c r="C1506" s="9" t="inlineStr">
        <is>
          <t>CWS</t>
        </is>
      </c>
      <c r="D1506" s="9" t="n">
        <v>25</v>
      </c>
      <c r="E1506" s="16" t="inlineStr">
        <is>
          <t>R</t>
        </is>
      </c>
      <c r="F1506" s="16" t="n"/>
      <c r="G1506" s="9" t="n">
        <v>21.16923076923077</v>
      </c>
      <c r="H1506" s="9" t="n">
        <v>21.16923076923077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1" t="n">
        <v>1</v>
      </c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/>
      <c r="Y1506" s="17" t="n">
        <v>1</v>
      </c>
      <c r="Z1506" s="13">
        <f>SUMPRODUCT(N1506:Y1506,$N$2:$Y$2)*$K1506*$L1506*$M1506</f>
        <v/>
      </c>
      <c r="AA1506" s="14">
        <f>SUM(N1506:Y1506)</f>
        <v/>
      </c>
      <c r="AB1506" s="14">
        <f>IFERROR(IF(UPPER($E1506)="L",SUMPRODUCT(N1506:Y1506,$N$3:$Y$3,$N$2:$Y$2),SUMPRODUCT(N1506:Y1506,$N$4:$Y$4,$N$2:$Y$2))/(Z1506/($K1506*$L1506*$M1506)),"")</f>
        <v/>
      </c>
      <c r="AC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1" t="n">
        <v>1</v>
      </c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/>
      <c r="Y1507" s="17" t="n">
        <v>1</v>
      </c>
      <c r="Z1507" s="13">
        <f>SUMPRODUCT(N1507:Y1507,$N$2:$Y$2)*$K1507*$L1507*$M1507</f>
        <v/>
      </c>
      <c r="AA1507" s="14">
        <f>SUM(N1507:Y1507)</f>
        <v/>
      </c>
      <c r="AB1507" s="14">
        <f>IFERROR(IF(UPPER($E1507)="L",SUMPRODUCT(N1507:Y1507,$N$3:$Y$3,$N$2:$Y$2),SUMPRODUCT(N1507:Y1507,$N$4:$Y$4,$N$2:$Y$2))/(Z1507/($K1507*$L1507*$M1507)),"")</f>
        <v/>
      </c>
      <c r="AC1507" s="18" t="n"/>
    </row>
    <row r="1508">
      <c r="A1508" s="9" t="n">
        <v>703603</v>
      </c>
      <c r="B1508" s="9" t="inlineStr">
        <is>
          <t>Grant Jay</t>
        </is>
      </c>
      <c r="C1508" s="9" t="inlineStr">
        <is>
          <t>SEA</t>
        </is>
      </c>
      <c r="D1508" s="9" t="n">
        <v>25</v>
      </c>
      <c r="E1508" s="16" t="inlineStr">
        <is>
          <t>R</t>
        </is>
      </c>
      <c r="F1508" s="16" t="n"/>
      <c r="G1508" s="9" t="n">
        <v>37.90769230769231</v>
      </c>
      <c r="H1508" s="9" t="n">
        <v>37.90769230769231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1" t="n">
        <v>1</v>
      </c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/>
      <c r="Y1508" s="17" t="n">
        <v>1</v>
      </c>
      <c r="Z1508" s="13">
        <f>SUMPRODUCT(N1508:Y1508,$N$2:$Y$2)*$K1508*$L1508*$M1508</f>
        <v/>
      </c>
      <c r="AA1508" s="14">
        <f>SUM(N1508:Y1508)</f>
        <v/>
      </c>
      <c r="AB1508" s="14">
        <f>IFERROR(IF(UPPER($E1508)="L",SUMPRODUCT(N1508:Y1508,$N$3:$Y$3,$N$2:$Y$2),SUMPRODUCT(N1508:Y1508,$N$4:$Y$4,$N$2:$Y$2))/(Z1508/($K1508*$L1508*$M1508)),"")</f>
        <v/>
      </c>
      <c r="AC1508" s="18" t="n"/>
    </row>
    <row r="1509">
      <c r="A1509" s="9" t="n">
        <v>703158</v>
      </c>
      <c r="B1509" s="9" t="inlineStr">
        <is>
          <t>Jonathan Mejía</t>
        </is>
      </c>
      <c r="C1509" s="9" t="inlineStr">
        <is>
          <t>STL</t>
        </is>
      </c>
      <c r="D1509" s="9" t="n">
        <v>25</v>
      </c>
      <c r="E1509" s="16" t="inlineStr">
        <is>
          <t>S</t>
        </is>
      </c>
      <c r="F1509" s="16" t="n"/>
      <c r="G1509" s="9" t="n">
        <v>38.64615384615384</v>
      </c>
      <c r="H1509" s="9" t="n">
        <v>38.64615384615384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1" t="n">
        <v>1</v>
      </c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/>
      <c r="Y1509" s="17" t="n">
        <v>1</v>
      </c>
      <c r="Z1509" s="13">
        <f>SUMPRODUCT(N1509:Y1509,$N$2:$Y$2)*$K1509*$L1509*$M1509</f>
        <v/>
      </c>
      <c r="AA1509" s="14">
        <f>SUM(N1509:Y1509)</f>
        <v/>
      </c>
      <c r="AB1509" s="14">
        <f>IFERROR(IF(UPPER($E1509)="L",SUMPRODUCT(N1509:Y1509,$N$3:$Y$3,$N$2:$Y$2),SUMPRODUCT(N1509:Y1509,$N$4:$Y$4,$N$2:$Y$2))/(Z1509/($K1509*$L1509*$M1509)),"")</f>
        <v/>
      </c>
      <c r="AC1509" s="18" t="n"/>
    </row>
    <row r="1510">
      <c r="A1510" s="9" t="n">
        <v>801853</v>
      </c>
      <c r="B1510" s="9" t="inlineStr">
        <is>
          <t>Brandon Nigh</t>
        </is>
      </c>
      <c r="C1510" s="9" t="inlineStr">
        <is>
          <t>HOU</t>
        </is>
      </c>
      <c r="D1510" s="9" t="n">
        <v>25</v>
      </c>
      <c r="E1510" s="16" t="inlineStr">
        <is>
          <t>R</t>
        </is>
      </c>
      <c r="F1510" s="16" t="n"/>
      <c r="G1510" s="9" t="n">
        <v>12.51282051282051</v>
      </c>
      <c r="H1510" s="9" t="n">
        <v>12.51282051282051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1" t="n">
        <v>1</v>
      </c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/>
      <c r="Y1510" s="17" t="n">
        <v>1</v>
      </c>
      <c r="Z1510" s="13">
        <f>SUMPRODUCT(N1510:Y1510,$N$2:$Y$2)*$K1510*$L1510*$M1510</f>
        <v/>
      </c>
      <c r="AA1510" s="14">
        <f>SUM(N1510:Y1510)</f>
        <v/>
      </c>
      <c r="AB1510" s="14">
        <f>IFERROR(IF(UPPER($E1510)="L",SUMPRODUCT(N1510:Y1510,$N$3:$Y$3,$N$2:$Y$2),SUMPRODUCT(N1510:Y1510,$N$4:$Y$4,$N$2:$Y$2))/(Z1510/($K1510*$L1510*$M1510)),"")</f>
        <v/>
      </c>
      <c r="AC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1" t="n">
        <v>1</v>
      </c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/>
      <c r="Y1511" s="17" t="n">
        <v>1</v>
      </c>
      <c r="Z1511" s="13">
        <f>SUMPRODUCT(N1511:Y1511,$N$2:$Y$2)*$K1511*$L1511*$M1511</f>
        <v/>
      </c>
      <c r="AA1511" s="14">
        <f>SUM(N1511:Y1511)</f>
        <v/>
      </c>
      <c r="AB1511" s="14">
        <f>IFERROR(IF(UPPER($E1511)="L",SUMPRODUCT(N1511:Y1511,$N$3:$Y$3,$N$2:$Y$2),SUMPRODUCT(N1511:Y1511,$N$4:$Y$4,$N$2:$Y$2))/(Z1511/($K1511*$L1511*$M1511)),"")</f>
        <v/>
      </c>
      <c r="AC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1" t="n">
        <v>1</v>
      </c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/>
      <c r="Y1512" s="17" t="n">
        <v>1</v>
      </c>
      <c r="Z1512" s="13">
        <f>SUMPRODUCT(N1512:Y1512,$N$2:$Y$2)*$K1512*$L1512*$M1512</f>
        <v/>
      </c>
      <c r="AA1512" s="14">
        <f>SUM(N1512:Y1512)</f>
        <v/>
      </c>
      <c r="AB1512" s="14">
        <f>IFERROR(IF(UPPER($E1512)="L",SUMPRODUCT(N1512:Y1512,$N$3:$Y$3,$N$2:$Y$2),SUMPRODUCT(N1512:Y1512,$N$4:$Y$4,$N$2:$Y$2))/(Z1512/($K1512*$L1512*$M1512)),"")</f>
        <v/>
      </c>
      <c r="AC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1" t="n">
        <v>1</v>
      </c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/>
      <c r="Y1513" s="17" t="n">
        <v>1</v>
      </c>
      <c r="Z1513" s="13">
        <f>SUMPRODUCT(N1513:Y1513,$N$2:$Y$2)*$K1513*$L1513*$M1513</f>
        <v/>
      </c>
      <c r="AA1513" s="14">
        <f>SUM(N1513:Y1513)</f>
        <v/>
      </c>
      <c r="AB1513" s="14">
        <f>IFERROR(IF(UPPER($E1513)="L",SUMPRODUCT(N1513:Y1513,$N$3:$Y$3,$N$2:$Y$2),SUMPRODUCT(N1513:Y1513,$N$4:$Y$4,$N$2:$Y$2))/(Z1513/($K1513*$L1513*$M1513)),"")</f>
        <v/>
      </c>
      <c r="AC1513" s="18" t="n"/>
    </row>
    <row r="1514">
      <c r="A1514" s="9" t="n">
        <v>689456</v>
      </c>
      <c r="B1514" s="9" t="inlineStr">
        <is>
          <t>Austin Murr</t>
        </is>
      </c>
      <c r="C1514" s="9" t="inlineStr">
        <is>
          <t>PHI</t>
        </is>
      </c>
      <c r="D1514" s="9" t="n">
        <v>25</v>
      </c>
      <c r="E1514" s="16" t="inlineStr">
        <is>
          <t>L</t>
        </is>
      </c>
      <c r="F1514" s="16" t="n"/>
      <c r="G1514" s="9" t="n">
        <v>76.46153846153845</v>
      </c>
      <c r="H1514" s="9" t="n">
        <v>76.46153846153845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1" t="n">
        <v>1</v>
      </c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/>
      <c r="Y1514" s="17" t="n">
        <v>1</v>
      </c>
      <c r="Z1514" s="13">
        <f>SUMPRODUCT(N1514:Y1514,$N$2:$Y$2)*$K1514*$L1514*$M1514</f>
        <v/>
      </c>
      <c r="AA1514" s="14">
        <f>SUM(N1514:Y1514)</f>
        <v/>
      </c>
      <c r="AB1514" s="14">
        <f>IFERROR(IF(UPPER($E1514)="L",SUMPRODUCT(N1514:Y1514,$N$3:$Y$3,$N$2:$Y$2),SUMPRODUCT(N1514:Y1514,$N$4:$Y$4,$N$2:$Y$2))/(Z1514/($K1514*$L1514*$M1514)),"")</f>
        <v/>
      </c>
      <c r="AC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25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Late Season (~Sept)</t>
        </is>
      </c>
      <c r="K1515" s="11">
        <f>IFERROR(INDEX(Roles!$B$17:$B$20,MATCH(J1515,Roles!$A$17:$A$20,0)),1)</f>
        <v/>
      </c>
      <c r="L1515" s="17" t="n">
        <v>1</v>
      </c>
      <c r="M1515" s="11" t="n">
        <v>1</v>
      </c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/>
      <c r="Y1515" s="17" t="n">
        <v>1</v>
      </c>
      <c r="Z1515" s="13">
        <f>SUMPRODUCT(N1515:Y1515,$N$2:$Y$2)*$K1515*$L1515*$M1515</f>
        <v/>
      </c>
      <c r="AA1515" s="14">
        <f>SUM(N1515:Y1515)</f>
        <v/>
      </c>
      <c r="AB1515" s="14">
        <f>IFERROR(IF(UPPER($E1515)="L",SUMPRODUCT(N1515:Y1515,$N$3:$Y$3,$N$2:$Y$2),SUMPRODUCT(N1515:Y1515,$N$4:$Y$4,$N$2:$Y$2))/(Z1515/($K1515*$L1515*$M1515)),"")</f>
        <v/>
      </c>
      <c r="AC1515" s="18" t="n"/>
    </row>
    <row r="1516">
      <c r="A1516" s="9" t="n">
        <v>800614</v>
      </c>
      <c r="B1516" s="9" t="inlineStr">
        <is>
          <t>Bryce Rainer</t>
        </is>
      </c>
      <c r="C1516" s="9" t="inlineStr">
        <is>
          <t>DET</t>
        </is>
      </c>
      <c r="D1516" s="9" t="n">
        <v>25</v>
      </c>
      <c r="E1516" s="16" t="inlineStr">
        <is>
          <t>L</t>
        </is>
      </c>
      <c r="F1516" s="16" t="n"/>
      <c r="G1516" s="9" t="n">
        <v>87.17948717948718</v>
      </c>
      <c r="H1516" s="9" t="n">
        <v>87.17948717948718</v>
      </c>
      <c r="I1516" s="9" t="inlineStr">
        <is>
          <t>Depth (no MLB PA)</t>
        </is>
      </c>
      <c r="J1516" s="16" t="inlineStr">
        <is>
          <t>Late Season (~Sept)</t>
        </is>
      </c>
      <c r="K1516" s="11">
        <f>IFERROR(INDEX(Roles!$B$17:$B$20,MATCH(J1516,Roles!$A$17:$A$20,0)),1)</f>
        <v/>
      </c>
      <c r="L1516" s="17" t="n">
        <v>1</v>
      </c>
      <c r="M1516" s="11" t="n">
        <v>1</v>
      </c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/>
      <c r="Y1516" s="17" t="n">
        <v>1</v>
      </c>
      <c r="Z1516" s="13">
        <f>SUMPRODUCT(N1516:Y1516,$N$2:$Y$2)*$K1516*$L1516*$M1516</f>
        <v/>
      </c>
      <c r="AA1516" s="14">
        <f>SUM(N1516:Y1516)</f>
        <v/>
      </c>
      <c r="AB1516" s="14">
        <f>IFERROR(IF(UPPER($E1516)="L",SUMPRODUCT(N1516:Y1516,$N$3:$Y$3,$N$2:$Y$2),SUMPRODUCT(N1516:Y1516,$N$4:$Y$4,$N$2:$Y$2))/(Z1516/($K1516*$L1516*$M1516)),"")</f>
        <v/>
      </c>
      <c r="AC1516" s="18" t="n"/>
    </row>
    <row r="1517">
      <c r="A1517" s="9" t="n">
        <v>702597</v>
      </c>
      <c r="B1517" s="9" t="inlineStr">
        <is>
          <t>Dom Krupinski</t>
        </is>
      </c>
      <c r="C1517" s="9" t="inlineStr">
        <is>
          <t>CHC</t>
        </is>
      </c>
      <c r="D1517" s="9" t="n">
        <v>25</v>
      </c>
      <c r="E1517" s="16" t="inlineStr">
        <is>
          <t>L</t>
        </is>
      </c>
      <c r="F1517" s="16" t="n"/>
      <c r="G1517" s="9" t="n">
        <v>29.79487179487179</v>
      </c>
      <c r="H1517" s="9" t="n">
        <v>29.79487179487179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1" t="n">
        <v>1</v>
      </c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/>
      <c r="Y1517" s="17" t="n">
        <v>1</v>
      </c>
      <c r="Z1517" s="13">
        <f>SUMPRODUCT(N1517:Y1517,$N$2:$Y$2)*$K1517*$L1517*$M1517</f>
        <v/>
      </c>
      <c r="AA1517" s="14">
        <f>SUM(N1517:Y1517)</f>
        <v/>
      </c>
      <c r="AB1517" s="14">
        <f>IFERROR(IF(UPPER($E1517)="L",SUMPRODUCT(N1517:Y1517,$N$3:$Y$3,$N$2:$Y$2),SUMPRODUCT(N1517:Y1517,$N$4:$Y$4,$N$2:$Y$2))/(Z1517/($K1517*$L1517*$M1517)),"")</f>
        <v/>
      </c>
      <c r="AC1517" s="18" t="n"/>
    </row>
    <row r="1518">
      <c r="A1518" s="9" t="n">
        <v>656403</v>
      </c>
      <c r="B1518" s="9" t="inlineStr">
        <is>
          <t>Drew Ellis</t>
        </is>
      </c>
      <c r="C1518" s="9" t="inlineStr">
        <is>
          <t>PHI</t>
        </is>
      </c>
      <c r="D1518" s="9" t="n">
        <v>31</v>
      </c>
      <c r="E1518" s="16" t="inlineStr">
        <is>
          <t>R</t>
        </is>
      </c>
      <c r="F1518" s="16" t="inlineStr">
        <is>
          <t>3B</t>
        </is>
      </c>
      <c r="G1518" s="9" t="n">
        <v>29</v>
      </c>
      <c r="H1518" s="9" t="n">
        <v>46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1" t="n">
        <v>1</v>
      </c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/>
      <c r="Y1518" s="17" t="n">
        <v>1</v>
      </c>
      <c r="Z1518" s="13">
        <f>SUMPRODUCT(N1518:Y1518,$N$2:$Y$2)*$K1518*$L1518*$M1518</f>
        <v/>
      </c>
      <c r="AA1518" s="14">
        <f>SUM(N1518:Y1518)</f>
        <v/>
      </c>
      <c r="AB1518" s="14">
        <f>IFERROR(IF(UPPER($E1518)="L",SUMPRODUCT(N1518:Y1518,$N$3:$Y$3,$N$2:$Y$2),SUMPRODUCT(N1518:Y1518,$N$4:$Y$4,$N$2:$Y$2))/(Z1518/($K1518*$L1518*$M1518)),"")</f>
        <v/>
      </c>
      <c r="AC1518" s="18" t="n"/>
    </row>
    <row r="1519">
      <c r="A1519" s="9" t="n">
        <v>807061</v>
      </c>
      <c r="B1519" s="9" t="inlineStr">
        <is>
          <t>Carter Beck</t>
        </is>
      </c>
      <c r="C1519" s="9" t="inlineStr">
        <is>
          <t>ATL</t>
        </is>
      </c>
      <c r="D1519" s="9" t="n">
        <v>25</v>
      </c>
      <c r="E1519" s="16" t="inlineStr">
        <is>
          <t>L</t>
        </is>
      </c>
      <c r="F1519" s="16" t="n"/>
      <c r="G1519" s="9" t="n">
        <v>17.43589743589744</v>
      </c>
      <c r="H1519" s="9" t="n">
        <v>17.43589743589744</v>
      </c>
      <c r="I1519" s="9" t="inlineStr">
        <is>
          <t>Depth (no MLB PA)</t>
        </is>
      </c>
      <c r="J1519" s="16" t="inlineStr">
        <is>
          <t>Late Season (~Sept)</t>
        </is>
      </c>
      <c r="K1519" s="11">
        <f>IFERROR(INDEX(Roles!$B$17:$B$20,MATCH(J1519,Roles!$A$17:$A$20,0)),1)</f>
        <v/>
      </c>
      <c r="L1519" s="17" t="n">
        <v>1</v>
      </c>
      <c r="M1519" s="11" t="n">
        <v>1</v>
      </c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/>
      <c r="Y1519" s="17" t="n">
        <v>1</v>
      </c>
      <c r="Z1519" s="13">
        <f>SUMPRODUCT(N1519:Y1519,$N$2:$Y$2)*$K1519*$L1519*$M1519</f>
        <v/>
      </c>
      <c r="AA1519" s="14">
        <f>SUM(N1519:Y1519)</f>
        <v/>
      </c>
      <c r="AB1519" s="14">
        <f>IFERROR(IF(UPPER($E1519)="L",SUMPRODUCT(N1519:Y1519,$N$3:$Y$3,$N$2:$Y$2),SUMPRODUCT(N1519:Y1519,$N$4:$Y$4,$N$2:$Y$2))/(Z1519/($K1519*$L1519*$M1519)),"")</f>
        <v/>
      </c>
      <c r="AC1519" s="18" t="n"/>
    </row>
    <row r="1520">
      <c r="A1520" s="9" t="n">
        <v>805104</v>
      </c>
      <c r="B1520" s="9" t="inlineStr">
        <is>
          <t>Jose Monserrate</t>
        </is>
      </c>
      <c r="C1520" s="9" t="inlineStr">
        <is>
          <t>MIA</t>
        </is>
      </c>
      <c r="D1520" s="9" t="n">
        <v>25</v>
      </c>
      <c r="E1520" s="16" t="inlineStr">
        <is>
          <t>R</t>
        </is>
      </c>
      <c r="F1520" s="16" t="n"/>
      <c r="G1520" s="9" t="n">
        <v>15.38461538461538</v>
      </c>
      <c r="H1520" s="9" t="n">
        <v>15.38461538461538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1" t="n">
        <v>1</v>
      </c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/>
      <c r="Y1520" s="17" t="n">
        <v>1</v>
      </c>
      <c r="Z1520" s="13">
        <f>SUMPRODUCT(N1520:Y1520,$N$2:$Y$2)*$K1520*$L1520*$M1520</f>
        <v/>
      </c>
      <c r="AA1520" s="14">
        <f>SUM(N1520:Y1520)</f>
        <v/>
      </c>
      <c r="AB1520" s="14">
        <f>IFERROR(IF(UPPER($E1520)="L",SUMPRODUCT(N1520:Y1520,$N$3:$Y$3,$N$2:$Y$2),SUMPRODUCT(N1520:Y1520,$N$4:$Y$4,$N$2:$Y$2))/(Z1520/($K1520*$L1520*$M1520)),"")</f>
        <v/>
      </c>
      <c r="AC1520" s="18" t="n"/>
    </row>
    <row r="1521">
      <c r="A1521" s="9" t="n">
        <v>700784</v>
      </c>
      <c r="B1521" s="9" t="inlineStr">
        <is>
          <t>Jeron Williams</t>
        </is>
      </c>
      <c r="C1521" s="9" t="inlineStr">
        <is>
          <t>HOU</t>
        </is>
      </c>
      <c r="D1521" s="9" t="n">
        <v>25</v>
      </c>
      <c r="E1521" s="16" t="inlineStr">
        <is>
          <t>R</t>
        </is>
      </c>
      <c r="F1521" s="16" t="n"/>
      <c r="G1521" s="9" t="n">
        <v>21.89743589743589</v>
      </c>
      <c r="H1521" s="9" t="n">
        <v>21.89743589743589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1" t="n">
        <v>1</v>
      </c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/>
      <c r="Y1521" s="17" t="n">
        <v>1</v>
      </c>
      <c r="Z1521" s="13">
        <f>SUMPRODUCT(N1521:Y1521,$N$2:$Y$2)*$K1521*$L1521*$M1521</f>
        <v/>
      </c>
      <c r="AA1521" s="14">
        <f>SUM(N1521:Y1521)</f>
        <v/>
      </c>
      <c r="AB1521" s="14">
        <f>IFERROR(IF(UPPER($E1521)="L",SUMPRODUCT(N1521:Y1521,$N$3:$Y$3,$N$2:$Y$2),SUMPRODUCT(N1521:Y1521,$N$4:$Y$4,$N$2:$Y$2))/(Z1521/($K1521*$L1521*$M1521)),"")</f>
        <v/>
      </c>
      <c r="AC1521" s="18" t="n"/>
    </row>
    <row r="1522">
      <c r="A1522" s="9" t="n">
        <v>800149</v>
      </c>
      <c r="B1522" s="9" t="inlineStr">
        <is>
          <t>Carlos Pacheco</t>
        </is>
      </c>
      <c r="C1522" s="9" t="inlineStr">
        <is>
          <t>OAK</t>
        </is>
      </c>
      <c r="D1522" s="9" t="n">
        <v>25</v>
      </c>
      <c r="E1522" s="16" t="inlineStr">
        <is>
          <t>R</t>
        </is>
      </c>
      <c r="F1522" s="16" t="n"/>
      <c r="G1522" s="9" t="n">
        <v>13.28205128205128</v>
      </c>
      <c r="H1522" s="9" t="n">
        <v>13.28205128205128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1" t="n">
        <v>1</v>
      </c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/>
      <c r="Y1522" s="17" t="n">
        <v>1</v>
      </c>
      <c r="Z1522" s="13">
        <f>SUMPRODUCT(N1522:Y1522,$N$2:$Y$2)*$K1522*$L1522*$M1522</f>
        <v/>
      </c>
      <c r="AA1522" s="14">
        <f>SUM(N1522:Y1522)</f>
        <v/>
      </c>
      <c r="AB1522" s="14">
        <f>IFERROR(IF(UPPER($E1522)="L",SUMPRODUCT(N1522:Y1522,$N$3:$Y$3,$N$2:$Y$2),SUMPRODUCT(N1522:Y1522,$N$4:$Y$4,$N$2:$Y$2))/(Z1522/($K1522*$L1522*$M1522)),"")</f>
        <v/>
      </c>
      <c r="AC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inlineStr">
        <is>
          <t>C</t>
        </is>
      </c>
      <c r="G1523" s="9" t="n">
        <v>248</v>
      </c>
      <c r="H1523" s="9" t="n">
        <v>798</v>
      </c>
      <c r="I1523" s="9" t="inlineStr">
        <is>
          <t>Everyday DH / 1B-DH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1" t="n">
        <v>1</v>
      </c>
      <c r="N1523" s="17" t="n"/>
      <c r="O1523" s="17" t="n">
        <v>0.62</v>
      </c>
      <c r="P1523" s="17" t="n"/>
      <c r="Q1523" s="17" t="n"/>
      <c r="R1523" s="17" t="n"/>
      <c r="S1523" s="17" t="n"/>
      <c r="T1523" s="17" t="n"/>
      <c r="U1523" s="17" t="n"/>
      <c r="V1523" s="17" t="n"/>
      <c r="W1523" s="17" t="n">
        <v>0.38</v>
      </c>
      <c r="X1523" s="17" t="n"/>
      <c r="Y1523" s="17" t="n"/>
      <c r="Z1523" s="13">
        <f>SUMPRODUCT(N1523:Y1523,$N$2:$Y$2)*$K1523*$L1523*$M1523</f>
        <v/>
      </c>
      <c r="AA1523" s="14">
        <f>SUM(N1523:Y1523)</f>
        <v/>
      </c>
      <c r="AB1523" s="14">
        <f>IFERROR(IF(UPPER($E1523)="L",SUMPRODUCT(N1523:Y1523,$N$3:$Y$3,$N$2:$Y$2),SUMPRODUCT(N1523:Y1523,$N$4:$Y$4,$N$2:$Y$2))/(Z1523/($K1523*$L1523*$M1523)),"")</f>
        <v/>
      </c>
      <c r="AC1523" s="18" t="n"/>
    </row>
    <row r="1524">
      <c r="A1524" s="9" t="n">
        <v>690053</v>
      </c>
      <c r="B1524" s="9" t="inlineStr">
        <is>
          <t>Chris Sargent</t>
        </is>
      </c>
      <c r="C1524" s="9" t="inlineStr">
        <is>
          <t>SD</t>
        </is>
      </c>
      <c r="D1524" s="9" t="n">
        <v>25</v>
      </c>
      <c r="E1524" s="16" t="inlineStr">
        <is>
          <t>R</t>
        </is>
      </c>
      <c r="F1524" s="16" t="n"/>
      <c r="G1524" s="9" t="n">
        <v>39.48717948717948</v>
      </c>
      <c r="H1524" s="9" t="n">
        <v>39.48717948717948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1" t="n">
        <v>1</v>
      </c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/>
      <c r="Y1524" s="17" t="n">
        <v>1</v>
      </c>
      <c r="Z1524" s="13">
        <f>SUMPRODUCT(N1524:Y1524,$N$2:$Y$2)*$K1524*$L1524*$M1524</f>
        <v/>
      </c>
      <c r="AA1524" s="14">
        <f>SUM(N1524:Y1524)</f>
        <v/>
      </c>
      <c r="AB1524" s="14">
        <f>IFERROR(IF(UPPER($E1524)="L",SUMPRODUCT(N1524:Y1524,$N$3:$Y$3,$N$2:$Y$2),SUMPRODUCT(N1524:Y1524,$N$4:$Y$4,$N$2:$Y$2))/(Z1524/($K1524*$L1524*$M1524)),"")</f>
        <v/>
      </c>
      <c r="AC1524" s="18" t="n"/>
    </row>
    <row r="1525">
      <c r="A1525" s="9" t="n">
        <v>702520</v>
      </c>
      <c r="B1525" s="9" t="inlineStr">
        <is>
          <t>Justin Thomas Jr.</t>
        </is>
      </c>
      <c r="C1525" s="9" t="inlineStr">
        <is>
          <t>HOU</t>
        </is>
      </c>
      <c r="D1525" s="9" t="n">
        <v>25</v>
      </c>
      <c r="E1525" s="16" t="inlineStr">
        <is>
          <t>R</t>
        </is>
      </c>
      <c r="F1525" s="16" t="n"/>
      <c r="G1525" s="9" t="n">
        <v>30.15384615384616</v>
      </c>
      <c r="H1525" s="9" t="n">
        <v>30.15384615384616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1" t="n">
        <v>1</v>
      </c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/>
      <c r="Y1525" s="17" t="n">
        <v>1</v>
      </c>
      <c r="Z1525" s="13">
        <f>SUMPRODUCT(N1525:Y1525,$N$2:$Y$2)*$K1525*$L1525*$M1525</f>
        <v/>
      </c>
      <c r="AA1525" s="14">
        <f>SUM(N1525:Y1525)</f>
        <v/>
      </c>
      <c r="AB1525" s="14">
        <f>IFERROR(IF(UPPER($E1525)="L",SUMPRODUCT(N1525:Y1525,$N$3:$Y$3,$N$2:$Y$2),SUMPRODUCT(N1525:Y1525,$N$4:$Y$4,$N$2:$Y$2))/(Z1525/($K1525*$L1525*$M1525)),"")</f>
        <v/>
      </c>
      <c r="AC1525" s="18" t="n"/>
    </row>
    <row r="1526">
      <c r="A1526" s="9" t="n">
        <v>805870</v>
      </c>
      <c r="B1526" s="9" t="inlineStr">
        <is>
          <t>Hyungchan Um</t>
        </is>
      </c>
      <c r="C1526" s="9" t="inlineStr">
        <is>
          <t>KC</t>
        </is>
      </c>
      <c r="D1526" s="9" t="n">
        <v>25</v>
      </c>
      <c r="E1526" s="16" t="inlineStr">
        <is>
          <t>R</t>
        </is>
      </c>
      <c r="F1526" s="16" t="n"/>
      <c r="G1526" s="9" t="n">
        <v>13.28205128205128</v>
      </c>
      <c r="H1526" s="9" t="n">
        <v>13.28205128205128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1" t="n">
        <v>1</v>
      </c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/>
      <c r="Y1526" s="17" t="n">
        <v>1</v>
      </c>
      <c r="Z1526" s="13">
        <f>SUMPRODUCT(N1526:Y1526,$N$2:$Y$2)*$K1526*$L1526*$M1526</f>
        <v/>
      </c>
      <c r="AA1526" s="14">
        <f>SUM(N1526:Y1526)</f>
        <v/>
      </c>
      <c r="AB1526" s="14">
        <f>IFERROR(IF(UPPER($E1526)="L",SUMPRODUCT(N1526:Y1526,$N$3:$Y$3,$N$2:$Y$2),SUMPRODUCT(N1526:Y1526,$N$4:$Y$4,$N$2:$Y$2))/(Z1526/($K1526*$L1526*$M1526)),"")</f>
        <v/>
      </c>
      <c r="AC1526" s="18" t="n"/>
    </row>
    <row r="1527">
      <c r="A1527" s="9" t="n">
        <v>692364</v>
      </c>
      <c r="B1527" s="9" t="inlineStr">
        <is>
          <t>Cesar Quintas</t>
        </is>
      </c>
      <c r="C1527" s="9" t="inlineStr">
        <is>
          <t>SEA</t>
        </is>
      </c>
      <c r="D1527" s="9" t="n">
        <v>25</v>
      </c>
      <c r="E1527" s="16" t="inlineStr">
        <is>
          <t>R</t>
        </is>
      </c>
      <c r="F1527" s="16" t="n"/>
      <c r="G1527" s="9" t="n">
        <v>17.64102564102564</v>
      </c>
      <c r="H1527" s="9" t="n">
        <v>17.64102564102564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1" t="n">
        <v>1</v>
      </c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/>
      <c r="Y1527" s="17" t="n">
        <v>1</v>
      </c>
      <c r="Z1527" s="13">
        <f>SUMPRODUCT(N1527:Y1527,$N$2:$Y$2)*$K1527*$L1527*$M1527</f>
        <v/>
      </c>
      <c r="AA1527" s="14">
        <f>SUM(N1527:Y1527)</f>
        <v/>
      </c>
      <c r="AB1527" s="14">
        <f>IFERROR(IF(UPPER($E1527)="L",SUMPRODUCT(N1527:Y1527,$N$3:$Y$3,$N$2:$Y$2),SUMPRODUCT(N1527:Y1527,$N$4:$Y$4,$N$2:$Y$2))/(Z1527/($K1527*$L1527*$M1527)),"")</f>
        <v/>
      </c>
      <c r="AC1527" s="18" t="n"/>
    </row>
    <row r="1528">
      <c r="A1528" s="9" t="n">
        <v>807011</v>
      </c>
      <c r="B1528" s="9" t="inlineStr">
        <is>
          <t>Felix Morrobel</t>
        </is>
      </c>
      <c r="C1528" s="9" t="inlineStr">
        <is>
          <t>LAA</t>
        </is>
      </c>
      <c r="D1528" s="9" t="n">
        <v>25</v>
      </c>
      <c r="E1528" s="16" t="inlineStr">
        <is>
          <t>S</t>
        </is>
      </c>
      <c r="F1528" s="16" t="n"/>
      <c r="G1528" s="9" t="n">
        <v>13.41538461538462</v>
      </c>
      <c r="H1528" s="9" t="n">
        <v>13.41538461538462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1" t="n">
        <v>1</v>
      </c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/>
      <c r="Y1528" s="17" t="n">
        <v>1</v>
      </c>
      <c r="Z1528" s="13">
        <f>SUMPRODUCT(N1528:Y1528,$N$2:$Y$2)*$K1528*$L1528*$M1528</f>
        <v/>
      </c>
      <c r="AA1528" s="14">
        <f>SUM(N1528:Y1528)</f>
        <v/>
      </c>
      <c r="AB1528" s="14">
        <f>IFERROR(IF(UPPER($E1528)="L",SUMPRODUCT(N1528:Y1528,$N$3:$Y$3,$N$2:$Y$2),SUMPRODUCT(N1528:Y1528,$N$4:$Y$4,$N$2:$Y$2))/(Z1528/($K1528*$L1528*$M1528)),"")</f>
        <v/>
      </c>
      <c r="AC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inlineStr">
        <is>
          <t>LF</t>
        </is>
      </c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1" t="n">
        <v>1</v>
      </c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/>
      <c r="Y1529" s="17" t="n">
        <v>1</v>
      </c>
      <c r="Z1529" s="13">
        <f>SUMPRODUCT(N1529:Y1529,$N$2:$Y$2)*$K1529*$L1529*$M1529</f>
        <v/>
      </c>
      <c r="AA1529" s="14">
        <f>SUM(N1529:Y1529)</f>
        <v/>
      </c>
      <c r="AB1529" s="14">
        <f>IFERROR(IF(UPPER($E1529)="L",SUMPRODUCT(N1529:Y1529,$N$3:$Y$3,$N$2:$Y$2),SUMPRODUCT(N1529:Y1529,$N$4:$Y$4,$N$2:$Y$2))/(Z1529/($K1529*$L1529*$M1529)),"")</f>
        <v/>
      </c>
      <c r="AC1529" s="18" t="n"/>
    </row>
    <row r="1530">
      <c r="A1530" s="9" t="n">
        <v>806982</v>
      </c>
      <c r="B1530" s="9" t="inlineStr">
        <is>
          <t>Esmil Valencia</t>
        </is>
      </c>
      <c r="C1530" s="9" t="inlineStr">
        <is>
          <t>MIA</t>
        </is>
      </c>
      <c r="D1530" s="9" t="n">
        <v>25</v>
      </c>
      <c r="E1530" s="16" t="inlineStr">
        <is>
          <t>R</t>
        </is>
      </c>
      <c r="F1530" s="16" t="n"/>
      <c r="G1530" s="9" t="n">
        <v>39.38461538461539</v>
      </c>
      <c r="H1530" s="9" t="n">
        <v>39.38461538461539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1" t="n">
        <v>1</v>
      </c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/>
      <c r="Y1530" s="17" t="n">
        <v>1</v>
      </c>
      <c r="Z1530" s="13">
        <f>SUMPRODUCT(N1530:Y1530,$N$2:$Y$2)*$K1530*$L1530*$M1530</f>
        <v/>
      </c>
      <c r="AA1530" s="14">
        <f>SUM(N1530:Y1530)</f>
        <v/>
      </c>
      <c r="AB1530" s="14">
        <f>IFERROR(IF(UPPER($E1530)="L",SUMPRODUCT(N1530:Y1530,$N$3:$Y$3,$N$2:$Y$2),SUMPRODUCT(N1530:Y1530,$N$4:$Y$4,$N$2:$Y$2))/(Z1530/($K1530*$L1530*$M1530)),"")</f>
        <v/>
      </c>
      <c r="AC1530" s="18" t="n"/>
    </row>
    <row r="1531">
      <c r="A1531" s="9" t="n">
        <v>695501</v>
      </c>
      <c r="B1531" s="9" t="inlineStr">
        <is>
          <t>Blake Burke</t>
        </is>
      </c>
      <c r="C1531" s="9" t="inlineStr">
        <is>
          <t>MIL</t>
        </is>
      </c>
      <c r="D1531" s="9" t="n">
        <v>25</v>
      </c>
      <c r="E1531" s="16" t="inlineStr">
        <is>
          <t>L</t>
        </is>
      </c>
      <c r="F1531" s="16" t="n"/>
      <c r="G1531" s="9" t="n">
        <v>75.02564102564104</v>
      </c>
      <c r="H1531" s="9" t="n">
        <v>75.02564102564104</v>
      </c>
      <c r="I1531" s="9" t="inlineStr">
        <is>
          <t>Bench Bat</t>
        </is>
      </c>
      <c r="J1531" s="16" t="inlineStr">
        <is>
          <t>Mid Season (~July)</t>
        </is>
      </c>
      <c r="K1531" s="11">
        <f>IFERROR(INDEX(Roles!$B$17:$B$20,MATCH(J1531,Roles!$A$17:$A$20,0)),1)</f>
        <v/>
      </c>
      <c r="L1531" s="17" t="n">
        <v>1</v>
      </c>
      <c r="M1531" s="11" t="n">
        <v>1</v>
      </c>
      <c r="N1531" s="17" t="n"/>
      <c r="O1531" s="17" t="n"/>
      <c r="P1531" s="17" t="n">
        <v>0.3</v>
      </c>
      <c r="Q1531" s="17" t="n"/>
      <c r="R1531" s="17" t="n"/>
      <c r="S1531" s="17" t="n"/>
      <c r="T1531" s="17" t="n"/>
      <c r="U1531" s="17" t="n"/>
      <c r="V1531" s="17" t="n"/>
      <c r="W1531" s="17" t="n">
        <v>0.45</v>
      </c>
      <c r="X1531" s="17" t="n">
        <v>0.25</v>
      </c>
      <c r="Y1531" s="17" t="n"/>
      <c r="Z1531" s="13">
        <f>SUMPRODUCT(N1531:Y1531,$N$2:$Y$2)*$K1531*$L1531*$M1531</f>
        <v/>
      </c>
      <c r="AA1531" s="14">
        <f>SUM(N1531:Y1531)</f>
        <v/>
      </c>
      <c r="AB1531" s="14">
        <f>IFERROR(IF(UPPER($E1531)="L",SUMPRODUCT(N1531:Y1531,$N$3:$Y$3,$N$2:$Y$2),SUMPRODUCT(N1531:Y1531,$N$4:$Y$4,$N$2:$Y$2))/(Z1531/($K1531*$L1531*$M1531)),"")</f>
        <v/>
      </c>
      <c r="AC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inlineStr">
        <is>
          <t>3B</t>
        </is>
      </c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1" t="n">
        <v>1</v>
      </c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/>
      <c r="Y1532" s="17" t="n">
        <v>1</v>
      </c>
      <c r="Z1532" s="13">
        <f>SUMPRODUCT(N1532:Y1532,$N$2:$Y$2)*$K1532*$L1532*$M1532</f>
        <v/>
      </c>
      <c r="AA1532" s="14">
        <f>SUM(N1532:Y1532)</f>
        <v/>
      </c>
      <c r="AB1532" s="14">
        <f>IFERROR(IF(UPPER($E1532)="L",SUMPRODUCT(N1532:Y1532,$N$3:$Y$3,$N$2:$Y$2),SUMPRODUCT(N1532:Y1532,$N$4:$Y$4,$N$2:$Y$2))/(Z1532/($K1532*$L1532*$M1532)),"")</f>
        <v/>
      </c>
      <c r="AC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1" t="n">
        <v>1</v>
      </c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/>
      <c r="Y1533" s="17" t="n">
        <v>1</v>
      </c>
      <c r="Z1533" s="13">
        <f>SUMPRODUCT(N1533:Y1533,$N$2:$Y$2)*$K1533*$L1533*$M1533</f>
        <v/>
      </c>
      <c r="AA1533" s="14">
        <f>SUM(N1533:Y1533)</f>
        <v/>
      </c>
      <c r="AB1533" s="14">
        <f>IFERROR(IF(UPPER($E1533)="L",SUMPRODUCT(N1533:Y1533,$N$3:$Y$3,$N$2:$Y$2),SUMPRODUCT(N1533:Y1533,$N$4:$Y$4,$N$2:$Y$2))/(Z1533/($K1533*$L1533*$M1533)),"")</f>
        <v/>
      </c>
      <c r="AC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1" t="n">
        <v>1</v>
      </c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/>
      <c r="Y1534" s="17" t="n">
        <v>1</v>
      </c>
      <c r="Z1534" s="13">
        <f>SUMPRODUCT(N1534:Y1534,$N$2:$Y$2)*$K1534*$L1534*$M1534</f>
        <v/>
      </c>
      <c r="AA1534" s="14">
        <f>SUM(N1534:Y1534)</f>
        <v/>
      </c>
      <c r="AB1534" s="14">
        <f>IFERROR(IF(UPPER($E1534)="L",SUMPRODUCT(N1534:Y1534,$N$3:$Y$3,$N$2:$Y$2),SUMPRODUCT(N1534:Y1534,$N$4:$Y$4,$N$2:$Y$2))/(Z1534/($K1534*$L1534*$M1534)),"")</f>
        <v/>
      </c>
      <c r="AC1534" s="18" t="n"/>
    </row>
    <row r="1535">
      <c r="A1535" s="9" t="n">
        <v>694838</v>
      </c>
      <c r="B1535" s="9" t="inlineStr">
        <is>
          <t>Joe Vetrano</t>
        </is>
      </c>
      <c r="C1535" s="9" t="inlineStr">
        <is>
          <t>LAD</t>
        </is>
      </c>
      <c r="D1535" s="9" t="n">
        <v>25</v>
      </c>
      <c r="E1535" s="16" t="inlineStr">
        <is>
          <t>L</t>
        </is>
      </c>
      <c r="F1535" s="16" t="n"/>
      <c r="G1535" s="9" t="n">
        <v>124.5641025641026</v>
      </c>
      <c r="H1535" s="9" t="n">
        <v>124.5641025641026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1" t="n">
        <v>1</v>
      </c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/>
      <c r="Y1535" s="17" t="n">
        <v>1</v>
      </c>
      <c r="Z1535" s="13">
        <f>SUMPRODUCT(N1535:Y1535,$N$2:$Y$2)*$K1535*$L1535*$M1535</f>
        <v/>
      </c>
      <c r="AA1535" s="14">
        <f>SUM(N1535:Y1535)</f>
        <v/>
      </c>
      <c r="AB1535" s="14">
        <f>IFERROR(IF(UPPER($E1535)="L",SUMPRODUCT(N1535:Y1535,$N$3:$Y$3,$N$2:$Y$2),SUMPRODUCT(N1535:Y1535,$N$4:$Y$4,$N$2:$Y$2))/(Z1535/($K1535*$L1535*$M1535)),"")</f>
        <v/>
      </c>
      <c r="AC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1" t="n">
        <v>1</v>
      </c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/>
      <c r="Y1536" s="17" t="n">
        <v>1</v>
      </c>
      <c r="Z1536" s="13">
        <f>SUMPRODUCT(N1536:Y1536,$N$2:$Y$2)*$K1536*$L1536*$M1536</f>
        <v/>
      </c>
      <c r="AA1536" s="14">
        <f>SUM(N1536:Y1536)</f>
        <v/>
      </c>
      <c r="AB1536" s="14">
        <f>IFERROR(IF(UPPER($E1536)="L",SUMPRODUCT(N1536:Y1536,$N$3:$Y$3,$N$2:$Y$2),SUMPRODUCT(N1536:Y1536,$N$4:$Y$4,$N$2:$Y$2))/(Z1536/($K1536*$L1536*$M1536)),"")</f>
        <v/>
      </c>
      <c r="AC1536" s="18" t="n"/>
    </row>
    <row r="1537">
      <c r="A1537" s="9" t="n">
        <v>702630</v>
      </c>
      <c r="B1537" s="9" t="inlineStr">
        <is>
          <t>Luke Hanson</t>
        </is>
      </c>
      <c r="C1537" s="9" t="inlineStr">
        <is>
          <t>TEX</t>
        </is>
      </c>
      <c r="D1537" s="9" t="n">
        <v>25</v>
      </c>
      <c r="E1537" s="16" t="inlineStr">
        <is>
          <t>R</t>
        </is>
      </c>
      <c r="F1537" s="16" t="n"/>
      <c r="G1537" s="9" t="n">
        <v>22.61538461538461</v>
      </c>
      <c r="H1537" s="9" t="n">
        <v>22.61538461538461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1" t="n">
        <v>1</v>
      </c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/>
      <c r="Y1537" s="17" t="n">
        <v>1</v>
      </c>
      <c r="Z1537" s="13">
        <f>SUMPRODUCT(N1537:Y1537,$N$2:$Y$2)*$K1537*$L1537*$M1537</f>
        <v/>
      </c>
      <c r="AA1537" s="14">
        <f>SUM(N1537:Y1537)</f>
        <v/>
      </c>
      <c r="AB1537" s="14">
        <f>IFERROR(IF(UPPER($E1537)="L",SUMPRODUCT(N1537:Y1537,$N$3:$Y$3,$N$2:$Y$2),SUMPRODUCT(N1537:Y1537,$N$4:$Y$4,$N$2:$Y$2))/(Z1537/($K1537*$L1537*$M1537)),"")</f>
        <v/>
      </c>
      <c r="AC1537" s="18" t="n"/>
    </row>
    <row r="1538">
      <c r="A1538" s="9" t="n">
        <v>826043</v>
      </c>
      <c r="B1538" s="9" t="inlineStr">
        <is>
          <t>Riley Nelson</t>
        </is>
      </c>
      <c r="C1538" s="9" t="inlineStr">
        <is>
          <t>CLE</t>
        </is>
      </c>
      <c r="D1538" s="9" t="n">
        <v>25</v>
      </c>
      <c r="E1538" s="16" t="inlineStr">
        <is>
          <t>L</t>
        </is>
      </c>
      <c r="F1538" s="16" t="n"/>
      <c r="G1538" s="9" t="n">
        <v>13.33333333333334</v>
      </c>
      <c r="H1538" s="9" t="n">
        <v>13.33333333333334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1" t="n">
        <v>1</v>
      </c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/>
      <c r="Y1538" s="17" t="n">
        <v>1</v>
      </c>
      <c r="Z1538" s="13">
        <f>SUMPRODUCT(N1538:Y1538,$N$2:$Y$2)*$K1538*$L1538*$M1538</f>
        <v/>
      </c>
      <c r="AA1538" s="14">
        <f>SUM(N1538:Y1538)</f>
        <v/>
      </c>
      <c r="AB1538" s="14">
        <f>IFERROR(IF(UPPER($E1538)="L",SUMPRODUCT(N1538:Y1538,$N$3:$Y$3,$N$2:$Y$2),SUMPRODUCT(N1538:Y1538,$N$4:$Y$4,$N$2:$Y$2))/(Z1538/($K1538*$L1538*$M1538)),"")</f>
        <v/>
      </c>
      <c r="AC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1" t="n">
        <v>1</v>
      </c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/>
      <c r="Y1539" s="17" t="n">
        <v>1</v>
      </c>
      <c r="Z1539" s="13">
        <f>SUMPRODUCT(N1539:Y1539,$N$2:$Y$2)*$K1539*$L1539*$M1539</f>
        <v/>
      </c>
      <c r="AA1539" s="14">
        <f>SUM(N1539:Y1539)</f>
        <v/>
      </c>
      <c r="AB1539" s="14">
        <f>IFERROR(IF(UPPER($E1539)="L",SUMPRODUCT(N1539:Y1539,$N$3:$Y$3,$N$2:$Y$2),SUMPRODUCT(N1539:Y1539,$N$4:$Y$4,$N$2:$Y$2))/(Z1539/($K1539*$L1539*$M1539)),"")</f>
        <v/>
      </c>
      <c r="AC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1" t="n">
        <v>1</v>
      </c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/>
      <c r="Y1540" s="17" t="n">
        <v>1</v>
      </c>
      <c r="Z1540" s="13">
        <f>SUMPRODUCT(N1540:Y1540,$N$2:$Y$2)*$K1540*$L1540*$M1540</f>
        <v/>
      </c>
      <c r="AA1540" s="14">
        <f>SUM(N1540:Y1540)</f>
        <v/>
      </c>
      <c r="AB1540" s="14">
        <f>IFERROR(IF(UPPER($E1540)="L",SUMPRODUCT(N1540:Y1540,$N$3:$Y$3,$N$2:$Y$2),SUMPRODUCT(N1540:Y1540,$N$4:$Y$4,$N$2:$Y$2))/(Z1540/($K1540*$L1540*$M1540)),"")</f>
        <v/>
      </c>
      <c r="AC1540" s="18" t="n"/>
    </row>
    <row r="1541">
      <c r="A1541" s="9" t="n">
        <v>805416</v>
      </c>
      <c r="B1541" s="9" t="inlineStr">
        <is>
          <t>Will Vierling</t>
        </is>
      </c>
      <c r="C1541" s="9" t="inlineStr">
        <is>
          <t>PHI</t>
        </is>
      </c>
      <c r="D1541" s="9" t="n">
        <v>25</v>
      </c>
      <c r="E1541" s="16" t="inlineStr">
        <is>
          <t>L</t>
        </is>
      </c>
      <c r="F1541" s="16" t="n"/>
      <c r="G1541" s="9" t="n">
        <v>33.96923076923077</v>
      </c>
      <c r="H1541" s="9" t="n">
        <v>33.96923076923077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1" t="n">
        <v>1</v>
      </c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/>
      <c r="Y1541" s="17" t="n">
        <v>1</v>
      </c>
      <c r="Z1541" s="13">
        <f>SUMPRODUCT(N1541:Y1541,$N$2:$Y$2)*$K1541*$L1541*$M1541</f>
        <v/>
      </c>
      <c r="AA1541" s="14">
        <f>SUM(N1541:Y1541)</f>
        <v/>
      </c>
      <c r="AB1541" s="14">
        <f>IFERROR(IF(UPPER($E1541)="L",SUMPRODUCT(N1541:Y1541,$N$3:$Y$3,$N$2:$Y$2),SUMPRODUCT(N1541:Y1541,$N$4:$Y$4,$N$2:$Y$2))/(Z1541/($K1541*$L1541*$M1541)),"")</f>
        <v/>
      </c>
      <c r="AC1541" s="18" t="n"/>
    </row>
    <row r="1542">
      <c r="A1542" s="9" t="n">
        <v>694188</v>
      </c>
      <c r="B1542" s="9" t="inlineStr">
        <is>
          <t>Jesus Galiz</t>
        </is>
      </c>
      <c r="C1542" s="9" t="inlineStr">
        <is>
          <t>LAD</t>
        </is>
      </c>
      <c r="D1542" s="9" t="n">
        <v>25</v>
      </c>
      <c r="E1542" s="16" t="inlineStr">
        <is>
          <t>R</t>
        </is>
      </c>
      <c r="F1542" s="16" t="n"/>
      <c r="G1542" s="9" t="n">
        <v>13.74358974358974</v>
      </c>
      <c r="H1542" s="9" t="n">
        <v>13.74358974358974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1" t="n">
        <v>1</v>
      </c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/>
      <c r="Y1542" s="17" t="n">
        <v>1</v>
      </c>
      <c r="Z1542" s="13">
        <f>SUMPRODUCT(N1542:Y1542,$N$2:$Y$2)*$K1542*$L1542*$M1542</f>
        <v/>
      </c>
      <c r="AA1542" s="14">
        <f>SUM(N1542:Y1542)</f>
        <v/>
      </c>
      <c r="AB1542" s="14">
        <f>IFERROR(IF(UPPER($E1542)="L",SUMPRODUCT(N1542:Y1542,$N$3:$Y$3,$N$2:$Y$2),SUMPRODUCT(N1542:Y1542,$N$4:$Y$4,$N$2:$Y$2))/(Z1542/($K1542*$L1542*$M1542)),"")</f>
        <v/>
      </c>
      <c r="AC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1" t="n">
        <v>1</v>
      </c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/>
      <c r="Y1543" s="17" t="n">
        <v>1</v>
      </c>
      <c r="Z1543" s="13">
        <f>SUMPRODUCT(N1543:Y1543,$N$2:$Y$2)*$K1543*$L1543*$M1543</f>
        <v/>
      </c>
      <c r="AA1543" s="14">
        <f>SUM(N1543:Y1543)</f>
        <v/>
      </c>
      <c r="AB1543" s="14">
        <f>IFERROR(IF(UPPER($E1543)="L",SUMPRODUCT(N1543:Y1543,$N$3:$Y$3,$N$2:$Y$2),SUMPRODUCT(N1543:Y1543,$N$4:$Y$4,$N$2:$Y$2))/(Z1543/($K1543*$L1543*$M1543)),"")</f>
        <v/>
      </c>
      <c r="AC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1" t="n">
        <v>1</v>
      </c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/>
      <c r="Y1544" s="17" t="n">
        <v>1</v>
      </c>
      <c r="Z1544" s="13">
        <f>SUMPRODUCT(N1544:Y1544,$N$2:$Y$2)*$K1544*$L1544*$M1544</f>
        <v/>
      </c>
      <c r="AA1544" s="14">
        <f>SUM(N1544:Y1544)</f>
        <v/>
      </c>
      <c r="AB1544" s="14">
        <f>IFERROR(IF(UPPER($E1544)="L",SUMPRODUCT(N1544:Y1544,$N$3:$Y$3,$N$2:$Y$2),SUMPRODUCT(N1544:Y1544,$N$4:$Y$4,$N$2:$Y$2))/(Z1544/($K1544*$L1544*$M1544)),"")</f>
        <v/>
      </c>
      <c r="AC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1" t="n">
        <v>1</v>
      </c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/>
      <c r="Y1545" s="17" t="n">
        <v>1</v>
      </c>
      <c r="Z1545" s="13">
        <f>SUMPRODUCT(N1545:Y1545,$N$2:$Y$2)*$K1545*$L1545*$M1545</f>
        <v/>
      </c>
      <c r="AA1545" s="14">
        <f>SUM(N1545:Y1545)</f>
        <v/>
      </c>
      <c r="AB1545" s="14">
        <f>IFERROR(IF(UPPER($E1545)="L",SUMPRODUCT(N1545:Y1545,$N$3:$Y$3,$N$2:$Y$2),SUMPRODUCT(N1545:Y1545,$N$4:$Y$4,$N$2:$Y$2))/(Z1545/($K1545*$L1545*$M1545)),"")</f>
        <v/>
      </c>
      <c r="AC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1" t="n">
        <v>1</v>
      </c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/>
      <c r="Y1546" s="17" t="n">
        <v>1</v>
      </c>
      <c r="Z1546" s="13">
        <f>SUMPRODUCT(N1546:Y1546,$N$2:$Y$2)*$K1546*$L1546*$M1546</f>
        <v/>
      </c>
      <c r="AA1546" s="14">
        <f>SUM(N1546:Y1546)</f>
        <v/>
      </c>
      <c r="AB1546" s="14">
        <f>IFERROR(IF(UPPER($E1546)="L",SUMPRODUCT(N1546:Y1546,$N$3:$Y$3,$N$2:$Y$2),SUMPRODUCT(N1546:Y1546,$N$4:$Y$4,$N$2:$Y$2))/(Z1546/($K1546*$L1546*$M1546)),"")</f>
        <v/>
      </c>
      <c r="AC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1" t="n">
        <v>1</v>
      </c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/>
      <c r="Y1547" s="17" t="n">
        <v>1</v>
      </c>
      <c r="Z1547" s="13">
        <f>SUMPRODUCT(N1547:Y1547,$N$2:$Y$2)*$K1547*$L1547*$M1547</f>
        <v/>
      </c>
      <c r="AA1547" s="14">
        <f>SUM(N1547:Y1547)</f>
        <v/>
      </c>
      <c r="AB1547" s="14">
        <f>IFERROR(IF(UPPER($E1547)="L",SUMPRODUCT(N1547:Y1547,$N$3:$Y$3,$N$2:$Y$2),SUMPRODUCT(N1547:Y1547,$N$4:$Y$4,$N$2:$Y$2))/(Z1547/($K1547*$L1547*$M1547)),"")</f>
        <v/>
      </c>
      <c r="AC1547" s="18" t="n"/>
    </row>
    <row r="1548">
      <c r="A1548" s="9" t="n">
        <v>686958</v>
      </c>
      <c r="B1548" s="9" t="inlineStr">
        <is>
          <t>Jose Torres</t>
        </is>
      </c>
      <c r="C1548" s="9" t="inlineStr">
        <is>
          <t>COL</t>
        </is>
      </c>
      <c r="D1548" s="9" t="n">
        <v>25</v>
      </c>
      <c r="E1548" s="16" t="inlineStr">
        <is>
          <t>R</t>
        </is>
      </c>
      <c r="F1548" s="16" t="n"/>
      <c r="G1548" s="9" t="n">
        <v>73.58974358974358</v>
      </c>
      <c r="H1548" s="9" t="n">
        <v>73.58974358974358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1" t="n">
        <v>1</v>
      </c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/>
      <c r="Y1548" s="17" t="n">
        <v>1</v>
      </c>
      <c r="Z1548" s="13">
        <f>SUMPRODUCT(N1548:Y1548,$N$2:$Y$2)*$K1548*$L1548*$M1548</f>
        <v/>
      </c>
      <c r="AA1548" s="14">
        <f>SUM(N1548:Y1548)</f>
        <v/>
      </c>
      <c r="AB1548" s="14">
        <f>IFERROR(IF(UPPER($E1548)="L",SUMPRODUCT(N1548:Y1548,$N$3:$Y$3,$N$2:$Y$2),SUMPRODUCT(N1548:Y1548,$N$4:$Y$4,$N$2:$Y$2))/(Z1548/($K1548*$L1548*$M1548)),"")</f>
        <v/>
      </c>
      <c r="AC1548" s="18" t="n"/>
    </row>
    <row r="1549">
      <c r="A1549" s="9" t="n">
        <v>703804</v>
      </c>
      <c r="B1549" s="9" t="inlineStr">
        <is>
          <t>Romeo Sanabria</t>
        </is>
      </c>
      <c r="C1549" s="9" t="inlineStr">
        <is>
          <t>SD</t>
        </is>
      </c>
      <c r="D1549" s="9" t="n">
        <v>25</v>
      </c>
      <c r="E1549" s="16" t="inlineStr">
        <is>
          <t>L</t>
        </is>
      </c>
      <c r="F1549" s="16" t="n"/>
      <c r="G1549" s="9" t="n">
        <v>46.25641025641026</v>
      </c>
      <c r="H1549" s="9" t="n">
        <v>46.25641025641026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1" t="n">
        <v>1</v>
      </c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/>
      <c r="Y1549" s="17" t="n">
        <v>1</v>
      </c>
      <c r="Z1549" s="13">
        <f>SUMPRODUCT(N1549:Y1549,$N$2:$Y$2)*$K1549*$L1549*$M1549</f>
        <v/>
      </c>
      <c r="AA1549" s="14">
        <f>SUM(N1549:Y1549)</f>
        <v/>
      </c>
      <c r="AB1549" s="14">
        <f>IFERROR(IF(UPPER($E1549)="L",SUMPRODUCT(N1549:Y1549,$N$3:$Y$3,$N$2:$Y$2),SUMPRODUCT(N1549:Y1549,$N$4:$Y$4,$N$2:$Y$2))/(Z1549/($K1549*$L1549*$M1549)),"")</f>
        <v/>
      </c>
      <c r="AC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1" t="n">
        <v>1</v>
      </c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/>
      <c r="Y1550" s="17" t="n">
        <v>1</v>
      </c>
      <c r="Z1550" s="13">
        <f>SUMPRODUCT(N1550:Y1550,$N$2:$Y$2)*$K1550*$L1550*$M1550</f>
        <v/>
      </c>
      <c r="AA1550" s="14">
        <f>SUM(N1550:Y1550)</f>
        <v/>
      </c>
      <c r="AB1550" s="14">
        <f>IFERROR(IF(UPPER($E1550)="L",SUMPRODUCT(N1550:Y1550,$N$3:$Y$3,$N$2:$Y$2),SUMPRODUCT(N1550:Y1550,$N$4:$Y$4,$N$2:$Y$2))/(Z1550/($K1550*$L1550*$M1550)),"")</f>
        <v/>
      </c>
      <c r="AC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1" t="n">
        <v>1</v>
      </c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/>
      <c r="Y1551" s="17" t="n">
        <v>1</v>
      </c>
      <c r="Z1551" s="13">
        <f>SUMPRODUCT(N1551:Y1551,$N$2:$Y$2)*$K1551*$L1551*$M1551</f>
        <v/>
      </c>
      <c r="AA1551" s="14">
        <f>SUM(N1551:Y1551)</f>
        <v/>
      </c>
      <c r="AB1551" s="14">
        <f>IFERROR(IF(UPPER($E1551)="L",SUMPRODUCT(N1551:Y1551,$N$3:$Y$3,$N$2:$Y$2),SUMPRODUCT(N1551:Y1551,$N$4:$Y$4,$N$2:$Y$2))/(Z1551/($K1551*$L1551*$M1551)),"")</f>
        <v/>
      </c>
      <c r="AC1551" s="18" t="n"/>
    </row>
    <row r="1552">
      <c r="A1552" s="9" t="n">
        <v>702333</v>
      </c>
      <c r="B1552" s="9" t="inlineStr">
        <is>
          <t>Haydn McGeary</t>
        </is>
      </c>
      <c r="C1552" s="9" t="inlineStr">
        <is>
          <t>CHC</t>
        </is>
      </c>
      <c r="D1552" s="9" t="n">
        <v>25</v>
      </c>
      <c r="E1552" s="16" t="inlineStr">
        <is>
          <t>R</t>
        </is>
      </c>
      <c r="F1552" s="16" t="n"/>
      <c r="G1552" s="9" t="n">
        <v>13.64102564102564</v>
      </c>
      <c r="H1552" s="9" t="n">
        <v>13.64102564102564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1" t="n">
        <v>1</v>
      </c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/>
      <c r="Y1552" s="17" t="n">
        <v>1</v>
      </c>
      <c r="Z1552" s="13">
        <f>SUMPRODUCT(N1552:Y1552,$N$2:$Y$2)*$K1552*$L1552*$M1552</f>
        <v/>
      </c>
      <c r="AA1552" s="14">
        <f>SUM(N1552:Y1552)</f>
        <v/>
      </c>
      <c r="AB1552" s="14">
        <f>IFERROR(IF(UPPER($E1552)="L",SUMPRODUCT(N1552:Y1552,$N$3:$Y$3,$N$2:$Y$2),SUMPRODUCT(N1552:Y1552,$N$4:$Y$4,$N$2:$Y$2))/(Z1552/($K1552*$L1552*$M1552)),"")</f>
        <v/>
      </c>
      <c r="AC1552" s="18" t="n"/>
    </row>
    <row r="1553">
      <c r="A1553" s="9" t="n">
        <v>696286</v>
      </c>
      <c r="B1553" s="9" t="inlineStr">
        <is>
          <t>Davis Diaz</t>
        </is>
      </c>
      <c r="C1553" s="9" t="inlineStr">
        <is>
          <t>OAK</t>
        </is>
      </c>
      <c r="D1553" s="9" t="n">
        <v>25</v>
      </c>
      <c r="E1553" s="16" t="inlineStr">
        <is>
          <t>R</t>
        </is>
      </c>
      <c r="F1553" s="16" t="n"/>
      <c r="G1553" s="9" t="n">
        <v>45.6923076923077</v>
      </c>
      <c r="H1553" s="9" t="n">
        <v>45.6923076923077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1" t="n">
        <v>1</v>
      </c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/>
      <c r="Y1553" s="17" t="n">
        <v>1</v>
      </c>
      <c r="Z1553" s="13">
        <f>SUMPRODUCT(N1553:Y1553,$N$2:$Y$2)*$K1553*$L1553*$M1553</f>
        <v/>
      </c>
      <c r="AA1553" s="14">
        <f>SUM(N1553:Y1553)</f>
        <v/>
      </c>
      <c r="AB1553" s="14">
        <f>IFERROR(IF(UPPER($E1553)="L",SUMPRODUCT(N1553:Y1553,$N$3:$Y$3,$N$2:$Y$2),SUMPRODUCT(N1553:Y1553,$N$4:$Y$4,$N$2:$Y$2))/(Z1553/($K1553*$L1553*$M1553)),"")</f>
        <v/>
      </c>
      <c r="AC1553" s="18" t="n"/>
    </row>
    <row r="1554">
      <c r="A1554" s="9" t="n">
        <v>703157</v>
      </c>
      <c r="B1554" s="9" t="inlineStr">
        <is>
          <t>Javier Osorio</t>
        </is>
      </c>
      <c r="C1554" s="9" t="inlineStr">
        <is>
          <t>DET</t>
        </is>
      </c>
      <c r="D1554" s="9" t="n">
        <v>25</v>
      </c>
      <c r="E1554" s="16" t="inlineStr">
        <is>
          <t>R</t>
        </is>
      </c>
      <c r="F1554" s="16" t="n"/>
      <c r="G1554" s="9" t="n">
        <v>33.96923076923077</v>
      </c>
      <c r="H1554" s="9" t="n">
        <v>33.96923076923077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1" t="n">
        <v>1</v>
      </c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/>
      <c r="Y1554" s="17" t="n">
        <v>1</v>
      </c>
      <c r="Z1554" s="13">
        <f>SUMPRODUCT(N1554:Y1554,$N$2:$Y$2)*$K1554*$L1554*$M1554</f>
        <v/>
      </c>
      <c r="AA1554" s="14">
        <f>SUM(N1554:Y1554)</f>
        <v/>
      </c>
      <c r="AB1554" s="14">
        <f>IFERROR(IF(UPPER($E1554)="L",SUMPRODUCT(N1554:Y1554,$N$3:$Y$3,$N$2:$Y$2),SUMPRODUCT(N1554:Y1554,$N$4:$Y$4,$N$2:$Y$2))/(Z1554/($K1554*$L1554*$M1554)),"")</f>
        <v/>
      </c>
      <c r="AC1554" s="18" t="n"/>
    </row>
    <row r="1555">
      <c r="A1555" s="9" t="n">
        <v>702695</v>
      </c>
      <c r="B1555" s="9" t="inlineStr">
        <is>
          <t>Easton Carmichael</t>
        </is>
      </c>
      <c r="C1555" s="9" t="inlineStr">
        <is>
          <t>PIT</t>
        </is>
      </c>
      <c r="D1555" s="9" t="n">
        <v>25</v>
      </c>
      <c r="E1555" s="16" t="inlineStr">
        <is>
          <t>R</t>
        </is>
      </c>
      <c r="F1555" s="16" t="n"/>
      <c r="G1555" s="9" t="n">
        <v>50.61538461538461</v>
      </c>
      <c r="H1555" s="9" t="n">
        <v>50.61538461538461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1" t="n">
        <v>1</v>
      </c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/>
      <c r="Y1555" s="17" t="n">
        <v>1</v>
      </c>
      <c r="Z1555" s="13">
        <f>SUMPRODUCT(N1555:Y1555,$N$2:$Y$2)*$K1555*$L1555*$M1555</f>
        <v/>
      </c>
      <c r="AA1555" s="14">
        <f>SUM(N1555:Y1555)</f>
        <v/>
      </c>
      <c r="AB1555" s="14">
        <f>IFERROR(IF(UPPER($E1555)="L",SUMPRODUCT(N1555:Y1555,$N$3:$Y$3,$N$2:$Y$2),SUMPRODUCT(N1555:Y1555,$N$4:$Y$4,$N$2:$Y$2))/(Z1555/($K1555*$L1555*$M1555)),"")</f>
        <v/>
      </c>
      <c r="AC1555" s="18" t="n"/>
    </row>
    <row r="1556">
      <c r="A1556" s="9" t="n">
        <v>695770</v>
      </c>
      <c r="B1556" s="9" t="inlineStr">
        <is>
          <t>Wes Kath</t>
        </is>
      </c>
      <c r="C1556" s="9" t="inlineStr">
        <is>
          <t>CWS</t>
        </is>
      </c>
      <c r="D1556" s="9" t="n">
        <v>25</v>
      </c>
      <c r="E1556" s="16" t="inlineStr">
        <is>
          <t>L</t>
        </is>
      </c>
      <c r="F1556" s="16" t="n"/>
      <c r="G1556" s="9" t="n">
        <v>17.64102564102564</v>
      </c>
      <c r="H1556" s="9" t="n">
        <v>17.64102564102564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1" t="n">
        <v>1</v>
      </c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/>
      <c r="Y1556" s="17" t="n">
        <v>1</v>
      </c>
      <c r="Z1556" s="13">
        <f>SUMPRODUCT(N1556:Y1556,$N$2:$Y$2)*$K1556*$L1556*$M1556</f>
        <v/>
      </c>
      <c r="AA1556" s="14">
        <f>SUM(N1556:Y1556)</f>
        <v/>
      </c>
      <c r="AB1556" s="14">
        <f>IFERROR(IF(UPPER($E1556)="L",SUMPRODUCT(N1556:Y1556,$N$3:$Y$3,$N$2:$Y$2),SUMPRODUCT(N1556:Y1556,$N$4:$Y$4,$N$2:$Y$2))/(Z1556/($K1556*$L1556*$M1556)),"")</f>
        <v/>
      </c>
      <c r="AC1556" s="18" t="n"/>
    </row>
    <row r="1557">
      <c r="A1557" s="9" t="n">
        <v>622268</v>
      </c>
      <c r="B1557" s="9" t="inlineStr">
        <is>
          <t>Donovan Walton</t>
        </is>
      </c>
      <c r="C1557" s="9" t="inlineStr">
        <is>
          <t>OAK</t>
        </is>
      </c>
      <c r="D1557" s="9" t="n">
        <v>33</v>
      </c>
      <c r="E1557" s="16" t="inlineStr">
        <is>
          <t>L</t>
        </is>
      </c>
      <c r="F1557" s="16" t="inlineStr">
        <is>
          <t>2B</t>
        </is>
      </c>
      <c r="G1557" s="9" t="n">
        <v>268</v>
      </c>
      <c r="H1557" s="9" t="n">
        <v>380</v>
      </c>
      <c r="I1557" s="9" t="inlineStr">
        <is>
          <t>Strong Side Platoon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1" t="n">
        <v>1</v>
      </c>
      <c r="N1557" s="17" t="n">
        <v>0.4</v>
      </c>
      <c r="O1557" s="17" t="n"/>
      <c r="P1557" s="17" t="n">
        <v>0.6</v>
      </c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7" t="n"/>
      <c r="Z1557" s="13">
        <f>SUMPRODUCT(N1557:Y1557,$N$2:$Y$2)*$K1557*$L1557*$M1557</f>
        <v/>
      </c>
      <c r="AA1557" s="14">
        <f>SUM(N1557:Y1557)</f>
        <v/>
      </c>
      <c r="AB1557" s="14">
        <f>IFERROR(IF(UPPER($E1557)="L",SUMPRODUCT(N1557:Y1557,$N$3:$Y$3,$N$2:$Y$2),SUMPRODUCT(N1557:Y1557,$N$4:$Y$4,$N$2:$Y$2))/(Z1557/($K1557*$L1557*$M1557)),"")</f>
        <v/>
      </c>
      <c r="AC1557" s="18" t="n"/>
    </row>
    <row r="1558">
      <c r="A1558" s="9" t="n">
        <v>808496</v>
      </c>
      <c r="B1558" s="9" t="inlineStr">
        <is>
          <t>Jaeden Calderon</t>
        </is>
      </c>
      <c r="C1558" s="9" t="inlineStr">
        <is>
          <t>PHI</t>
        </is>
      </c>
      <c r="D1558" s="9" t="n">
        <v>25</v>
      </c>
      <c r="E1558" s="16" t="inlineStr">
        <is>
          <t>R</t>
        </is>
      </c>
      <c r="F1558" s="16" t="n"/>
      <c r="G1558" s="9" t="n">
        <v>18.21538461538461</v>
      </c>
      <c r="H1558" s="9" t="n">
        <v>18.21538461538461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1" t="n">
        <v>1</v>
      </c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/>
      <c r="Y1558" s="17" t="n">
        <v>1</v>
      </c>
      <c r="Z1558" s="13">
        <f>SUMPRODUCT(N1558:Y1558,$N$2:$Y$2)*$K1558*$L1558*$M1558</f>
        <v/>
      </c>
      <c r="AA1558" s="14">
        <f>SUM(N1558:Y1558)</f>
        <v/>
      </c>
      <c r="AB1558" s="14">
        <f>IFERROR(IF(UPPER($E1558)="L",SUMPRODUCT(N1558:Y1558,$N$3:$Y$3,$N$2:$Y$2),SUMPRODUCT(N1558:Y1558,$N$4:$Y$4,$N$2:$Y$2))/(Z1558/($K1558*$L1558*$M1558)),"")</f>
        <v/>
      </c>
      <c r="AC1558" s="18" t="n"/>
    </row>
    <row r="1559">
      <c r="A1559" s="9" t="n">
        <v>815895</v>
      </c>
      <c r="B1559" s="9" t="inlineStr">
        <is>
          <t>Adriel Radney</t>
        </is>
      </c>
      <c r="C1559" s="9" t="inlineStr">
        <is>
          <t>ARI</t>
        </is>
      </c>
      <c r="D1559" s="9" t="n">
        <v>25</v>
      </c>
      <c r="E1559" s="16" t="inlineStr">
        <is>
          <t>R</t>
        </is>
      </c>
      <c r="F1559" s="16" t="n"/>
      <c r="G1559" s="9" t="n">
        <v>13.90769230769231</v>
      </c>
      <c r="H1559" s="9" t="n">
        <v>13.90769230769231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1" t="n">
        <v>1</v>
      </c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/>
      <c r="Y1559" s="17" t="n">
        <v>1</v>
      </c>
      <c r="Z1559" s="13">
        <f>SUMPRODUCT(N1559:Y1559,$N$2:$Y$2)*$K1559*$L1559*$M1559</f>
        <v/>
      </c>
      <c r="AA1559" s="14">
        <f>SUM(N1559:Y1559)</f>
        <v/>
      </c>
      <c r="AB1559" s="14">
        <f>IFERROR(IF(UPPER($E1559)="L",SUMPRODUCT(N1559:Y1559,$N$3:$Y$3,$N$2:$Y$2),SUMPRODUCT(N1559:Y1559,$N$4:$Y$4,$N$2:$Y$2))/(Z1559/($K1559*$L1559*$M1559)),"")</f>
        <v/>
      </c>
      <c r="AC1559" s="18" t="n"/>
    </row>
    <row r="1560">
      <c r="A1560" s="9" t="n">
        <v>666139</v>
      </c>
      <c r="B1560" s="9" t="inlineStr">
        <is>
          <t>Josh Lowe</t>
        </is>
      </c>
      <c r="C1560" s="9" t="inlineStr">
        <is>
          <t>LAA</t>
        </is>
      </c>
      <c r="D1560" s="9" t="n">
        <v>29</v>
      </c>
      <c r="E1560" s="16" t="inlineStr">
        <is>
          <t>L</t>
        </is>
      </c>
      <c r="F1560" s="16" t="inlineStr">
        <is>
          <t>LF</t>
        </is>
      </c>
      <c r="G1560" s="9" t="n">
        <v>343</v>
      </c>
      <c r="H1560" s="9" t="n">
        <v>1864</v>
      </c>
      <c r="I1560" s="9" t="inlineStr">
        <is>
          <t>Full Time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1" t="n">
        <v>0.9415022749061316</v>
      </c>
      <c r="N1560" s="17" t="n">
        <v>1</v>
      </c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7" t="n"/>
      <c r="Z1560" s="13">
        <f>SUMPRODUCT(N1560:Y1560,$N$2:$Y$2)*$K1560*$L1560*$M1560</f>
        <v/>
      </c>
      <c r="AA1560" s="14">
        <f>SUM(N1560:Y1560)</f>
        <v/>
      </c>
      <c r="AB1560" s="14">
        <f>IFERROR(IF(UPPER($E1560)="L",SUMPRODUCT(N1560:Y1560,$N$3:$Y$3,$N$2:$Y$2),SUMPRODUCT(N1560:Y1560,$N$4:$Y$4,$N$2:$Y$2))/(Z1560/($K1560*$L1560*$M1560)),"")</f>
        <v/>
      </c>
      <c r="AC1560" s="18" t="n"/>
    </row>
    <row r="1561">
      <c r="A1561" s="9" t="n">
        <v>829943</v>
      </c>
      <c r="B1561" s="9" t="inlineStr">
        <is>
          <t>Louis Andujar</t>
        </is>
      </c>
      <c r="C1561" s="9" t="inlineStr">
        <is>
          <t>BOS</t>
        </is>
      </c>
      <c r="D1561" s="9" t="n">
        <v>25</v>
      </c>
      <c r="E1561" s="16" t="inlineStr">
        <is>
          <t>R</t>
        </is>
      </c>
      <c r="F1561" s="16" t="n"/>
      <c r="G1561" s="9" t="n">
        <v>31.87692307692308</v>
      </c>
      <c r="H1561" s="9" t="n">
        <v>31.87692307692308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1" t="n">
        <v>1</v>
      </c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/>
      <c r="Y1561" s="17" t="n">
        <v>1</v>
      </c>
      <c r="Z1561" s="13">
        <f>SUMPRODUCT(N1561:Y1561,$N$2:$Y$2)*$K1561*$L1561*$M1561</f>
        <v/>
      </c>
      <c r="AA1561" s="14">
        <f>SUM(N1561:Y1561)</f>
        <v/>
      </c>
      <c r="AB1561" s="14">
        <f>IFERROR(IF(UPPER($E1561)="L",SUMPRODUCT(N1561:Y1561,$N$3:$Y$3,$N$2:$Y$2),SUMPRODUCT(N1561:Y1561,$N$4:$Y$4,$N$2:$Y$2))/(Z1561/($K1561*$L1561*$M1561)),"")</f>
        <v/>
      </c>
      <c r="AC1561" s="18" t="n"/>
    </row>
    <row r="1562">
      <c r="A1562" s="9" t="n">
        <v>553869</v>
      </c>
      <c r="B1562" s="9" t="inlineStr">
        <is>
          <t>Elias Díaz</t>
        </is>
      </c>
      <c r="C1562" s="9" t="inlineStr">
        <is>
          <t>TEX</t>
        </is>
      </c>
      <c r="D1562" s="9" t="n">
        <v>36</v>
      </c>
      <c r="E1562" s="16" t="inlineStr">
        <is>
          <t>R</t>
        </is>
      </c>
      <c r="F1562" s="16" t="inlineStr">
        <is>
          <t>C</t>
        </is>
      </c>
      <c r="G1562" s="9" t="n">
        <v>237</v>
      </c>
      <c r="H1562" s="9" t="n">
        <v>1778</v>
      </c>
      <c r="I1562" s="9" t="inlineStr">
        <is>
          <t>Weak Side Platoon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1" t="n">
        <v>1.012370948574773</v>
      </c>
      <c r="N1562" s="17" t="n"/>
      <c r="O1562" s="17" t="n"/>
      <c r="P1562" s="17" t="n"/>
      <c r="Q1562" s="17" t="n">
        <v>0.6</v>
      </c>
      <c r="R1562" s="17" t="n"/>
      <c r="S1562" s="17" t="n"/>
      <c r="T1562" s="17" t="n">
        <v>0.4</v>
      </c>
      <c r="U1562" s="17" t="n"/>
      <c r="V1562" s="17" t="n"/>
      <c r="W1562" s="17" t="n"/>
      <c r="X1562" s="17" t="n"/>
      <c r="Y1562" s="17" t="n"/>
      <c r="Z1562" s="13">
        <f>SUMPRODUCT(N1562:Y1562,$N$2:$Y$2)*$K1562*$L1562*$M1562</f>
        <v/>
      </c>
      <c r="AA1562" s="14">
        <f>SUM(N1562:Y1562)</f>
        <v/>
      </c>
      <c r="AB1562" s="14">
        <f>IFERROR(IF(UPPER($E1562)="L",SUMPRODUCT(N1562:Y1562,$N$3:$Y$3,$N$2:$Y$2),SUMPRODUCT(N1562:Y1562,$N$4:$Y$4,$N$2:$Y$2))/(Z1562/($K1562*$L1562*$M1562)),"")</f>
        <v/>
      </c>
      <c r="AC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inlineStr">
        <is>
          <t>LF</t>
        </is>
      </c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1" t="n">
        <v>1</v>
      </c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/>
      <c r="Y1563" s="17" t="n">
        <v>1</v>
      </c>
      <c r="Z1563" s="13">
        <f>SUMPRODUCT(N1563:Y1563,$N$2:$Y$2)*$K1563*$L1563*$M1563</f>
        <v/>
      </c>
      <c r="AA1563" s="14">
        <f>SUM(N1563:Y1563)</f>
        <v/>
      </c>
      <c r="AB1563" s="14">
        <f>IFERROR(IF(UPPER($E1563)="L",SUMPRODUCT(N1563:Y1563,$N$3:$Y$3,$N$2:$Y$2),SUMPRODUCT(N1563:Y1563,$N$4:$Y$4,$N$2:$Y$2))/(Z1563/($K1563*$L1563*$M1563)),"")</f>
        <v/>
      </c>
      <c r="AC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1" t="n">
        <v>1</v>
      </c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/>
      <c r="Y1564" s="17" t="n">
        <v>1</v>
      </c>
      <c r="Z1564" s="13">
        <f>SUMPRODUCT(N1564:Y1564,$N$2:$Y$2)*$K1564*$L1564*$M1564</f>
        <v/>
      </c>
      <c r="AA1564" s="14">
        <f>SUM(N1564:Y1564)</f>
        <v/>
      </c>
      <c r="AB1564" s="14">
        <f>IFERROR(IF(UPPER($E1564)="L",SUMPRODUCT(N1564:Y1564,$N$3:$Y$3,$N$2:$Y$2),SUMPRODUCT(N1564:Y1564,$N$4:$Y$4,$N$2:$Y$2))/(Z1564/($K1564*$L1564*$M1564)),"")</f>
        <v/>
      </c>
      <c r="AC1564" s="18" t="n"/>
    </row>
    <row r="1565">
      <c r="A1565" s="9" t="n">
        <v>701520</v>
      </c>
      <c r="B1565" s="9" t="inlineStr">
        <is>
          <t>Bobby Blandford</t>
        </is>
      </c>
      <c r="C1565" s="9" t="inlineStr">
        <is>
          <t>OAK</t>
        </is>
      </c>
      <c r="D1565" s="9" t="n">
        <v>25</v>
      </c>
      <c r="E1565" s="16" t="inlineStr">
        <is>
          <t>L</t>
        </is>
      </c>
      <c r="F1565" s="16" t="n"/>
      <c r="G1565" s="9" t="n">
        <v>57.84615384615384</v>
      </c>
      <c r="H1565" s="9" t="n">
        <v>57.84615384615384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1" t="n">
        <v>1</v>
      </c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/>
      <c r="Y1565" s="17" t="n">
        <v>1</v>
      </c>
      <c r="Z1565" s="13">
        <f>SUMPRODUCT(N1565:Y1565,$N$2:$Y$2)*$K1565*$L1565*$M1565</f>
        <v/>
      </c>
      <c r="AA1565" s="14">
        <f>SUM(N1565:Y1565)</f>
        <v/>
      </c>
      <c r="AB1565" s="14">
        <f>IFERROR(IF(UPPER($E1565)="L",SUMPRODUCT(N1565:Y1565,$N$3:$Y$3,$N$2:$Y$2),SUMPRODUCT(N1565:Y1565,$N$4:$Y$4,$N$2:$Y$2))/(Z1565/($K1565*$L1565*$M1565)),"")</f>
        <v/>
      </c>
      <c r="AC1565" s="18" t="n"/>
    </row>
    <row r="1566">
      <c r="A1566" s="9" t="n">
        <v>680998</v>
      </c>
      <c r="B1566" s="9" t="inlineStr">
        <is>
          <t>Branden Boissiere</t>
        </is>
      </c>
      <c r="C1566" s="9" t="inlineStr">
        <is>
          <t>WSH</t>
        </is>
      </c>
      <c r="D1566" s="9" t="n">
        <v>25</v>
      </c>
      <c r="E1566" s="16" t="inlineStr">
        <is>
          <t>L</t>
        </is>
      </c>
      <c r="F1566" s="16" t="n"/>
      <c r="G1566" s="9" t="n">
        <v>100.8717948717949</v>
      </c>
      <c r="H1566" s="9" t="n">
        <v>100.8717948717949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1" t="n">
        <v>1</v>
      </c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/>
      <c r="Y1566" s="17" t="n">
        <v>1</v>
      </c>
      <c r="Z1566" s="13">
        <f>SUMPRODUCT(N1566:Y1566,$N$2:$Y$2)*$K1566*$L1566*$M1566</f>
        <v/>
      </c>
      <c r="AA1566" s="14">
        <f>SUM(N1566:Y1566)</f>
        <v/>
      </c>
      <c r="AB1566" s="14">
        <f>IFERROR(IF(UPPER($E1566)="L",SUMPRODUCT(N1566:Y1566,$N$3:$Y$3,$N$2:$Y$2),SUMPRODUCT(N1566:Y1566,$N$4:$Y$4,$N$2:$Y$2))/(Z1566/($K1566*$L1566*$M1566)),"")</f>
        <v/>
      </c>
      <c r="AC1566" s="18" t="n"/>
    </row>
    <row r="1567">
      <c r="A1567" s="9" t="n">
        <v>686984</v>
      </c>
      <c r="B1567" s="9" t="inlineStr">
        <is>
          <t>Marcus Lee Sang</t>
        </is>
      </c>
      <c r="C1567" s="9" t="inlineStr">
        <is>
          <t>TEX</t>
        </is>
      </c>
      <c r="D1567" s="9" t="n">
        <v>25</v>
      </c>
      <c r="E1567" s="16" t="inlineStr">
        <is>
          <t>L</t>
        </is>
      </c>
      <c r="F1567" s="16" t="n"/>
      <c r="G1567" s="9" t="n">
        <v>155.4358974358974</v>
      </c>
      <c r="H1567" s="9" t="n">
        <v>155.4358974358974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1" t="n">
        <v>1</v>
      </c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/>
      <c r="Y1567" s="17" t="n">
        <v>1</v>
      </c>
      <c r="Z1567" s="13">
        <f>SUMPRODUCT(N1567:Y1567,$N$2:$Y$2)*$K1567*$L1567*$M1567</f>
        <v/>
      </c>
      <c r="AA1567" s="14">
        <f>SUM(N1567:Y1567)</f>
        <v/>
      </c>
      <c r="AB1567" s="14">
        <f>IFERROR(IF(UPPER($E1567)="L",SUMPRODUCT(N1567:Y1567,$N$3:$Y$3,$N$2:$Y$2),SUMPRODUCT(N1567:Y1567,$N$4:$Y$4,$N$2:$Y$2))/(Z1567/($K1567*$L1567*$M1567)),"")</f>
        <v/>
      </c>
      <c r="AC1567" s="18" t="n"/>
    </row>
    <row r="1568">
      <c r="A1568" s="9" t="n">
        <v>828148</v>
      </c>
      <c r="B1568" s="9" t="inlineStr">
        <is>
          <t>Conor Essenburg</t>
        </is>
      </c>
      <c r="C1568" s="9" t="inlineStr">
        <is>
          <t>ATL</t>
        </is>
      </c>
      <c r="D1568" s="9" t="n">
        <v>25</v>
      </c>
      <c r="E1568" s="16" t="inlineStr">
        <is>
          <t>R</t>
        </is>
      </c>
      <c r="F1568" s="16" t="n"/>
      <c r="G1568" s="9" t="n">
        <v>26.66666666666667</v>
      </c>
      <c r="H1568" s="9" t="n">
        <v>26.66666666666667</v>
      </c>
      <c r="I1568" s="9" t="inlineStr">
        <is>
          <t>Depth (no MLB PA)</t>
        </is>
      </c>
      <c r="J1568" s="16" t="inlineStr">
        <is>
          <t>Late Season (~Sept)</t>
        </is>
      </c>
      <c r="K1568" s="11">
        <f>IFERROR(INDEX(Roles!$B$17:$B$20,MATCH(J1568,Roles!$A$17:$A$20,0)),1)</f>
        <v/>
      </c>
      <c r="L1568" s="17" t="n">
        <v>1</v>
      </c>
      <c r="M1568" s="11" t="n">
        <v>1</v>
      </c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/>
      <c r="Y1568" s="17" t="n">
        <v>1</v>
      </c>
      <c r="Z1568" s="13">
        <f>SUMPRODUCT(N1568:Y1568,$N$2:$Y$2)*$K1568*$L1568*$M1568</f>
        <v/>
      </c>
      <c r="AA1568" s="14">
        <f>SUM(N1568:Y1568)</f>
        <v/>
      </c>
      <c r="AB1568" s="14">
        <f>IFERROR(IF(UPPER($E1568)="L",SUMPRODUCT(N1568:Y1568,$N$3:$Y$3,$N$2:$Y$2),SUMPRODUCT(N1568:Y1568,$N$4:$Y$4,$N$2:$Y$2))/(Z1568/($K1568*$L1568*$M1568)),"")</f>
        <v/>
      </c>
      <c r="AC1568" s="18" t="n"/>
    </row>
    <row r="1569">
      <c r="A1569" s="9" t="n">
        <v>829750</v>
      </c>
      <c r="B1569" s="9" t="inlineStr">
        <is>
          <t>Victor Santana</t>
        </is>
      </c>
      <c r="C1569" s="9" t="inlineStr">
        <is>
          <t>ARI</t>
        </is>
      </c>
      <c r="D1569" s="9" t="n">
        <v>25</v>
      </c>
      <c r="E1569" s="16" t="inlineStr">
        <is>
          <t>R</t>
        </is>
      </c>
      <c r="F1569" s="16" t="n"/>
      <c r="G1569" s="9" t="n">
        <v>14.52307692307692</v>
      </c>
      <c r="H1569" s="9" t="n">
        <v>14.52307692307692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1" t="n">
        <v>1</v>
      </c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/>
      <c r="Y1569" s="17" t="n">
        <v>1</v>
      </c>
      <c r="Z1569" s="13">
        <f>SUMPRODUCT(N1569:Y1569,$N$2:$Y$2)*$K1569*$L1569*$M1569</f>
        <v/>
      </c>
      <c r="AA1569" s="14">
        <f>SUM(N1569:Y1569)</f>
        <v/>
      </c>
      <c r="AB1569" s="14">
        <f>IFERROR(IF(UPPER($E1569)="L",SUMPRODUCT(N1569:Y1569,$N$3:$Y$3,$N$2:$Y$2),SUMPRODUCT(N1569:Y1569,$N$4:$Y$4,$N$2:$Y$2))/(Z1569/($K1569*$L1569*$M1569)),"")</f>
        <v/>
      </c>
      <c r="AC1569" s="18" t="n"/>
    </row>
    <row r="1570">
      <c r="A1570" s="9" t="n">
        <v>814816</v>
      </c>
      <c r="B1570" s="9" t="inlineStr">
        <is>
          <t>Johnny Tincher</t>
        </is>
      </c>
      <c r="C1570" s="9" t="inlineStr">
        <is>
          <t>BAL</t>
        </is>
      </c>
      <c r="D1570" s="9" t="n">
        <v>25</v>
      </c>
      <c r="E1570" s="16" t="inlineStr">
        <is>
          <t>R</t>
        </is>
      </c>
      <c r="F1570" s="16" t="n"/>
      <c r="G1570" s="9" t="n">
        <v>14.35897435897436</v>
      </c>
      <c r="H1570" s="9" t="n">
        <v>14.35897435897436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1" t="n">
        <v>1</v>
      </c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/>
      <c r="Y1570" s="17" t="n">
        <v>1</v>
      </c>
      <c r="Z1570" s="13">
        <f>SUMPRODUCT(N1570:Y1570,$N$2:$Y$2)*$K1570*$L1570*$M1570</f>
        <v/>
      </c>
      <c r="AA1570" s="14">
        <f>SUM(N1570:Y1570)</f>
        <v/>
      </c>
      <c r="AB1570" s="14">
        <f>IFERROR(IF(UPPER($E1570)="L",SUMPRODUCT(N1570:Y1570,$N$3:$Y$3,$N$2:$Y$2),SUMPRODUCT(N1570:Y1570,$N$4:$Y$4,$N$2:$Y$2))/(Z1570/($K1570*$L1570*$M1570)),"")</f>
        <v/>
      </c>
      <c r="AC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1" t="n">
        <v>1</v>
      </c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/>
      <c r="Y1571" s="17" t="n">
        <v>1</v>
      </c>
      <c r="Z1571" s="13">
        <f>SUMPRODUCT(N1571:Y1571,$N$2:$Y$2)*$K1571*$L1571*$M1571</f>
        <v/>
      </c>
      <c r="AA1571" s="14">
        <f>SUM(N1571:Y1571)</f>
        <v/>
      </c>
      <c r="AB1571" s="14">
        <f>IFERROR(IF(UPPER($E1571)="L",SUMPRODUCT(N1571:Y1571,$N$3:$Y$3,$N$2:$Y$2),SUMPRODUCT(N1571:Y1571,$N$4:$Y$4,$N$2:$Y$2))/(Z1571/($K1571*$L1571*$M1571)),"")</f>
        <v/>
      </c>
      <c r="AC1571" s="18" t="n"/>
    </row>
    <row r="1572">
      <c r="A1572" s="9" t="n">
        <v>806967</v>
      </c>
      <c r="B1572" s="9" t="inlineStr">
        <is>
          <t>Brailer Guerrero</t>
        </is>
      </c>
      <c r="C1572" s="9" t="inlineStr">
        <is>
          <t>TB</t>
        </is>
      </c>
      <c r="D1572" s="9" t="n">
        <v>25</v>
      </c>
      <c r="E1572" s="16" t="inlineStr">
        <is>
          <t>L</t>
        </is>
      </c>
      <c r="F1572" s="16" t="n"/>
      <c r="G1572" s="9" t="n">
        <v>24.86153846153847</v>
      </c>
      <c r="H1572" s="9" t="n">
        <v>24.86153846153847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1" t="n">
        <v>1</v>
      </c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/>
      <c r="Y1572" s="17" t="n">
        <v>1</v>
      </c>
      <c r="Z1572" s="13">
        <f>SUMPRODUCT(N1572:Y1572,$N$2:$Y$2)*$K1572*$L1572*$M1572</f>
        <v/>
      </c>
      <c r="AA1572" s="14">
        <f>SUM(N1572:Y1572)</f>
        <v/>
      </c>
      <c r="AB1572" s="14">
        <f>IFERROR(IF(UPPER($E1572)="L",SUMPRODUCT(N1572:Y1572,$N$3:$Y$3,$N$2:$Y$2),SUMPRODUCT(N1572:Y1572,$N$4:$Y$4,$N$2:$Y$2))/(Z1572/($K1572*$L1572*$M1572)),"")</f>
        <v/>
      </c>
      <c r="AC1572" s="18" t="n"/>
    </row>
    <row r="1573">
      <c r="A1573" s="9" t="n">
        <v>807737</v>
      </c>
      <c r="B1573" s="9" t="inlineStr">
        <is>
          <t>TJayy Walton</t>
        </is>
      </c>
      <c r="C1573" s="9" t="inlineStr">
        <is>
          <t>PHI</t>
        </is>
      </c>
      <c r="D1573" s="9" t="n">
        <v>25</v>
      </c>
      <c r="E1573" s="16" t="inlineStr">
        <is>
          <t>R</t>
        </is>
      </c>
      <c r="F1573" s="16" t="n"/>
      <c r="G1573" s="9" t="n">
        <v>18.46153846153846</v>
      </c>
      <c r="H1573" s="9" t="n">
        <v>18.46153846153846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1" t="n">
        <v>1</v>
      </c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/>
      <c r="Y1573" s="17" t="n">
        <v>1</v>
      </c>
      <c r="Z1573" s="13">
        <f>SUMPRODUCT(N1573:Y1573,$N$2:$Y$2)*$K1573*$L1573*$M1573</f>
        <v/>
      </c>
      <c r="AA1573" s="14">
        <f>SUM(N1573:Y1573)</f>
        <v/>
      </c>
      <c r="AB1573" s="14">
        <f>IFERROR(IF(UPPER($E1573)="L",SUMPRODUCT(N1573:Y1573,$N$3:$Y$3,$N$2:$Y$2),SUMPRODUCT(N1573:Y1573,$N$4:$Y$4,$N$2:$Y$2))/(Z1573/($K1573*$L1573*$M1573)),"")</f>
        <v/>
      </c>
      <c r="AC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1" t="n">
        <v>1</v>
      </c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/>
      <c r="Y1574" s="17" t="n">
        <v>1</v>
      </c>
      <c r="Z1574" s="13">
        <f>SUMPRODUCT(N1574:Y1574,$N$2:$Y$2)*$K1574*$L1574*$M1574</f>
        <v/>
      </c>
      <c r="AA1574" s="14">
        <f>SUM(N1574:Y1574)</f>
        <v/>
      </c>
      <c r="AB1574" s="14">
        <f>IFERROR(IF(UPPER($E1574)="L",SUMPRODUCT(N1574:Y1574,$N$3:$Y$3,$N$2:$Y$2),SUMPRODUCT(N1574:Y1574,$N$4:$Y$4,$N$2:$Y$2))/(Z1574/($K1574*$L1574*$M1574)),"")</f>
        <v/>
      </c>
      <c r="AC1574" s="18" t="n"/>
    </row>
    <row r="1575">
      <c r="A1575" s="9" t="n">
        <v>825582</v>
      </c>
      <c r="B1575" s="9" t="inlineStr">
        <is>
          <t>Nate George</t>
        </is>
      </c>
      <c r="C1575" s="9" t="inlineStr">
        <is>
          <t>BAL</t>
        </is>
      </c>
      <c r="D1575" s="9" t="n">
        <v>25</v>
      </c>
      <c r="E1575" s="16" t="inlineStr">
        <is>
          <t>R</t>
        </is>
      </c>
      <c r="F1575" s="16" t="n"/>
      <c r="G1575" s="9" t="n">
        <v>18.87179487179487</v>
      </c>
      <c r="H1575" s="9" t="n">
        <v>18.87179487179487</v>
      </c>
      <c r="I1575" s="9" t="inlineStr">
        <is>
          <t>Depth (no MLB PA)</t>
        </is>
      </c>
      <c r="J1575" s="16" t="inlineStr">
        <is>
          <t>Late Season (~Sept)</t>
        </is>
      </c>
      <c r="K1575" s="11">
        <f>IFERROR(INDEX(Roles!$B$17:$B$20,MATCH(J1575,Roles!$A$17:$A$20,0)),1)</f>
        <v/>
      </c>
      <c r="L1575" s="17" t="n">
        <v>1</v>
      </c>
      <c r="M1575" s="11" t="n">
        <v>1</v>
      </c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/>
      <c r="Y1575" s="17" t="n">
        <v>1</v>
      </c>
      <c r="Z1575" s="13">
        <f>SUMPRODUCT(N1575:Y1575,$N$2:$Y$2)*$K1575*$L1575*$M1575</f>
        <v/>
      </c>
      <c r="AA1575" s="14">
        <f>SUM(N1575:Y1575)</f>
        <v/>
      </c>
      <c r="AB1575" s="14">
        <f>IFERROR(IF(UPPER($E1575)="L",SUMPRODUCT(N1575:Y1575,$N$3:$Y$3,$N$2:$Y$2),SUMPRODUCT(N1575:Y1575,$N$4:$Y$4,$N$2:$Y$2))/(Z1575/($K1575*$L1575*$M1575)),"")</f>
        <v/>
      </c>
      <c r="AC1575" s="18" t="n"/>
    </row>
    <row r="1576">
      <c r="A1576" s="9" t="n">
        <v>694754</v>
      </c>
      <c r="B1576" s="9" t="inlineStr">
        <is>
          <t>Sabin Ceballos</t>
        </is>
      </c>
      <c r="C1576" s="9" t="inlineStr">
        <is>
          <t>SF</t>
        </is>
      </c>
      <c r="D1576" s="9" t="n">
        <v>25</v>
      </c>
      <c r="E1576" s="16" t="inlineStr">
        <is>
          <t>R</t>
        </is>
      </c>
      <c r="F1576" s="16" t="n"/>
      <c r="G1576" s="9" t="n">
        <v>174.8205128205128</v>
      </c>
      <c r="H1576" s="9" t="n">
        <v>174.8205128205128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1" t="n">
        <v>1</v>
      </c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/>
      <c r="Y1576" s="17" t="n">
        <v>1</v>
      </c>
      <c r="Z1576" s="13">
        <f>SUMPRODUCT(N1576:Y1576,$N$2:$Y$2)*$K1576*$L1576*$M1576</f>
        <v/>
      </c>
      <c r="AA1576" s="14">
        <f>SUM(N1576:Y1576)</f>
        <v/>
      </c>
      <c r="AB1576" s="14">
        <f>IFERROR(IF(UPPER($E1576)="L",SUMPRODUCT(N1576:Y1576,$N$3:$Y$3,$N$2:$Y$2),SUMPRODUCT(N1576:Y1576,$N$4:$Y$4,$N$2:$Y$2))/(Z1576/($K1576*$L1576*$M1576)),"")</f>
        <v/>
      </c>
      <c r="AC1576" s="18" t="n"/>
    </row>
    <row r="1577">
      <c r="A1577" s="9" t="n">
        <v>823817</v>
      </c>
      <c r="B1577" s="9" t="inlineStr">
        <is>
          <t>Jake McCutcheon</t>
        </is>
      </c>
      <c r="C1577" s="9" t="inlineStr">
        <is>
          <t>MIA</t>
        </is>
      </c>
      <c r="D1577" s="9" t="n">
        <v>25</v>
      </c>
      <c r="E1577" s="16" t="inlineStr">
        <is>
          <t>L</t>
        </is>
      </c>
      <c r="F1577" s="16" t="n"/>
      <c r="G1577" s="9" t="n">
        <v>14.35897435897436</v>
      </c>
      <c r="H1577" s="9" t="n">
        <v>14.35897435897436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1" t="n">
        <v>1</v>
      </c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/>
      <c r="Y1577" s="17" t="n">
        <v>1</v>
      </c>
      <c r="Z1577" s="13">
        <f>SUMPRODUCT(N1577:Y1577,$N$2:$Y$2)*$K1577*$L1577*$M1577</f>
        <v/>
      </c>
      <c r="AA1577" s="14">
        <f>SUM(N1577:Y1577)</f>
        <v/>
      </c>
      <c r="AB1577" s="14">
        <f>IFERROR(IF(UPPER($E1577)="L",SUMPRODUCT(N1577:Y1577,$N$3:$Y$3,$N$2:$Y$2),SUMPRODUCT(N1577:Y1577,$N$4:$Y$4,$N$2:$Y$2))/(Z1577/($K1577*$L1577*$M1577)),"")</f>
        <v/>
      </c>
      <c r="AC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25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Late Season (~Sept)</t>
        </is>
      </c>
      <c r="K1578" s="11">
        <f>IFERROR(INDEX(Roles!$B$17:$B$20,MATCH(J1578,Roles!$A$17:$A$20,0)),1)</f>
        <v/>
      </c>
      <c r="L1578" s="17" t="n">
        <v>1</v>
      </c>
      <c r="M1578" s="11" t="n">
        <v>1</v>
      </c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/>
      <c r="Y1578" s="17" t="n">
        <v>1</v>
      </c>
      <c r="Z1578" s="13">
        <f>SUMPRODUCT(N1578:Y1578,$N$2:$Y$2)*$K1578*$L1578*$M1578</f>
        <v/>
      </c>
      <c r="AA1578" s="14">
        <f>SUM(N1578:Y1578)</f>
        <v/>
      </c>
      <c r="AB1578" s="14">
        <f>IFERROR(IF(UPPER($E1578)="L",SUMPRODUCT(N1578:Y1578,$N$3:$Y$3,$N$2:$Y$2),SUMPRODUCT(N1578:Y1578,$N$4:$Y$4,$N$2:$Y$2))/(Z1578/($K1578*$L1578*$M1578)),"")</f>
        <v/>
      </c>
      <c r="AC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1" t="n">
        <v>1</v>
      </c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/>
      <c r="Y1579" s="17" t="n">
        <v>1</v>
      </c>
      <c r="Z1579" s="13">
        <f>SUMPRODUCT(N1579:Y1579,$N$2:$Y$2)*$K1579*$L1579*$M1579</f>
        <v/>
      </c>
      <c r="AA1579" s="14">
        <f>SUM(N1579:Y1579)</f>
        <v/>
      </c>
      <c r="AB1579" s="14">
        <f>IFERROR(IF(UPPER($E1579)="L",SUMPRODUCT(N1579:Y1579,$N$3:$Y$3,$N$2:$Y$2),SUMPRODUCT(N1579:Y1579,$N$4:$Y$4,$N$2:$Y$2))/(Z1579/($K1579*$L1579*$M1579)),"")</f>
        <v/>
      </c>
      <c r="AC1579" s="18" t="n"/>
    </row>
    <row r="1580">
      <c r="A1580" s="9" t="n">
        <v>691262</v>
      </c>
      <c r="B1580" s="9" t="inlineStr">
        <is>
          <t>Reginald Preciado</t>
        </is>
      </c>
      <c r="C1580" s="9" t="inlineStr">
        <is>
          <t>CHC</t>
        </is>
      </c>
      <c r="D1580" s="9" t="n">
        <v>25</v>
      </c>
      <c r="E1580" s="16" t="inlineStr">
        <is>
          <t>R</t>
        </is>
      </c>
      <c r="F1580" s="16" t="n"/>
      <c r="G1580" s="9" t="n">
        <v>22.56410256410257</v>
      </c>
      <c r="H1580" s="9" t="n">
        <v>22.56410256410257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1" t="n">
        <v>1</v>
      </c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/>
      <c r="Y1580" s="17" t="n">
        <v>1</v>
      </c>
      <c r="Z1580" s="13">
        <f>SUMPRODUCT(N1580:Y1580,$N$2:$Y$2)*$K1580*$L1580*$M1580</f>
        <v/>
      </c>
      <c r="AA1580" s="14">
        <f>SUM(N1580:Y1580)</f>
        <v/>
      </c>
      <c r="AB1580" s="14">
        <f>IFERROR(IF(UPPER($E1580)="L",SUMPRODUCT(N1580:Y1580,$N$3:$Y$3,$N$2:$Y$2),SUMPRODUCT(N1580:Y1580,$N$4:$Y$4,$N$2:$Y$2))/(Z1580/($K1580*$L1580*$M1580)),"")</f>
        <v/>
      </c>
      <c r="AC1580" s="18" t="n"/>
    </row>
    <row r="1581">
      <c r="A1581" s="9" t="n">
        <v>691942</v>
      </c>
      <c r="B1581" s="9" t="inlineStr">
        <is>
          <t>Jack O'Dowd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75.02564102564102</v>
      </c>
      <c r="H1581" s="9" t="n">
        <v>75.02564102564102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1" t="n">
        <v>1</v>
      </c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/>
      <c r="Y1581" s="17" t="n">
        <v>1</v>
      </c>
      <c r="Z1581" s="13">
        <f>SUMPRODUCT(N1581:Y1581,$N$2:$Y$2)*$K1581*$L1581*$M1581</f>
        <v/>
      </c>
      <c r="AA1581" s="14">
        <f>SUM(N1581:Y1581)</f>
        <v/>
      </c>
      <c r="AB1581" s="14">
        <f>IFERROR(IF(UPPER($E1581)="L",SUMPRODUCT(N1581:Y1581,$N$3:$Y$3,$N$2:$Y$2),SUMPRODUCT(N1581:Y1581,$N$4:$Y$4,$N$2:$Y$2))/(Z1581/($K1581*$L1581*$M1581)),"")</f>
        <v/>
      </c>
      <c r="AC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1" t="n">
        <v>1</v>
      </c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/>
      <c r="Y1582" s="17" t="n">
        <v>1</v>
      </c>
      <c r="Z1582" s="13">
        <f>SUMPRODUCT(N1582:Y1582,$N$2:$Y$2)*$K1582*$L1582*$M1582</f>
        <v/>
      </c>
      <c r="AA1582" s="14">
        <f>SUM(N1582:Y1582)</f>
        <v/>
      </c>
      <c r="AB1582" s="14">
        <f>IFERROR(IF(UPPER($E1582)="L",SUMPRODUCT(N1582:Y1582,$N$3:$Y$3,$N$2:$Y$2),SUMPRODUCT(N1582:Y1582,$N$4:$Y$4,$N$2:$Y$2))/(Z1582/($K1582*$L1582*$M1582)),"")</f>
        <v/>
      </c>
      <c r="AC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1" t="n">
        <v>1</v>
      </c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/>
      <c r="Y1583" s="17" t="n">
        <v>1</v>
      </c>
      <c r="Z1583" s="13">
        <f>SUMPRODUCT(N1583:Y1583,$N$2:$Y$2)*$K1583*$L1583*$M1583</f>
        <v/>
      </c>
      <c r="AA1583" s="14">
        <f>SUM(N1583:Y1583)</f>
        <v/>
      </c>
      <c r="AB1583" s="14">
        <f>IFERROR(IF(UPPER($E1583)="L",SUMPRODUCT(N1583:Y1583,$N$3:$Y$3,$N$2:$Y$2),SUMPRODUCT(N1583:Y1583,$N$4:$Y$4,$N$2:$Y$2))/(Z1583/($K1583*$L1583*$M1583)),"")</f>
        <v/>
      </c>
      <c r="AC1583" s="18" t="n"/>
    </row>
    <row r="1584">
      <c r="A1584" s="9" t="n">
        <v>702486</v>
      </c>
      <c r="B1584" s="9" t="inlineStr">
        <is>
          <t>Jaxson West</t>
        </is>
      </c>
      <c r="C1584" s="9" t="inlineStr">
        <is>
          <t>TOR</t>
        </is>
      </c>
      <c r="D1584" s="9" t="n">
        <v>25</v>
      </c>
      <c r="E1584" s="16" t="inlineStr">
        <is>
          <t>L</t>
        </is>
      </c>
      <c r="F1584" s="16" t="n"/>
      <c r="G1584" s="9" t="n">
        <v>19.28205128205128</v>
      </c>
      <c r="H1584" s="9" t="n">
        <v>19.28205128205128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1" t="n">
        <v>1</v>
      </c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/>
      <c r="Y1584" s="17" t="n">
        <v>1</v>
      </c>
      <c r="Z1584" s="13">
        <f>SUMPRODUCT(N1584:Y1584,$N$2:$Y$2)*$K1584*$L1584*$M1584</f>
        <v/>
      </c>
      <c r="AA1584" s="14">
        <f>SUM(N1584:Y1584)</f>
        <v/>
      </c>
      <c r="AB1584" s="14">
        <f>IFERROR(IF(UPPER($E1584)="L",SUMPRODUCT(N1584:Y1584,$N$3:$Y$3,$N$2:$Y$2),SUMPRODUCT(N1584:Y1584,$N$4:$Y$4,$N$2:$Y$2))/(Z1584/($K1584*$L1584*$M1584)),"")</f>
        <v/>
      </c>
      <c r="AC1584" s="18" t="n"/>
    </row>
    <row r="1585">
      <c r="A1585" s="9" t="n">
        <v>801903</v>
      </c>
      <c r="B1585" s="9" t="inlineStr">
        <is>
          <t>Brock Tibbitts</t>
        </is>
      </c>
      <c r="C1585" s="9" t="inlineStr">
        <is>
          <t>TOR</t>
        </is>
      </c>
      <c r="D1585" s="9" t="n">
        <v>25</v>
      </c>
      <c r="E1585" s="16" t="inlineStr">
        <is>
          <t>R</t>
        </is>
      </c>
      <c r="F1585" s="16" t="n"/>
      <c r="G1585" s="9" t="n">
        <v>14.4</v>
      </c>
      <c r="H1585" s="9" t="n">
        <v>14.4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1" t="n">
        <v>1</v>
      </c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/>
      <c r="Y1585" s="17" t="n">
        <v>1</v>
      </c>
      <c r="Z1585" s="13">
        <f>SUMPRODUCT(N1585:Y1585,$N$2:$Y$2)*$K1585*$L1585*$M1585</f>
        <v/>
      </c>
      <c r="AA1585" s="14">
        <f>SUM(N1585:Y1585)</f>
        <v/>
      </c>
      <c r="AB1585" s="14">
        <f>IFERROR(IF(UPPER($E1585)="L",SUMPRODUCT(N1585:Y1585,$N$3:$Y$3,$N$2:$Y$2),SUMPRODUCT(N1585:Y1585,$N$4:$Y$4,$N$2:$Y$2))/(Z1585/($K1585*$L1585*$M1585)),"")</f>
        <v/>
      </c>
      <c r="AC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inlineStr">
        <is>
          <t>RF</t>
        </is>
      </c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1" t="n">
        <v>1</v>
      </c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/>
      <c r="Y1586" s="17" t="n">
        <v>1</v>
      </c>
      <c r="Z1586" s="13">
        <f>SUMPRODUCT(N1586:Y1586,$N$2:$Y$2)*$K1586*$L1586*$M1586</f>
        <v/>
      </c>
      <c r="AA1586" s="14">
        <f>SUM(N1586:Y1586)</f>
        <v/>
      </c>
      <c r="AB1586" s="14">
        <f>IFERROR(IF(UPPER($E1586)="L",SUMPRODUCT(N1586:Y1586,$N$3:$Y$3,$N$2:$Y$2),SUMPRODUCT(N1586:Y1586,$N$4:$Y$4,$N$2:$Y$2))/(Z1586/($K1586*$L1586*$M1586)),"")</f>
        <v/>
      </c>
      <c r="AC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25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Late Season (~Sept)</t>
        </is>
      </c>
      <c r="K1587" s="11">
        <f>IFERROR(INDEX(Roles!$B$17:$B$20,MATCH(J1587,Roles!$A$17:$A$20,0)),1)</f>
        <v/>
      </c>
      <c r="L1587" s="17" t="n">
        <v>1</v>
      </c>
      <c r="M1587" s="11" t="n">
        <v>1</v>
      </c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/>
      <c r="Y1587" s="17" t="n">
        <v>1</v>
      </c>
      <c r="Z1587" s="13">
        <f>SUMPRODUCT(N1587:Y1587,$N$2:$Y$2)*$K1587*$L1587*$M1587</f>
        <v/>
      </c>
      <c r="AA1587" s="14">
        <f>SUM(N1587:Y1587)</f>
        <v/>
      </c>
      <c r="AB1587" s="14">
        <f>IFERROR(IF(UPPER($E1587)="L",SUMPRODUCT(N1587:Y1587,$N$3:$Y$3,$N$2:$Y$2),SUMPRODUCT(N1587:Y1587,$N$4:$Y$4,$N$2:$Y$2))/(Z1587/($K1587*$L1587*$M1587)),"")</f>
        <v/>
      </c>
      <c r="AC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1" t="n">
        <v>1</v>
      </c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/>
      <c r="Y1588" s="17" t="n">
        <v>1</v>
      </c>
      <c r="Z1588" s="13">
        <f>SUMPRODUCT(N1588:Y1588,$N$2:$Y$2)*$K1588*$L1588*$M1588</f>
        <v/>
      </c>
      <c r="AA1588" s="14">
        <f>SUM(N1588:Y1588)</f>
        <v/>
      </c>
      <c r="AB1588" s="14">
        <f>IFERROR(IF(UPPER($E1588)="L",SUMPRODUCT(N1588:Y1588,$N$3:$Y$3,$N$2:$Y$2),SUMPRODUCT(N1588:Y1588,$N$4:$Y$4,$N$2:$Y$2))/(Z1588/($K1588*$L1588*$M1588)),"")</f>
        <v/>
      </c>
      <c r="AC1588" s="18" t="n"/>
    </row>
    <row r="1589">
      <c r="A1589" s="9" t="n">
        <v>802398</v>
      </c>
      <c r="B1589" s="9" t="inlineStr">
        <is>
          <t>Sebastian Baquera</t>
        </is>
      </c>
      <c r="C1589" s="9" t="inlineStr">
        <is>
          <t>TEX</t>
        </is>
      </c>
      <c r="D1589" s="9" t="n">
        <v>25</v>
      </c>
      <c r="E1589" s="16" t="inlineStr">
        <is>
          <t>R</t>
        </is>
      </c>
      <c r="F1589" s="16" t="n"/>
      <c r="G1589" s="9" t="n">
        <v>19.07692307692308</v>
      </c>
      <c r="H1589" s="9" t="n">
        <v>19.07692307692308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1" t="n">
        <v>1</v>
      </c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/>
      <c r="Y1589" s="17" t="n">
        <v>1</v>
      </c>
      <c r="Z1589" s="13">
        <f>SUMPRODUCT(N1589:Y1589,$N$2:$Y$2)*$K1589*$L1589*$M1589</f>
        <v/>
      </c>
      <c r="AA1589" s="14">
        <f>SUM(N1589:Y1589)</f>
        <v/>
      </c>
      <c r="AB1589" s="14">
        <f>IFERROR(IF(UPPER($E1589)="L",SUMPRODUCT(N1589:Y1589,$N$3:$Y$3,$N$2:$Y$2),SUMPRODUCT(N1589:Y1589,$N$4:$Y$4,$N$2:$Y$2))/(Z1589/($K1589*$L1589*$M1589)),"")</f>
        <v/>
      </c>
      <c r="AC1589" s="18" t="n"/>
    </row>
    <row r="1590">
      <c r="A1590" s="9" t="n">
        <v>806016</v>
      </c>
      <c r="B1590" s="9" t="inlineStr">
        <is>
          <t>Aaron Graeber</t>
        </is>
      </c>
      <c r="C1590" s="9" t="inlineStr">
        <is>
          <t>LAA</t>
        </is>
      </c>
      <c r="D1590" s="9" t="n">
        <v>25</v>
      </c>
      <c r="E1590" s="16" t="inlineStr">
        <is>
          <t>L</t>
        </is>
      </c>
      <c r="F1590" s="16" t="n"/>
      <c r="G1590" s="9" t="n">
        <v>30.97435897435897</v>
      </c>
      <c r="H1590" s="9" t="n">
        <v>30.97435897435897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1" t="n">
        <v>1</v>
      </c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/>
      <c r="Y1590" s="17" t="n">
        <v>1</v>
      </c>
      <c r="Z1590" s="13">
        <f>SUMPRODUCT(N1590:Y1590,$N$2:$Y$2)*$K1590*$L1590*$M1590</f>
        <v/>
      </c>
      <c r="AA1590" s="14">
        <f>SUM(N1590:Y1590)</f>
        <v/>
      </c>
      <c r="AB1590" s="14">
        <f>IFERROR(IF(UPPER($E1590)="L",SUMPRODUCT(N1590:Y1590,$N$3:$Y$3,$N$2:$Y$2),SUMPRODUCT(N1590:Y1590,$N$4:$Y$4,$N$2:$Y$2))/(Z1590/($K1590*$L1590*$M1590)),"")</f>
        <v/>
      </c>
      <c r="AC1590" s="18" t="n"/>
    </row>
    <row r="1591">
      <c r="A1591" s="9" t="n">
        <v>802407</v>
      </c>
      <c r="B1591" s="9" t="inlineStr">
        <is>
          <t>Joe Lampe</t>
        </is>
      </c>
      <c r="C1591" s="9" t="inlineStr">
        <is>
          <t>CLE</t>
        </is>
      </c>
      <c r="D1591" s="9" t="n">
        <v>25</v>
      </c>
      <c r="E1591" s="16" t="inlineStr">
        <is>
          <t>L</t>
        </is>
      </c>
      <c r="F1591" s="16" t="n"/>
      <c r="G1591" s="9" t="n">
        <v>31.58974358974359</v>
      </c>
      <c r="H1591" s="9" t="n">
        <v>31.58974358974359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1" t="n">
        <v>1</v>
      </c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/>
      <c r="Y1591" s="17" t="n">
        <v>1</v>
      </c>
      <c r="Z1591" s="13">
        <f>SUMPRODUCT(N1591:Y1591,$N$2:$Y$2)*$K1591*$L1591*$M1591</f>
        <v/>
      </c>
      <c r="AA1591" s="14">
        <f>SUM(N1591:Y1591)</f>
        <v/>
      </c>
      <c r="AB1591" s="14">
        <f>IFERROR(IF(UPPER($E1591)="L",SUMPRODUCT(N1591:Y1591,$N$3:$Y$3,$N$2:$Y$2),SUMPRODUCT(N1591:Y1591,$N$4:$Y$4,$N$2:$Y$2))/(Z1591/($K1591*$L1591*$M1591)),"")</f>
        <v/>
      </c>
      <c r="AC1591" s="18" t="n"/>
    </row>
    <row r="1592">
      <c r="A1592" s="9" t="n">
        <v>660688</v>
      </c>
      <c r="B1592" s="9" t="inlineStr">
        <is>
          <t>Keibert Ruiz</t>
        </is>
      </c>
      <c r="C1592" s="9" t="inlineStr">
        <is>
          <t>WSH</t>
        </is>
      </c>
      <c r="D1592" s="9" t="n">
        <v>28</v>
      </c>
      <c r="E1592" s="16" t="inlineStr">
        <is>
          <t>S</t>
        </is>
      </c>
      <c r="F1592" s="16" t="inlineStr">
        <is>
          <t>C</t>
        </is>
      </c>
      <c r="G1592" s="9" t="n">
        <v>354</v>
      </c>
      <c r="H1592" s="9" t="n">
        <v>2101</v>
      </c>
      <c r="I1592" s="9" t="inlineStr">
        <is>
          <t>Strong Side Platoon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1" t="n">
        <v>0.8957202905268605</v>
      </c>
      <c r="N1592" s="17" t="n"/>
      <c r="O1592" s="17" t="n"/>
      <c r="P1592" s="17" t="n">
        <v>0.6</v>
      </c>
      <c r="Q1592" s="17" t="n"/>
      <c r="R1592" s="17" t="n">
        <v>0.4</v>
      </c>
      <c r="S1592" s="17" t="n"/>
      <c r="T1592" s="17" t="n"/>
      <c r="U1592" s="17" t="n"/>
      <c r="V1592" s="17" t="n"/>
      <c r="W1592" s="17" t="n"/>
      <c r="X1592" s="17" t="n"/>
      <c r="Y1592" s="17" t="n"/>
      <c r="Z1592" s="13">
        <f>SUMPRODUCT(N1592:Y1592,$N$2:$Y$2)*$K1592*$L1592*$M1592</f>
        <v/>
      </c>
      <c r="AA1592" s="14">
        <f>SUM(N1592:Y1592)</f>
        <v/>
      </c>
      <c r="AB1592" s="14">
        <f>IFERROR(IF(UPPER($E1592)="L",SUMPRODUCT(N1592:Y1592,$N$3:$Y$3,$N$2:$Y$2),SUMPRODUCT(N1592:Y1592,$N$4:$Y$4,$N$2:$Y$2))/(Z1592/($K1592*$L1592*$M1592)),"")</f>
        <v/>
      </c>
      <c r="AC1592" s="18" t="n"/>
    </row>
    <row r="1593">
      <c r="A1593" s="9" t="n">
        <v>702600</v>
      </c>
      <c r="B1593" s="9" t="inlineStr">
        <is>
          <t>Matt Klein</t>
        </is>
      </c>
      <c r="C1593" s="9" t="inlineStr">
        <is>
          <t>COL</t>
        </is>
      </c>
      <c r="D1593" s="9" t="n">
        <v>25</v>
      </c>
      <c r="E1593" s="16" t="inlineStr">
        <is>
          <t>L</t>
        </is>
      </c>
      <c r="F1593" s="16" t="n"/>
      <c r="G1593" s="9" t="n">
        <v>23.26153846153846</v>
      </c>
      <c r="H1593" s="9" t="n">
        <v>23.26153846153846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1" t="n">
        <v>1</v>
      </c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/>
      <c r="Y1593" s="17" t="n">
        <v>1</v>
      </c>
      <c r="Z1593" s="13">
        <f>SUMPRODUCT(N1593:Y1593,$N$2:$Y$2)*$K1593*$L1593*$M1593</f>
        <v/>
      </c>
      <c r="AA1593" s="14">
        <f>SUM(N1593:Y1593)</f>
        <v/>
      </c>
      <c r="AB1593" s="14">
        <f>IFERROR(IF(UPPER($E1593)="L",SUMPRODUCT(N1593:Y1593,$N$3:$Y$3,$N$2:$Y$2),SUMPRODUCT(N1593:Y1593,$N$4:$Y$4,$N$2:$Y$2))/(Z1593/($K1593*$L1593*$M1593)),"")</f>
        <v/>
      </c>
      <c r="AC1593" s="18" t="n"/>
    </row>
    <row r="1594">
      <c r="A1594" s="9" t="n">
        <v>682997</v>
      </c>
      <c r="B1594" s="9" t="inlineStr">
        <is>
          <t>Tyler Callihan</t>
        </is>
      </c>
      <c r="C1594" s="9" t="inlineStr">
        <is>
          <t>PIT</t>
        </is>
      </c>
      <c r="D1594" s="9" t="n">
        <v>27</v>
      </c>
      <c r="E1594" s="16" t="inlineStr">
        <is>
          <t>L</t>
        </is>
      </c>
      <c r="F1594" s="16" t="inlineStr">
        <is>
          <t>RF</t>
        </is>
      </c>
      <c r="G1594" s="9" t="n">
        <v>107</v>
      </c>
      <c r="H1594" s="9" t="n">
        <v>113</v>
      </c>
      <c r="I1594" s="9" t="inlineStr">
        <is>
          <t>Bench Bat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1" t="n">
        <v>1</v>
      </c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/>
      <c r="W1594" s="17" t="n">
        <v>1</v>
      </c>
      <c r="X1594" s="17" t="n"/>
      <c r="Y1594" s="17" t="n"/>
      <c r="Z1594" s="13">
        <f>SUMPRODUCT(N1594:Y1594,$N$2:$Y$2)*$K1594*$L1594*$M1594</f>
        <v/>
      </c>
      <c r="AA1594" s="14">
        <f>SUM(N1594:Y1594)</f>
        <v/>
      </c>
      <c r="AB1594" s="14">
        <f>IFERROR(IF(UPPER($E1594)="L",SUMPRODUCT(N1594:Y1594,$N$3:$Y$3,$N$2:$Y$2),SUMPRODUCT(N1594:Y1594,$N$4:$Y$4,$N$2:$Y$2))/(Z1594/($K1594*$L1594*$M1594)),"")</f>
        <v/>
      </c>
      <c r="AC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1" t="n">
        <v>1</v>
      </c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/>
      <c r="Y1595" s="17" t="n">
        <v>1</v>
      </c>
      <c r="Z1595" s="13">
        <f>SUMPRODUCT(N1595:Y1595,$N$2:$Y$2)*$K1595*$L1595*$M1595</f>
        <v/>
      </c>
      <c r="AA1595" s="14">
        <f>SUM(N1595:Y1595)</f>
        <v/>
      </c>
      <c r="AB1595" s="14">
        <f>IFERROR(IF(UPPER($E1595)="L",SUMPRODUCT(N1595:Y1595,$N$3:$Y$3,$N$2:$Y$2),SUMPRODUCT(N1595:Y1595,$N$4:$Y$4,$N$2:$Y$2))/(Z1595/($K1595*$L1595*$M1595)),"")</f>
        <v/>
      </c>
      <c r="AC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1" t="n">
        <v>1</v>
      </c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/>
      <c r="Y1596" s="17" t="n">
        <v>1</v>
      </c>
      <c r="Z1596" s="13">
        <f>SUMPRODUCT(N1596:Y1596,$N$2:$Y$2)*$K1596*$L1596*$M1596</f>
        <v/>
      </c>
      <c r="AA1596" s="14">
        <f>SUM(N1596:Y1596)</f>
        <v/>
      </c>
      <c r="AB1596" s="14">
        <f>IFERROR(IF(UPPER($E1596)="L",SUMPRODUCT(N1596:Y1596,$N$3:$Y$3,$N$2:$Y$2),SUMPRODUCT(N1596:Y1596,$N$4:$Y$4,$N$2:$Y$2))/(Z1596/($K1596*$L1596*$M1596)),"")</f>
        <v/>
      </c>
      <c r="AC1596" s="18" t="n"/>
    </row>
    <row r="1597">
      <c r="A1597" s="9" t="n">
        <v>685087</v>
      </c>
      <c r="B1597" s="9" t="inlineStr">
        <is>
          <t>Jordan Nwogu</t>
        </is>
      </c>
      <c r="C1597" s="9" t="inlineStr">
        <is>
          <t>CHC</t>
        </is>
      </c>
      <c r="D1597" s="9" t="n">
        <v>25</v>
      </c>
      <c r="E1597" s="16" t="inlineStr">
        <is>
          <t>R</t>
        </is>
      </c>
      <c r="F1597" s="16" t="n"/>
      <c r="G1597" s="9" t="n">
        <v>63.17948717948719</v>
      </c>
      <c r="H1597" s="9" t="n">
        <v>63.17948717948719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1" t="n">
        <v>1</v>
      </c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/>
      <c r="Y1597" s="17" t="n">
        <v>1</v>
      </c>
      <c r="Z1597" s="13">
        <f>SUMPRODUCT(N1597:Y1597,$N$2:$Y$2)*$K1597*$L1597*$M1597</f>
        <v/>
      </c>
      <c r="AA1597" s="14">
        <f>SUM(N1597:Y1597)</f>
        <v/>
      </c>
      <c r="AB1597" s="14">
        <f>IFERROR(IF(UPPER($E1597)="L",SUMPRODUCT(N1597:Y1597,$N$3:$Y$3,$N$2:$Y$2),SUMPRODUCT(N1597:Y1597,$N$4:$Y$4,$N$2:$Y$2))/(Z1597/($K1597*$L1597*$M1597)),"")</f>
        <v/>
      </c>
      <c r="AC1597" s="18" t="n"/>
    </row>
    <row r="1598">
      <c r="A1598" s="9" t="n">
        <v>682192</v>
      </c>
      <c r="B1598" s="9" t="inlineStr">
        <is>
          <t>Paul McIntosh</t>
        </is>
      </c>
      <c r="C1598" s="9" t="inlineStr">
        <is>
          <t>PHI</t>
        </is>
      </c>
      <c r="D1598" s="9" t="n">
        <v>25</v>
      </c>
      <c r="E1598" s="16" t="inlineStr">
        <is>
          <t>R</t>
        </is>
      </c>
      <c r="F1598" s="16" t="n"/>
      <c r="G1598" s="9" t="n">
        <v>159.6410256410257</v>
      </c>
      <c r="H1598" s="9" t="n">
        <v>159.6410256410257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1" t="n">
        <v>1</v>
      </c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/>
      <c r="Y1598" s="17" t="n">
        <v>1</v>
      </c>
      <c r="Z1598" s="13">
        <f>SUMPRODUCT(N1598:Y1598,$N$2:$Y$2)*$K1598*$L1598*$M1598</f>
        <v/>
      </c>
      <c r="AA1598" s="14">
        <f>SUM(N1598:Y1598)</f>
        <v/>
      </c>
      <c r="AB1598" s="14">
        <f>IFERROR(IF(UPPER($E1598)="L",SUMPRODUCT(N1598:Y1598,$N$3:$Y$3,$N$2:$Y$2),SUMPRODUCT(N1598:Y1598,$N$4:$Y$4,$N$2:$Y$2))/(Z1598/($K1598*$L1598*$M1598)),"")</f>
        <v/>
      </c>
      <c r="AC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1" t="n">
        <v>1</v>
      </c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/>
      <c r="Y1599" s="17" t="n">
        <v>1</v>
      </c>
      <c r="Z1599" s="13">
        <f>SUMPRODUCT(N1599:Y1599,$N$2:$Y$2)*$K1599*$L1599*$M1599</f>
        <v/>
      </c>
      <c r="AA1599" s="14">
        <f>SUM(N1599:Y1599)</f>
        <v/>
      </c>
      <c r="AB1599" s="14">
        <f>IFERROR(IF(UPPER($E1599)="L",SUMPRODUCT(N1599:Y1599,$N$3:$Y$3,$N$2:$Y$2),SUMPRODUCT(N1599:Y1599,$N$4:$Y$4,$N$2:$Y$2))/(Z1599/($K1599*$L1599*$M1599)),"")</f>
        <v/>
      </c>
      <c r="AC1599" s="18" t="n"/>
    </row>
    <row r="1600">
      <c r="A1600" s="9" t="n">
        <v>822877</v>
      </c>
      <c r="B1600" s="9" t="inlineStr">
        <is>
          <t>Luke Cantwell</t>
        </is>
      </c>
      <c r="C1600" s="9" t="inlineStr">
        <is>
          <t>SD</t>
        </is>
      </c>
      <c r="D1600" s="9" t="n">
        <v>25</v>
      </c>
      <c r="E1600" s="16" t="inlineStr">
        <is>
          <t>L</t>
        </is>
      </c>
      <c r="F1600" s="16" t="n"/>
      <c r="G1600" s="9" t="n">
        <v>31.58974358974359</v>
      </c>
      <c r="H1600" s="9" t="n">
        <v>31.58974358974359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1" t="n">
        <v>1</v>
      </c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/>
      <c r="Y1600" s="17" t="n">
        <v>1</v>
      </c>
      <c r="Z1600" s="13">
        <f>SUMPRODUCT(N1600:Y1600,$N$2:$Y$2)*$K1600*$L1600*$M1600</f>
        <v/>
      </c>
      <c r="AA1600" s="14">
        <f>SUM(N1600:Y1600)</f>
        <v/>
      </c>
      <c r="AB1600" s="14">
        <f>IFERROR(IF(UPPER($E1600)="L",SUMPRODUCT(N1600:Y1600,$N$3:$Y$3,$N$2:$Y$2),SUMPRODUCT(N1600:Y1600,$N$4:$Y$4,$N$2:$Y$2))/(Z1600/($K1600*$L1600*$M1600)),"")</f>
        <v/>
      </c>
      <c r="AC1600" s="18" t="n"/>
    </row>
    <row r="1601">
      <c r="A1601" s="9" t="n">
        <v>696020</v>
      </c>
      <c r="B1601" s="9" t="inlineStr">
        <is>
          <t>Raudelis Martinez</t>
        </is>
      </c>
      <c r="C1601" s="9" t="inlineStr">
        <is>
          <t>BOS</t>
        </is>
      </c>
      <c r="D1601" s="9" t="n">
        <v>25</v>
      </c>
      <c r="E1601" s="16" t="inlineStr">
        <is>
          <t>L</t>
        </is>
      </c>
      <c r="F1601" s="16" t="n"/>
      <c r="G1601" s="9" t="n">
        <v>24.05128205128205</v>
      </c>
      <c r="H1601" s="9" t="n">
        <v>24.05128205128205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1" t="n">
        <v>1</v>
      </c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/>
      <c r="Y1601" s="17" t="n">
        <v>1</v>
      </c>
      <c r="Z1601" s="13">
        <f>SUMPRODUCT(N1601:Y1601,$N$2:$Y$2)*$K1601*$L1601*$M1601</f>
        <v/>
      </c>
      <c r="AA1601" s="14">
        <f>SUM(N1601:Y1601)</f>
        <v/>
      </c>
      <c r="AB1601" s="14">
        <f>IFERROR(IF(UPPER($E1601)="L",SUMPRODUCT(N1601:Y1601,$N$3:$Y$3,$N$2:$Y$2),SUMPRODUCT(N1601:Y1601,$N$4:$Y$4,$N$2:$Y$2))/(Z1601/($K1601*$L1601*$M1601)),"")</f>
        <v/>
      </c>
      <c r="AC1601" s="18" t="n"/>
    </row>
    <row r="1602">
      <c r="A1602" s="9" t="n">
        <v>825484</v>
      </c>
      <c r="B1602" s="9" t="inlineStr">
        <is>
          <t>Alexander Frias</t>
        </is>
      </c>
      <c r="C1602" s="9" t="inlineStr">
        <is>
          <t>STL</t>
        </is>
      </c>
      <c r="D1602" s="9" t="n">
        <v>25</v>
      </c>
      <c r="E1602" s="16" t="inlineStr">
        <is>
          <t>L</t>
        </is>
      </c>
      <c r="F1602" s="16" t="n"/>
      <c r="G1602" s="9" t="n">
        <v>28.30769230769231</v>
      </c>
      <c r="H1602" s="9" t="n">
        <v>28.30769230769231</v>
      </c>
      <c r="I1602" s="9" t="inlineStr">
        <is>
          <t>Depth (no MLB PA)</t>
        </is>
      </c>
      <c r="J1602" s="16" t="inlineStr">
        <is>
          <t>Late Season (~Sept)</t>
        </is>
      </c>
      <c r="K1602" s="11">
        <f>IFERROR(INDEX(Roles!$B$17:$B$20,MATCH(J1602,Roles!$A$17:$A$20,0)),1)</f>
        <v/>
      </c>
      <c r="L1602" s="17" t="n">
        <v>1</v>
      </c>
      <c r="M1602" s="11" t="n">
        <v>1</v>
      </c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/>
      <c r="Y1602" s="17" t="n">
        <v>1</v>
      </c>
      <c r="Z1602" s="13">
        <f>SUMPRODUCT(N1602:Y1602,$N$2:$Y$2)*$K1602*$L1602*$M1602</f>
        <v/>
      </c>
      <c r="AA1602" s="14">
        <f>SUM(N1602:Y1602)</f>
        <v/>
      </c>
      <c r="AB1602" s="14">
        <f>IFERROR(IF(UPPER($E1602)="L",SUMPRODUCT(N1602:Y1602,$N$3:$Y$3,$N$2:$Y$2),SUMPRODUCT(N1602:Y1602,$N$4:$Y$4,$N$2:$Y$2))/(Z1602/($K1602*$L1602*$M1602)),"")</f>
        <v/>
      </c>
      <c r="AC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1" t="n">
        <v>1</v>
      </c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/>
      <c r="Y1603" s="17" t="n">
        <v>1</v>
      </c>
      <c r="Z1603" s="13">
        <f>SUMPRODUCT(N1603:Y1603,$N$2:$Y$2)*$K1603*$L1603*$M1603</f>
        <v/>
      </c>
      <c r="AA1603" s="14">
        <f>SUM(N1603:Y1603)</f>
        <v/>
      </c>
      <c r="AB1603" s="14">
        <f>IFERROR(IF(UPPER($E1603)="L",SUMPRODUCT(N1603:Y1603,$N$3:$Y$3,$N$2:$Y$2),SUMPRODUCT(N1603:Y1603,$N$4:$Y$4,$N$2:$Y$2))/(Z1603/($K1603*$L1603*$M1603)),"")</f>
        <v/>
      </c>
      <c r="AC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1" t="n">
        <v>1</v>
      </c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/>
      <c r="Y1604" s="17" t="n">
        <v>1</v>
      </c>
      <c r="Z1604" s="13">
        <f>SUMPRODUCT(N1604:Y1604,$N$2:$Y$2)*$K1604*$L1604*$M1604</f>
        <v/>
      </c>
      <c r="AA1604" s="14">
        <f>SUM(N1604:Y1604)</f>
        <v/>
      </c>
      <c r="AB1604" s="14">
        <f>IFERROR(IF(UPPER($E1604)="L",SUMPRODUCT(N1604:Y1604,$N$3:$Y$3,$N$2:$Y$2),SUMPRODUCT(N1604:Y1604,$N$4:$Y$4,$N$2:$Y$2))/(Z1604/($K1604*$L1604*$M1604)),"")</f>
        <v/>
      </c>
      <c r="AC1604" s="18" t="n"/>
    </row>
    <row r="1605">
      <c r="A1605" s="9" t="n">
        <v>656308</v>
      </c>
      <c r="B1605" s="9" t="inlineStr">
        <is>
          <t>Michael Chavis</t>
        </is>
      </c>
      <c r="C1605" s="9" t="inlineStr">
        <is>
          <t>WSH</t>
        </is>
      </c>
      <c r="D1605" s="9" t="n">
        <v>31</v>
      </c>
      <c r="E1605" s="16" t="inlineStr">
        <is>
          <t>R</t>
        </is>
      </c>
      <c r="F1605" s="16" t="inlineStr">
        <is>
          <t>2B</t>
        </is>
      </c>
      <c r="G1605" s="9" t="n">
        <v>96</v>
      </c>
      <c r="H1605" s="9" t="n">
        <v>522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1" t="n">
        <v>1</v>
      </c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/>
      <c r="Y1605" s="17" t="n">
        <v>1</v>
      </c>
      <c r="Z1605" s="13">
        <f>SUMPRODUCT(N1605:Y1605,$N$2:$Y$2)*$K1605*$L1605*$M1605</f>
        <v/>
      </c>
      <c r="AA1605" s="14">
        <f>SUM(N1605:Y1605)</f>
        <v/>
      </c>
      <c r="AB1605" s="14">
        <f>IFERROR(IF(UPPER($E1605)="L",SUMPRODUCT(N1605:Y1605,$N$3:$Y$3,$N$2:$Y$2),SUMPRODUCT(N1605:Y1605,$N$4:$Y$4,$N$2:$Y$2))/(Z1605/($K1605*$L1605*$M1605)),"")</f>
        <v/>
      </c>
      <c r="AC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25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Late Season (~Sept)</t>
        </is>
      </c>
      <c r="K1606" s="11">
        <f>IFERROR(INDEX(Roles!$B$17:$B$20,MATCH(J1606,Roles!$A$17:$A$20,0)),1)</f>
        <v/>
      </c>
      <c r="L1606" s="17" t="n">
        <v>1</v>
      </c>
      <c r="M1606" s="11" t="n">
        <v>1</v>
      </c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/>
      <c r="Y1606" s="17" t="n">
        <v>1</v>
      </c>
      <c r="Z1606" s="13">
        <f>SUMPRODUCT(N1606:Y1606,$N$2:$Y$2)*$K1606*$L1606*$M1606</f>
        <v/>
      </c>
      <c r="AA1606" s="14">
        <f>SUM(N1606:Y1606)</f>
        <v/>
      </c>
      <c r="AB1606" s="14">
        <f>IFERROR(IF(UPPER($E1606)="L",SUMPRODUCT(N1606:Y1606,$N$3:$Y$3,$N$2:$Y$2),SUMPRODUCT(N1606:Y1606,$N$4:$Y$4,$N$2:$Y$2))/(Z1606/($K1606*$L1606*$M1606)),"")</f>
        <v/>
      </c>
      <c r="AC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1" t="n">
        <v>1</v>
      </c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/>
      <c r="Y1607" s="17" t="n">
        <v>1</v>
      </c>
      <c r="Z1607" s="13">
        <f>SUMPRODUCT(N1607:Y1607,$N$2:$Y$2)*$K1607*$L1607*$M1607</f>
        <v/>
      </c>
      <c r="AA1607" s="14">
        <f>SUM(N1607:Y1607)</f>
        <v/>
      </c>
      <c r="AB1607" s="14">
        <f>IFERROR(IF(UPPER($E1607)="L",SUMPRODUCT(N1607:Y1607,$N$3:$Y$3,$N$2:$Y$2),SUMPRODUCT(N1607:Y1607,$N$4:$Y$4,$N$2:$Y$2))/(Z1607/($K1607*$L1607*$M1607)),"")</f>
        <v/>
      </c>
      <c r="AC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1" t="n">
        <v>1</v>
      </c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/>
      <c r="Y1608" s="17" t="n">
        <v>1</v>
      </c>
      <c r="Z1608" s="13">
        <f>SUMPRODUCT(N1608:Y1608,$N$2:$Y$2)*$K1608*$L1608*$M1608</f>
        <v/>
      </c>
      <c r="AA1608" s="14">
        <f>SUM(N1608:Y1608)</f>
        <v/>
      </c>
      <c r="AB1608" s="14">
        <f>IFERROR(IF(UPPER($E1608)="L",SUMPRODUCT(N1608:Y1608,$N$3:$Y$3,$N$2:$Y$2),SUMPRODUCT(N1608:Y1608,$N$4:$Y$4,$N$2:$Y$2))/(Z1608/($K1608*$L1608*$M1608)),"")</f>
        <v/>
      </c>
      <c r="AC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1" t="n">
        <v>1</v>
      </c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/>
      <c r="Y1609" s="17" t="n">
        <v>1</v>
      </c>
      <c r="Z1609" s="13">
        <f>SUMPRODUCT(N1609:Y1609,$N$2:$Y$2)*$K1609*$L1609*$M1609</f>
        <v/>
      </c>
      <c r="AA1609" s="14">
        <f>SUM(N1609:Y1609)</f>
        <v/>
      </c>
      <c r="AB1609" s="14">
        <f>IFERROR(IF(UPPER($E1609)="L",SUMPRODUCT(N1609:Y1609,$N$3:$Y$3,$N$2:$Y$2),SUMPRODUCT(N1609:Y1609,$N$4:$Y$4,$N$2:$Y$2))/(Z1609/($K1609*$L1609*$M1609)),"")</f>
        <v/>
      </c>
      <c r="AC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1" t="n">
        <v>1</v>
      </c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/>
      <c r="Y1610" s="17" t="n">
        <v>1</v>
      </c>
      <c r="Z1610" s="13">
        <f>SUMPRODUCT(N1610:Y1610,$N$2:$Y$2)*$K1610*$L1610*$M1610</f>
        <v/>
      </c>
      <c r="AA1610" s="14">
        <f>SUM(N1610:Y1610)</f>
        <v/>
      </c>
      <c r="AB1610" s="14">
        <f>IFERROR(IF(UPPER($E1610)="L",SUMPRODUCT(N1610:Y1610,$N$3:$Y$3,$N$2:$Y$2),SUMPRODUCT(N1610:Y1610,$N$4:$Y$4,$N$2:$Y$2))/(Z1610/($K1610*$L1610*$M1610)),"")</f>
        <v/>
      </c>
      <c r="AC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1" t="n">
        <v>1</v>
      </c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/>
      <c r="Y1611" s="17" t="n">
        <v>1</v>
      </c>
      <c r="Z1611" s="13">
        <f>SUMPRODUCT(N1611:Y1611,$N$2:$Y$2)*$K1611*$L1611*$M1611</f>
        <v/>
      </c>
      <c r="AA1611" s="14">
        <f>SUM(N1611:Y1611)</f>
        <v/>
      </c>
      <c r="AB1611" s="14">
        <f>IFERROR(IF(UPPER($E1611)="L",SUMPRODUCT(N1611:Y1611,$N$3:$Y$3,$N$2:$Y$2),SUMPRODUCT(N1611:Y1611,$N$4:$Y$4,$N$2:$Y$2))/(Z1611/($K1611*$L1611*$M1611)),"")</f>
        <v/>
      </c>
      <c r="AC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1" t="n">
        <v>1</v>
      </c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/>
      <c r="Y1612" s="17" t="n">
        <v>1</v>
      </c>
      <c r="Z1612" s="13">
        <f>SUMPRODUCT(N1612:Y1612,$N$2:$Y$2)*$K1612*$L1612*$M1612</f>
        <v/>
      </c>
      <c r="AA1612" s="14">
        <f>SUM(N1612:Y1612)</f>
        <v/>
      </c>
      <c r="AB1612" s="14">
        <f>IFERROR(IF(UPPER($E1612)="L",SUMPRODUCT(N1612:Y1612,$N$3:$Y$3,$N$2:$Y$2),SUMPRODUCT(N1612:Y1612,$N$4:$Y$4,$N$2:$Y$2))/(Z1612/($K1612*$L1612*$M1612)),"")</f>
        <v/>
      </c>
      <c r="AC1612" s="18" t="n"/>
    </row>
    <row r="1613">
      <c r="A1613" s="9" t="n">
        <v>827504</v>
      </c>
      <c r="B1613" s="9" t="inlineStr">
        <is>
          <t>Hector Salas</t>
        </is>
      </c>
      <c r="C1613" s="9" t="inlineStr">
        <is>
          <t>HOU</t>
        </is>
      </c>
      <c r="D1613" s="9" t="n">
        <v>25</v>
      </c>
      <c r="E1613" s="16" t="inlineStr">
        <is>
          <t>L</t>
        </is>
      </c>
      <c r="F1613" s="16" t="n"/>
      <c r="G1613" s="9" t="n">
        <v>24.05128205128205</v>
      </c>
      <c r="H1613" s="9" t="n">
        <v>24.05128205128205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1" t="n">
        <v>1</v>
      </c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/>
      <c r="Y1613" s="17" t="n">
        <v>1</v>
      </c>
      <c r="Z1613" s="13">
        <f>SUMPRODUCT(N1613:Y1613,$N$2:$Y$2)*$K1613*$L1613*$M1613</f>
        <v/>
      </c>
      <c r="AA1613" s="14">
        <f>SUM(N1613:Y1613)</f>
        <v/>
      </c>
      <c r="AB1613" s="14">
        <f>IFERROR(IF(UPPER($E1613)="L",SUMPRODUCT(N1613:Y1613,$N$3:$Y$3,$N$2:$Y$2),SUMPRODUCT(N1613:Y1613,$N$4:$Y$4,$N$2:$Y$2))/(Z1613/($K1613*$L1613*$M1613)),"")</f>
        <v/>
      </c>
      <c r="AC1613" s="18" t="n"/>
    </row>
    <row r="1614">
      <c r="A1614" s="9" t="n">
        <v>808082</v>
      </c>
      <c r="B1614" s="9" t="inlineStr">
        <is>
          <t>Vladi Gomez</t>
        </is>
      </c>
      <c r="C1614" s="9" t="inlineStr">
        <is>
          <t>NYM</t>
        </is>
      </c>
      <c r="D1614" s="9" t="n">
        <v>25</v>
      </c>
      <c r="E1614" s="16" t="inlineStr">
        <is>
          <t>L</t>
        </is>
      </c>
      <c r="F1614" s="16" t="n"/>
      <c r="G1614" s="9" t="n">
        <v>15.26153846153846</v>
      </c>
      <c r="H1614" s="9" t="n">
        <v>15.26153846153846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1" t="n">
        <v>1</v>
      </c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/>
      <c r="Y1614" s="17" t="n">
        <v>1</v>
      </c>
      <c r="Z1614" s="13">
        <f>SUMPRODUCT(N1614:Y1614,$N$2:$Y$2)*$K1614*$L1614*$M1614</f>
        <v/>
      </c>
      <c r="AA1614" s="14">
        <f>SUM(N1614:Y1614)</f>
        <v/>
      </c>
      <c r="AB1614" s="14">
        <f>IFERROR(IF(UPPER($E1614)="L",SUMPRODUCT(N1614:Y1614,$N$3:$Y$3,$N$2:$Y$2),SUMPRODUCT(N1614:Y1614,$N$4:$Y$4,$N$2:$Y$2))/(Z1614/($K1614*$L1614*$M1614)),"")</f>
        <v/>
      </c>
      <c r="AC1614" s="18" t="n"/>
    </row>
    <row r="1615">
      <c r="A1615" s="9" t="n">
        <v>664247</v>
      </c>
      <c r="B1615" s="9" t="inlineStr">
        <is>
          <t>Kyle Garlick</t>
        </is>
      </c>
      <c r="C1615" s="9" t="inlineStr">
        <is>
          <t>MIN</t>
        </is>
      </c>
      <c r="D1615" s="9" t="n">
        <v>35</v>
      </c>
      <c r="E1615" s="16" t="inlineStr">
        <is>
          <t>R</t>
        </is>
      </c>
      <c r="F1615" s="16" t="inlineStr">
        <is>
          <t>RF</t>
        </is>
      </c>
      <c r="G1615" s="9" t="n">
        <v>30</v>
      </c>
      <c r="H1615" s="9" t="n">
        <v>192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1" t="n">
        <v>1</v>
      </c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/>
      <c r="Y1615" s="17" t="n">
        <v>1</v>
      </c>
      <c r="Z1615" s="13">
        <f>SUMPRODUCT(N1615:Y1615,$N$2:$Y$2)*$K1615*$L1615*$M1615</f>
        <v/>
      </c>
      <c r="AA1615" s="14">
        <f>SUM(N1615:Y1615)</f>
        <v/>
      </c>
      <c r="AB1615" s="14">
        <f>IFERROR(IF(UPPER($E1615)="L",SUMPRODUCT(N1615:Y1615,$N$3:$Y$3,$N$2:$Y$2),SUMPRODUCT(N1615:Y1615,$N$4:$Y$4,$N$2:$Y$2))/(Z1615/($K1615*$L1615*$M1615)),"")</f>
        <v/>
      </c>
      <c r="AC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1" t="n">
        <v>1</v>
      </c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/>
      <c r="Y1616" s="17" t="n">
        <v>1</v>
      </c>
      <c r="Z1616" s="13">
        <f>SUMPRODUCT(N1616:Y1616,$N$2:$Y$2)*$K1616*$L1616*$M1616</f>
        <v/>
      </c>
      <c r="AA1616" s="14">
        <f>SUM(N1616:Y1616)</f>
        <v/>
      </c>
      <c r="AB1616" s="14">
        <f>IFERROR(IF(UPPER($E1616)="L",SUMPRODUCT(N1616:Y1616,$N$3:$Y$3,$N$2:$Y$2),SUMPRODUCT(N1616:Y1616,$N$4:$Y$4,$N$2:$Y$2))/(Z1616/($K1616*$L1616*$M1616)),"")</f>
        <v/>
      </c>
      <c r="AC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inlineStr">
        <is>
          <t>CF</t>
        </is>
      </c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1" t="n">
        <v>1</v>
      </c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/>
      <c r="Y1617" s="17" t="n">
        <v>1</v>
      </c>
      <c r="Z1617" s="13">
        <f>SUMPRODUCT(N1617:Y1617,$N$2:$Y$2)*$K1617*$L1617*$M1617</f>
        <v/>
      </c>
      <c r="AA1617" s="14">
        <f>SUM(N1617:Y1617)</f>
        <v/>
      </c>
      <c r="AB1617" s="14">
        <f>IFERROR(IF(UPPER($E1617)="L",SUMPRODUCT(N1617:Y1617,$N$3:$Y$3,$N$2:$Y$2),SUMPRODUCT(N1617:Y1617,$N$4:$Y$4,$N$2:$Y$2))/(Z1617/($K1617*$L1617*$M1617)),"")</f>
        <v/>
      </c>
      <c r="AC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inlineStr">
        <is>
          <t>2B</t>
        </is>
      </c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1" t="n">
        <v>1</v>
      </c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/>
      <c r="Y1618" s="17" t="n">
        <v>1</v>
      </c>
      <c r="Z1618" s="13">
        <f>SUMPRODUCT(N1618:Y1618,$N$2:$Y$2)*$K1618*$L1618*$M1618</f>
        <v/>
      </c>
      <c r="AA1618" s="14">
        <f>SUM(N1618:Y1618)</f>
        <v/>
      </c>
      <c r="AB1618" s="14">
        <f>IFERROR(IF(UPPER($E1618)="L",SUMPRODUCT(N1618:Y1618,$N$3:$Y$3,$N$2:$Y$2),SUMPRODUCT(N1618:Y1618,$N$4:$Y$4,$N$2:$Y$2))/(Z1618/($K1618*$L1618*$M1618)),"")</f>
        <v/>
      </c>
      <c r="AC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1" t="n">
        <v>1</v>
      </c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/>
      <c r="Y1619" s="17" t="n">
        <v>1</v>
      </c>
      <c r="Z1619" s="13">
        <f>SUMPRODUCT(N1619:Y1619,$N$2:$Y$2)*$K1619*$L1619*$M1619</f>
        <v/>
      </c>
      <c r="AA1619" s="14">
        <f>SUM(N1619:Y1619)</f>
        <v/>
      </c>
      <c r="AB1619" s="14">
        <f>IFERROR(IF(UPPER($E1619)="L",SUMPRODUCT(N1619:Y1619,$N$3:$Y$3,$N$2:$Y$2),SUMPRODUCT(N1619:Y1619,$N$4:$Y$4,$N$2:$Y$2))/(Z1619/($K1619*$L1619*$M1619)),"")</f>
        <v/>
      </c>
      <c r="AC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1" t="n">
        <v>1</v>
      </c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/>
      <c r="Y1620" s="17" t="n">
        <v>1</v>
      </c>
      <c r="Z1620" s="13">
        <f>SUMPRODUCT(N1620:Y1620,$N$2:$Y$2)*$K1620*$L1620*$M1620</f>
        <v/>
      </c>
      <c r="AA1620" s="14">
        <f>SUM(N1620:Y1620)</f>
        <v/>
      </c>
      <c r="AB1620" s="14">
        <f>IFERROR(IF(UPPER($E1620)="L",SUMPRODUCT(N1620:Y1620,$N$3:$Y$3,$N$2:$Y$2),SUMPRODUCT(N1620:Y1620,$N$4:$Y$4,$N$2:$Y$2))/(Z1620/($K1620*$L1620*$M1620)),"")</f>
        <v/>
      </c>
      <c r="AC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1" t="n">
        <v>1</v>
      </c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/>
      <c r="Y1621" s="17" t="n">
        <v>1</v>
      </c>
      <c r="Z1621" s="13">
        <f>SUMPRODUCT(N1621:Y1621,$N$2:$Y$2)*$K1621*$L1621*$M1621</f>
        <v/>
      </c>
      <c r="AA1621" s="14">
        <f>SUM(N1621:Y1621)</f>
        <v/>
      </c>
      <c r="AB1621" s="14">
        <f>IFERROR(IF(UPPER($E1621)="L",SUMPRODUCT(N1621:Y1621,$N$3:$Y$3,$N$2:$Y$2),SUMPRODUCT(N1621:Y1621,$N$4:$Y$4,$N$2:$Y$2))/(Z1621/($K1621*$L1621*$M1621)),"")</f>
        <v/>
      </c>
      <c r="AC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1" t="n">
        <v>1</v>
      </c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/>
      <c r="Y1622" s="17" t="n">
        <v>1</v>
      </c>
      <c r="Z1622" s="13">
        <f>SUMPRODUCT(N1622:Y1622,$N$2:$Y$2)*$K1622*$L1622*$M1622</f>
        <v/>
      </c>
      <c r="AA1622" s="14">
        <f>SUM(N1622:Y1622)</f>
        <v/>
      </c>
      <c r="AB1622" s="14">
        <f>IFERROR(IF(UPPER($E1622)="L",SUMPRODUCT(N1622:Y1622,$N$3:$Y$3,$N$2:$Y$2),SUMPRODUCT(N1622:Y1622,$N$4:$Y$4,$N$2:$Y$2))/(Z1622/($K1622*$L1622*$M1622)),"")</f>
        <v/>
      </c>
      <c r="AC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1" t="n">
        <v>1</v>
      </c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/>
      <c r="Y1623" s="17" t="n">
        <v>1</v>
      </c>
      <c r="Z1623" s="13">
        <f>SUMPRODUCT(N1623:Y1623,$N$2:$Y$2)*$K1623*$L1623*$M1623</f>
        <v/>
      </c>
      <c r="AA1623" s="14">
        <f>SUM(N1623:Y1623)</f>
        <v/>
      </c>
      <c r="AB1623" s="14">
        <f>IFERROR(IF(UPPER($E1623)="L",SUMPRODUCT(N1623:Y1623,$N$3:$Y$3,$N$2:$Y$2),SUMPRODUCT(N1623:Y1623,$N$4:$Y$4,$N$2:$Y$2))/(Z1623/($K1623*$L1623*$M1623)),"")</f>
        <v/>
      </c>
      <c r="AC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1" t="n">
        <v>1</v>
      </c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/>
      <c r="Y1624" s="17" t="n">
        <v>1</v>
      </c>
      <c r="Z1624" s="13">
        <f>SUMPRODUCT(N1624:Y1624,$N$2:$Y$2)*$K1624*$L1624*$M1624</f>
        <v/>
      </c>
      <c r="AA1624" s="14">
        <f>SUM(N1624:Y1624)</f>
        <v/>
      </c>
      <c r="AB1624" s="14">
        <f>IFERROR(IF(UPPER($E1624)="L",SUMPRODUCT(N1624:Y1624,$N$3:$Y$3,$N$2:$Y$2),SUMPRODUCT(N1624:Y1624,$N$4:$Y$4,$N$2:$Y$2))/(Z1624/($K1624*$L1624*$M1624)),"")</f>
        <v/>
      </c>
      <c r="AC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inlineStr">
        <is>
          <t>2B</t>
        </is>
      </c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1" t="n">
        <v>1</v>
      </c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/>
      <c r="W1625" s="17" t="n">
        <v>1</v>
      </c>
      <c r="X1625" s="17" t="n"/>
      <c r="Y1625" s="17" t="n"/>
      <c r="Z1625" s="13">
        <f>SUMPRODUCT(N1625:Y1625,$N$2:$Y$2)*$K1625*$L1625*$M1625</f>
        <v/>
      </c>
      <c r="AA1625" s="14">
        <f>SUM(N1625:Y1625)</f>
        <v/>
      </c>
      <c r="AB1625" s="14">
        <f>IFERROR(IF(UPPER($E1625)="L",SUMPRODUCT(N1625:Y1625,$N$3:$Y$3,$N$2:$Y$2),SUMPRODUCT(N1625:Y1625,$N$4:$Y$4,$N$2:$Y$2))/(Z1625/($K1625*$L1625*$M1625)),"")</f>
        <v/>
      </c>
      <c r="AC1625" s="18" t="n"/>
    </row>
    <row r="1626">
      <c r="A1626" s="9" t="n">
        <v>694378</v>
      </c>
      <c r="B1626" s="9" t="inlineStr">
        <is>
          <t>Jacob Gonzalez</t>
        </is>
      </c>
      <c r="C1626" s="9" t="inlineStr">
        <is>
          <t>PIT</t>
        </is>
      </c>
      <c r="D1626" s="9" t="n">
        <v>25</v>
      </c>
      <c r="E1626" s="16" t="inlineStr">
        <is>
          <t>L</t>
        </is>
      </c>
      <c r="F1626" s="16" t="inlineStr">
        <is>
          <t>1B</t>
        </is>
      </c>
      <c r="G1626" s="9" t="n">
        <v>227</v>
      </c>
      <c r="H1626" s="9" t="n">
        <v>227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1" t="n">
        <v>1</v>
      </c>
      <c r="N1626" s="17" t="n"/>
      <c r="O1626" s="17" t="n"/>
      <c r="P1626" s="17" t="n"/>
      <c r="Q1626" s="17" t="n"/>
      <c r="R1626" s="17" t="n"/>
      <c r="S1626" s="17" t="n"/>
      <c r="T1626" s="17" t="n"/>
      <c r="U1626" s="17" t="n">
        <v>0.4</v>
      </c>
      <c r="V1626" s="17" t="n"/>
      <c r="W1626" s="17" t="n">
        <v>0.6</v>
      </c>
      <c r="X1626" s="17" t="n"/>
      <c r="Y1626" s="17" t="n"/>
      <c r="Z1626" s="13">
        <f>SUMPRODUCT(N1626:Y1626,$N$2:$Y$2)*$K1626*$L1626*$M1626</f>
        <v/>
      </c>
      <c r="AA1626" s="14">
        <f>SUM(N1626:Y1626)</f>
        <v/>
      </c>
      <c r="AB1626" s="14">
        <f>IFERROR(IF(UPPER($E1626)="L",SUMPRODUCT(N1626:Y1626,$N$3:$Y$3,$N$2:$Y$2),SUMPRODUCT(N1626:Y1626,$N$4:$Y$4,$N$2:$Y$2))/(Z1626/($K1626*$L1626*$M1626)),"")</f>
        <v/>
      </c>
      <c r="AC1626" s="18" t="n"/>
    </row>
    <row r="1627">
      <c r="A1627" s="9" t="n">
        <v>821759</v>
      </c>
      <c r="B1627" s="9" t="inlineStr">
        <is>
          <t>Johan Rodriguez</t>
        </is>
      </c>
      <c r="C1627" s="9" t="inlineStr">
        <is>
          <t>CLE</t>
        </is>
      </c>
      <c r="D1627" s="9" t="n">
        <v>25</v>
      </c>
      <c r="E1627" s="16" t="inlineStr">
        <is>
          <t>R</t>
        </is>
      </c>
      <c r="F1627" s="16" t="n"/>
      <c r="G1627" s="9" t="n">
        <v>24.86153846153847</v>
      </c>
      <c r="H1627" s="9" t="n">
        <v>24.86153846153847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1" t="n">
        <v>1</v>
      </c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/>
      <c r="Y1627" s="17" t="n">
        <v>1</v>
      </c>
      <c r="Z1627" s="13">
        <f>SUMPRODUCT(N1627:Y1627,$N$2:$Y$2)*$K1627*$L1627*$M1627</f>
        <v/>
      </c>
      <c r="AA1627" s="14">
        <f>SUM(N1627:Y1627)</f>
        <v/>
      </c>
      <c r="AB1627" s="14">
        <f>IFERROR(IF(UPPER($E1627)="L",SUMPRODUCT(N1627:Y1627,$N$3:$Y$3,$N$2:$Y$2),SUMPRODUCT(N1627:Y1627,$N$4:$Y$4,$N$2:$Y$2))/(Z1627/($K1627*$L1627*$M1627)),"")</f>
        <v/>
      </c>
      <c r="AC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1" t="n">
        <v>1</v>
      </c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/>
      <c r="Y1628" s="17" t="n">
        <v>1</v>
      </c>
      <c r="Z1628" s="13">
        <f>SUMPRODUCT(N1628:Y1628,$N$2:$Y$2)*$K1628*$L1628*$M1628</f>
        <v/>
      </c>
      <c r="AA1628" s="14">
        <f>SUM(N1628:Y1628)</f>
        <v/>
      </c>
      <c r="AB1628" s="14">
        <f>IFERROR(IF(UPPER($E1628)="L",SUMPRODUCT(N1628:Y1628,$N$3:$Y$3,$N$2:$Y$2),SUMPRODUCT(N1628:Y1628,$N$4:$Y$4,$N$2:$Y$2))/(Z1628/($K1628*$L1628*$M1628)),"")</f>
        <v/>
      </c>
      <c r="AC1628" s="18" t="n"/>
    </row>
    <row r="1629">
      <c r="A1629" s="9" t="n">
        <v>702461</v>
      </c>
      <c r="B1629" s="9" t="inlineStr">
        <is>
          <t>Kay-Lan Nicasia</t>
        </is>
      </c>
      <c r="C1629" s="9" t="inlineStr">
        <is>
          <t>MIL</t>
        </is>
      </c>
      <c r="D1629" s="9" t="n">
        <v>25</v>
      </c>
      <c r="E1629" s="16" t="inlineStr">
        <is>
          <t>S</t>
        </is>
      </c>
      <c r="F1629" s="16" t="n"/>
      <c r="G1629" s="9" t="n">
        <v>15.07692307692308</v>
      </c>
      <c r="H1629" s="9" t="n">
        <v>15.07692307692308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1" t="n">
        <v>1</v>
      </c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/>
      <c r="Y1629" s="17" t="n">
        <v>1</v>
      </c>
      <c r="Z1629" s="13">
        <f>SUMPRODUCT(N1629:Y1629,$N$2:$Y$2)*$K1629*$L1629*$M1629</f>
        <v/>
      </c>
      <c r="AA1629" s="14">
        <f>SUM(N1629:Y1629)</f>
        <v/>
      </c>
      <c r="AB1629" s="14">
        <f>IFERROR(IF(UPPER($E1629)="L",SUMPRODUCT(N1629:Y1629,$N$3:$Y$3,$N$2:$Y$2),SUMPRODUCT(N1629:Y1629,$N$4:$Y$4,$N$2:$Y$2))/(Z1629/($K1629*$L1629*$M1629)),"")</f>
        <v/>
      </c>
      <c r="AC1629" s="18" t="n"/>
    </row>
    <row r="1630">
      <c r="A1630" s="9" t="n">
        <v>701800</v>
      </c>
      <c r="B1630" s="9" t="inlineStr">
        <is>
          <t>Carlos Linarez</t>
        </is>
      </c>
      <c r="C1630" s="9" t="inlineStr">
        <is>
          <t>STL</t>
        </is>
      </c>
      <c r="D1630" s="9" t="n">
        <v>25</v>
      </c>
      <c r="E1630" s="16" t="inlineStr">
        <is>
          <t>R</t>
        </is>
      </c>
      <c r="F1630" s="16" t="n"/>
      <c r="G1630" s="9" t="n">
        <v>15.43589743589743</v>
      </c>
      <c r="H1630" s="9" t="n">
        <v>15.43589743589743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1" t="n">
        <v>1</v>
      </c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/>
      <c r="Y1630" s="17" t="n">
        <v>1</v>
      </c>
      <c r="Z1630" s="13">
        <f>SUMPRODUCT(N1630:Y1630,$N$2:$Y$2)*$K1630*$L1630*$M1630</f>
        <v/>
      </c>
      <c r="AA1630" s="14">
        <f>SUM(N1630:Y1630)</f>
        <v/>
      </c>
      <c r="AB1630" s="14">
        <f>IFERROR(IF(UPPER($E1630)="L",SUMPRODUCT(N1630:Y1630,$N$3:$Y$3,$N$2:$Y$2),SUMPRODUCT(N1630:Y1630,$N$4:$Y$4,$N$2:$Y$2))/(Z1630/($K1630*$L1630*$M1630)),"")</f>
        <v/>
      </c>
      <c r="AC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1" t="n">
        <v>1</v>
      </c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/>
      <c r="Y1631" s="17" t="n">
        <v>1</v>
      </c>
      <c r="Z1631" s="13">
        <f>SUMPRODUCT(N1631:Y1631,$N$2:$Y$2)*$K1631*$L1631*$M1631</f>
        <v/>
      </c>
      <c r="AA1631" s="14">
        <f>SUM(N1631:Y1631)</f>
        <v/>
      </c>
      <c r="AB1631" s="14">
        <f>IFERROR(IF(UPPER($E1631)="L",SUMPRODUCT(N1631:Y1631,$N$3:$Y$3,$N$2:$Y$2),SUMPRODUCT(N1631:Y1631,$N$4:$Y$4,$N$2:$Y$2))/(Z1631/($K1631*$L1631*$M1631)),"")</f>
        <v/>
      </c>
      <c r="AC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1" t="n">
        <v>1</v>
      </c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/>
      <c r="Y1632" s="17" t="n">
        <v>1</v>
      </c>
      <c r="Z1632" s="13">
        <f>SUMPRODUCT(N1632:Y1632,$N$2:$Y$2)*$K1632*$L1632*$M1632</f>
        <v/>
      </c>
      <c r="AA1632" s="14">
        <f>SUM(N1632:Y1632)</f>
        <v/>
      </c>
      <c r="AB1632" s="14">
        <f>IFERROR(IF(UPPER($E1632)="L",SUMPRODUCT(N1632:Y1632,$N$3:$Y$3,$N$2:$Y$2),SUMPRODUCT(N1632:Y1632,$N$4:$Y$4,$N$2:$Y$2))/(Z1632/($K1632*$L1632*$M1632)),"")</f>
        <v/>
      </c>
      <c r="AC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1" t="n">
        <v>1</v>
      </c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/>
      <c r="Y1633" s="17" t="n">
        <v>1</v>
      </c>
      <c r="Z1633" s="13">
        <f>SUMPRODUCT(N1633:Y1633,$N$2:$Y$2)*$K1633*$L1633*$M1633</f>
        <v/>
      </c>
      <c r="AA1633" s="14">
        <f>SUM(N1633:Y1633)</f>
        <v/>
      </c>
      <c r="AB1633" s="14">
        <f>IFERROR(IF(UPPER($E1633)="L",SUMPRODUCT(N1633:Y1633,$N$3:$Y$3,$N$2:$Y$2),SUMPRODUCT(N1633:Y1633,$N$4:$Y$4,$N$2:$Y$2))/(Z1633/($K1633*$L1633*$M1633)),"")</f>
        <v/>
      </c>
      <c r="AC1633" s="18" t="n"/>
    </row>
    <row r="1634">
      <c r="A1634" s="9" t="n">
        <v>690971</v>
      </c>
      <c r="B1634" s="9" t="inlineStr">
        <is>
          <t>Chase Davis</t>
        </is>
      </c>
      <c r="C1634" s="9" t="inlineStr">
        <is>
          <t>STL</t>
        </is>
      </c>
      <c r="D1634" s="9" t="n">
        <v>25</v>
      </c>
      <c r="E1634" s="16" t="inlineStr">
        <is>
          <t>L</t>
        </is>
      </c>
      <c r="F1634" s="16" t="n"/>
      <c r="G1634" s="9" t="n">
        <v>111.1282051282051</v>
      </c>
      <c r="H1634" s="9" t="n">
        <v>111.1282051282051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1" t="n">
        <v>1</v>
      </c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/>
      <c r="Y1634" s="17" t="n">
        <v>1</v>
      </c>
      <c r="Z1634" s="13">
        <f>SUMPRODUCT(N1634:Y1634,$N$2:$Y$2)*$K1634*$L1634*$M1634</f>
        <v/>
      </c>
      <c r="AA1634" s="14">
        <f>SUM(N1634:Y1634)</f>
        <v/>
      </c>
      <c r="AB1634" s="14">
        <f>IFERROR(IF(UPPER($E1634)="L",SUMPRODUCT(N1634:Y1634,$N$3:$Y$3,$N$2:$Y$2),SUMPRODUCT(N1634:Y1634,$N$4:$Y$4,$N$2:$Y$2))/(Z1634/($K1634*$L1634*$M1634)),"")</f>
        <v/>
      </c>
      <c r="AC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inlineStr">
        <is>
          <t>SS</t>
        </is>
      </c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1" t="n">
        <v>0.8259084972812968</v>
      </c>
      <c r="N1635" s="17" t="n">
        <v>1</v>
      </c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7" t="n"/>
      <c r="Z1635" s="13">
        <f>SUMPRODUCT(N1635:Y1635,$N$2:$Y$2)*$K1635*$L1635*$M1635</f>
        <v/>
      </c>
      <c r="AA1635" s="14">
        <f>SUM(N1635:Y1635)</f>
        <v/>
      </c>
      <c r="AB1635" s="14">
        <f>IFERROR(IF(UPPER($E1635)="L",SUMPRODUCT(N1635:Y1635,$N$3:$Y$3,$N$2:$Y$2),SUMPRODUCT(N1635:Y1635,$N$4:$Y$4,$N$2:$Y$2))/(Z1635/($K1635*$L1635*$M1635)),"")</f>
        <v/>
      </c>
      <c r="AC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25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Late Season (~Sept)</t>
        </is>
      </c>
      <c r="K1636" s="11">
        <f>IFERROR(INDEX(Roles!$B$17:$B$20,MATCH(J1636,Roles!$A$17:$A$20,0)),1)</f>
        <v/>
      </c>
      <c r="L1636" s="17" t="n">
        <v>1</v>
      </c>
      <c r="M1636" s="11" t="n">
        <v>1</v>
      </c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/>
      <c r="Y1636" s="17" t="n">
        <v>1</v>
      </c>
      <c r="Z1636" s="13">
        <f>SUMPRODUCT(N1636:Y1636,$N$2:$Y$2)*$K1636*$L1636*$M1636</f>
        <v/>
      </c>
      <c r="AA1636" s="14">
        <f>SUM(N1636:Y1636)</f>
        <v/>
      </c>
      <c r="AB1636" s="14">
        <f>IFERROR(IF(UPPER($E1636)="L",SUMPRODUCT(N1636:Y1636,$N$3:$Y$3,$N$2:$Y$2),SUMPRODUCT(N1636:Y1636,$N$4:$Y$4,$N$2:$Y$2))/(Z1636/($K1636*$L1636*$M1636)),"")</f>
        <v/>
      </c>
      <c r="AC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1" t="n">
        <v>1</v>
      </c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/>
      <c r="Y1637" s="17" t="n">
        <v>1</v>
      </c>
      <c r="Z1637" s="13">
        <f>SUMPRODUCT(N1637:Y1637,$N$2:$Y$2)*$K1637*$L1637*$M1637</f>
        <v/>
      </c>
      <c r="AA1637" s="14">
        <f>SUM(N1637:Y1637)</f>
        <v/>
      </c>
      <c r="AB1637" s="14">
        <f>IFERROR(IF(UPPER($E1637)="L",SUMPRODUCT(N1637:Y1637,$N$3:$Y$3,$N$2:$Y$2),SUMPRODUCT(N1637:Y1637,$N$4:$Y$4,$N$2:$Y$2))/(Z1637/($K1637*$L1637*$M1637)),"")</f>
        <v/>
      </c>
      <c r="AC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1" t="n">
        <v>1</v>
      </c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/>
      <c r="Y1638" s="17" t="n">
        <v>1</v>
      </c>
      <c r="Z1638" s="13">
        <f>SUMPRODUCT(N1638:Y1638,$N$2:$Y$2)*$K1638*$L1638*$M1638</f>
        <v/>
      </c>
      <c r="AA1638" s="14">
        <f>SUM(N1638:Y1638)</f>
        <v/>
      </c>
      <c r="AB1638" s="14">
        <f>IFERROR(IF(UPPER($E1638)="L",SUMPRODUCT(N1638:Y1638,$N$3:$Y$3,$N$2:$Y$2),SUMPRODUCT(N1638:Y1638,$N$4:$Y$4,$N$2:$Y$2))/(Z1638/($K1638*$L1638*$M1638)),"")</f>
        <v/>
      </c>
      <c r="AC1638" s="18" t="n"/>
    </row>
    <row r="1639">
      <c r="A1639" s="9" t="n">
        <v>695000</v>
      </c>
      <c r="B1639" s="9" t="inlineStr">
        <is>
          <t>Poncho Ruiz</t>
        </is>
      </c>
      <c r="C1639" s="9" t="inlineStr">
        <is>
          <t>MIN</t>
        </is>
      </c>
      <c r="D1639" s="9" t="n">
        <v>25</v>
      </c>
      <c r="E1639" s="16" t="inlineStr">
        <is>
          <t>R</t>
        </is>
      </c>
      <c r="F1639" s="16" t="n"/>
      <c r="G1639" s="9" t="n">
        <v>34.1025641025641</v>
      </c>
      <c r="H1639" s="9" t="n">
        <v>34.1025641025641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1" t="n">
        <v>1</v>
      </c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/>
      <c r="Y1639" s="17" t="n">
        <v>1</v>
      </c>
      <c r="Z1639" s="13">
        <f>SUMPRODUCT(N1639:Y1639,$N$2:$Y$2)*$K1639*$L1639*$M1639</f>
        <v/>
      </c>
      <c r="AA1639" s="14">
        <f>SUM(N1639:Y1639)</f>
        <v/>
      </c>
      <c r="AB1639" s="14">
        <f>IFERROR(IF(UPPER($E1639)="L",SUMPRODUCT(N1639:Y1639,$N$3:$Y$3,$N$2:$Y$2),SUMPRODUCT(N1639:Y1639,$N$4:$Y$4,$N$2:$Y$2))/(Z1639/($K1639*$L1639*$M1639)),"")</f>
        <v/>
      </c>
      <c r="AC1639" s="18" t="n"/>
    </row>
    <row r="1640">
      <c r="A1640" s="9" t="n">
        <v>829704</v>
      </c>
      <c r="B1640" s="9" t="inlineStr">
        <is>
          <t>Fredderick Ovalle</t>
        </is>
      </c>
      <c r="C1640" s="9" t="inlineStr">
        <is>
          <t>PIT</t>
        </is>
      </c>
      <c r="D1640" s="9" t="n">
        <v>25</v>
      </c>
      <c r="E1640" s="16" t="inlineStr">
        <is>
          <t>L</t>
        </is>
      </c>
      <c r="F1640" s="16" t="n"/>
      <c r="G1640" s="9" t="n">
        <v>18.58461538461538</v>
      </c>
      <c r="H1640" s="9" t="n">
        <v>18.58461538461538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1" t="n">
        <v>1</v>
      </c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/>
      <c r="Y1640" s="17" t="n">
        <v>1</v>
      </c>
      <c r="Z1640" s="13">
        <f>SUMPRODUCT(N1640:Y1640,$N$2:$Y$2)*$K1640*$L1640*$M1640</f>
        <v/>
      </c>
      <c r="AA1640" s="14">
        <f>SUM(N1640:Y1640)</f>
        <v/>
      </c>
      <c r="AB1640" s="14">
        <f>IFERROR(IF(UPPER($E1640)="L",SUMPRODUCT(N1640:Y1640,$N$3:$Y$3,$N$2:$Y$2),SUMPRODUCT(N1640:Y1640,$N$4:$Y$4,$N$2:$Y$2))/(Z1640/($K1640*$L1640*$M1640)),"")</f>
        <v/>
      </c>
      <c r="AC1640" s="18" t="n"/>
    </row>
    <row r="1641">
      <c r="A1641" s="9" t="n">
        <v>800728</v>
      </c>
      <c r="B1641" s="9" t="inlineStr">
        <is>
          <t>Cameron Nickens</t>
        </is>
      </c>
      <c r="C1641" s="9" t="inlineStr">
        <is>
          <t>STL</t>
        </is>
      </c>
      <c r="D1641" s="9" t="n">
        <v>25</v>
      </c>
      <c r="E1641" s="16" t="inlineStr">
        <is>
          <t>R</t>
        </is>
      </c>
      <c r="F1641" s="16" t="n"/>
      <c r="G1641" s="9" t="n">
        <v>32.61538461538462</v>
      </c>
      <c r="H1641" s="9" t="n">
        <v>32.61538461538462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1" t="n">
        <v>1</v>
      </c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/>
      <c r="Y1641" s="17" t="n">
        <v>1</v>
      </c>
      <c r="Z1641" s="13">
        <f>SUMPRODUCT(N1641:Y1641,$N$2:$Y$2)*$K1641*$L1641*$M1641</f>
        <v/>
      </c>
      <c r="AA1641" s="14">
        <f>SUM(N1641:Y1641)</f>
        <v/>
      </c>
      <c r="AB1641" s="14">
        <f>IFERROR(IF(UPPER($E1641)="L",SUMPRODUCT(N1641:Y1641,$N$3:$Y$3,$N$2:$Y$2),SUMPRODUCT(N1641:Y1641,$N$4:$Y$4,$N$2:$Y$2))/(Z1641/($K1641*$L1641*$M1641)),"")</f>
        <v/>
      </c>
      <c r="AC1641" s="18" t="n"/>
    </row>
    <row r="1642">
      <c r="A1642" s="9" t="n">
        <v>683353</v>
      </c>
      <c r="B1642" s="9" t="inlineStr">
        <is>
          <t>Connor Caskenette</t>
        </is>
      </c>
      <c r="C1642" s="9" t="inlineStr">
        <is>
          <t>MIA</t>
        </is>
      </c>
      <c r="D1642" s="9" t="n">
        <v>25</v>
      </c>
      <c r="E1642" s="16" t="inlineStr">
        <is>
          <t>R</t>
        </is>
      </c>
      <c r="F1642" s="16" t="n"/>
      <c r="G1642" s="9" t="n">
        <v>69.28205128205128</v>
      </c>
      <c r="H1642" s="9" t="n">
        <v>69.28205128205128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1" t="n">
        <v>1</v>
      </c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/>
      <c r="Y1642" s="17" t="n">
        <v>1</v>
      </c>
      <c r="Z1642" s="13">
        <f>SUMPRODUCT(N1642:Y1642,$N$2:$Y$2)*$K1642*$L1642*$M1642</f>
        <v/>
      </c>
      <c r="AA1642" s="14">
        <f>SUM(N1642:Y1642)</f>
        <v/>
      </c>
      <c r="AB1642" s="14">
        <f>IFERROR(IF(UPPER($E1642)="L",SUMPRODUCT(N1642:Y1642,$N$3:$Y$3,$N$2:$Y$2),SUMPRODUCT(N1642:Y1642,$N$4:$Y$4,$N$2:$Y$2))/(Z1642/($K1642*$L1642*$M1642)),"")</f>
        <v/>
      </c>
      <c r="AC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1" t="n">
        <v>1</v>
      </c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/>
      <c r="Y1643" s="17" t="n">
        <v>1</v>
      </c>
      <c r="Z1643" s="13">
        <f>SUMPRODUCT(N1643:Y1643,$N$2:$Y$2)*$K1643*$L1643*$M1643</f>
        <v/>
      </c>
      <c r="AA1643" s="14">
        <f>SUM(N1643:Y1643)</f>
        <v/>
      </c>
      <c r="AB1643" s="14">
        <f>IFERROR(IF(UPPER($E1643)="L",SUMPRODUCT(N1643:Y1643,$N$3:$Y$3,$N$2:$Y$2),SUMPRODUCT(N1643:Y1643,$N$4:$Y$4,$N$2:$Y$2))/(Z1643/($K1643*$L1643*$M1643)),"")</f>
        <v/>
      </c>
      <c r="AC1643" s="18" t="n"/>
    </row>
    <row r="1644">
      <c r="A1644" s="9" t="n">
        <v>801194</v>
      </c>
      <c r="B1644" s="9" t="inlineStr">
        <is>
          <t>Max Anderson</t>
        </is>
      </c>
      <c r="C1644" s="9" t="inlineStr">
        <is>
          <t>DET</t>
        </is>
      </c>
      <c r="D1644" s="9" t="n">
        <v>25</v>
      </c>
      <c r="E1644" s="16" t="inlineStr">
        <is>
          <t>R</t>
        </is>
      </c>
      <c r="F1644" s="16" t="n"/>
      <c r="G1644" s="9" t="n">
        <v>265.1282051282051</v>
      </c>
      <c r="H1644" s="9" t="n">
        <v>265.1282051282051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1" t="n">
        <v>1</v>
      </c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/>
      <c r="Y1644" s="17" t="n">
        <v>1</v>
      </c>
      <c r="Z1644" s="13">
        <f>SUMPRODUCT(N1644:Y1644,$N$2:$Y$2)*$K1644*$L1644*$M1644</f>
        <v/>
      </c>
      <c r="AA1644" s="14">
        <f>SUM(N1644:Y1644)</f>
        <v/>
      </c>
      <c r="AB1644" s="14">
        <f>IFERROR(IF(UPPER($E1644)="L",SUMPRODUCT(N1644:Y1644,$N$3:$Y$3,$N$2:$Y$2),SUMPRODUCT(N1644:Y1644,$N$4:$Y$4,$N$2:$Y$2))/(Z1644/($K1644*$L1644*$M1644)),"")</f>
        <v/>
      </c>
      <c r="AC1644" s="18" t="n"/>
    </row>
    <row r="1645">
      <c r="A1645" s="9" t="n">
        <v>694206</v>
      </c>
      <c r="B1645" s="9" t="inlineStr">
        <is>
          <t>Daniel Guilarte</t>
        </is>
      </c>
      <c r="C1645" s="9" t="inlineStr">
        <is>
          <t>MIL</t>
        </is>
      </c>
      <c r="D1645" s="9" t="n">
        <v>25</v>
      </c>
      <c r="E1645" s="16" t="inlineStr">
        <is>
          <t>R</t>
        </is>
      </c>
      <c r="F1645" s="16" t="n"/>
      <c r="G1645" s="9" t="n">
        <v>15.7948717948718</v>
      </c>
      <c r="H1645" s="9" t="n">
        <v>15.7948717948718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1" t="n">
        <v>1</v>
      </c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/>
      <c r="Y1645" s="17" t="n">
        <v>1</v>
      </c>
      <c r="Z1645" s="13">
        <f>SUMPRODUCT(N1645:Y1645,$N$2:$Y$2)*$K1645*$L1645*$M1645</f>
        <v/>
      </c>
      <c r="AA1645" s="14">
        <f>SUM(N1645:Y1645)</f>
        <v/>
      </c>
      <c r="AB1645" s="14">
        <f>IFERROR(IF(UPPER($E1645)="L",SUMPRODUCT(N1645:Y1645,$N$3:$Y$3,$N$2:$Y$2),SUMPRODUCT(N1645:Y1645,$N$4:$Y$4,$N$2:$Y$2))/(Z1645/($K1645*$L1645*$M1645)),"")</f>
        <v/>
      </c>
      <c r="AC1645" s="18" t="n"/>
    </row>
    <row r="1646">
      <c r="A1646" s="9" t="n">
        <v>803426</v>
      </c>
      <c r="B1646" s="9" t="inlineStr">
        <is>
          <t>Carlos Cauro</t>
        </is>
      </c>
      <c r="C1646" s="9" t="inlineStr">
        <is>
          <t>HOU</t>
        </is>
      </c>
      <c r="D1646" s="9" t="n">
        <v>25</v>
      </c>
      <c r="E1646" s="16" t="inlineStr">
        <is>
          <t>R</t>
        </is>
      </c>
      <c r="F1646" s="16" t="n"/>
      <c r="G1646" s="9" t="n">
        <v>31.63076923076923</v>
      </c>
      <c r="H1646" s="9" t="n">
        <v>31.63076923076923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1" t="n">
        <v>1</v>
      </c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/>
      <c r="Y1646" s="17" t="n">
        <v>1</v>
      </c>
      <c r="Z1646" s="13">
        <f>SUMPRODUCT(N1646:Y1646,$N$2:$Y$2)*$K1646*$L1646*$M1646</f>
        <v/>
      </c>
      <c r="AA1646" s="14">
        <f>SUM(N1646:Y1646)</f>
        <v/>
      </c>
      <c r="AB1646" s="14">
        <f>IFERROR(IF(UPPER($E1646)="L",SUMPRODUCT(N1646:Y1646,$N$3:$Y$3,$N$2:$Y$2),SUMPRODUCT(N1646:Y1646,$N$4:$Y$4,$N$2:$Y$2))/(Z1646/($K1646*$L1646*$M1646)),"")</f>
        <v/>
      </c>
      <c r="AC1646" s="18" t="n"/>
    </row>
    <row r="1647">
      <c r="A1647" s="9" t="n">
        <v>803152</v>
      </c>
      <c r="B1647" s="9" t="inlineStr">
        <is>
          <t>Jake Reinisch</t>
        </is>
      </c>
      <c r="C1647" s="9" t="inlineStr">
        <is>
          <t>OAK</t>
        </is>
      </c>
      <c r="D1647" s="9" t="n">
        <v>25</v>
      </c>
      <c r="E1647" s="16" t="inlineStr">
        <is>
          <t>L</t>
        </is>
      </c>
      <c r="F1647" s="16" t="n"/>
      <c r="G1647" s="9" t="n">
        <v>41.64102564102564</v>
      </c>
      <c r="H1647" s="9" t="n">
        <v>41.64102564102564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1" t="n">
        <v>1</v>
      </c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/>
      <c r="Y1647" s="17" t="n">
        <v>1</v>
      </c>
      <c r="Z1647" s="13">
        <f>SUMPRODUCT(N1647:Y1647,$N$2:$Y$2)*$K1647*$L1647*$M1647</f>
        <v/>
      </c>
      <c r="AA1647" s="14">
        <f>SUM(N1647:Y1647)</f>
        <v/>
      </c>
      <c r="AB1647" s="14">
        <f>IFERROR(IF(UPPER($E1647)="L",SUMPRODUCT(N1647:Y1647,$N$3:$Y$3,$N$2:$Y$2),SUMPRODUCT(N1647:Y1647,$N$4:$Y$4,$N$2:$Y$2))/(Z1647/($K1647*$L1647*$M1647)),"")</f>
        <v/>
      </c>
      <c r="AC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1" t="n">
        <v>1</v>
      </c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/>
      <c r="Y1648" s="17" t="n">
        <v>1</v>
      </c>
      <c r="Z1648" s="13">
        <f>SUMPRODUCT(N1648:Y1648,$N$2:$Y$2)*$K1648*$L1648*$M1648</f>
        <v/>
      </c>
      <c r="AA1648" s="14">
        <f>SUM(N1648:Y1648)</f>
        <v/>
      </c>
      <c r="AB1648" s="14">
        <f>IFERROR(IF(UPPER($E1648)="L",SUMPRODUCT(N1648:Y1648,$N$3:$Y$3,$N$2:$Y$2),SUMPRODUCT(N1648:Y1648,$N$4:$Y$4,$N$2:$Y$2))/(Z1648/($K1648*$L1648*$M1648)),"")</f>
        <v/>
      </c>
      <c r="AC1648" s="18" t="n"/>
    </row>
    <row r="1649">
      <c r="A1649" s="9" t="n">
        <v>832213</v>
      </c>
      <c r="B1649" s="9" t="inlineStr">
        <is>
          <t>Derek Cerda</t>
        </is>
      </c>
      <c r="C1649" s="9" t="inlineStr">
        <is>
          <t>CWS</t>
        </is>
      </c>
      <c r="D1649" s="9" t="n">
        <v>25</v>
      </c>
      <c r="E1649" s="16" t="inlineStr">
        <is>
          <t>R</t>
        </is>
      </c>
      <c r="F1649" s="16" t="n"/>
      <c r="G1649" s="9" t="n">
        <v>20.92307692307692</v>
      </c>
      <c r="H1649" s="9" t="n">
        <v>20.92307692307692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1" t="n">
        <v>1</v>
      </c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/>
      <c r="Y1649" s="17" t="n">
        <v>1</v>
      </c>
      <c r="Z1649" s="13">
        <f>SUMPRODUCT(N1649:Y1649,$N$2:$Y$2)*$K1649*$L1649*$M1649</f>
        <v/>
      </c>
      <c r="AA1649" s="14">
        <f>SUM(N1649:Y1649)</f>
        <v/>
      </c>
      <c r="AB1649" s="14">
        <f>IFERROR(IF(UPPER($E1649)="L",SUMPRODUCT(N1649:Y1649,$N$3:$Y$3,$N$2:$Y$2),SUMPRODUCT(N1649:Y1649,$N$4:$Y$4,$N$2:$Y$2))/(Z1649/($K1649*$L1649*$M1649)),"")</f>
        <v/>
      </c>
      <c r="AC1649" s="18" t="n"/>
    </row>
    <row r="1650">
      <c r="A1650" s="9" t="n">
        <v>699077</v>
      </c>
      <c r="B1650" s="9" t="inlineStr">
        <is>
          <t>Jose Perez</t>
        </is>
      </c>
      <c r="C1650" s="9" t="inlineStr">
        <is>
          <t>TB</t>
        </is>
      </c>
      <c r="D1650" s="9" t="n">
        <v>25</v>
      </c>
      <c r="E1650" s="16" t="inlineStr">
        <is>
          <t>S</t>
        </is>
      </c>
      <c r="F1650" s="16" t="n"/>
      <c r="G1650" s="9" t="n">
        <v>16</v>
      </c>
      <c r="H1650" s="9" t="n">
        <v>16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1" t="n">
        <v>1</v>
      </c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/>
      <c r="Y1650" s="17" t="n">
        <v>1</v>
      </c>
      <c r="Z1650" s="13">
        <f>SUMPRODUCT(N1650:Y1650,$N$2:$Y$2)*$K1650*$L1650*$M1650</f>
        <v/>
      </c>
      <c r="AA1650" s="14">
        <f>SUM(N1650:Y1650)</f>
        <v/>
      </c>
      <c r="AB1650" s="14">
        <f>IFERROR(IF(UPPER($E1650)="L",SUMPRODUCT(N1650:Y1650,$N$3:$Y$3,$N$2:$Y$2),SUMPRODUCT(N1650:Y1650,$N$4:$Y$4,$N$2:$Y$2))/(Z1650/($K1650*$L1650*$M1650)),"")</f>
        <v/>
      </c>
      <c r="AC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1" t="n">
        <v>1</v>
      </c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/>
      <c r="Y1651" s="17" t="n">
        <v>1</v>
      </c>
      <c r="Z1651" s="13">
        <f>SUMPRODUCT(N1651:Y1651,$N$2:$Y$2)*$K1651*$L1651*$M1651</f>
        <v/>
      </c>
      <c r="AA1651" s="14">
        <f>SUM(N1651:Y1651)</f>
        <v/>
      </c>
      <c r="AB1651" s="14">
        <f>IFERROR(IF(UPPER($E1651)="L",SUMPRODUCT(N1651:Y1651,$N$3:$Y$3,$N$2:$Y$2),SUMPRODUCT(N1651:Y1651,$N$4:$Y$4,$N$2:$Y$2))/(Z1651/($K1651*$L1651*$M1651)),"")</f>
        <v/>
      </c>
      <c r="AC1651" s="18" t="n"/>
    </row>
    <row r="1652">
      <c r="A1652" s="9" t="n">
        <v>808237</v>
      </c>
      <c r="B1652" s="9" t="inlineStr">
        <is>
          <t>Yirer Garcia</t>
        </is>
      </c>
      <c r="C1652" s="9" t="inlineStr">
        <is>
          <t>TB</t>
        </is>
      </c>
      <c r="D1652" s="9" t="n">
        <v>25</v>
      </c>
      <c r="E1652" s="16" t="inlineStr">
        <is>
          <t>R</t>
        </is>
      </c>
      <c r="F1652" s="16" t="n"/>
      <c r="G1652" s="9" t="n">
        <v>16.73846153846154</v>
      </c>
      <c r="H1652" s="9" t="n">
        <v>16.73846153846154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1" t="n">
        <v>1</v>
      </c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/>
      <c r="Y1652" s="17" t="n">
        <v>1</v>
      </c>
      <c r="Z1652" s="13">
        <f>SUMPRODUCT(N1652:Y1652,$N$2:$Y$2)*$K1652*$L1652*$M1652</f>
        <v/>
      </c>
      <c r="AA1652" s="14">
        <f>SUM(N1652:Y1652)</f>
        <v/>
      </c>
      <c r="AB1652" s="14">
        <f>IFERROR(IF(UPPER($E1652)="L",SUMPRODUCT(N1652:Y1652,$N$3:$Y$3,$N$2:$Y$2),SUMPRODUCT(N1652:Y1652,$N$4:$Y$4,$N$2:$Y$2))/(Z1652/($K1652*$L1652*$M1652)),"")</f>
        <v/>
      </c>
      <c r="AC1652" s="18" t="n"/>
    </row>
    <row r="1653">
      <c r="A1653" s="9" t="n">
        <v>801442</v>
      </c>
      <c r="B1653" s="9" t="inlineStr">
        <is>
          <t>Jack Pineda</t>
        </is>
      </c>
      <c r="C1653" s="9" t="inlineStr">
        <is>
          <t>KC</t>
        </is>
      </c>
      <c r="D1653" s="9" t="n">
        <v>25</v>
      </c>
      <c r="E1653" s="16" t="inlineStr">
        <is>
          <t>L</t>
        </is>
      </c>
      <c r="F1653" s="16" t="n"/>
      <c r="G1653" s="9" t="n">
        <v>50.20512820512821</v>
      </c>
      <c r="H1653" s="9" t="n">
        <v>50.20512820512821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1" t="n">
        <v>1</v>
      </c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/>
      <c r="Y1653" s="17" t="n">
        <v>1</v>
      </c>
      <c r="Z1653" s="13">
        <f>SUMPRODUCT(N1653:Y1653,$N$2:$Y$2)*$K1653*$L1653*$M1653</f>
        <v/>
      </c>
      <c r="AA1653" s="14">
        <f>SUM(N1653:Y1653)</f>
        <v/>
      </c>
      <c r="AB1653" s="14">
        <f>IFERROR(IF(UPPER($E1653)="L",SUMPRODUCT(N1653:Y1653,$N$3:$Y$3,$N$2:$Y$2),SUMPRODUCT(N1653:Y1653,$N$4:$Y$4,$N$2:$Y$2))/(Z1653/($K1653*$L1653*$M1653)),"")</f>
        <v/>
      </c>
      <c r="AC1653" s="18" t="n"/>
    </row>
    <row r="1654">
      <c r="A1654" s="9" t="n">
        <v>802082</v>
      </c>
      <c r="B1654" s="9" t="inlineStr">
        <is>
          <t>Julio Henriquez</t>
        </is>
      </c>
      <c r="C1654" s="9" t="inlineStr">
        <is>
          <t>MIA</t>
        </is>
      </c>
      <c r="D1654" s="9" t="n">
        <v>25</v>
      </c>
      <c r="E1654" s="16" t="inlineStr">
        <is>
          <t>R</t>
        </is>
      </c>
      <c r="F1654" s="16" t="n"/>
      <c r="G1654" s="9" t="n">
        <v>18.46153846153846</v>
      </c>
      <c r="H1654" s="9" t="n">
        <v>18.46153846153846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1" t="n">
        <v>1</v>
      </c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/>
      <c r="Y1654" s="17" t="n">
        <v>1</v>
      </c>
      <c r="Z1654" s="13">
        <f>SUMPRODUCT(N1654:Y1654,$N$2:$Y$2)*$K1654*$L1654*$M1654</f>
        <v/>
      </c>
      <c r="AA1654" s="14">
        <f>SUM(N1654:Y1654)</f>
        <v/>
      </c>
      <c r="AB1654" s="14">
        <f>IFERROR(IF(UPPER($E1654)="L",SUMPRODUCT(N1654:Y1654,$N$3:$Y$3,$N$2:$Y$2),SUMPRODUCT(N1654:Y1654,$N$4:$Y$4,$N$2:$Y$2))/(Z1654/($K1654*$L1654*$M1654)),"")</f>
        <v/>
      </c>
      <c r="AC1654" s="18" t="n"/>
    </row>
    <row r="1655">
      <c r="A1655" s="9" t="n">
        <v>806921</v>
      </c>
      <c r="B1655" s="9" t="inlineStr">
        <is>
          <t>Yannic Walther</t>
        </is>
      </c>
      <c r="C1655" s="9" t="inlineStr">
        <is>
          <t>MIL</t>
        </is>
      </c>
      <c r="D1655" s="9" t="n">
        <v>25</v>
      </c>
      <c r="E1655" s="16" t="inlineStr">
        <is>
          <t>R</t>
        </is>
      </c>
      <c r="F1655" s="16" t="n"/>
      <c r="G1655" s="9" t="n">
        <v>24.2051282051282</v>
      </c>
      <c r="H1655" s="9" t="n">
        <v>24.2051282051282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1" t="n">
        <v>1</v>
      </c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/>
      <c r="Y1655" s="17" t="n">
        <v>1</v>
      </c>
      <c r="Z1655" s="13">
        <f>SUMPRODUCT(N1655:Y1655,$N$2:$Y$2)*$K1655*$L1655*$M1655</f>
        <v/>
      </c>
      <c r="AA1655" s="14">
        <f>SUM(N1655:Y1655)</f>
        <v/>
      </c>
      <c r="AB1655" s="14">
        <f>IFERROR(IF(UPPER($E1655)="L",SUMPRODUCT(N1655:Y1655,$N$3:$Y$3,$N$2:$Y$2),SUMPRODUCT(N1655:Y1655,$N$4:$Y$4,$N$2:$Y$2))/(Z1655/($K1655*$L1655*$M1655)),"")</f>
        <v/>
      </c>
      <c r="AC1655" s="18" t="n"/>
    </row>
    <row r="1656">
      <c r="A1656" s="9" t="n">
        <v>834846</v>
      </c>
      <c r="B1656" s="9" t="inlineStr">
        <is>
          <t>Caden Merritt</t>
        </is>
      </c>
      <c r="C1656" s="9" t="inlineStr">
        <is>
          <t>ATL</t>
        </is>
      </c>
      <c r="D1656" s="9" t="n">
        <v>25</v>
      </c>
      <c r="E1656" s="16" t="inlineStr">
        <is>
          <t>R</t>
        </is>
      </c>
      <c r="F1656" s="16" t="n"/>
      <c r="G1656" s="9" t="n">
        <v>22.27692307692308</v>
      </c>
      <c r="H1656" s="9" t="n">
        <v>22.27692307692308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1" t="n">
        <v>1</v>
      </c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/>
      <c r="Y1656" s="17" t="n">
        <v>1</v>
      </c>
      <c r="Z1656" s="13">
        <f>SUMPRODUCT(N1656:Y1656,$N$2:$Y$2)*$K1656*$L1656*$M1656</f>
        <v/>
      </c>
      <c r="AA1656" s="14">
        <f>SUM(N1656:Y1656)</f>
        <v/>
      </c>
      <c r="AB1656" s="14">
        <f>IFERROR(IF(UPPER($E1656)="L",SUMPRODUCT(N1656:Y1656,$N$3:$Y$3,$N$2:$Y$2),SUMPRODUCT(N1656:Y1656,$N$4:$Y$4,$N$2:$Y$2))/(Z1656/($K1656*$L1656*$M1656)),"")</f>
        <v/>
      </c>
      <c r="AC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1" t="n">
        <v>1</v>
      </c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/>
      <c r="Y1657" s="17" t="n">
        <v>1</v>
      </c>
      <c r="Z1657" s="13">
        <f>SUMPRODUCT(N1657:Y1657,$N$2:$Y$2)*$K1657*$L1657*$M1657</f>
        <v/>
      </c>
      <c r="AA1657" s="14">
        <f>SUM(N1657:Y1657)</f>
        <v/>
      </c>
      <c r="AB1657" s="14">
        <f>IFERROR(IF(UPPER($E1657)="L",SUMPRODUCT(N1657:Y1657,$N$3:$Y$3,$N$2:$Y$2),SUMPRODUCT(N1657:Y1657,$N$4:$Y$4,$N$2:$Y$2))/(Z1657/($K1657*$L1657*$M1657)),"")</f>
        <v/>
      </c>
      <c r="AC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1" t="n">
        <v>1</v>
      </c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/>
      <c r="Y1658" s="17" t="n">
        <v>1</v>
      </c>
      <c r="Z1658" s="13">
        <f>SUMPRODUCT(N1658:Y1658,$N$2:$Y$2)*$K1658*$L1658*$M1658</f>
        <v/>
      </c>
      <c r="AA1658" s="14">
        <f>SUM(N1658:Y1658)</f>
        <v/>
      </c>
      <c r="AB1658" s="14">
        <f>IFERROR(IF(UPPER($E1658)="L",SUMPRODUCT(N1658:Y1658,$N$3:$Y$3,$N$2:$Y$2),SUMPRODUCT(N1658:Y1658,$N$4:$Y$4,$N$2:$Y$2))/(Z1658/($K1658*$L1658*$M1658)),"")</f>
        <v/>
      </c>
      <c r="AC1658" s="18" t="n"/>
    </row>
    <row r="1659">
      <c r="A1659" s="9" t="n">
        <v>833381</v>
      </c>
      <c r="B1659" s="9" t="inlineStr">
        <is>
          <t>Jack Moroknek</t>
        </is>
      </c>
      <c r="C1659" s="9" t="inlineStr">
        <is>
          <t>WSH</t>
        </is>
      </c>
      <c r="D1659" s="9" t="n">
        <v>25</v>
      </c>
      <c r="E1659" s="16" t="inlineStr">
        <is>
          <t>L</t>
        </is>
      </c>
      <c r="F1659" s="16" t="n"/>
      <c r="G1659" s="9" t="n">
        <v>32.82051282051282</v>
      </c>
      <c r="H1659" s="9" t="n">
        <v>32.82051282051282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1" t="n">
        <v>1</v>
      </c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/>
      <c r="Y1659" s="17" t="n">
        <v>1</v>
      </c>
      <c r="Z1659" s="13">
        <f>SUMPRODUCT(N1659:Y1659,$N$2:$Y$2)*$K1659*$L1659*$M1659</f>
        <v/>
      </c>
      <c r="AA1659" s="14">
        <f>SUM(N1659:Y1659)</f>
        <v/>
      </c>
      <c r="AB1659" s="14">
        <f>IFERROR(IF(UPPER($E1659)="L",SUMPRODUCT(N1659:Y1659,$N$3:$Y$3,$N$2:$Y$2),SUMPRODUCT(N1659:Y1659,$N$4:$Y$4,$N$2:$Y$2))/(Z1659/($K1659*$L1659*$M1659)),"")</f>
        <v/>
      </c>
      <c r="AC1659" s="18" t="n"/>
    </row>
    <row r="1660">
      <c r="A1660" s="9" t="n">
        <v>821380</v>
      </c>
      <c r="B1660" s="9" t="inlineStr">
        <is>
          <t>Pedro Blanco</t>
        </is>
      </c>
      <c r="C1660" s="9" t="inlineStr">
        <is>
          <t>ARI</t>
        </is>
      </c>
      <c r="D1660" s="9" t="n">
        <v>25</v>
      </c>
      <c r="E1660" s="16" t="inlineStr">
        <is>
          <t>L</t>
        </is>
      </c>
      <c r="F1660" s="16" t="n"/>
      <c r="G1660" s="9" t="n">
        <v>54.52307692307692</v>
      </c>
      <c r="H1660" s="9" t="n">
        <v>54.52307692307692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1" t="n">
        <v>1</v>
      </c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/>
      <c r="Y1660" s="17" t="n">
        <v>1</v>
      </c>
      <c r="Z1660" s="13">
        <f>SUMPRODUCT(N1660:Y1660,$N$2:$Y$2)*$K1660*$L1660*$M1660</f>
        <v/>
      </c>
      <c r="AA1660" s="14">
        <f>SUM(N1660:Y1660)</f>
        <v/>
      </c>
      <c r="AB1660" s="14">
        <f>IFERROR(IF(UPPER($E1660)="L",SUMPRODUCT(N1660:Y1660,$N$3:$Y$3,$N$2:$Y$2),SUMPRODUCT(N1660:Y1660,$N$4:$Y$4,$N$2:$Y$2))/(Z1660/($K1660*$L1660*$M1660)),"")</f>
        <v/>
      </c>
      <c r="AC1660" s="18" t="n"/>
    </row>
    <row r="1661">
      <c r="A1661" s="9" t="n">
        <v>804446</v>
      </c>
      <c r="B1661" s="9" t="inlineStr">
        <is>
          <t>Eddie Micheletti Jr.</t>
        </is>
      </c>
      <c r="C1661" s="9" t="inlineStr">
        <is>
          <t>LAA</t>
        </is>
      </c>
      <c r="D1661" s="9" t="n">
        <v>25</v>
      </c>
      <c r="E1661" s="16" t="inlineStr">
        <is>
          <t>L</t>
        </is>
      </c>
      <c r="F1661" s="16" t="n"/>
      <c r="G1661" s="9" t="n">
        <v>179.8461538461538</v>
      </c>
      <c r="H1661" s="9" t="n">
        <v>179.8461538461538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1" t="n">
        <v>1</v>
      </c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/>
      <c r="Y1661" s="17" t="n">
        <v>1</v>
      </c>
      <c r="Z1661" s="13">
        <f>SUMPRODUCT(N1661:Y1661,$N$2:$Y$2)*$K1661*$L1661*$M1661</f>
        <v/>
      </c>
      <c r="AA1661" s="14">
        <f>SUM(N1661:Y1661)</f>
        <v/>
      </c>
      <c r="AB1661" s="14">
        <f>IFERROR(IF(UPPER($E1661)="L",SUMPRODUCT(N1661:Y1661,$N$3:$Y$3,$N$2:$Y$2),SUMPRODUCT(N1661:Y1661,$N$4:$Y$4,$N$2:$Y$2))/(Z1661/($K1661*$L1661*$M1661)),"")</f>
        <v/>
      </c>
      <c r="AC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inlineStr">
        <is>
          <t>C</t>
        </is>
      </c>
      <c r="G1662" s="9" t="n">
        <v>382</v>
      </c>
      <c r="H1662" s="9" t="n">
        <v>1582</v>
      </c>
      <c r="I1662" s="9" t="inlineStr">
        <is>
          <t>Full Time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1" t="n">
        <v>0.8590567129237127</v>
      </c>
      <c r="N1662" s="17" t="n">
        <v>1</v>
      </c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7" t="n"/>
      <c r="Z1662" s="13">
        <f>SUMPRODUCT(N1662:Y1662,$N$2:$Y$2)*$K1662*$L1662*$M1662</f>
        <v/>
      </c>
      <c r="AA1662" s="14">
        <f>SUM(N1662:Y1662)</f>
        <v/>
      </c>
      <c r="AB1662" s="14">
        <f>IFERROR(IF(UPPER($E1662)="L",SUMPRODUCT(N1662:Y1662,$N$3:$Y$3,$N$2:$Y$2),SUMPRODUCT(N1662:Y1662,$N$4:$Y$4,$N$2:$Y$2))/(Z1662/($K1662*$L1662*$M1662)),"")</f>
        <v/>
      </c>
      <c r="AC1662" s="18" t="n"/>
    </row>
    <row r="1663">
      <c r="A1663" s="9" t="n">
        <v>805301</v>
      </c>
      <c r="B1663" s="9" t="inlineStr">
        <is>
          <t>Jordan Dissin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16.92307692307692</v>
      </c>
      <c r="H1663" s="9" t="n">
        <v>16.92307692307692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1" t="n">
        <v>1</v>
      </c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/>
      <c r="Y1663" s="17" t="n">
        <v>1</v>
      </c>
      <c r="Z1663" s="13">
        <f>SUMPRODUCT(N1663:Y1663,$N$2:$Y$2)*$K1663*$L1663*$M1663</f>
        <v/>
      </c>
      <c r="AA1663" s="14">
        <f>SUM(N1663:Y1663)</f>
        <v/>
      </c>
      <c r="AB1663" s="14">
        <f>IFERROR(IF(UPPER($E1663)="L",SUMPRODUCT(N1663:Y1663,$N$3:$Y$3,$N$2:$Y$2),SUMPRODUCT(N1663:Y1663,$N$4:$Y$4,$N$2:$Y$2))/(Z1663/($K1663*$L1663*$M1663)),"")</f>
        <v/>
      </c>
      <c r="AC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inlineStr">
        <is>
          <t>2B</t>
        </is>
      </c>
      <c r="G1664" s="9" t="n">
        <v>73</v>
      </c>
      <c r="H1664" s="9" t="n">
        <v>836</v>
      </c>
      <c r="I1664" s="9" t="inlineStr">
        <is>
          <t>Weak Side Platoon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1" t="n">
        <v>0.8173167732281431</v>
      </c>
      <c r="N1664" s="17" t="n"/>
      <c r="O1664" s="17" t="n"/>
      <c r="P1664" s="17" t="n"/>
      <c r="Q1664" s="17" t="n">
        <v>1</v>
      </c>
      <c r="R1664" s="17" t="n"/>
      <c r="S1664" s="17" t="n"/>
      <c r="T1664" s="17" t="n"/>
      <c r="U1664" s="17" t="n"/>
      <c r="V1664" s="17" t="n"/>
      <c r="W1664" s="17" t="n"/>
      <c r="X1664" s="17" t="n"/>
      <c r="Y1664" s="17" t="n"/>
      <c r="Z1664" s="13">
        <f>SUMPRODUCT(N1664:Y1664,$N$2:$Y$2)*$K1664*$L1664*$M1664</f>
        <v/>
      </c>
      <c r="AA1664" s="14">
        <f>SUM(N1664:Y1664)</f>
        <v/>
      </c>
      <c r="AB1664" s="14">
        <f>IFERROR(IF(UPPER($E1664)="L",SUMPRODUCT(N1664:Y1664,$N$3:$Y$3,$N$2:$Y$2),SUMPRODUCT(N1664:Y1664,$N$4:$Y$4,$N$2:$Y$2))/(Z1664/($K1664*$L1664*$M1664)),"")</f>
        <v/>
      </c>
      <c r="AC1664" s="18" t="n"/>
    </row>
    <row r="1665">
      <c r="A1665" s="9" t="n">
        <v>801523</v>
      </c>
      <c r="B1665" s="9" t="inlineStr">
        <is>
          <t>Chris Suero</t>
        </is>
      </c>
      <c r="C1665" s="9" t="inlineStr">
        <is>
          <t>NYM</t>
        </is>
      </c>
      <c r="D1665" s="9" t="n">
        <v>25</v>
      </c>
      <c r="E1665" s="16" t="inlineStr">
        <is>
          <t>R</t>
        </is>
      </c>
      <c r="F1665" s="16" t="n"/>
      <c r="G1665" s="9" t="n">
        <v>173.3846153846154</v>
      </c>
      <c r="H1665" s="9" t="n">
        <v>173.3846153846154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1" t="n">
        <v>1</v>
      </c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/>
      <c r="Y1665" s="17" t="n">
        <v>1</v>
      </c>
      <c r="Z1665" s="13">
        <f>SUMPRODUCT(N1665:Y1665,$N$2:$Y$2)*$K1665*$L1665*$M1665</f>
        <v/>
      </c>
      <c r="AA1665" s="14">
        <f>SUM(N1665:Y1665)</f>
        <v/>
      </c>
      <c r="AB1665" s="14">
        <f>IFERROR(IF(UPPER($E1665)="L",SUMPRODUCT(N1665:Y1665,$N$3:$Y$3,$N$2:$Y$2),SUMPRODUCT(N1665:Y1665,$N$4:$Y$4,$N$2:$Y$2))/(Z1665/($K1665*$L1665*$M1665)),"")</f>
        <v/>
      </c>
      <c r="AC1665" s="18" t="n"/>
    </row>
    <row r="1666">
      <c r="A1666" s="9" t="n">
        <v>801686</v>
      </c>
      <c r="B1666" s="9" t="inlineStr">
        <is>
          <t>Michael Carico</t>
        </is>
      </c>
      <c r="C1666" s="9" t="inlineStr">
        <is>
          <t>CHC</t>
        </is>
      </c>
      <c r="D1666" s="9" t="n">
        <v>25</v>
      </c>
      <c r="E1666" s="16" t="inlineStr">
        <is>
          <t>L</t>
        </is>
      </c>
      <c r="F1666" s="16" t="n"/>
      <c r="G1666" s="9" t="n">
        <v>20.10256410256411</v>
      </c>
      <c r="H1666" s="9" t="n">
        <v>20.10256410256411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1" t="n">
        <v>1</v>
      </c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/>
      <c r="Y1666" s="17" t="n">
        <v>1</v>
      </c>
      <c r="Z1666" s="13">
        <f>SUMPRODUCT(N1666:Y1666,$N$2:$Y$2)*$K1666*$L1666*$M1666</f>
        <v/>
      </c>
      <c r="AA1666" s="14">
        <f>SUM(N1666:Y1666)</f>
        <v/>
      </c>
      <c r="AB1666" s="14">
        <f>IFERROR(IF(UPPER($E1666)="L",SUMPRODUCT(N1666:Y1666,$N$3:$Y$3,$N$2:$Y$2),SUMPRODUCT(N1666:Y1666,$N$4:$Y$4,$N$2:$Y$2))/(Z1666/($K1666*$L1666*$M1666)),"")</f>
        <v/>
      </c>
      <c r="AC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1" t="n">
        <v>1</v>
      </c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/>
      <c r="Y1667" s="17" t="n">
        <v>1</v>
      </c>
      <c r="Z1667" s="13">
        <f>SUMPRODUCT(N1667:Y1667,$N$2:$Y$2)*$K1667*$L1667*$M1667</f>
        <v/>
      </c>
      <c r="AA1667" s="14">
        <f>SUM(N1667:Y1667)</f>
        <v/>
      </c>
      <c r="AB1667" s="14">
        <f>IFERROR(IF(UPPER($E1667)="L",SUMPRODUCT(N1667:Y1667,$N$3:$Y$3,$N$2:$Y$2),SUMPRODUCT(N1667:Y1667,$N$4:$Y$4,$N$2:$Y$2))/(Z1667/($K1667*$L1667*$M1667)),"")</f>
        <v/>
      </c>
      <c r="AC1667" s="18" t="n"/>
    </row>
    <row r="1668">
      <c r="A1668" s="9" t="n">
        <v>695573</v>
      </c>
      <c r="B1668" s="9" t="inlineStr">
        <is>
          <t>Cole Mathis</t>
        </is>
      </c>
      <c r="C1668" s="9" t="inlineStr">
        <is>
          <t>NYM</t>
        </is>
      </c>
      <c r="D1668" s="9" t="n">
        <v>25</v>
      </c>
      <c r="E1668" s="16" t="inlineStr">
        <is>
          <t>R</t>
        </is>
      </c>
      <c r="F1668" s="16" t="n"/>
      <c r="G1668" s="9" t="n">
        <v>29.33333333333333</v>
      </c>
      <c r="H1668" s="9" t="n">
        <v>29.33333333333333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1" t="n">
        <v>1</v>
      </c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/>
      <c r="Y1668" s="17" t="n">
        <v>1</v>
      </c>
      <c r="Z1668" s="13">
        <f>SUMPRODUCT(N1668:Y1668,$N$2:$Y$2)*$K1668*$L1668*$M1668</f>
        <v/>
      </c>
      <c r="AA1668" s="14">
        <f>SUM(N1668:Y1668)</f>
        <v/>
      </c>
      <c r="AB1668" s="14">
        <f>IFERROR(IF(UPPER($E1668)="L",SUMPRODUCT(N1668:Y1668,$N$3:$Y$3,$N$2:$Y$2),SUMPRODUCT(N1668:Y1668,$N$4:$Y$4,$N$2:$Y$2))/(Z1668/($K1668*$L1668*$M1668)),"")</f>
        <v/>
      </c>
      <c r="AC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1" t="n">
        <v>1</v>
      </c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/>
      <c r="Y1669" s="17" t="n">
        <v>1</v>
      </c>
      <c r="Z1669" s="13">
        <f>SUMPRODUCT(N1669:Y1669,$N$2:$Y$2)*$K1669*$L1669*$M1669</f>
        <v/>
      </c>
      <c r="AA1669" s="14">
        <f>SUM(N1669:Y1669)</f>
        <v/>
      </c>
      <c r="AB1669" s="14">
        <f>IFERROR(IF(UPPER($E1669)="L",SUMPRODUCT(N1669:Y1669,$N$3:$Y$3,$N$2:$Y$2),SUMPRODUCT(N1669:Y1669,$N$4:$Y$4,$N$2:$Y$2))/(Z1669/($K1669*$L1669*$M1669)),"")</f>
        <v/>
      </c>
      <c r="AC1669" s="18" t="n"/>
    </row>
    <row r="1670">
      <c r="A1670" s="9" t="n">
        <v>701699</v>
      </c>
      <c r="B1670" s="9" t="inlineStr">
        <is>
          <t>Bryan Arendt</t>
        </is>
      </c>
      <c r="C1670" s="9" t="inlineStr">
        <is>
          <t>OAK</t>
        </is>
      </c>
      <c r="D1670" s="9" t="n">
        <v>25</v>
      </c>
      <c r="E1670" s="16" t="inlineStr">
        <is>
          <t>R</t>
        </is>
      </c>
      <c r="F1670" s="16" t="n"/>
      <c r="G1670" s="9" t="n">
        <v>25.02564102564103</v>
      </c>
      <c r="H1670" s="9" t="n">
        <v>25.02564102564103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1" t="n">
        <v>1</v>
      </c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/>
      <c r="Y1670" s="17" t="n">
        <v>1</v>
      </c>
      <c r="Z1670" s="13">
        <f>SUMPRODUCT(N1670:Y1670,$N$2:$Y$2)*$K1670*$L1670*$M1670</f>
        <v/>
      </c>
      <c r="AA1670" s="14">
        <f>SUM(N1670:Y1670)</f>
        <v/>
      </c>
      <c r="AB1670" s="14">
        <f>IFERROR(IF(UPPER($E1670)="L",SUMPRODUCT(N1670:Y1670,$N$3:$Y$3,$N$2:$Y$2),SUMPRODUCT(N1670:Y1670,$N$4:$Y$4,$N$2:$Y$2))/(Z1670/($K1670*$L1670*$M1670)),"")</f>
        <v/>
      </c>
      <c r="AC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1" t="n">
        <v>1</v>
      </c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/>
      <c r="Y1671" s="17" t="n">
        <v>1</v>
      </c>
      <c r="Z1671" s="13">
        <f>SUMPRODUCT(N1671:Y1671,$N$2:$Y$2)*$K1671*$L1671*$M1671</f>
        <v/>
      </c>
      <c r="AA1671" s="14">
        <f>SUM(N1671:Y1671)</f>
        <v/>
      </c>
      <c r="AB1671" s="14">
        <f>IFERROR(IF(UPPER($E1671)="L",SUMPRODUCT(N1671:Y1671,$N$3:$Y$3,$N$2:$Y$2),SUMPRODUCT(N1671:Y1671,$N$4:$Y$4,$N$2:$Y$2))/(Z1671/($K1671*$L1671*$M1671)),"")</f>
        <v/>
      </c>
      <c r="AC1671" s="18" t="n"/>
    </row>
    <row r="1672">
      <c r="A1672" s="9" t="n">
        <v>825094</v>
      </c>
      <c r="B1672" s="9" t="inlineStr">
        <is>
          <t>Nick Dumesnil</t>
        </is>
      </c>
      <c r="C1672" s="9" t="inlineStr">
        <is>
          <t>DET</t>
        </is>
      </c>
      <c r="D1672" s="9" t="n">
        <v>25</v>
      </c>
      <c r="E1672" s="16" t="inlineStr">
        <is>
          <t>R</t>
        </is>
      </c>
      <c r="F1672" s="16" t="n"/>
      <c r="G1672" s="9" t="n">
        <v>30.15384615384616</v>
      </c>
      <c r="H1672" s="9" t="n">
        <v>30.15384615384616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1" t="n">
        <v>1</v>
      </c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/>
      <c r="Y1672" s="17" t="n">
        <v>1</v>
      </c>
      <c r="Z1672" s="13">
        <f>SUMPRODUCT(N1672:Y1672,$N$2:$Y$2)*$K1672*$L1672*$M1672</f>
        <v/>
      </c>
      <c r="AA1672" s="14">
        <f>SUM(N1672:Y1672)</f>
        <v/>
      </c>
      <c r="AB1672" s="14">
        <f>IFERROR(IF(UPPER($E1672)="L",SUMPRODUCT(N1672:Y1672,$N$3:$Y$3,$N$2:$Y$2),SUMPRODUCT(N1672:Y1672,$N$4:$Y$4,$N$2:$Y$2))/(Z1672/($K1672*$L1672*$M1672)),"")</f>
        <v/>
      </c>
      <c r="AC1672" s="18" t="n"/>
    </row>
    <row r="1673">
      <c r="A1673" s="9" t="n">
        <v>820986</v>
      </c>
      <c r="B1673" s="9" t="inlineStr">
        <is>
          <t>Hayden Alvarez</t>
        </is>
      </c>
      <c r="C1673" s="9" t="inlineStr">
        <is>
          <t>LAA</t>
        </is>
      </c>
      <c r="D1673" s="9" t="n">
        <v>25</v>
      </c>
      <c r="E1673" s="16" t="inlineStr">
        <is>
          <t>R</t>
        </is>
      </c>
      <c r="F1673" s="16" t="n"/>
      <c r="G1673" s="9" t="n">
        <v>21.33333333333334</v>
      </c>
      <c r="H1673" s="9" t="n">
        <v>21.33333333333334</v>
      </c>
      <c r="I1673" s="9" t="inlineStr">
        <is>
          <t>Depth (no MLB PA)</t>
        </is>
      </c>
      <c r="J1673" s="16" t="inlineStr">
        <is>
          <t>Late Season (~Sept)</t>
        </is>
      </c>
      <c r="K1673" s="11">
        <f>IFERROR(INDEX(Roles!$B$17:$B$20,MATCH(J1673,Roles!$A$17:$A$20,0)),1)</f>
        <v/>
      </c>
      <c r="L1673" s="17" t="n">
        <v>1</v>
      </c>
      <c r="M1673" s="11" t="n">
        <v>1</v>
      </c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/>
      <c r="Y1673" s="17" t="n">
        <v>1</v>
      </c>
      <c r="Z1673" s="13">
        <f>SUMPRODUCT(N1673:Y1673,$N$2:$Y$2)*$K1673*$L1673*$M1673</f>
        <v/>
      </c>
      <c r="AA1673" s="14">
        <f>SUM(N1673:Y1673)</f>
        <v/>
      </c>
      <c r="AB1673" s="14">
        <f>IFERROR(IF(UPPER($E1673)="L",SUMPRODUCT(N1673:Y1673,$N$3:$Y$3,$N$2:$Y$2),SUMPRODUCT(N1673:Y1673,$N$4:$Y$4,$N$2:$Y$2))/(Z1673/($K1673*$L1673*$M1673)),"")</f>
        <v/>
      </c>
      <c r="AC1673" s="18" t="n"/>
    </row>
    <row r="1674">
      <c r="A1674" s="9" t="n">
        <v>829052</v>
      </c>
      <c r="B1674" s="9" t="inlineStr">
        <is>
          <t>Breyson Guedez</t>
        </is>
      </c>
      <c r="C1674" s="9" t="inlineStr">
        <is>
          <t>OAK</t>
        </is>
      </c>
      <c r="D1674" s="9" t="n">
        <v>25</v>
      </c>
      <c r="E1674" s="16" t="inlineStr">
        <is>
          <t>L</t>
        </is>
      </c>
      <c r="F1674" s="16" t="n"/>
      <c r="G1674" s="9" t="n">
        <v>26.05128205128205</v>
      </c>
      <c r="H1674" s="9" t="n">
        <v>26.05128205128205</v>
      </c>
      <c r="I1674" s="9" t="inlineStr">
        <is>
          <t>Depth (no MLB PA)</t>
        </is>
      </c>
      <c r="J1674" s="16" t="inlineStr">
        <is>
          <t>Late Season (~Sept)</t>
        </is>
      </c>
      <c r="K1674" s="11">
        <f>IFERROR(INDEX(Roles!$B$17:$B$20,MATCH(J1674,Roles!$A$17:$A$20,0)),1)</f>
        <v/>
      </c>
      <c r="L1674" s="17" t="n">
        <v>1</v>
      </c>
      <c r="M1674" s="11" t="n">
        <v>1</v>
      </c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/>
      <c r="Y1674" s="17" t="n">
        <v>1</v>
      </c>
      <c r="Z1674" s="13">
        <f>SUMPRODUCT(N1674:Y1674,$N$2:$Y$2)*$K1674*$L1674*$M1674</f>
        <v/>
      </c>
      <c r="AA1674" s="14">
        <f>SUM(N1674:Y1674)</f>
        <v/>
      </c>
      <c r="AB1674" s="14">
        <f>IFERROR(IF(UPPER($E1674)="L",SUMPRODUCT(N1674:Y1674,$N$3:$Y$3,$N$2:$Y$2),SUMPRODUCT(N1674:Y1674,$N$4:$Y$4,$N$2:$Y$2))/(Z1674/($K1674*$L1674*$M1674)),"")</f>
        <v/>
      </c>
      <c r="AC1674" s="18" t="n"/>
    </row>
    <row r="1675">
      <c r="A1675" s="9" t="n">
        <v>691907</v>
      </c>
      <c r="B1675" s="9" t="inlineStr">
        <is>
          <t>Tsung-Che Cheng</t>
        </is>
      </c>
      <c r="C1675" s="9" t="inlineStr">
        <is>
          <t>BOS</t>
        </is>
      </c>
      <c r="D1675" s="9" t="n">
        <v>25</v>
      </c>
      <c r="E1675" s="16" t="inlineStr">
        <is>
          <t>L</t>
        </is>
      </c>
      <c r="F1675" s="16" t="inlineStr">
        <is>
          <t>SS</t>
        </is>
      </c>
      <c r="G1675" s="9" t="n">
        <v>44</v>
      </c>
      <c r="H1675" s="9" t="n">
        <v>51</v>
      </c>
      <c r="I1675" s="9" t="inlineStr">
        <is>
          <t>Bench Bat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1" t="n">
        <v>1</v>
      </c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/>
      <c r="W1675" s="17" t="n">
        <v>1</v>
      </c>
      <c r="X1675" s="17" t="n"/>
      <c r="Y1675" s="17" t="n"/>
      <c r="Z1675" s="13">
        <f>SUMPRODUCT(N1675:Y1675,$N$2:$Y$2)*$K1675*$L1675*$M1675</f>
        <v/>
      </c>
      <c r="AA1675" s="14">
        <f>SUM(N1675:Y1675)</f>
        <v/>
      </c>
      <c r="AB1675" s="14">
        <f>IFERROR(IF(UPPER($E1675)="L",SUMPRODUCT(N1675:Y1675,$N$3:$Y$3,$N$2:$Y$2),SUMPRODUCT(N1675:Y1675,$N$4:$Y$4,$N$2:$Y$2))/(Z1675/($K1675*$L1675*$M1675)),"")</f>
        <v/>
      </c>
      <c r="AC1675" s="18" t="n"/>
    </row>
    <row r="1676">
      <c r="A1676" s="9" t="n">
        <v>692374</v>
      </c>
      <c r="B1676" s="9" t="inlineStr">
        <is>
          <t>Jose Ramos</t>
        </is>
      </c>
      <c r="C1676" s="9" t="inlineStr">
        <is>
          <t>SF</t>
        </is>
      </c>
      <c r="D1676" s="9" t="n">
        <v>25</v>
      </c>
      <c r="E1676" s="16" t="inlineStr">
        <is>
          <t>R</t>
        </is>
      </c>
      <c r="F1676" s="16" t="n"/>
      <c r="G1676" s="9" t="n">
        <v>25.43589743589744</v>
      </c>
      <c r="H1676" s="9" t="n">
        <v>25.43589743589744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1" t="n">
        <v>1</v>
      </c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/>
      <c r="Y1676" s="17" t="n">
        <v>1</v>
      </c>
      <c r="Z1676" s="13">
        <f>SUMPRODUCT(N1676:Y1676,$N$2:$Y$2)*$K1676*$L1676*$M1676</f>
        <v/>
      </c>
      <c r="AA1676" s="14">
        <f>SUM(N1676:Y1676)</f>
        <v/>
      </c>
      <c r="AB1676" s="14">
        <f>IFERROR(IF(UPPER($E1676)="L",SUMPRODUCT(N1676:Y1676,$N$3:$Y$3,$N$2:$Y$2),SUMPRODUCT(N1676:Y1676,$N$4:$Y$4,$N$2:$Y$2))/(Z1676/($K1676*$L1676*$M1676)),"")</f>
        <v/>
      </c>
      <c r="AC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1" t="n">
        <v>1</v>
      </c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/>
      <c r="Y1677" s="17" t="n">
        <v>1</v>
      </c>
      <c r="Z1677" s="13">
        <f>SUMPRODUCT(N1677:Y1677,$N$2:$Y$2)*$K1677*$L1677*$M1677</f>
        <v/>
      </c>
      <c r="AA1677" s="14">
        <f>SUM(N1677:Y1677)</f>
        <v/>
      </c>
      <c r="AB1677" s="14">
        <f>IFERROR(IF(UPPER($E1677)="L",SUMPRODUCT(N1677:Y1677,$N$3:$Y$3,$N$2:$Y$2),SUMPRODUCT(N1677:Y1677,$N$4:$Y$4,$N$2:$Y$2))/(Z1677/($K1677*$L1677*$M1677)),"")</f>
        <v/>
      </c>
      <c r="AC1677" s="18" t="n"/>
    </row>
    <row r="1678">
      <c r="A1678" s="9" t="n">
        <v>641521</v>
      </c>
      <c r="B1678" s="9" t="inlineStr">
        <is>
          <t>Edwin Díaz</t>
        </is>
      </c>
      <c r="C1678" s="9" t="inlineStr">
        <is>
          <t>HOU</t>
        </is>
      </c>
      <c r="D1678" s="9" t="n">
        <v>25</v>
      </c>
      <c r="E1678" s="16" t="inlineStr">
        <is>
          <t>R</t>
        </is>
      </c>
      <c r="F1678" s="16" t="n"/>
      <c r="G1678" s="9" t="n">
        <v>46.82051282051282</v>
      </c>
      <c r="H1678" s="9" t="n">
        <v>46.82051282051282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1" t="n">
        <v>1</v>
      </c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/>
      <c r="Y1678" s="17" t="n">
        <v>1</v>
      </c>
      <c r="Z1678" s="13">
        <f>SUMPRODUCT(N1678:Y1678,$N$2:$Y$2)*$K1678*$L1678*$M1678</f>
        <v/>
      </c>
      <c r="AA1678" s="14">
        <f>SUM(N1678:Y1678)</f>
        <v/>
      </c>
      <c r="AB1678" s="14">
        <f>IFERROR(IF(UPPER($E1678)="L",SUMPRODUCT(N1678:Y1678,$N$3:$Y$3,$N$2:$Y$2),SUMPRODUCT(N1678:Y1678,$N$4:$Y$4,$N$2:$Y$2))/(Z1678/($K1678*$L1678*$M1678)),"")</f>
        <v/>
      </c>
      <c r="AC1678" s="18" t="n"/>
    </row>
    <row r="1679">
      <c r="A1679" s="9" t="n">
        <v>701546</v>
      </c>
      <c r="B1679" s="9" t="inlineStr">
        <is>
          <t>Duce Gourson</t>
        </is>
      </c>
      <c r="C1679" s="9" t="inlineStr">
        <is>
          <t>PIT</t>
        </is>
      </c>
      <c r="D1679" s="9" t="n">
        <v>25</v>
      </c>
      <c r="E1679" s="16" t="inlineStr">
        <is>
          <t>L</t>
        </is>
      </c>
      <c r="F1679" s="16" t="n"/>
      <c r="G1679" s="9" t="n">
        <v>112.2564102564103</v>
      </c>
      <c r="H1679" s="9" t="n">
        <v>112.2564102564103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1" t="n">
        <v>1</v>
      </c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/>
      <c r="Y1679" s="17" t="n">
        <v>1</v>
      </c>
      <c r="Z1679" s="13">
        <f>SUMPRODUCT(N1679:Y1679,$N$2:$Y$2)*$K1679*$L1679*$M1679</f>
        <v/>
      </c>
      <c r="AA1679" s="14">
        <f>SUM(N1679:Y1679)</f>
        <v/>
      </c>
      <c r="AB1679" s="14">
        <f>IFERROR(IF(UPPER($E1679)="L",SUMPRODUCT(N1679:Y1679,$N$3:$Y$3,$N$2:$Y$2),SUMPRODUCT(N1679:Y1679,$N$4:$Y$4,$N$2:$Y$2))/(Z1679/($K1679*$L1679*$M1679)),"")</f>
        <v/>
      </c>
      <c r="AC1679" s="18" t="n"/>
    </row>
    <row r="1680">
      <c r="A1680" s="9" t="n">
        <v>806869</v>
      </c>
      <c r="B1680" s="9" t="inlineStr">
        <is>
          <t>Pedro Catuy</t>
        </is>
      </c>
      <c r="C1680" s="9" t="inlineStr">
        <is>
          <t>ARI</t>
        </is>
      </c>
      <c r="D1680" s="9" t="n">
        <v>25</v>
      </c>
      <c r="E1680" s="16" t="inlineStr">
        <is>
          <t>R</t>
        </is>
      </c>
      <c r="F1680" s="16" t="n"/>
      <c r="G1680" s="9" t="n">
        <v>34.46153846153846</v>
      </c>
      <c r="H1680" s="9" t="n">
        <v>34.46153846153846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1" t="n">
        <v>1</v>
      </c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/>
      <c r="Y1680" s="17" t="n">
        <v>1</v>
      </c>
      <c r="Z1680" s="13">
        <f>SUMPRODUCT(N1680:Y1680,$N$2:$Y$2)*$K1680*$L1680*$M1680</f>
        <v/>
      </c>
      <c r="AA1680" s="14">
        <f>SUM(N1680:Y1680)</f>
        <v/>
      </c>
      <c r="AB1680" s="14">
        <f>IFERROR(IF(UPPER($E1680)="L",SUMPRODUCT(N1680:Y1680,$N$3:$Y$3,$N$2:$Y$2),SUMPRODUCT(N1680:Y1680,$N$4:$Y$4,$N$2:$Y$2))/(Z1680/($K1680*$L1680*$M1680)),"")</f>
        <v/>
      </c>
      <c r="AC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1" t="n">
        <v>1</v>
      </c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/>
      <c r="Y1681" s="17" t="n">
        <v>1</v>
      </c>
      <c r="Z1681" s="13">
        <f>SUMPRODUCT(N1681:Y1681,$N$2:$Y$2)*$K1681*$L1681*$M1681</f>
        <v/>
      </c>
      <c r="AA1681" s="14">
        <f>SUM(N1681:Y1681)</f>
        <v/>
      </c>
      <c r="AB1681" s="14">
        <f>IFERROR(IF(UPPER($E1681)="L",SUMPRODUCT(N1681:Y1681,$N$3:$Y$3,$N$2:$Y$2),SUMPRODUCT(N1681:Y1681,$N$4:$Y$4,$N$2:$Y$2))/(Z1681/($K1681*$L1681*$M1681)),"")</f>
        <v/>
      </c>
      <c r="AC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1" t="n">
        <v>1</v>
      </c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/>
      <c r="Y1682" s="17" t="n">
        <v>1</v>
      </c>
      <c r="Z1682" s="13">
        <f>SUMPRODUCT(N1682:Y1682,$N$2:$Y$2)*$K1682*$L1682*$M1682</f>
        <v/>
      </c>
      <c r="AA1682" s="14">
        <f>SUM(N1682:Y1682)</f>
        <v/>
      </c>
      <c r="AB1682" s="14">
        <f>IFERROR(IF(UPPER($E1682)="L",SUMPRODUCT(N1682:Y1682,$N$3:$Y$3,$N$2:$Y$2),SUMPRODUCT(N1682:Y1682,$N$4:$Y$4,$N$2:$Y$2))/(Z1682/($K1682*$L1682*$M1682)),"")</f>
        <v/>
      </c>
      <c r="AC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1" t="n">
        <v>1</v>
      </c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/>
      <c r="Y1683" s="17" t="n">
        <v>1</v>
      </c>
      <c r="Z1683" s="13">
        <f>SUMPRODUCT(N1683:Y1683,$N$2:$Y$2)*$K1683*$L1683*$M1683</f>
        <v/>
      </c>
      <c r="AA1683" s="14">
        <f>SUM(N1683:Y1683)</f>
        <v/>
      </c>
      <c r="AB1683" s="14">
        <f>IFERROR(IF(UPPER($E1683)="L",SUMPRODUCT(N1683:Y1683,$N$3:$Y$3,$N$2:$Y$2),SUMPRODUCT(N1683:Y1683,$N$4:$Y$4,$N$2:$Y$2))/(Z1683/($K1683*$L1683*$M1683)),"")</f>
        <v/>
      </c>
      <c r="AC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1" t="n">
        <v>1</v>
      </c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/>
      <c r="Y1684" s="17" t="n">
        <v>1</v>
      </c>
      <c r="Z1684" s="13">
        <f>SUMPRODUCT(N1684:Y1684,$N$2:$Y$2)*$K1684*$L1684*$M1684</f>
        <v/>
      </c>
      <c r="AA1684" s="14">
        <f>SUM(N1684:Y1684)</f>
        <v/>
      </c>
      <c r="AB1684" s="14">
        <f>IFERROR(IF(UPPER($E1684)="L",SUMPRODUCT(N1684:Y1684,$N$3:$Y$3,$N$2:$Y$2),SUMPRODUCT(N1684:Y1684,$N$4:$Y$4,$N$2:$Y$2))/(Z1684/($K1684*$L1684*$M1684)),"")</f>
        <v/>
      </c>
      <c r="AC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1" t="n">
        <v>1</v>
      </c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/>
      <c r="Y1685" s="17" t="n">
        <v>1</v>
      </c>
      <c r="Z1685" s="13">
        <f>SUMPRODUCT(N1685:Y1685,$N$2:$Y$2)*$K1685*$L1685*$M1685</f>
        <v/>
      </c>
      <c r="AA1685" s="14">
        <f>SUM(N1685:Y1685)</f>
        <v/>
      </c>
      <c r="AB1685" s="14">
        <f>IFERROR(IF(UPPER($E1685)="L",SUMPRODUCT(N1685:Y1685,$N$3:$Y$3,$N$2:$Y$2),SUMPRODUCT(N1685:Y1685,$N$4:$Y$4,$N$2:$Y$2))/(Z1685/($K1685*$L1685*$M1685)),"")</f>
        <v/>
      </c>
      <c r="AC1685" s="18" t="n"/>
    </row>
    <row r="1686">
      <c r="A1686" s="9" t="n">
        <v>672761</v>
      </c>
      <c r="B1686" s="9" t="inlineStr">
        <is>
          <t>Wenceel Pérez</t>
        </is>
      </c>
      <c r="C1686" s="9" t="inlineStr">
        <is>
          <t>DET</t>
        </is>
      </c>
      <c r="D1686" s="9" t="n">
        <v>27</v>
      </c>
      <c r="E1686" s="16" t="inlineStr">
        <is>
          <t>S</t>
        </is>
      </c>
      <c r="F1686" s="16" t="inlineStr">
        <is>
          <t>RF</t>
        </is>
      </c>
      <c r="G1686" s="9" t="n">
        <v>175</v>
      </c>
      <c r="H1686" s="9" t="n">
        <v>983</v>
      </c>
      <c r="I1686" s="9" t="inlineStr">
        <is>
          <t>Injury Replacement / 26th Man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1" t="n">
        <v>1.044310805167854</v>
      </c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/>
      <c r="W1686" s="17" t="n">
        <v>0.15</v>
      </c>
      <c r="X1686" s="17" t="n">
        <v>0.85</v>
      </c>
      <c r="Y1686" s="17" t="n"/>
      <c r="Z1686" s="13">
        <f>SUMPRODUCT(N1686:Y1686,$N$2:$Y$2)*$K1686*$L1686*$M1686</f>
        <v/>
      </c>
      <c r="AA1686" s="14">
        <f>SUM(N1686:Y1686)</f>
        <v/>
      </c>
      <c r="AB1686" s="14">
        <f>IFERROR(IF(UPPER($E1686)="L",SUMPRODUCT(N1686:Y1686,$N$3:$Y$3,$N$2:$Y$2),SUMPRODUCT(N1686:Y1686,$N$4:$Y$4,$N$2:$Y$2))/(Z1686/($K1686*$L1686*$M1686)),"")</f>
        <v/>
      </c>
      <c r="AC1686" s="18" t="n"/>
    </row>
    <row r="1687">
      <c r="A1687" s="9" t="n">
        <v>803067</v>
      </c>
      <c r="B1687" s="9" t="inlineStr">
        <is>
          <t>Brady Marget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26.46153846153846</v>
      </c>
      <c r="H1687" s="9" t="n">
        <v>26.46153846153846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1" t="n">
        <v>1</v>
      </c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/>
      <c r="Y1687" s="17" t="n">
        <v>1</v>
      </c>
      <c r="Z1687" s="13">
        <f>SUMPRODUCT(N1687:Y1687,$N$2:$Y$2)*$K1687*$L1687*$M1687</f>
        <v/>
      </c>
      <c r="AA1687" s="14">
        <f>SUM(N1687:Y1687)</f>
        <v/>
      </c>
      <c r="AB1687" s="14">
        <f>IFERROR(IF(UPPER($E1687)="L",SUMPRODUCT(N1687:Y1687,$N$3:$Y$3,$N$2:$Y$2),SUMPRODUCT(N1687:Y1687,$N$4:$Y$4,$N$2:$Y$2))/(Z1687/($K1687*$L1687*$M1687)),"")</f>
        <v/>
      </c>
      <c r="AC1687" s="18" t="n"/>
    </row>
    <row r="1688">
      <c r="A1688" s="9" t="n">
        <v>694181</v>
      </c>
      <c r="B1688" s="9" t="inlineStr">
        <is>
          <t>Carlos Colmenarez</t>
        </is>
      </c>
      <c r="C1688" s="9" t="inlineStr">
        <is>
          <t>TB</t>
        </is>
      </c>
      <c r="D1688" s="9" t="n">
        <v>25</v>
      </c>
      <c r="E1688" s="16" t="inlineStr">
        <is>
          <t>L</t>
        </is>
      </c>
      <c r="F1688" s="16" t="n"/>
      <c r="G1688" s="9" t="n">
        <v>46.82051282051282</v>
      </c>
      <c r="H1688" s="9" t="n">
        <v>46.82051282051282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1" t="n">
        <v>1</v>
      </c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/>
      <c r="Y1688" s="17" t="n">
        <v>1</v>
      </c>
      <c r="Z1688" s="13">
        <f>SUMPRODUCT(N1688:Y1688,$N$2:$Y$2)*$K1688*$L1688*$M1688</f>
        <v/>
      </c>
      <c r="AA1688" s="14">
        <f>SUM(N1688:Y1688)</f>
        <v/>
      </c>
      <c r="AB1688" s="14">
        <f>IFERROR(IF(UPPER($E1688)="L",SUMPRODUCT(N1688:Y1688,$N$3:$Y$3,$N$2:$Y$2),SUMPRODUCT(N1688:Y1688,$N$4:$Y$4,$N$2:$Y$2))/(Z1688/($K1688*$L1688*$M1688)),"")</f>
        <v/>
      </c>
      <c r="AC1688" s="18" t="n"/>
    </row>
    <row r="1689">
      <c r="A1689" s="9" t="n">
        <v>692110</v>
      </c>
      <c r="B1689" s="9" t="inlineStr">
        <is>
          <t>Core Jackson</t>
        </is>
      </c>
      <c r="C1689" s="9" t="inlineStr">
        <is>
          <t>NYY</t>
        </is>
      </c>
      <c r="D1689" s="9" t="n">
        <v>25</v>
      </c>
      <c r="E1689" s="16" t="inlineStr">
        <is>
          <t>L</t>
        </is>
      </c>
      <c r="F1689" s="16" t="n"/>
      <c r="G1689" s="9" t="n">
        <v>36.25641025641026</v>
      </c>
      <c r="H1689" s="9" t="n">
        <v>36.25641025641026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1" t="n">
        <v>1</v>
      </c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/>
      <c r="Y1689" s="17" t="n">
        <v>1</v>
      </c>
      <c r="Z1689" s="13">
        <f>SUMPRODUCT(N1689:Y1689,$N$2:$Y$2)*$K1689*$L1689*$M1689</f>
        <v/>
      </c>
      <c r="AA1689" s="14">
        <f>SUM(N1689:Y1689)</f>
        <v/>
      </c>
      <c r="AB1689" s="14">
        <f>IFERROR(IF(UPPER($E1689)="L",SUMPRODUCT(N1689:Y1689,$N$3:$Y$3,$N$2:$Y$2),SUMPRODUCT(N1689:Y1689,$N$4:$Y$4,$N$2:$Y$2))/(Z1689/($K1689*$L1689*$M1689)),"")</f>
        <v/>
      </c>
      <c r="AC1689" s="18" t="n"/>
    </row>
    <row r="1690">
      <c r="A1690" s="9" t="n">
        <v>694469</v>
      </c>
      <c r="B1690" s="9" t="inlineStr">
        <is>
          <t>Bryce Eblin</t>
        </is>
      </c>
      <c r="C1690" s="9" t="inlineStr">
        <is>
          <t>CWS</t>
        </is>
      </c>
      <c r="D1690" s="9" t="n">
        <v>25</v>
      </c>
      <c r="E1690" s="16" t="inlineStr">
        <is>
          <t>L</t>
        </is>
      </c>
      <c r="F1690" s="16" t="n"/>
      <c r="G1690" s="9" t="n">
        <v>29.94871794871795</v>
      </c>
      <c r="H1690" s="9" t="n">
        <v>29.94871794871795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1" t="n">
        <v>1</v>
      </c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/>
      <c r="Y1690" s="17" t="n">
        <v>1</v>
      </c>
      <c r="Z1690" s="13">
        <f>SUMPRODUCT(N1690:Y1690,$N$2:$Y$2)*$K1690*$L1690*$M1690</f>
        <v/>
      </c>
      <c r="AA1690" s="14">
        <f>SUM(N1690:Y1690)</f>
        <v/>
      </c>
      <c r="AB1690" s="14">
        <f>IFERROR(IF(UPPER($E1690)="L",SUMPRODUCT(N1690:Y1690,$N$3:$Y$3,$N$2:$Y$2),SUMPRODUCT(N1690:Y1690,$N$4:$Y$4,$N$2:$Y$2))/(Z1690/($K1690*$L1690*$M1690)),"")</f>
        <v/>
      </c>
      <c r="AC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1" t="n">
        <v>1</v>
      </c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/>
      <c r="Y1691" s="17" t="n">
        <v>1</v>
      </c>
      <c r="Z1691" s="13">
        <f>SUMPRODUCT(N1691:Y1691,$N$2:$Y$2)*$K1691*$L1691*$M1691</f>
        <v/>
      </c>
      <c r="AA1691" s="14">
        <f>SUM(N1691:Y1691)</f>
        <v/>
      </c>
      <c r="AB1691" s="14">
        <f>IFERROR(IF(UPPER($E1691)="L",SUMPRODUCT(N1691:Y1691,$N$3:$Y$3,$N$2:$Y$2),SUMPRODUCT(N1691:Y1691,$N$4:$Y$4,$N$2:$Y$2))/(Z1691/($K1691*$L1691*$M1691)),"")</f>
        <v/>
      </c>
      <c r="AC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1" t="n">
        <v>1</v>
      </c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/>
      <c r="Y1692" s="17" t="n">
        <v>1</v>
      </c>
      <c r="Z1692" s="13">
        <f>SUMPRODUCT(N1692:Y1692,$N$2:$Y$2)*$K1692*$L1692*$M1692</f>
        <v/>
      </c>
      <c r="AA1692" s="14">
        <f>SUM(N1692:Y1692)</f>
        <v/>
      </c>
      <c r="AB1692" s="14">
        <f>IFERROR(IF(UPPER($E1692)="L",SUMPRODUCT(N1692:Y1692,$N$3:$Y$3,$N$2:$Y$2),SUMPRODUCT(N1692:Y1692,$N$4:$Y$4,$N$2:$Y$2))/(Z1692/($K1692*$L1692*$M1692)),"")</f>
        <v/>
      </c>
      <c r="AC1692" s="18" t="n"/>
    </row>
    <row r="1693">
      <c r="A1693" s="9" t="n">
        <v>805804</v>
      </c>
      <c r="B1693" s="9" t="inlineStr">
        <is>
          <t>George Wolkow</t>
        </is>
      </c>
      <c r="C1693" s="9" t="inlineStr">
        <is>
          <t>CWS</t>
        </is>
      </c>
      <c r="D1693" s="9" t="n">
        <v>25</v>
      </c>
      <c r="E1693" s="16" t="inlineStr">
        <is>
          <t>L</t>
        </is>
      </c>
      <c r="F1693" s="16" t="n"/>
      <c r="G1693" s="9" t="n">
        <v>110.5641025641026</v>
      </c>
      <c r="H1693" s="9" t="n">
        <v>110.5641025641026</v>
      </c>
      <c r="I1693" s="9" t="inlineStr">
        <is>
          <t>Depth (no MLB PA)</t>
        </is>
      </c>
      <c r="J1693" s="16" t="inlineStr">
        <is>
          <t>Late Season (~Sept)</t>
        </is>
      </c>
      <c r="K1693" s="11">
        <f>IFERROR(INDEX(Roles!$B$17:$B$20,MATCH(J1693,Roles!$A$17:$A$20,0)),1)</f>
        <v/>
      </c>
      <c r="L1693" s="17" t="n">
        <v>1</v>
      </c>
      <c r="M1693" s="11" t="n">
        <v>1</v>
      </c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/>
      <c r="Y1693" s="17" t="n">
        <v>1</v>
      </c>
      <c r="Z1693" s="13">
        <f>SUMPRODUCT(N1693:Y1693,$N$2:$Y$2)*$K1693*$L1693*$M1693</f>
        <v/>
      </c>
      <c r="AA1693" s="14">
        <f>SUM(N1693:Y1693)</f>
        <v/>
      </c>
      <c r="AB1693" s="14">
        <f>IFERROR(IF(UPPER($E1693)="L",SUMPRODUCT(N1693:Y1693,$N$3:$Y$3,$N$2:$Y$2),SUMPRODUCT(N1693:Y1693,$N$4:$Y$4,$N$2:$Y$2))/(Z1693/($K1693*$L1693*$M1693)),"")</f>
        <v/>
      </c>
      <c r="AC1693" s="18" t="n"/>
    </row>
    <row r="1694">
      <c r="A1694" s="9" t="n">
        <v>833426</v>
      </c>
      <c r="B1694" s="9" t="inlineStr">
        <is>
          <t>Hayden Jatczak</t>
        </is>
      </c>
      <c r="C1694" s="9" t="inlineStr">
        <is>
          <t>SF</t>
        </is>
      </c>
      <c r="D1694" s="9" t="n">
        <v>25</v>
      </c>
      <c r="E1694" s="16" t="inlineStr">
        <is>
          <t>R</t>
        </is>
      </c>
      <c r="F1694" s="16" t="n"/>
      <c r="G1694" s="9" t="n">
        <v>30.56410256410257</v>
      </c>
      <c r="H1694" s="9" t="n">
        <v>30.56410256410257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1" t="n">
        <v>1</v>
      </c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/>
      <c r="Y1694" s="17" t="n">
        <v>1</v>
      </c>
      <c r="Z1694" s="13">
        <f>SUMPRODUCT(N1694:Y1694,$N$2:$Y$2)*$K1694*$L1694*$M1694</f>
        <v/>
      </c>
      <c r="AA1694" s="14">
        <f>SUM(N1694:Y1694)</f>
        <v/>
      </c>
      <c r="AB1694" s="14">
        <f>IFERROR(IF(UPPER($E1694)="L",SUMPRODUCT(N1694:Y1694,$N$3:$Y$3,$N$2:$Y$2),SUMPRODUCT(N1694:Y1694,$N$4:$Y$4,$N$2:$Y$2))/(Z1694/($K1694*$L1694*$M1694)),"")</f>
        <v/>
      </c>
      <c r="AC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inlineStr">
        <is>
          <t>LF</t>
        </is>
      </c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1" t="n">
        <v>1</v>
      </c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/>
      <c r="Y1695" s="17" t="n">
        <v>1</v>
      </c>
      <c r="Z1695" s="13">
        <f>SUMPRODUCT(N1695:Y1695,$N$2:$Y$2)*$K1695*$L1695*$M1695</f>
        <v/>
      </c>
      <c r="AA1695" s="14">
        <f>SUM(N1695:Y1695)</f>
        <v/>
      </c>
      <c r="AB1695" s="14">
        <f>IFERROR(IF(UPPER($E1695)="L",SUMPRODUCT(N1695:Y1695,$N$3:$Y$3,$N$2:$Y$2),SUMPRODUCT(N1695:Y1695,$N$4:$Y$4,$N$2:$Y$2))/(Z1695/($K1695*$L1695*$M1695)),"")</f>
        <v/>
      </c>
      <c r="AC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25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Late Season (~Sept)</t>
        </is>
      </c>
      <c r="K1696" s="11">
        <f>IFERROR(INDEX(Roles!$B$17:$B$20,MATCH(J1696,Roles!$A$17:$A$20,0)),1)</f>
        <v/>
      </c>
      <c r="L1696" s="17" t="n">
        <v>1</v>
      </c>
      <c r="M1696" s="11" t="n">
        <v>1</v>
      </c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/>
      <c r="Y1696" s="17" t="n">
        <v>1</v>
      </c>
      <c r="Z1696" s="13">
        <f>SUMPRODUCT(N1696:Y1696,$N$2:$Y$2)*$K1696*$L1696*$M1696</f>
        <v/>
      </c>
      <c r="AA1696" s="14">
        <f>SUM(N1696:Y1696)</f>
        <v/>
      </c>
      <c r="AB1696" s="14">
        <f>IFERROR(IF(UPPER($E1696)="L",SUMPRODUCT(N1696:Y1696,$N$3:$Y$3,$N$2:$Y$2),SUMPRODUCT(N1696:Y1696,$N$4:$Y$4,$N$2:$Y$2))/(Z1696/($K1696*$L1696*$M1696)),"")</f>
        <v/>
      </c>
      <c r="AC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1" t="n">
        <v>1</v>
      </c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/>
      <c r="Y1697" s="17" t="n">
        <v>1</v>
      </c>
      <c r="Z1697" s="13">
        <f>SUMPRODUCT(N1697:Y1697,$N$2:$Y$2)*$K1697*$L1697*$M1697</f>
        <v/>
      </c>
      <c r="AA1697" s="14">
        <f>SUM(N1697:Y1697)</f>
        <v/>
      </c>
      <c r="AB1697" s="14">
        <f>IFERROR(IF(UPPER($E1697)="L",SUMPRODUCT(N1697:Y1697,$N$3:$Y$3,$N$2:$Y$2),SUMPRODUCT(N1697:Y1697,$N$4:$Y$4,$N$2:$Y$2))/(Z1697/($K1697*$L1697*$M1697)),"")</f>
        <v/>
      </c>
      <c r="AC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1" t="n">
        <v>1</v>
      </c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/>
      <c r="Y1698" s="17" t="n">
        <v>1</v>
      </c>
      <c r="Z1698" s="13">
        <f>SUMPRODUCT(N1698:Y1698,$N$2:$Y$2)*$K1698*$L1698*$M1698</f>
        <v/>
      </c>
      <c r="AA1698" s="14">
        <f>SUM(N1698:Y1698)</f>
        <v/>
      </c>
      <c r="AB1698" s="14">
        <f>IFERROR(IF(UPPER($E1698)="L",SUMPRODUCT(N1698:Y1698,$N$3:$Y$3,$N$2:$Y$2),SUMPRODUCT(N1698:Y1698,$N$4:$Y$4,$N$2:$Y$2))/(Z1698/($K1698*$L1698*$M1698)),"")</f>
        <v/>
      </c>
      <c r="AC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25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Late Season (~Sept)</t>
        </is>
      </c>
      <c r="K1699" s="11">
        <f>IFERROR(INDEX(Roles!$B$17:$B$20,MATCH(J1699,Roles!$A$17:$A$20,0)),1)</f>
        <v/>
      </c>
      <c r="L1699" s="17" t="n">
        <v>1</v>
      </c>
      <c r="M1699" s="11" t="n">
        <v>1</v>
      </c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/>
      <c r="Y1699" s="17" t="n">
        <v>1</v>
      </c>
      <c r="Z1699" s="13">
        <f>SUMPRODUCT(N1699:Y1699,$N$2:$Y$2)*$K1699*$L1699*$M1699</f>
        <v/>
      </c>
      <c r="AA1699" s="14">
        <f>SUM(N1699:Y1699)</f>
        <v/>
      </c>
      <c r="AB1699" s="14">
        <f>IFERROR(IF(UPPER($E1699)="L",SUMPRODUCT(N1699:Y1699,$N$3:$Y$3,$N$2:$Y$2),SUMPRODUCT(N1699:Y1699,$N$4:$Y$4,$N$2:$Y$2))/(Z1699/($K1699*$L1699*$M1699)),"")</f>
        <v/>
      </c>
      <c r="AC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inlineStr">
        <is>
          <t>C</t>
        </is>
      </c>
      <c r="G1700" s="9" t="n">
        <v>254</v>
      </c>
      <c r="H1700" s="9" t="n">
        <v>876</v>
      </c>
      <c r="I1700" s="9" t="inlineStr">
        <is>
          <t>Catcher - Backup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1" t="n">
        <v>1.085561950734867</v>
      </c>
      <c r="N1700" s="17" t="n"/>
      <c r="O1700" s="17" t="n"/>
      <c r="P1700" s="17" t="n"/>
      <c r="Q1700" s="17" t="n"/>
      <c r="R1700" s="17" t="n"/>
      <c r="S1700" s="17" t="n"/>
      <c r="T1700" s="17" t="n">
        <v>0.7</v>
      </c>
      <c r="U1700" s="17" t="n"/>
      <c r="V1700" s="17" t="n"/>
      <c r="W1700" s="17" t="n">
        <v>0.3</v>
      </c>
      <c r="X1700" s="17" t="n"/>
      <c r="Y1700" s="17" t="n"/>
      <c r="Z1700" s="13">
        <f>SUMPRODUCT(N1700:Y1700,$N$2:$Y$2)*$K1700*$L1700*$M1700</f>
        <v/>
      </c>
      <c r="AA1700" s="14">
        <f>SUM(N1700:Y1700)</f>
        <v/>
      </c>
      <c r="AB1700" s="14">
        <f>IFERROR(IF(UPPER($E1700)="L",SUMPRODUCT(N1700:Y1700,$N$3:$Y$3,$N$2:$Y$2),SUMPRODUCT(N1700:Y1700,$N$4:$Y$4,$N$2:$Y$2))/(Z1700/($K1700*$L1700*$M1700)),"")</f>
        <v/>
      </c>
      <c r="AC1700" s="18" t="n"/>
    </row>
    <row r="1701">
      <c r="A1701" s="9" t="n">
        <v>681134</v>
      </c>
      <c r="B1701" s="9" t="inlineStr">
        <is>
          <t>Caleb Roberts</t>
        </is>
      </c>
      <c r="C1701" s="9" t="inlineStr">
        <is>
          <t>MIN</t>
        </is>
      </c>
      <c r="D1701" s="9" t="n">
        <v>25</v>
      </c>
      <c r="E1701" s="16" t="inlineStr">
        <is>
          <t>L</t>
        </is>
      </c>
      <c r="F1701" s="16" t="n"/>
      <c r="G1701" s="9" t="n">
        <v>43.79487179487179</v>
      </c>
      <c r="H1701" s="9" t="n">
        <v>43.79487179487179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1" t="n">
        <v>1</v>
      </c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/>
      <c r="Y1701" s="17" t="n">
        <v>1</v>
      </c>
      <c r="Z1701" s="13">
        <f>SUMPRODUCT(N1701:Y1701,$N$2:$Y$2)*$K1701*$L1701*$M1701</f>
        <v/>
      </c>
      <c r="AA1701" s="14">
        <f>SUM(N1701:Y1701)</f>
        <v/>
      </c>
      <c r="AB1701" s="14">
        <f>IFERROR(IF(UPPER($E1701)="L",SUMPRODUCT(N1701:Y1701,$N$3:$Y$3,$N$2:$Y$2),SUMPRODUCT(N1701:Y1701,$N$4:$Y$4,$N$2:$Y$2))/(Z1701/($K1701*$L1701*$M1701)),"")</f>
        <v/>
      </c>
      <c r="AC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1" t="n">
        <v>1</v>
      </c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/>
      <c r="Y1702" s="17" t="n">
        <v>1</v>
      </c>
      <c r="Z1702" s="13">
        <f>SUMPRODUCT(N1702:Y1702,$N$2:$Y$2)*$K1702*$L1702*$M1702</f>
        <v/>
      </c>
      <c r="AA1702" s="14">
        <f>SUM(N1702:Y1702)</f>
        <v/>
      </c>
      <c r="AB1702" s="14">
        <f>IFERROR(IF(UPPER($E1702)="L",SUMPRODUCT(N1702:Y1702,$N$3:$Y$3,$N$2:$Y$2),SUMPRODUCT(N1702:Y1702,$N$4:$Y$4,$N$2:$Y$2))/(Z1702/($K1702*$L1702*$M1702)),"")</f>
        <v/>
      </c>
      <c r="AC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1" t="n">
        <v>1</v>
      </c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/>
      <c r="Y1703" s="17" t="n">
        <v>1</v>
      </c>
      <c r="Z1703" s="13">
        <f>SUMPRODUCT(N1703:Y1703,$N$2:$Y$2)*$K1703*$L1703*$M1703</f>
        <v/>
      </c>
      <c r="AA1703" s="14">
        <f>SUM(N1703:Y1703)</f>
        <v/>
      </c>
      <c r="AB1703" s="14">
        <f>IFERROR(IF(UPPER($E1703)="L",SUMPRODUCT(N1703:Y1703,$N$3:$Y$3,$N$2:$Y$2),SUMPRODUCT(N1703:Y1703,$N$4:$Y$4,$N$2:$Y$2))/(Z1703/($K1703*$L1703*$M1703)),"")</f>
        <v/>
      </c>
      <c r="AC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inlineStr">
        <is>
          <t>C</t>
        </is>
      </c>
      <c r="G1704" s="9" t="n">
        <v>549</v>
      </c>
      <c r="H1704" s="9" t="n">
        <v>1662</v>
      </c>
      <c r="I1704" s="9" t="inlineStr">
        <is>
          <t>Catcher - Primary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1" t="n">
        <v>0.9888043591974776</v>
      </c>
      <c r="N1704" s="17" t="n"/>
      <c r="O1704" s="17" t="n"/>
      <c r="P1704" s="17" t="n"/>
      <c r="Q1704" s="17" t="n"/>
      <c r="R1704" s="17" t="n">
        <v>1</v>
      </c>
      <c r="S1704" s="17" t="n"/>
      <c r="T1704" s="17" t="n"/>
      <c r="U1704" s="17" t="n"/>
      <c r="V1704" s="17" t="n"/>
      <c r="W1704" s="17" t="n"/>
      <c r="X1704" s="17" t="n"/>
      <c r="Y1704" s="17" t="n"/>
      <c r="Z1704" s="13">
        <f>SUMPRODUCT(N1704:Y1704,$N$2:$Y$2)*$K1704*$L1704*$M1704</f>
        <v/>
      </c>
      <c r="AA1704" s="14">
        <f>SUM(N1704:Y1704)</f>
        <v/>
      </c>
      <c r="AB1704" s="14">
        <f>IFERROR(IF(UPPER($E1704)="L",SUMPRODUCT(N1704:Y1704,$N$3:$Y$3,$N$2:$Y$2),SUMPRODUCT(N1704:Y1704,$N$4:$Y$4,$N$2:$Y$2))/(Z1704/($K1704*$L1704*$M1704)),"")</f>
        <v/>
      </c>
      <c r="AC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1" t="n">
        <v>1</v>
      </c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/>
      <c r="Y1705" s="17" t="n">
        <v>1</v>
      </c>
      <c r="Z1705" s="13">
        <f>SUMPRODUCT(N1705:Y1705,$N$2:$Y$2)*$K1705*$L1705*$M1705</f>
        <v/>
      </c>
      <c r="AA1705" s="14">
        <f>SUM(N1705:Y1705)</f>
        <v/>
      </c>
      <c r="AB1705" s="14">
        <f>IFERROR(IF(UPPER($E1705)="L",SUMPRODUCT(N1705:Y1705,$N$3:$Y$3,$N$2:$Y$2),SUMPRODUCT(N1705:Y1705,$N$4:$Y$4,$N$2:$Y$2))/(Z1705/($K1705*$L1705*$M1705)),"")</f>
        <v/>
      </c>
      <c r="AC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1" t="n">
        <v>1</v>
      </c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/>
      <c r="Y1706" s="17" t="n">
        <v>1</v>
      </c>
      <c r="Z1706" s="13">
        <f>SUMPRODUCT(N1706:Y1706,$N$2:$Y$2)*$K1706*$L1706*$M1706</f>
        <v/>
      </c>
      <c r="AA1706" s="14">
        <f>SUM(N1706:Y1706)</f>
        <v/>
      </c>
      <c r="AB1706" s="14">
        <f>IFERROR(IF(UPPER($E1706)="L",SUMPRODUCT(N1706:Y1706,$N$3:$Y$3,$N$2:$Y$2),SUMPRODUCT(N1706:Y1706,$N$4:$Y$4,$N$2:$Y$2))/(Z1706/($K1706*$L1706*$M1706)),"")</f>
        <v/>
      </c>
      <c r="AC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1" t="n">
        <v>1</v>
      </c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/>
      <c r="Y1707" s="17" t="n">
        <v>1</v>
      </c>
      <c r="Z1707" s="13">
        <f>SUMPRODUCT(N1707:Y1707,$N$2:$Y$2)*$K1707*$L1707*$M1707</f>
        <v/>
      </c>
      <c r="AA1707" s="14">
        <f>SUM(N1707:Y1707)</f>
        <v/>
      </c>
      <c r="AB1707" s="14">
        <f>IFERROR(IF(UPPER($E1707)="L",SUMPRODUCT(N1707:Y1707,$N$3:$Y$3,$N$2:$Y$2),SUMPRODUCT(N1707:Y1707,$N$4:$Y$4,$N$2:$Y$2))/(Z1707/($K1707*$L1707*$M1707)),"")</f>
        <v/>
      </c>
      <c r="AC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1" t="n">
        <v>1</v>
      </c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/>
      <c r="Y1708" s="17" t="n">
        <v>1</v>
      </c>
      <c r="Z1708" s="13">
        <f>SUMPRODUCT(N1708:Y1708,$N$2:$Y$2)*$K1708*$L1708*$M1708</f>
        <v/>
      </c>
      <c r="AA1708" s="14">
        <f>SUM(N1708:Y1708)</f>
        <v/>
      </c>
      <c r="AB1708" s="14">
        <f>IFERROR(IF(UPPER($E1708)="L",SUMPRODUCT(N1708:Y1708,$N$3:$Y$3,$N$2:$Y$2),SUMPRODUCT(N1708:Y1708,$N$4:$Y$4,$N$2:$Y$2))/(Z1708/($K1708*$L1708*$M1708)),"")</f>
        <v/>
      </c>
      <c r="AC1708" s="18" t="n"/>
    </row>
    <row r="1709">
      <c r="A1709" s="9" t="n">
        <v>695732</v>
      </c>
      <c r="B1709" s="9" t="inlineStr">
        <is>
          <t>Dylan King</t>
        </is>
      </c>
      <c r="C1709" s="9" t="inlineStr">
        <is>
          <t>CIN</t>
        </is>
      </c>
      <c r="D1709" s="9" t="n">
        <v>25</v>
      </c>
      <c r="E1709" s="16" t="inlineStr">
        <is>
          <t>L</t>
        </is>
      </c>
      <c r="F1709" s="16" t="n"/>
      <c r="G1709" s="9" t="n">
        <v>21.41538461538461</v>
      </c>
      <c r="H1709" s="9" t="n">
        <v>21.41538461538461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1" t="n">
        <v>1</v>
      </c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/>
      <c r="Y1709" s="17" t="n">
        <v>1</v>
      </c>
      <c r="Z1709" s="13">
        <f>SUMPRODUCT(N1709:Y1709,$N$2:$Y$2)*$K1709*$L1709*$M1709</f>
        <v/>
      </c>
      <c r="AA1709" s="14">
        <f>SUM(N1709:Y1709)</f>
        <v/>
      </c>
      <c r="AB1709" s="14">
        <f>IFERROR(IF(UPPER($E1709)="L",SUMPRODUCT(N1709:Y1709,$N$3:$Y$3,$N$2:$Y$2),SUMPRODUCT(N1709:Y1709,$N$4:$Y$4,$N$2:$Y$2))/(Z1709/($K1709*$L1709*$M1709)),"")</f>
        <v/>
      </c>
      <c r="AC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inlineStr">
        <is>
          <t>3B</t>
        </is>
      </c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1" t="n">
        <v>1</v>
      </c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/>
      <c r="Y1710" s="17" t="n">
        <v>1</v>
      </c>
      <c r="Z1710" s="13">
        <f>SUMPRODUCT(N1710:Y1710,$N$2:$Y$2)*$K1710*$L1710*$M1710</f>
        <v/>
      </c>
      <c r="AA1710" s="14">
        <f>SUM(N1710:Y1710)</f>
        <v/>
      </c>
      <c r="AB1710" s="14">
        <f>IFERROR(IF(UPPER($E1710)="L",SUMPRODUCT(N1710:Y1710,$N$3:$Y$3,$N$2:$Y$2),SUMPRODUCT(N1710:Y1710,$N$4:$Y$4,$N$2:$Y$2))/(Z1710/($K1710*$L1710*$M1710)),"")</f>
        <v/>
      </c>
      <c r="AC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1" t="n">
        <v>1</v>
      </c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/>
      <c r="Y1711" s="17" t="n">
        <v>1</v>
      </c>
      <c r="Z1711" s="13">
        <f>SUMPRODUCT(N1711:Y1711,$N$2:$Y$2)*$K1711*$L1711*$M1711</f>
        <v/>
      </c>
      <c r="AA1711" s="14">
        <f>SUM(N1711:Y1711)</f>
        <v/>
      </c>
      <c r="AB1711" s="14">
        <f>IFERROR(IF(UPPER($E1711)="L",SUMPRODUCT(N1711:Y1711,$N$3:$Y$3,$N$2:$Y$2),SUMPRODUCT(N1711:Y1711,$N$4:$Y$4,$N$2:$Y$2))/(Z1711/($K1711*$L1711*$M1711)),"")</f>
        <v/>
      </c>
      <c r="AC1711" s="18" t="n"/>
    </row>
    <row r="1712">
      <c r="A1712" s="9" t="n">
        <v>680868</v>
      </c>
      <c r="B1712" s="9" t="inlineStr">
        <is>
          <t>Patrick Winkel</t>
        </is>
      </c>
      <c r="C1712" s="9" t="inlineStr">
        <is>
          <t>TOR</t>
        </is>
      </c>
      <c r="D1712" s="9" t="n">
        <v>25</v>
      </c>
      <c r="E1712" s="16" t="inlineStr">
        <is>
          <t>L</t>
        </is>
      </c>
      <c r="F1712" s="16" t="n"/>
      <c r="G1712" s="9" t="n">
        <v>44.15384615384615</v>
      </c>
      <c r="H1712" s="9" t="n">
        <v>44.15384615384615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1" t="n">
        <v>1</v>
      </c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/>
      <c r="Y1712" s="17" t="n">
        <v>1</v>
      </c>
      <c r="Z1712" s="13">
        <f>SUMPRODUCT(N1712:Y1712,$N$2:$Y$2)*$K1712*$L1712*$M1712</f>
        <v/>
      </c>
      <c r="AA1712" s="14">
        <f>SUM(N1712:Y1712)</f>
        <v/>
      </c>
      <c r="AB1712" s="14">
        <f>IFERROR(IF(UPPER($E1712)="L",SUMPRODUCT(N1712:Y1712,$N$3:$Y$3,$N$2:$Y$2),SUMPRODUCT(N1712:Y1712,$N$4:$Y$4,$N$2:$Y$2))/(Z1712/($K1712*$L1712*$M1712)),"")</f>
        <v/>
      </c>
      <c r="AC1712" s="18" t="n"/>
    </row>
    <row r="1713">
      <c r="A1713" s="9" t="n">
        <v>806464</v>
      </c>
      <c r="B1713" s="9" t="inlineStr">
        <is>
          <t>Connor Charping</t>
        </is>
      </c>
      <c r="C1713" s="9" t="inlineStr">
        <is>
          <t>SEA</t>
        </is>
      </c>
      <c r="D1713" s="9" t="n">
        <v>25</v>
      </c>
      <c r="E1713" s="16" t="inlineStr">
        <is>
          <t>R</t>
        </is>
      </c>
      <c r="F1713" s="16" t="n"/>
      <c r="G1713" s="9" t="n">
        <v>72.51282051282051</v>
      </c>
      <c r="H1713" s="9" t="n">
        <v>72.51282051282051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1" t="n">
        <v>1</v>
      </c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/>
      <c r="Y1713" s="17" t="n">
        <v>1</v>
      </c>
      <c r="Z1713" s="13">
        <f>SUMPRODUCT(N1713:Y1713,$N$2:$Y$2)*$K1713*$L1713*$M1713</f>
        <v/>
      </c>
      <c r="AA1713" s="14">
        <f>SUM(N1713:Y1713)</f>
        <v/>
      </c>
      <c r="AB1713" s="14">
        <f>IFERROR(IF(UPPER($E1713)="L",SUMPRODUCT(N1713:Y1713,$N$3:$Y$3,$N$2:$Y$2),SUMPRODUCT(N1713:Y1713,$N$4:$Y$4,$N$2:$Y$2))/(Z1713/($K1713*$L1713*$M1713)),"")</f>
        <v/>
      </c>
      <c r="AC1713" s="18" t="n"/>
    </row>
    <row r="1714">
      <c r="A1714" s="9" t="n">
        <v>813771</v>
      </c>
      <c r="B1714" s="9" t="inlineStr">
        <is>
          <t>Robert Hipwell</t>
        </is>
      </c>
      <c r="C1714" s="9" t="inlineStr">
        <is>
          <t>SF</t>
        </is>
      </c>
      <c r="D1714" s="9" t="n">
        <v>25</v>
      </c>
      <c r="E1714" s="16" t="inlineStr">
        <is>
          <t>L</t>
        </is>
      </c>
      <c r="F1714" s="16" t="n"/>
      <c r="G1714" s="9" t="n">
        <v>50.46153846153847</v>
      </c>
      <c r="H1714" s="9" t="n">
        <v>50.46153846153847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1" t="n">
        <v>1</v>
      </c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/>
      <c r="Y1714" s="17" t="n">
        <v>1</v>
      </c>
      <c r="Z1714" s="13">
        <f>SUMPRODUCT(N1714:Y1714,$N$2:$Y$2)*$K1714*$L1714*$M1714</f>
        <v/>
      </c>
      <c r="AA1714" s="14">
        <f>SUM(N1714:Y1714)</f>
        <v/>
      </c>
      <c r="AB1714" s="14">
        <f>IFERROR(IF(UPPER($E1714)="L",SUMPRODUCT(N1714:Y1714,$N$3:$Y$3,$N$2:$Y$2),SUMPRODUCT(N1714:Y1714,$N$4:$Y$4,$N$2:$Y$2))/(Z1714/($K1714*$L1714*$M1714)),"")</f>
        <v/>
      </c>
      <c r="AC1714" s="18" t="n"/>
    </row>
    <row r="1715">
      <c r="A1715" s="9" t="n">
        <v>814131</v>
      </c>
      <c r="B1715" s="9" t="inlineStr">
        <is>
          <t>Derik Alcantara</t>
        </is>
      </c>
      <c r="C1715" s="9" t="inlineStr">
        <is>
          <t>CHC</t>
        </is>
      </c>
      <c r="D1715" s="9" t="n">
        <v>25</v>
      </c>
      <c r="E1715" s="16" t="inlineStr">
        <is>
          <t>L</t>
        </is>
      </c>
      <c r="F1715" s="16" t="n"/>
      <c r="G1715" s="9" t="n">
        <v>20.8</v>
      </c>
      <c r="H1715" s="9" t="n">
        <v>20.8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1" t="n">
        <v>1</v>
      </c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/>
      <c r="Y1715" s="17" t="n">
        <v>1</v>
      </c>
      <c r="Z1715" s="13">
        <f>SUMPRODUCT(N1715:Y1715,$N$2:$Y$2)*$K1715*$L1715*$M1715</f>
        <v/>
      </c>
      <c r="AA1715" s="14">
        <f>SUM(N1715:Y1715)</f>
        <v/>
      </c>
      <c r="AB1715" s="14">
        <f>IFERROR(IF(UPPER($E1715)="L",SUMPRODUCT(N1715:Y1715,$N$3:$Y$3,$N$2:$Y$2),SUMPRODUCT(N1715:Y1715,$N$4:$Y$4,$N$2:$Y$2))/(Z1715/($K1715*$L1715*$M1715)),"")</f>
        <v/>
      </c>
      <c r="AC1715" s="18" t="n"/>
    </row>
    <row r="1716">
      <c r="A1716" s="9" t="n">
        <v>805880</v>
      </c>
      <c r="B1716" s="9" t="inlineStr">
        <is>
          <t>Tanner Thach</t>
        </is>
      </c>
      <c r="C1716" s="9" t="inlineStr">
        <is>
          <t>COL</t>
        </is>
      </c>
      <c r="D1716" s="9" t="n">
        <v>25</v>
      </c>
      <c r="E1716" s="16" t="inlineStr">
        <is>
          <t>L</t>
        </is>
      </c>
      <c r="F1716" s="16" t="n"/>
      <c r="G1716" s="9" t="n">
        <v>45.53846153846155</v>
      </c>
      <c r="H1716" s="9" t="n">
        <v>45.53846153846155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1" t="n">
        <v>1</v>
      </c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/>
      <c r="Y1716" s="17" t="n">
        <v>1</v>
      </c>
      <c r="Z1716" s="13">
        <f>SUMPRODUCT(N1716:Y1716,$N$2:$Y$2)*$K1716*$L1716*$M1716</f>
        <v/>
      </c>
      <c r="AA1716" s="14">
        <f>SUM(N1716:Y1716)</f>
        <v/>
      </c>
      <c r="AB1716" s="14">
        <f>IFERROR(IF(UPPER($E1716)="L",SUMPRODUCT(N1716:Y1716,$N$3:$Y$3,$N$2:$Y$2),SUMPRODUCT(N1716:Y1716,$N$4:$Y$4,$N$2:$Y$2))/(Z1716/($K1716*$L1716*$M1716)),"")</f>
        <v/>
      </c>
      <c r="AC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1" t="n">
        <v>1</v>
      </c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/>
      <c r="Y1717" s="17" t="n">
        <v>1</v>
      </c>
      <c r="Z1717" s="13">
        <f>SUMPRODUCT(N1717:Y1717,$N$2:$Y$2)*$K1717*$L1717*$M1717</f>
        <v/>
      </c>
      <c r="AA1717" s="14">
        <f>SUM(N1717:Y1717)</f>
        <v/>
      </c>
      <c r="AB1717" s="14">
        <f>IFERROR(IF(UPPER($E1717)="L",SUMPRODUCT(N1717:Y1717,$N$3:$Y$3,$N$2:$Y$2),SUMPRODUCT(N1717:Y1717,$N$4:$Y$4,$N$2:$Y$2))/(Z1717/($K1717*$L1717*$M1717)),"")</f>
        <v/>
      </c>
      <c r="AC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inlineStr">
        <is>
          <t>CF</t>
        </is>
      </c>
      <c r="G1718" s="9" t="n">
        <v>374</v>
      </c>
      <c r="H1718" s="9" t="n">
        <v>2274</v>
      </c>
      <c r="I1718" s="9" t="inlineStr">
        <is>
          <t>Weak Side Platoon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1" t="n">
        <v>1.040668963650967</v>
      </c>
      <c r="N1718" s="17" t="n"/>
      <c r="O1718" s="17" t="n"/>
      <c r="P1718" s="17" t="n"/>
      <c r="Q1718" s="17" t="n">
        <v>0.6</v>
      </c>
      <c r="R1718" s="17" t="n"/>
      <c r="S1718" s="17" t="n"/>
      <c r="T1718" s="17" t="n"/>
      <c r="U1718" s="17" t="n"/>
      <c r="V1718" s="17" t="n">
        <v>0.4</v>
      </c>
      <c r="W1718" s="17" t="n"/>
      <c r="X1718" s="17" t="n"/>
      <c r="Y1718" s="17" t="n"/>
      <c r="Z1718" s="13">
        <f>SUMPRODUCT(N1718:Y1718,$N$2:$Y$2)*$K1718*$L1718*$M1718</f>
        <v/>
      </c>
      <c r="AA1718" s="14">
        <f>SUM(N1718:Y1718)</f>
        <v/>
      </c>
      <c r="AB1718" s="14">
        <f>IFERROR(IF(UPPER($E1718)="L",SUMPRODUCT(N1718:Y1718,$N$3:$Y$3,$N$2:$Y$2),SUMPRODUCT(N1718:Y1718,$N$4:$Y$4,$N$2:$Y$2))/(Z1718/($K1718*$L1718*$M1718)),"")</f>
        <v/>
      </c>
      <c r="AC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25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Depth (no MLB PA)</t>
        </is>
      </c>
      <c r="J1719" s="16" t="inlineStr">
        <is>
          <t>Mid Season (~July)</t>
        </is>
      </c>
      <c r="K1719" s="11">
        <f>IFERROR(INDEX(Roles!$B$17:$B$20,MATCH(J1719,Roles!$A$17:$A$20,0)),1)</f>
        <v/>
      </c>
      <c r="L1719" s="17" t="n">
        <v>1</v>
      </c>
      <c r="M1719" s="11" t="n">
        <v>1</v>
      </c>
      <c r="N1719" s="17" t="n"/>
      <c r="O1719" s="17" t="n"/>
      <c r="P1719" s="17" t="n"/>
      <c r="Q1719" s="17" t="n"/>
      <c r="R1719" s="17" t="n"/>
      <c r="S1719" s="17" t="n"/>
      <c r="T1719" s="17" t="n"/>
      <c r="U1719" s="17" t="n"/>
      <c r="V1719" s="17" t="n"/>
      <c r="W1719" s="17" t="n"/>
      <c r="X1719" s="17" t="n"/>
      <c r="Y1719" s="17" t="n">
        <v>1</v>
      </c>
      <c r="Z1719" s="13">
        <f>SUMPRODUCT(N1719:Y1719,$N$2:$Y$2)*$K1719*$L1719*$M1719</f>
        <v/>
      </c>
      <c r="AA1719" s="14">
        <f>SUM(N1719:Y1719)</f>
        <v/>
      </c>
      <c r="AB1719" s="14">
        <f>IFERROR(IF(UPPER($E1719)="L",SUMPRODUCT(N1719:Y1719,$N$3:$Y$3,$N$2:$Y$2),SUMPRODUCT(N1719:Y1719,$N$4:$Y$4,$N$2:$Y$2))/(Z1719/($K1719*$L1719*$M1719)),"")</f>
        <v/>
      </c>
      <c r="AC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1" t="n">
        <v>1</v>
      </c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/>
      <c r="Y1720" s="17" t="n">
        <v>1</v>
      </c>
      <c r="Z1720" s="13">
        <f>SUMPRODUCT(N1720:Y1720,$N$2:$Y$2)*$K1720*$L1720*$M1720</f>
        <v/>
      </c>
      <c r="AA1720" s="14">
        <f>SUM(N1720:Y1720)</f>
        <v/>
      </c>
      <c r="AB1720" s="14">
        <f>IFERROR(IF(UPPER($E1720)="L",SUMPRODUCT(N1720:Y1720,$N$3:$Y$3,$N$2:$Y$2),SUMPRODUCT(N1720:Y1720,$N$4:$Y$4,$N$2:$Y$2))/(Z1720/($K1720*$L1720*$M1720)),"")</f>
        <v/>
      </c>
      <c r="AC1720" s="18" t="n"/>
    </row>
    <row r="1721">
      <c r="A1721" s="9" t="n">
        <v>668832</v>
      </c>
      <c r="B1721" s="9" t="inlineStr">
        <is>
          <t>Kyle McCann</t>
        </is>
      </c>
      <c r="C1721" s="9" t="inlineStr">
        <is>
          <t>OAK</t>
        </is>
      </c>
      <c r="D1721" s="9" t="n">
        <v>29</v>
      </c>
      <c r="E1721" s="16" t="inlineStr">
        <is>
          <t>L</t>
        </is>
      </c>
      <c r="F1721" s="16" t="inlineStr">
        <is>
          <t>C</t>
        </is>
      </c>
      <c r="G1721" s="9" t="n">
        <v>157</v>
      </c>
      <c r="H1721" s="9" t="n">
        <v>157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1" t="n">
        <v>1</v>
      </c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/>
      <c r="Y1721" s="17" t="n">
        <v>1</v>
      </c>
      <c r="Z1721" s="13">
        <f>SUMPRODUCT(N1721:Y1721,$N$2:$Y$2)*$K1721*$L1721*$M1721</f>
        <v/>
      </c>
      <c r="AA1721" s="14">
        <f>SUM(N1721:Y1721)</f>
        <v/>
      </c>
      <c r="AB1721" s="14">
        <f>IFERROR(IF(UPPER($E1721)="L",SUMPRODUCT(N1721:Y1721,$N$3:$Y$3,$N$2:$Y$2),SUMPRODUCT(N1721:Y1721,$N$4:$Y$4,$N$2:$Y$2))/(Z1721/($K1721*$L1721*$M1721)),"")</f>
        <v/>
      </c>
      <c r="AC1721" s="18" t="n"/>
    </row>
    <row r="1722">
      <c r="A1722" s="9" t="n">
        <v>815152</v>
      </c>
      <c r="B1722" s="9" t="inlineStr">
        <is>
          <t>Theo Hardy</t>
        </is>
      </c>
      <c r="C1722" s="9" t="inlineStr">
        <is>
          <t>TEX</t>
        </is>
      </c>
      <c r="D1722" s="9" t="n">
        <v>25</v>
      </c>
      <c r="E1722" s="16" t="inlineStr">
        <is>
          <t>S</t>
        </is>
      </c>
      <c r="F1722" s="16" t="n"/>
      <c r="G1722" s="9" t="n">
        <v>18.61538461538462</v>
      </c>
      <c r="H1722" s="9" t="n">
        <v>18.61538461538462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1" t="n">
        <v>1</v>
      </c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/>
      <c r="Y1722" s="17" t="n">
        <v>1</v>
      </c>
      <c r="Z1722" s="13">
        <f>SUMPRODUCT(N1722:Y1722,$N$2:$Y$2)*$K1722*$L1722*$M1722</f>
        <v/>
      </c>
      <c r="AA1722" s="14">
        <f>SUM(N1722:Y1722)</f>
        <v/>
      </c>
      <c r="AB1722" s="14">
        <f>IFERROR(IF(UPPER($E1722)="L",SUMPRODUCT(N1722:Y1722,$N$3:$Y$3,$N$2:$Y$2),SUMPRODUCT(N1722:Y1722,$N$4:$Y$4,$N$2:$Y$2))/(Z1722/($K1722*$L1722*$M1722)),"")</f>
        <v/>
      </c>
      <c r="AC1722" s="18" t="n"/>
    </row>
    <row r="1723">
      <c r="A1723" s="9" t="n">
        <v>703149</v>
      </c>
      <c r="B1723" s="9" t="inlineStr">
        <is>
          <t>Roderick Arias</t>
        </is>
      </c>
      <c r="C1723" s="9" t="inlineStr">
        <is>
          <t>NYY</t>
        </is>
      </c>
      <c r="D1723" s="9" t="n">
        <v>25</v>
      </c>
      <c r="E1723" s="16" t="inlineStr">
        <is>
          <t>S</t>
        </is>
      </c>
      <c r="F1723" s="16" t="n"/>
      <c r="G1723" s="9" t="n">
        <v>53.12820512820512</v>
      </c>
      <c r="H1723" s="9" t="n">
        <v>53.12820512820512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1" t="n">
        <v>1</v>
      </c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/>
      <c r="Y1723" s="17" t="n">
        <v>1</v>
      </c>
      <c r="Z1723" s="13">
        <f>SUMPRODUCT(N1723:Y1723,$N$2:$Y$2)*$K1723*$L1723*$M1723</f>
        <v/>
      </c>
      <c r="AA1723" s="14">
        <f>SUM(N1723:Y1723)</f>
        <v/>
      </c>
      <c r="AB1723" s="14">
        <f>IFERROR(IF(UPPER($E1723)="L",SUMPRODUCT(N1723:Y1723,$N$3:$Y$3,$N$2:$Y$2),SUMPRODUCT(N1723:Y1723,$N$4:$Y$4,$N$2:$Y$2))/(Z1723/($K1723*$L1723*$M1723)),"")</f>
        <v/>
      </c>
      <c r="AC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1" t="n">
        <v>1</v>
      </c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/>
      <c r="Y1724" s="17" t="n">
        <v>1</v>
      </c>
      <c r="Z1724" s="13">
        <f>SUMPRODUCT(N1724:Y1724,$N$2:$Y$2)*$K1724*$L1724*$M1724</f>
        <v/>
      </c>
      <c r="AA1724" s="14">
        <f>SUM(N1724:Y1724)</f>
        <v/>
      </c>
      <c r="AB1724" s="14">
        <f>IFERROR(IF(UPPER($E1724)="L",SUMPRODUCT(N1724:Y1724,$N$3:$Y$3,$N$2:$Y$2),SUMPRODUCT(N1724:Y1724,$N$4:$Y$4,$N$2:$Y$2))/(Z1724/($K1724*$L1724*$M1724)),"")</f>
        <v/>
      </c>
      <c r="AC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inlineStr">
        <is>
          <t>1B</t>
        </is>
      </c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1" t="n">
        <v>1</v>
      </c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/>
      <c r="Y1725" s="17" t="n">
        <v>1</v>
      </c>
      <c r="Z1725" s="13">
        <f>SUMPRODUCT(N1725:Y1725,$N$2:$Y$2)*$K1725*$L1725*$M1725</f>
        <v/>
      </c>
      <c r="AA1725" s="14">
        <f>SUM(N1725:Y1725)</f>
        <v/>
      </c>
      <c r="AB1725" s="14">
        <f>IFERROR(IF(UPPER($E1725)="L",SUMPRODUCT(N1725:Y1725,$N$3:$Y$3,$N$2:$Y$2),SUMPRODUCT(N1725:Y1725,$N$4:$Y$4,$N$2:$Y$2))/(Z1725/($K1725*$L1725*$M1725)),"")</f>
        <v/>
      </c>
      <c r="AC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inlineStr">
        <is>
          <t>RF</t>
        </is>
      </c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1" t="n">
        <v>1</v>
      </c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/>
      <c r="Y1726" s="17" t="n">
        <v>1</v>
      </c>
      <c r="Z1726" s="13">
        <f>SUMPRODUCT(N1726:Y1726,$N$2:$Y$2)*$K1726*$L1726*$M1726</f>
        <v/>
      </c>
      <c r="AA1726" s="14">
        <f>SUM(N1726:Y1726)</f>
        <v/>
      </c>
      <c r="AB1726" s="14">
        <f>IFERROR(IF(UPPER($E1726)="L",SUMPRODUCT(N1726:Y1726,$N$3:$Y$3,$N$2:$Y$2),SUMPRODUCT(N1726:Y1726,$N$4:$Y$4,$N$2:$Y$2))/(Z1726/($K1726*$L1726*$M1726)),"")</f>
        <v/>
      </c>
      <c r="AC1726" s="18" t="n"/>
    </row>
    <row r="1727">
      <c r="A1727" s="9" t="n">
        <v>815877</v>
      </c>
      <c r="B1727" s="9" t="inlineStr">
        <is>
          <t>Jeremiah Jenkins</t>
        </is>
      </c>
      <c r="C1727" s="9" t="inlineStr">
        <is>
          <t>SF</t>
        </is>
      </c>
      <c r="D1727" s="9" t="n">
        <v>25</v>
      </c>
      <c r="E1727" s="16" t="inlineStr">
        <is>
          <t>L</t>
        </is>
      </c>
      <c r="F1727" s="16" t="n"/>
      <c r="G1727" s="9" t="n">
        <v>55.38461538461539</v>
      </c>
      <c r="H1727" s="9" t="n">
        <v>55.38461538461539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1" t="n">
        <v>1</v>
      </c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/>
      <c r="Y1727" s="17" t="n">
        <v>1</v>
      </c>
      <c r="Z1727" s="13">
        <f>SUMPRODUCT(N1727:Y1727,$N$2:$Y$2)*$K1727*$L1727*$M1727</f>
        <v/>
      </c>
      <c r="AA1727" s="14">
        <f>SUM(N1727:Y1727)</f>
        <v/>
      </c>
      <c r="AB1727" s="14">
        <f>IFERROR(IF(UPPER($E1727)="L",SUMPRODUCT(N1727:Y1727,$N$3:$Y$3,$N$2:$Y$2),SUMPRODUCT(N1727:Y1727,$N$4:$Y$4,$N$2:$Y$2))/(Z1727/($K1727*$L1727*$M1727)),"")</f>
        <v/>
      </c>
      <c r="AC1727" s="18" t="n"/>
    </row>
    <row r="1728">
      <c r="A1728" s="9" t="n">
        <v>813664</v>
      </c>
      <c r="B1728" s="9" t="inlineStr">
        <is>
          <t>Justin DeCriscio</t>
        </is>
      </c>
      <c r="C1728" s="9" t="inlineStr">
        <is>
          <t>SD</t>
        </is>
      </c>
      <c r="D1728" s="9" t="n">
        <v>25</v>
      </c>
      <c r="E1728" s="16" t="inlineStr">
        <is>
          <t>R</t>
        </is>
      </c>
      <c r="F1728" s="16" t="n"/>
      <c r="G1728" s="9" t="n">
        <v>27.64102564102564</v>
      </c>
      <c r="H1728" s="9" t="n">
        <v>27.64102564102564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1" t="n">
        <v>1</v>
      </c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/>
      <c r="Y1728" s="17" t="n">
        <v>1</v>
      </c>
      <c r="Z1728" s="13">
        <f>SUMPRODUCT(N1728:Y1728,$N$2:$Y$2)*$K1728*$L1728*$M1728</f>
        <v/>
      </c>
      <c r="AA1728" s="14">
        <f>SUM(N1728:Y1728)</f>
        <v/>
      </c>
      <c r="AB1728" s="14">
        <f>IFERROR(IF(UPPER($E1728)="L",SUMPRODUCT(N1728:Y1728,$N$3:$Y$3,$N$2:$Y$2),SUMPRODUCT(N1728:Y1728,$N$4:$Y$4,$N$2:$Y$2))/(Z1728/($K1728*$L1728*$M1728)),"")</f>
        <v/>
      </c>
      <c r="AC1728" s="18" t="n"/>
    </row>
    <row r="1729">
      <c r="A1729" s="9" t="n">
        <v>815983</v>
      </c>
      <c r="B1729" s="9" t="inlineStr">
        <is>
          <t>Coy James</t>
        </is>
      </c>
      <c r="C1729" s="9" t="inlineStr">
        <is>
          <t>WSH</t>
        </is>
      </c>
      <c r="D1729" s="9" t="n">
        <v>25</v>
      </c>
      <c r="E1729" s="16" t="inlineStr">
        <is>
          <t>R</t>
        </is>
      </c>
      <c r="F1729" s="16" t="n"/>
      <c r="G1729" s="9" t="n">
        <v>61.16923076923077</v>
      </c>
      <c r="H1729" s="9" t="n">
        <v>61.16923076923077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1" t="n">
        <v>1</v>
      </c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/>
      <c r="Y1729" s="17" t="n">
        <v>1</v>
      </c>
      <c r="Z1729" s="13">
        <f>SUMPRODUCT(N1729:Y1729,$N$2:$Y$2)*$K1729*$L1729*$M1729</f>
        <v/>
      </c>
      <c r="AA1729" s="14">
        <f>SUM(N1729:Y1729)</f>
        <v/>
      </c>
      <c r="AB1729" s="14">
        <f>IFERROR(IF(UPPER($E1729)="L",SUMPRODUCT(N1729:Y1729,$N$3:$Y$3,$N$2:$Y$2),SUMPRODUCT(N1729:Y1729,$N$4:$Y$4,$N$2:$Y$2))/(Z1729/($K1729*$L1729*$M1729)),"")</f>
        <v/>
      </c>
      <c r="AC1729" s="18" t="n"/>
    </row>
    <row r="1730">
      <c r="A1730" s="9" t="n">
        <v>829076</v>
      </c>
      <c r="B1730" s="9" t="inlineStr">
        <is>
          <t>Jhomnardo Reyes</t>
        </is>
      </c>
      <c r="C1730" s="9" t="inlineStr">
        <is>
          <t>BAL</t>
        </is>
      </c>
      <c r="D1730" s="9" t="n">
        <v>25</v>
      </c>
      <c r="E1730" s="16" t="inlineStr">
        <is>
          <t>L</t>
        </is>
      </c>
      <c r="F1730" s="16" t="n"/>
      <c r="G1730" s="9" t="n">
        <v>18.33846153846154</v>
      </c>
      <c r="H1730" s="9" t="n">
        <v>18.33846153846154</v>
      </c>
      <c r="I1730" s="9" t="inlineStr">
        <is>
          <t>Depth (no MLB PA)</t>
        </is>
      </c>
      <c r="J1730" s="16" t="inlineStr">
        <is>
          <t>Late Season (~Sept)</t>
        </is>
      </c>
      <c r="K1730" s="11">
        <f>IFERROR(INDEX(Roles!$B$17:$B$20,MATCH(J1730,Roles!$A$17:$A$20,0)),1)</f>
        <v/>
      </c>
      <c r="L1730" s="17" t="n">
        <v>1</v>
      </c>
      <c r="M1730" s="11" t="n">
        <v>1</v>
      </c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/>
      <c r="Y1730" s="17" t="n">
        <v>1</v>
      </c>
      <c r="Z1730" s="13">
        <f>SUMPRODUCT(N1730:Y1730,$N$2:$Y$2)*$K1730*$L1730*$M1730</f>
        <v/>
      </c>
      <c r="AA1730" s="14">
        <f>SUM(N1730:Y1730)</f>
        <v/>
      </c>
      <c r="AB1730" s="14">
        <f>IFERROR(IF(UPPER($E1730)="L",SUMPRODUCT(N1730:Y1730,$N$3:$Y$3,$N$2:$Y$2),SUMPRODUCT(N1730:Y1730,$N$4:$Y$4,$N$2:$Y$2))/(Z1730/($K1730*$L1730*$M1730)),"")</f>
        <v/>
      </c>
      <c r="AC1730" s="18" t="n"/>
    </row>
    <row r="1731">
      <c r="A1731" s="9" t="n">
        <v>809844</v>
      </c>
      <c r="B1731" s="9" t="inlineStr">
        <is>
          <t>Kien Vu</t>
        </is>
      </c>
      <c r="C1731" s="9" t="inlineStr">
        <is>
          <t>CIN</t>
        </is>
      </c>
      <c r="D1731" s="9" t="n">
        <v>25</v>
      </c>
      <c r="E1731" s="16" t="inlineStr">
        <is>
          <t>L</t>
        </is>
      </c>
      <c r="F1731" s="16" t="n"/>
      <c r="G1731" s="9" t="n">
        <v>62.1025641025641</v>
      </c>
      <c r="H1731" s="9" t="n">
        <v>62.1025641025641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1" t="n">
        <v>1</v>
      </c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/>
      <c r="Y1731" s="17" t="n">
        <v>1</v>
      </c>
      <c r="Z1731" s="13">
        <f>SUMPRODUCT(N1731:Y1731,$N$2:$Y$2)*$K1731*$L1731*$M1731</f>
        <v/>
      </c>
      <c r="AA1731" s="14">
        <f>SUM(N1731:Y1731)</f>
        <v/>
      </c>
      <c r="AB1731" s="14">
        <f>IFERROR(IF(UPPER($E1731)="L",SUMPRODUCT(N1731:Y1731,$N$3:$Y$3,$N$2:$Y$2),SUMPRODUCT(N1731:Y1731,$N$4:$Y$4,$N$2:$Y$2))/(Z1731/($K1731*$L1731*$M1731)),"")</f>
        <v/>
      </c>
      <c r="AC1731" s="18" t="n"/>
    </row>
    <row r="1732">
      <c r="A1732" s="9" t="n">
        <v>800281</v>
      </c>
      <c r="B1732" s="9" t="inlineStr">
        <is>
          <t>Roynier Hernandez</t>
        </is>
      </c>
      <c r="C1732" s="9" t="inlineStr">
        <is>
          <t>COL</t>
        </is>
      </c>
      <c r="D1732" s="9" t="n">
        <v>25</v>
      </c>
      <c r="E1732" s="16" t="inlineStr">
        <is>
          <t>L</t>
        </is>
      </c>
      <c r="F1732" s="16" t="n"/>
      <c r="G1732" s="9" t="n">
        <v>19.02564102564103</v>
      </c>
      <c r="H1732" s="9" t="n">
        <v>19.02564102564103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1" t="n">
        <v>1</v>
      </c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/>
      <c r="Y1732" s="17" t="n">
        <v>1</v>
      </c>
      <c r="Z1732" s="13">
        <f>SUMPRODUCT(N1732:Y1732,$N$2:$Y$2)*$K1732*$L1732*$M1732</f>
        <v/>
      </c>
      <c r="AA1732" s="14">
        <f>SUM(N1732:Y1732)</f>
        <v/>
      </c>
      <c r="AB1732" s="14">
        <f>IFERROR(IF(UPPER($E1732)="L",SUMPRODUCT(N1732:Y1732,$N$3:$Y$3,$N$2:$Y$2),SUMPRODUCT(N1732:Y1732,$N$4:$Y$4,$N$2:$Y$2))/(Z1732/($K1732*$L1732*$M1732)),"")</f>
        <v/>
      </c>
      <c r="AC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inlineStr">
        <is>
          <t>1B</t>
        </is>
      </c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1" t="n">
        <v>1</v>
      </c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/>
      <c r="Y1733" s="17" t="n">
        <v>1</v>
      </c>
      <c r="Z1733" s="13">
        <f>SUMPRODUCT(N1733:Y1733,$N$2:$Y$2)*$K1733*$L1733*$M1733</f>
        <v/>
      </c>
      <c r="AA1733" s="14">
        <f>SUM(N1733:Y1733)</f>
        <v/>
      </c>
      <c r="AB1733" s="14">
        <f>IFERROR(IF(UPPER($E1733)="L",SUMPRODUCT(N1733:Y1733,$N$3:$Y$3,$N$2:$Y$2),SUMPRODUCT(N1733:Y1733,$N$4:$Y$4,$N$2:$Y$2))/(Z1733/($K1733*$L1733*$M1733)),"")</f>
        <v/>
      </c>
      <c r="AC1733" s="18" t="n"/>
    </row>
    <row r="1734">
      <c r="A1734" s="9" t="n">
        <v>835279</v>
      </c>
      <c r="B1734" s="9" t="inlineStr">
        <is>
          <t>Jake Schaffner</t>
        </is>
      </c>
      <c r="C1734" s="9" t="inlineStr">
        <is>
          <t>BOS</t>
        </is>
      </c>
      <c r="D1734" s="9" t="n">
        <v>25</v>
      </c>
      <c r="E1734" s="16" t="inlineStr">
        <is>
          <t>L</t>
        </is>
      </c>
      <c r="F1734" s="16" t="n"/>
      <c r="G1734" s="9" t="n">
        <v>23.58974358974359</v>
      </c>
      <c r="H1734" s="9" t="n">
        <v>23.58974358974359</v>
      </c>
      <c r="I1734" s="9" t="inlineStr">
        <is>
          <t>Depth (no MLB PA)</t>
        </is>
      </c>
      <c r="J1734" s="16" t="inlineStr">
        <is>
          <t>Late Season (~Sept)</t>
        </is>
      </c>
      <c r="K1734" s="11">
        <f>IFERROR(INDEX(Roles!$B$17:$B$20,MATCH(J1734,Roles!$A$17:$A$20,0)),1)</f>
        <v/>
      </c>
      <c r="L1734" s="17" t="n">
        <v>1</v>
      </c>
      <c r="M1734" s="11" t="n">
        <v>1</v>
      </c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/>
      <c r="Y1734" s="17" t="n">
        <v>1</v>
      </c>
      <c r="Z1734" s="13">
        <f>SUMPRODUCT(N1734:Y1734,$N$2:$Y$2)*$K1734*$L1734*$M1734</f>
        <v/>
      </c>
      <c r="AA1734" s="14">
        <f>SUM(N1734:Y1734)</f>
        <v/>
      </c>
      <c r="AB1734" s="14">
        <f>IFERROR(IF(UPPER($E1734)="L",SUMPRODUCT(N1734:Y1734,$N$3:$Y$3,$N$2:$Y$2),SUMPRODUCT(N1734:Y1734,$N$4:$Y$4,$N$2:$Y$2))/(Z1734/($K1734*$L1734*$M1734)),"")</f>
        <v/>
      </c>
      <c r="AC1734" s="18" t="n"/>
    </row>
    <row r="1735">
      <c r="A1735" s="9" t="n">
        <v>695579</v>
      </c>
      <c r="B1735" s="9" t="inlineStr">
        <is>
          <t>Trevor Haskins</t>
        </is>
      </c>
      <c r="C1735" s="9" t="inlineStr">
        <is>
          <t>STL</t>
        </is>
      </c>
      <c r="D1735" s="9" t="n">
        <v>25</v>
      </c>
      <c r="E1735" s="16" t="inlineStr">
        <is>
          <t>R</t>
        </is>
      </c>
      <c r="F1735" s="16" t="n"/>
      <c r="G1735" s="9" t="n">
        <v>44.67692307692308</v>
      </c>
      <c r="H1735" s="9" t="n">
        <v>44.67692307692308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1" t="n">
        <v>1</v>
      </c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/>
      <c r="Y1735" s="17" t="n">
        <v>1</v>
      </c>
      <c r="Z1735" s="13">
        <f>SUMPRODUCT(N1735:Y1735,$N$2:$Y$2)*$K1735*$L1735*$M1735</f>
        <v/>
      </c>
      <c r="AA1735" s="14">
        <f>SUM(N1735:Y1735)</f>
        <v/>
      </c>
      <c r="AB1735" s="14">
        <f>IFERROR(IF(UPPER($E1735)="L",SUMPRODUCT(N1735:Y1735,$N$3:$Y$3,$N$2:$Y$2),SUMPRODUCT(N1735:Y1735,$N$4:$Y$4,$N$2:$Y$2))/(Z1735/($K1735*$L1735*$M1735)),"")</f>
        <v/>
      </c>
      <c r="AC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1" t="n">
        <v>1</v>
      </c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/>
      <c r="Y1736" s="17" t="n">
        <v>1</v>
      </c>
      <c r="Z1736" s="13">
        <f>SUMPRODUCT(N1736:Y1736,$N$2:$Y$2)*$K1736*$L1736*$M1736</f>
        <v/>
      </c>
      <c r="AA1736" s="14">
        <f>SUM(N1736:Y1736)</f>
        <v/>
      </c>
      <c r="AB1736" s="14">
        <f>IFERROR(IF(UPPER($E1736)="L",SUMPRODUCT(N1736:Y1736,$N$3:$Y$3,$N$2:$Y$2),SUMPRODUCT(N1736:Y1736,$N$4:$Y$4,$N$2:$Y$2))/(Z1736/($K1736*$L1736*$M1736)),"")</f>
        <v/>
      </c>
      <c r="AC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1" t="n">
        <v>1</v>
      </c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/>
      <c r="Y1737" s="17" t="n">
        <v>1</v>
      </c>
      <c r="Z1737" s="13">
        <f>SUMPRODUCT(N1737:Y1737,$N$2:$Y$2)*$K1737*$L1737*$M1737</f>
        <v/>
      </c>
      <c r="AA1737" s="14">
        <f>SUM(N1737:Y1737)</f>
        <v/>
      </c>
      <c r="AB1737" s="14">
        <f>IFERROR(IF(UPPER($E1737)="L",SUMPRODUCT(N1737:Y1737,$N$3:$Y$3,$N$2:$Y$2),SUMPRODUCT(N1737:Y1737,$N$4:$Y$4,$N$2:$Y$2))/(Z1737/($K1737*$L1737*$M1737)),"")</f>
        <v/>
      </c>
      <c r="AC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1" t="n">
        <v>1</v>
      </c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/>
      <c r="Y1738" s="17" t="n">
        <v>1</v>
      </c>
      <c r="Z1738" s="13">
        <f>SUMPRODUCT(N1738:Y1738,$N$2:$Y$2)*$K1738*$L1738*$M1738</f>
        <v/>
      </c>
      <c r="AA1738" s="14">
        <f>SUM(N1738:Y1738)</f>
        <v/>
      </c>
      <c r="AB1738" s="14">
        <f>IFERROR(IF(UPPER($E1738)="L",SUMPRODUCT(N1738:Y1738,$N$3:$Y$3,$N$2:$Y$2),SUMPRODUCT(N1738:Y1738,$N$4:$Y$4,$N$2:$Y$2))/(Z1738/($K1738*$L1738*$M1738)),"")</f>
        <v/>
      </c>
      <c r="AC1738" s="18" t="n"/>
    </row>
    <row r="1739">
      <c r="A1739" s="9" t="n">
        <v>815438</v>
      </c>
      <c r="B1739" s="9" t="inlineStr">
        <is>
          <t>Jesus Freitez</t>
        </is>
      </c>
      <c r="C1739" s="9" t="inlineStr">
        <is>
          <t>COL</t>
        </is>
      </c>
      <c r="D1739" s="9" t="n">
        <v>25</v>
      </c>
      <c r="E1739" s="16" t="inlineStr">
        <is>
          <t>R</t>
        </is>
      </c>
      <c r="F1739" s="16" t="n"/>
      <c r="G1739" s="9" t="n">
        <v>21.66153846153846</v>
      </c>
      <c r="H1739" s="9" t="n">
        <v>21.66153846153846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1" t="n">
        <v>1</v>
      </c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/>
      <c r="Y1739" s="17" t="n">
        <v>1</v>
      </c>
      <c r="Z1739" s="13">
        <f>SUMPRODUCT(N1739:Y1739,$N$2:$Y$2)*$K1739*$L1739*$M1739</f>
        <v/>
      </c>
      <c r="AA1739" s="14">
        <f>SUM(N1739:Y1739)</f>
        <v/>
      </c>
      <c r="AB1739" s="14">
        <f>IFERROR(IF(UPPER($E1739)="L",SUMPRODUCT(N1739:Y1739,$N$3:$Y$3,$N$2:$Y$2),SUMPRODUCT(N1739:Y1739,$N$4:$Y$4,$N$2:$Y$2))/(Z1739/($K1739*$L1739*$M1739)),"")</f>
        <v/>
      </c>
      <c r="AC1739" s="18" t="n"/>
    </row>
    <row r="1740">
      <c r="A1740" s="9" t="n">
        <v>806306</v>
      </c>
      <c r="B1740" s="9" t="inlineStr">
        <is>
          <t>Cameron Decker</t>
        </is>
      </c>
      <c r="C1740" s="9" t="inlineStr">
        <is>
          <t>LAD</t>
        </is>
      </c>
      <c r="D1740" s="9" t="n">
        <v>25</v>
      </c>
      <c r="E1740" s="16" t="inlineStr">
        <is>
          <t>R</t>
        </is>
      </c>
      <c r="F1740" s="16" t="n"/>
      <c r="G1740" s="9" t="n">
        <v>35.28205128205128</v>
      </c>
      <c r="H1740" s="9" t="n">
        <v>35.28205128205128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1" t="n">
        <v>1</v>
      </c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/>
      <c r="Y1740" s="17" t="n">
        <v>1</v>
      </c>
      <c r="Z1740" s="13">
        <f>SUMPRODUCT(N1740:Y1740,$N$2:$Y$2)*$K1740*$L1740*$M1740</f>
        <v/>
      </c>
      <c r="AA1740" s="14">
        <f>SUM(N1740:Y1740)</f>
        <v/>
      </c>
      <c r="AB1740" s="14">
        <f>IFERROR(IF(UPPER($E1740)="L",SUMPRODUCT(N1740:Y1740,$N$3:$Y$3,$N$2:$Y$2),SUMPRODUCT(N1740:Y1740,$N$4:$Y$4,$N$2:$Y$2))/(Z1740/($K1740*$L1740*$M1740)),"")</f>
        <v/>
      </c>
      <c r="AC1740" s="18" t="n"/>
    </row>
    <row r="1741">
      <c r="A1741" s="9" t="n">
        <v>815874</v>
      </c>
      <c r="B1741" s="9" t="inlineStr">
        <is>
          <t>Nick Roselli</t>
        </is>
      </c>
      <c r="C1741" s="9" t="inlineStr">
        <is>
          <t>NYM</t>
        </is>
      </c>
      <c r="D1741" s="9" t="n">
        <v>25</v>
      </c>
      <c r="E1741" s="16" t="inlineStr">
        <is>
          <t>L</t>
        </is>
      </c>
      <c r="F1741" s="16" t="n"/>
      <c r="G1741" s="9" t="n">
        <v>18.66666666666667</v>
      </c>
      <c r="H1741" s="9" t="n">
        <v>18.66666666666667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1" t="n">
        <v>1</v>
      </c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/>
      <c r="Y1741" s="17" t="n">
        <v>1</v>
      </c>
      <c r="Z1741" s="13">
        <f>SUMPRODUCT(N1741:Y1741,$N$2:$Y$2)*$K1741*$L1741*$M1741</f>
        <v/>
      </c>
      <c r="AA1741" s="14">
        <f>SUM(N1741:Y1741)</f>
        <v/>
      </c>
      <c r="AB1741" s="14">
        <f>IFERROR(IF(UPPER($E1741)="L",SUMPRODUCT(N1741:Y1741,$N$3:$Y$3,$N$2:$Y$2),SUMPRODUCT(N1741:Y1741,$N$4:$Y$4,$N$2:$Y$2))/(Z1741/($K1741*$L1741*$M1741)),"")</f>
        <v/>
      </c>
      <c r="AC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1" t="n">
        <v>1</v>
      </c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/>
      <c r="Y1742" s="17" t="n">
        <v>1</v>
      </c>
      <c r="Z1742" s="13">
        <f>SUMPRODUCT(N1742:Y1742,$N$2:$Y$2)*$K1742*$L1742*$M1742</f>
        <v/>
      </c>
      <c r="AA1742" s="14">
        <f>SUM(N1742:Y1742)</f>
        <v/>
      </c>
      <c r="AB1742" s="14">
        <f>IFERROR(IF(UPPER($E1742)="L",SUMPRODUCT(N1742:Y1742,$N$3:$Y$3,$N$2:$Y$2),SUMPRODUCT(N1742:Y1742,$N$4:$Y$4,$N$2:$Y$2))/(Z1742/($K1742*$L1742*$M1742)),"")</f>
        <v/>
      </c>
      <c r="AC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25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Late Season (~Sept)</t>
        </is>
      </c>
      <c r="K1743" s="11">
        <f>IFERROR(INDEX(Roles!$B$17:$B$20,MATCH(J1743,Roles!$A$17:$A$20,0)),1)</f>
        <v/>
      </c>
      <c r="L1743" s="17" t="n">
        <v>1</v>
      </c>
      <c r="M1743" s="11" t="n">
        <v>1</v>
      </c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/>
      <c r="Y1743" s="17" t="n">
        <v>1</v>
      </c>
      <c r="Z1743" s="13">
        <f>SUMPRODUCT(N1743:Y1743,$N$2:$Y$2)*$K1743*$L1743*$M1743</f>
        <v/>
      </c>
      <c r="AA1743" s="14">
        <f>SUM(N1743:Y1743)</f>
        <v/>
      </c>
      <c r="AB1743" s="14">
        <f>IFERROR(IF(UPPER($E1743)="L",SUMPRODUCT(N1743:Y1743,$N$3:$Y$3,$N$2:$Y$2),SUMPRODUCT(N1743:Y1743,$N$4:$Y$4,$N$2:$Y$2))/(Z1743/($K1743*$L1743*$M1743)),"")</f>
        <v/>
      </c>
      <c r="AC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1" t="n">
        <v>1</v>
      </c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/>
      <c r="Y1744" s="17" t="n">
        <v>1</v>
      </c>
      <c r="Z1744" s="13">
        <f>SUMPRODUCT(N1744:Y1744,$N$2:$Y$2)*$K1744*$L1744*$M1744</f>
        <v/>
      </c>
      <c r="AA1744" s="14">
        <f>SUM(N1744:Y1744)</f>
        <v/>
      </c>
      <c r="AB1744" s="14">
        <f>IFERROR(IF(UPPER($E1744)="L",SUMPRODUCT(N1744:Y1744,$N$3:$Y$3,$N$2:$Y$2),SUMPRODUCT(N1744:Y1744,$N$4:$Y$4,$N$2:$Y$2))/(Z1744/($K1744*$L1744*$M1744)),"")</f>
        <v/>
      </c>
      <c r="AC1744" s="18" t="n"/>
    </row>
    <row r="1745">
      <c r="A1745" s="9" t="n">
        <v>800607</v>
      </c>
      <c r="B1745" s="9" t="inlineStr">
        <is>
          <t>Kehden Hettiger</t>
        </is>
      </c>
      <c r="C1745" s="9" t="inlineStr">
        <is>
          <t>PHI</t>
        </is>
      </c>
      <c r="D1745" s="9" t="n">
        <v>25</v>
      </c>
      <c r="E1745" s="16" t="inlineStr">
        <is>
          <t>L</t>
        </is>
      </c>
      <c r="F1745" s="16" t="n"/>
      <c r="G1745" s="9" t="n">
        <v>87.23076923076923</v>
      </c>
      <c r="H1745" s="9" t="n">
        <v>87.23076923076923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1" t="n">
        <v>1</v>
      </c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/>
      <c r="Y1745" s="17" t="n">
        <v>1</v>
      </c>
      <c r="Z1745" s="13">
        <f>SUMPRODUCT(N1745:Y1745,$N$2:$Y$2)*$K1745*$L1745*$M1745</f>
        <v/>
      </c>
      <c r="AA1745" s="14">
        <f>SUM(N1745:Y1745)</f>
        <v/>
      </c>
      <c r="AB1745" s="14">
        <f>IFERROR(IF(UPPER($E1745)="L",SUMPRODUCT(N1745:Y1745,$N$3:$Y$3,$N$2:$Y$2),SUMPRODUCT(N1745:Y1745,$N$4:$Y$4,$N$2:$Y$2))/(Z1745/($K1745*$L1745*$M1745)),"")</f>
        <v/>
      </c>
      <c r="AC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1" t="n">
        <v>1</v>
      </c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/>
      <c r="Y1746" s="17" t="n">
        <v>1</v>
      </c>
      <c r="Z1746" s="13">
        <f>SUMPRODUCT(N1746:Y1746,$N$2:$Y$2)*$K1746*$L1746*$M1746</f>
        <v/>
      </c>
      <c r="AA1746" s="14">
        <f>SUM(N1746:Y1746)</f>
        <v/>
      </c>
      <c r="AB1746" s="14">
        <f>IFERROR(IF(UPPER($E1746)="L",SUMPRODUCT(N1746:Y1746,$N$3:$Y$3,$N$2:$Y$2),SUMPRODUCT(N1746:Y1746,$N$4:$Y$4,$N$2:$Y$2))/(Z1746/($K1746*$L1746*$M1746)),"")</f>
        <v/>
      </c>
      <c r="AC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1" t="n">
        <v>1</v>
      </c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/>
      <c r="Y1747" s="17" t="n">
        <v>1</v>
      </c>
      <c r="Z1747" s="13">
        <f>SUMPRODUCT(N1747:Y1747,$N$2:$Y$2)*$K1747*$L1747*$M1747</f>
        <v/>
      </c>
      <c r="AA1747" s="14">
        <f>SUM(N1747:Y1747)</f>
        <v/>
      </c>
      <c r="AB1747" s="14">
        <f>IFERROR(IF(UPPER($E1747)="L",SUMPRODUCT(N1747:Y1747,$N$3:$Y$3,$N$2:$Y$2),SUMPRODUCT(N1747:Y1747,$N$4:$Y$4,$N$2:$Y$2))/(Z1747/($K1747*$L1747*$M1747)),"")</f>
        <v/>
      </c>
      <c r="AC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1" t="n">
        <v>1</v>
      </c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/>
      <c r="Y1748" s="17" t="n">
        <v>1</v>
      </c>
      <c r="Z1748" s="13">
        <f>SUMPRODUCT(N1748:Y1748,$N$2:$Y$2)*$K1748*$L1748*$M1748</f>
        <v/>
      </c>
      <c r="AA1748" s="14">
        <f>SUM(N1748:Y1748)</f>
        <v/>
      </c>
      <c r="AB1748" s="14">
        <f>IFERROR(IF(UPPER($E1748)="L",SUMPRODUCT(N1748:Y1748,$N$3:$Y$3,$N$2:$Y$2),SUMPRODUCT(N1748:Y1748,$N$4:$Y$4,$N$2:$Y$2))/(Z1748/($K1748*$L1748*$M1748)),"")</f>
        <v/>
      </c>
      <c r="AC1748" s="18" t="n"/>
    </row>
    <row r="1749">
      <c r="A1749" s="9" t="n">
        <v>800357</v>
      </c>
      <c r="B1749" s="9" t="inlineStr">
        <is>
          <t>Ricardo Gonzalez</t>
        </is>
      </c>
      <c r="C1749" s="9" t="inlineStr">
        <is>
          <t>TB</t>
        </is>
      </c>
      <c r="D1749" s="9" t="n">
        <v>25</v>
      </c>
      <c r="E1749" s="16" t="inlineStr">
        <is>
          <t>S</t>
        </is>
      </c>
      <c r="F1749" s="16" t="n"/>
      <c r="G1749" s="9" t="n">
        <v>23.58974358974359</v>
      </c>
      <c r="H1749" s="9" t="n">
        <v>23.58974358974359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1" t="n">
        <v>1</v>
      </c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/>
      <c r="Y1749" s="17" t="n">
        <v>1</v>
      </c>
      <c r="Z1749" s="13">
        <f>SUMPRODUCT(N1749:Y1749,$N$2:$Y$2)*$K1749*$L1749*$M1749</f>
        <v/>
      </c>
      <c r="AA1749" s="14">
        <f>SUM(N1749:Y1749)</f>
        <v/>
      </c>
      <c r="AB1749" s="14">
        <f>IFERROR(IF(UPPER($E1749)="L",SUMPRODUCT(N1749:Y1749,$N$3:$Y$3,$N$2:$Y$2),SUMPRODUCT(N1749:Y1749,$N$4:$Y$4,$N$2:$Y$2))/(Z1749/($K1749*$L1749*$M1749)),"")</f>
        <v/>
      </c>
      <c r="AC1749" s="18" t="n"/>
    </row>
    <row r="1750">
      <c r="A1750" s="9" t="n">
        <v>682239</v>
      </c>
      <c r="B1750" s="9" t="inlineStr">
        <is>
          <t>Luke Ritter</t>
        </is>
      </c>
      <c r="C1750" s="9" t="inlineStr">
        <is>
          <t>DET</t>
        </is>
      </c>
      <c r="D1750" s="9" t="n">
        <v>25</v>
      </c>
      <c r="E1750" s="16" t="inlineStr">
        <is>
          <t>R</t>
        </is>
      </c>
      <c r="F1750" s="16" t="n"/>
      <c r="G1750" s="9" t="n">
        <v>34.41025641025641</v>
      </c>
      <c r="H1750" s="9" t="n">
        <v>34.41025641025641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1" t="n">
        <v>1</v>
      </c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/>
      <c r="Y1750" s="17" t="n">
        <v>1</v>
      </c>
      <c r="Z1750" s="13">
        <f>SUMPRODUCT(N1750:Y1750,$N$2:$Y$2)*$K1750*$L1750*$M1750</f>
        <v/>
      </c>
      <c r="AA1750" s="14">
        <f>SUM(N1750:Y1750)</f>
        <v/>
      </c>
      <c r="AB1750" s="14">
        <f>IFERROR(IF(UPPER($E1750)="L",SUMPRODUCT(N1750:Y1750,$N$3:$Y$3,$N$2:$Y$2),SUMPRODUCT(N1750:Y1750,$N$4:$Y$4,$N$2:$Y$2))/(Z1750/($K1750*$L1750*$M1750)),"")</f>
        <v/>
      </c>
      <c r="AC1750" s="18" t="n"/>
    </row>
    <row r="1751">
      <c r="A1751" s="9" t="n">
        <v>808302</v>
      </c>
      <c r="B1751" s="9" t="inlineStr">
        <is>
          <t>Juan Ortega</t>
        </is>
      </c>
      <c r="C1751" s="9" t="inlineStr">
        <is>
          <t>BAL</t>
        </is>
      </c>
      <c r="D1751" s="9" t="n">
        <v>25</v>
      </c>
      <c r="E1751" s="16" t="inlineStr">
        <is>
          <t>R</t>
        </is>
      </c>
      <c r="F1751" s="16" t="n"/>
      <c r="G1751" s="9" t="n">
        <v>23.50769230769231</v>
      </c>
      <c r="H1751" s="9" t="n">
        <v>23.50769230769231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1" t="n">
        <v>1</v>
      </c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/>
      <c r="Y1751" s="17" t="n">
        <v>1</v>
      </c>
      <c r="Z1751" s="13">
        <f>SUMPRODUCT(N1751:Y1751,$N$2:$Y$2)*$K1751*$L1751*$M1751</f>
        <v/>
      </c>
      <c r="AA1751" s="14">
        <f>SUM(N1751:Y1751)</f>
        <v/>
      </c>
      <c r="AB1751" s="14">
        <f>IFERROR(IF(UPPER($E1751)="L",SUMPRODUCT(N1751:Y1751,$N$3:$Y$3,$N$2:$Y$2),SUMPRODUCT(N1751:Y1751,$N$4:$Y$4,$N$2:$Y$2))/(Z1751/($K1751*$L1751*$M1751)),"")</f>
        <v/>
      </c>
      <c r="AC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1" t="n">
        <v>1</v>
      </c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/>
      <c r="Y1752" s="17" t="n">
        <v>1</v>
      </c>
      <c r="Z1752" s="13">
        <f>SUMPRODUCT(N1752:Y1752,$N$2:$Y$2)*$K1752*$L1752*$M1752</f>
        <v/>
      </c>
      <c r="AA1752" s="14">
        <f>SUM(N1752:Y1752)</f>
        <v/>
      </c>
      <c r="AB1752" s="14">
        <f>IFERROR(IF(UPPER($E1752)="L",SUMPRODUCT(N1752:Y1752,$N$3:$Y$3,$N$2:$Y$2),SUMPRODUCT(N1752:Y1752,$N$4:$Y$4,$N$2:$Y$2))/(Z1752/($K1752*$L1752*$M1752)),"")</f>
        <v/>
      </c>
      <c r="AC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1" t="n">
        <v>1</v>
      </c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/>
      <c r="Y1753" s="17" t="n">
        <v>1</v>
      </c>
      <c r="Z1753" s="13">
        <f>SUMPRODUCT(N1753:Y1753,$N$2:$Y$2)*$K1753*$L1753*$M1753</f>
        <v/>
      </c>
      <c r="AA1753" s="14">
        <f>SUM(N1753:Y1753)</f>
        <v/>
      </c>
      <c r="AB1753" s="14">
        <f>IFERROR(IF(UPPER($E1753)="L",SUMPRODUCT(N1753:Y1753,$N$3:$Y$3,$N$2:$Y$2),SUMPRODUCT(N1753:Y1753,$N$4:$Y$4,$N$2:$Y$2))/(Z1753/($K1753*$L1753*$M1753)),"")</f>
        <v/>
      </c>
      <c r="AC1753" s="18" t="n"/>
    </row>
    <row r="1754">
      <c r="A1754" s="9" t="n">
        <v>690992</v>
      </c>
      <c r="B1754" s="9" t="inlineStr">
        <is>
          <t>Ed Howard</t>
        </is>
      </c>
      <c r="C1754" s="9" t="inlineStr">
        <is>
          <t>CHC</t>
        </is>
      </c>
      <c r="D1754" s="9" t="n">
        <v>25</v>
      </c>
      <c r="E1754" s="16" t="inlineStr">
        <is>
          <t>R</t>
        </is>
      </c>
      <c r="F1754" s="16" t="n"/>
      <c r="G1754" s="9" t="n">
        <v>18.61538461538462</v>
      </c>
      <c r="H1754" s="9" t="n">
        <v>18.61538461538462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1" t="n">
        <v>1</v>
      </c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/>
      <c r="Y1754" s="17" t="n">
        <v>1</v>
      </c>
      <c r="Z1754" s="13">
        <f>SUMPRODUCT(N1754:Y1754,$N$2:$Y$2)*$K1754*$L1754*$M1754</f>
        <v/>
      </c>
      <c r="AA1754" s="14">
        <f>SUM(N1754:Y1754)</f>
        <v/>
      </c>
      <c r="AB1754" s="14">
        <f>IFERROR(IF(UPPER($E1754)="L",SUMPRODUCT(N1754:Y1754,$N$3:$Y$3,$N$2:$Y$2),SUMPRODUCT(N1754:Y1754,$N$4:$Y$4,$N$2:$Y$2))/(Z1754/($K1754*$L1754*$M1754)),"")</f>
        <v/>
      </c>
      <c r="AC1754" s="18" t="n"/>
    </row>
    <row r="1755">
      <c r="A1755" s="9" t="n">
        <v>600301</v>
      </c>
      <c r="B1755" s="9" t="inlineStr">
        <is>
          <t>Taylor Motter</t>
        </is>
      </c>
      <c r="C1755" s="9" t="inlineStr">
        <is>
          <t>STL</t>
        </is>
      </c>
      <c r="D1755" s="9" t="n">
        <v>37</v>
      </c>
      <c r="E1755" s="16" t="inlineStr">
        <is>
          <t>R</t>
        </is>
      </c>
      <c r="F1755" s="16" t="inlineStr">
        <is>
          <t>2B</t>
        </is>
      </c>
      <c r="G1755" s="9" t="n">
        <v>82</v>
      </c>
      <c r="H1755" s="9" t="n">
        <v>88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1" t="n">
        <v>1</v>
      </c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/>
      <c r="Y1755" s="17" t="n">
        <v>1</v>
      </c>
      <c r="Z1755" s="13">
        <f>SUMPRODUCT(N1755:Y1755,$N$2:$Y$2)*$K1755*$L1755*$M1755</f>
        <v/>
      </c>
      <c r="AA1755" s="14">
        <f>SUM(N1755:Y1755)</f>
        <v/>
      </c>
      <c r="AB1755" s="14">
        <f>IFERROR(IF(UPPER($E1755)="L",SUMPRODUCT(N1755:Y1755,$N$3:$Y$3,$N$2:$Y$2),SUMPRODUCT(N1755:Y1755,$N$4:$Y$4,$N$2:$Y$2))/(Z1755/($K1755*$L1755*$M1755)),"")</f>
        <v/>
      </c>
      <c r="AC1755" s="18" t="n"/>
    </row>
    <row r="1756">
      <c r="A1756" s="9" t="n">
        <v>811339</v>
      </c>
      <c r="B1756" s="9" t="inlineStr">
        <is>
          <t>Josh Kross</t>
        </is>
      </c>
      <c r="C1756" s="9" t="inlineStr">
        <is>
          <t>STL</t>
        </is>
      </c>
      <c r="D1756" s="9" t="n">
        <v>25</v>
      </c>
      <c r="E1756" s="16" t="inlineStr">
        <is>
          <t>S</t>
        </is>
      </c>
      <c r="F1756" s="16" t="n"/>
      <c r="G1756" s="9" t="n">
        <v>75.8974358974359</v>
      </c>
      <c r="H1756" s="9" t="n">
        <v>75.8974358974359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1" t="n">
        <v>1</v>
      </c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/>
      <c r="Y1756" s="17" t="n">
        <v>1</v>
      </c>
      <c r="Z1756" s="13">
        <f>SUMPRODUCT(N1756:Y1756,$N$2:$Y$2)*$K1756*$L1756*$M1756</f>
        <v/>
      </c>
      <c r="AA1756" s="14">
        <f>SUM(N1756:Y1756)</f>
        <v/>
      </c>
      <c r="AB1756" s="14">
        <f>IFERROR(IF(UPPER($E1756)="L",SUMPRODUCT(N1756:Y1756,$N$3:$Y$3,$N$2:$Y$2),SUMPRODUCT(N1756:Y1756,$N$4:$Y$4,$N$2:$Y$2))/(Z1756/($K1756*$L1756*$M1756)),"")</f>
        <v/>
      </c>
      <c r="AC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1" t="n">
        <v>1</v>
      </c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/>
      <c r="Y1757" s="17" t="n">
        <v>1</v>
      </c>
      <c r="Z1757" s="13">
        <f>SUMPRODUCT(N1757:Y1757,$N$2:$Y$2)*$K1757*$L1757*$M1757</f>
        <v/>
      </c>
      <c r="AA1757" s="14">
        <f>SUM(N1757:Y1757)</f>
        <v/>
      </c>
      <c r="AB1757" s="14">
        <f>IFERROR(IF(UPPER($E1757)="L",SUMPRODUCT(N1757:Y1757,$N$3:$Y$3,$N$2:$Y$2),SUMPRODUCT(N1757:Y1757,$N$4:$Y$4,$N$2:$Y$2))/(Z1757/($K1757*$L1757*$M1757)),"")</f>
        <v/>
      </c>
      <c r="AC1757" s="18" t="n"/>
    </row>
    <row r="1758">
      <c r="A1758" s="9" t="n">
        <v>672701</v>
      </c>
      <c r="B1758" s="9" t="inlineStr">
        <is>
          <t>José Devers</t>
        </is>
      </c>
      <c r="C1758" s="9" t="inlineStr">
        <is>
          <t>MIA</t>
        </is>
      </c>
      <c r="D1758" s="9" t="n">
        <v>27</v>
      </c>
      <c r="E1758" s="16" t="inlineStr">
        <is>
          <t>L</t>
        </is>
      </c>
      <c r="F1758" s="16" t="inlineStr">
        <is>
          <t>2B</t>
        </is>
      </c>
      <c r="G1758" s="9" t="n">
        <v>4</v>
      </c>
      <c r="H1758" s="9" t="n">
        <v>4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1" t="n">
        <v>1</v>
      </c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/>
      <c r="Y1758" s="17" t="n">
        <v>1</v>
      </c>
      <c r="Z1758" s="13">
        <f>SUMPRODUCT(N1758:Y1758,$N$2:$Y$2)*$K1758*$L1758*$M1758</f>
        <v/>
      </c>
      <c r="AA1758" s="14">
        <f>SUM(N1758:Y1758)</f>
        <v/>
      </c>
      <c r="AB1758" s="14">
        <f>IFERROR(IF(UPPER($E1758)="L",SUMPRODUCT(N1758:Y1758,$N$3:$Y$3,$N$2:$Y$2),SUMPRODUCT(N1758:Y1758,$N$4:$Y$4,$N$2:$Y$2))/(Z1758/($K1758*$L1758*$M1758)),"")</f>
        <v/>
      </c>
      <c r="AC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1" t="n">
        <v>1</v>
      </c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/>
      <c r="Y1759" s="17" t="n">
        <v>1</v>
      </c>
      <c r="Z1759" s="13">
        <f>SUMPRODUCT(N1759:Y1759,$N$2:$Y$2)*$K1759*$L1759*$M1759</f>
        <v/>
      </c>
      <c r="AA1759" s="14">
        <f>SUM(N1759:Y1759)</f>
        <v/>
      </c>
      <c r="AB1759" s="14">
        <f>IFERROR(IF(UPPER($E1759)="L",SUMPRODUCT(N1759:Y1759,$N$3:$Y$3,$N$2:$Y$2),SUMPRODUCT(N1759:Y1759,$N$4:$Y$4,$N$2:$Y$2))/(Z1759/($K1759*$L1759*$M1759)),"")</f>
        <v/>
      </c>
      <c r="AC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1" t="n">
        <v>1</v>
      </c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/>
      <c r="Y1760" s="17" t="n">
        <v>1</v>
      </c>
      <c r="Z1760" s="13">
        <f>SUMPRODUCT(N1760:Y1760,$N$2:$Y$2)*$K1760*$L1760*$M1760</f>
        <v/>
      </c>
      <c r="AA1760" s="14">
        <f>SUM(N1760:Y1760)</f>
        <v/>
      </c>
      <c r="AB1760" s="14">
        <f>IFERROR(IF(UPPER($E1760)="L",SUMPRODUCT(N1760:Y1760,$N$3:$Y$3,$N$2:$Y$2),SUMPRODUCT(N1760:Y1760,$N$4:$Y$4,$N$2:$Y$2))/(Z1760/($K1760*$L1760*$M1760)),"")</f>
        <v/>
      </c>
      <c r="AC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inlineStr">
        <is>
          <t>CF</t>
        </is>
      </c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1" t="n">
        <v>1</v>
      </c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/>
      <c r="Y1761" s="17" t="n">
        <v>1</v>
      </c>
      <c r="Z1761" s="13">
        <f>SUMPRODUCT(N1761:Y1761,$N$2:$Y$2)*$K1761*$L1761*$M1761</f>
        <v/>
      </c>
      <c r="AA1761" s="14">
        <f>SUM(N1761:Y1761)</f>
        <v/>
      </c>
      <c r="AB1761" s="14">
        <f>IFERROR(IF(UPPER($E1761)="L",SUMPRODUCT(N1761:Y1761,$N$3:$Y$3,$N$2:$Y$2),SUMPRODUCT(N1761:Y1761,$N$4:$Y$4,$N$2:$Y$2))/(Z1761/($K1761*$L1761*$M1761)),"")</f>
        <v/>
      </c>
      <c r="AC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1" t="n">
        <v>1</v>
      </c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/>
      <c r="Y1762" s="17" t="n">
        <v>1</v>
      </c>
      <c r="Z1762" s="13">
        <f>SUMPRODUCT(N1762:Y1762,$N$2:$Y$2)*$K1762*$L1762*$M1762</f>
        <v/>
      </c>
      <c r="AA1762" s="14">
        <f>SUM(N1762:Y1762)</f>
        <v/>
      </c>
      <c r="AB1762" s="14">
        <f>IFERROR(IF(UPPER($E1762)="L",SUMPRODUCT(N1762:Y1762,$N$3:$Y$3,$N$2:$Y$2),SUMPRODUCT(N1762:Y1762,$N$4:$Y$4,$N$2:$Y$2))/(Z1762/($K1762*$L1762*$M1762)),"")</f>
        <v/>
      </c>
      <c r="AC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1" t="n">
        <v>1</v>
      </c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/>
      <c r="Y1763" s="17" t="n">
        <v>1</v>
      </c>
      <c r="Z1763" s="13">
        <f>SUMPRODUCT(N1763:Y1763,$N$2:$Y$2)*$K1763*$L1763*$M1763</f>
        <v/>
      </c>
      <c r="AA1763" s="14">
        <f>SUM(N1763:Y1763)</f>
        <v/>
      </c>
      <c r="AB1763" s="14">
        <f>IFERROR(IF(UPPER($E1763)="L",SUMPRODUCT(N1763:Y1763,$N$3:$Y$3,$N$2:$Y$2),SUMPRODUCT(N1763:Y1763,$N$4:$Y$4,$N$2:$Y$2))/(Z1763/($K1763*$L1763*$M1763)),"")</f>
        <v/>
      </c>
      <c r="AC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inlineStr">
        <is>
          <t>1B</t>
        </is>
      </c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1" t="n">
        <v>1.033272172891091</v>
      </c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/>
      <c r="W1764" s="17" t="n">
        <v>1</v>
      </c>
      <c r="X1764" s="17" t="n"/>
      <c r="Y1764" s="17" t="n"/>
      <c r="Z1764" s="13">
        <f>SUMPRODUCT(N1764:Y1764,$N$2:$Y$2)*$K1764*$L1764*$M1764</f>
        <v/>
      </c>
      <c r="AA1764" s="14">
        <f>SUM(N1764:Y1764)</f>
        <v/>
      </c>
      <c r="AB1764" s="14">
        <f>IFERROR(IF(UPPER($E1764)="L",SUMPRODUCT(N1764:Y1764,$N$3:$Y$3,$N$2:$Y$2),SUMPRODUCT(N1764:Y1764,$N$4:$Y$4,$N$2:$Y$2))/(Z1764/($K1764*$L1764*$M1764)),"")</f>
        <v/>
      </c>
      <c r="AC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1" t="n">
        <v>1</v>
      </c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/>
      <c r="Y1765" s="17" t="n">
        <v>1</v>
      </c>
      <c r="Z1765" s="13">
        <f>SUMPRODUCT(N1765:Y1765,$N$2:$Y$2)*$K1765*$L1765*$M1765</f>
        <v/>
      </c>
      <c r="AA1765" s="14">
        <f>SUM(N1765:Y1765)</f>
        <v/>
      </c>
      <c r="AB1765" s="14">
        <f>IFERROR(IF(UPPER($E1765)="L",SUMPRODUCT(N1765:Y1765,$N$3:$Y$3,$N$2:$Y$2),SUMPRODUCT(N1765:Y1765,$N$4:$Y$4,$N$2:$Y$2))/(Z1765/($K1765*$L1765*$M1765)),"")</f>
        <v/>
      </c>
      <c r="AC1765" s="18" t="n"/>
    </row>
    <row r="1766">
      <c r="A1766" s="9" t="n">
        <v>683270</v>
      </c>
      <c r="B1766" s="9" t="inlineStr">
        <is>
          <t>Connor Dykstra</t>
        </is>
      </c>
      <c r="C1766" s="9" t="inlineStr">
        <is>
          <t>SEA</t>
        </is>
      </c>
      <c r="D1766" s="9" t="n">
        <v>25</v>
      </c>
      <c r="E1766" s="16" t="inlineStr">
        <is>
          <t>R</t>
        </is>
      </c>
      <c r="F1766" s="16" t="n"/>
      <c r="G1766" s="9" t="n">
        <v>27.81538461538462</v>
      </c>
      <c r="H1766" s="9" t="n">
        <v>27.81538461538462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1" t="n">
        <v>1</v>
      </c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/>
      <c r="Y1766" s="17" t="n">
        <v>1</v>
      </c>
      <c r="Z1766" s="13">
        <f>SUMPRODUCT(N1766:Y1766,$N$2:$Y$2)*$K1766*$L1766*$M1766</f>
        <v/>
      </c>
      <c r="AA1766" s="14">
        <f>SUM(N1766:Y1766)</f>
        <v/>
      </c>
      <c r="AB1766" s="14">
        <f>IFERROR(IF(UPPER($E1766)="L",SUMPRODUCT(N1766:Y1766,$N$3:$Y$3,$N$2:$Y$2),SUMPRODUCT(N1766:Y1766,$N$4:$Y$4,$N$2:$Y$2))/(Z1766/($K1766*$L1766*$M1766)),"")</f>
        <v/>
      </c>
      <c r="AC1766" s="18" t="n"/>
    </row>
    <row r="1767">
      <c r="A1767" s="9" t="n">
        <v>832110</v>
      </c>
      <c r="B1767" s="9" t="inlineStr">
        <is>
          <t>Daniel Rogers</t>
        </is>
      </c>
      <c r="C1767" s="9" t="inlineStr">
        <is>
          <t>SF</t>
        </is>
      </c>
      <c r="D1767" s="9" t="n">
        <v>25</v>
      </c>
      <c r="E1767" s="16" t="inlineStr">
        <is>
          <t>L</t>
        </is>
      </c>
      <c r="F1767" s="16" t="n"/>
      <c r="G1767" s="9" t="n">
        <v>27.48717948717949</v>
      </c>
      <c r="H1767" s="9" t="n">
        <v>27.48717948717949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1" t="n">
        <v>1</v>
      </c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/>
      <c r="Y1767" s="17" t="n">
        <v>1</v>
      </c>
      <c r="Z1767" s="13">
        <f>SUMPRODUCT(N1767:Y1767,$N$2:$Y$2)*$K1767*$L1767*$M1767</f>
        <v/>
      </c>
      <c r="AA1767" s="14">
        <f>SUM(N1767:Y1767)</f>
        <v/>
      </c>
      <c r="AB1767" s="14">
        <f>IFERROR(IF(UPPER($E1767)="L",SUMPRODUCT(N1767:Y1767,$N$3:$Y$3,$N$2:$Y$2),SUMPRODUCT(N1767:Y1767,$N$4:$Y$4,$N$2:$Y$2))/(Z1767/($K1767*$L1767*$M1767)),"")</f>
        <v/>
      </c>
      <c r="AC1767" s="18" t="n"/>
    </row>
    <row r="1768">
      <c r="A1768" s="9" t="n">
        <v>828098</v>
      </c>
      <c r="B1768" s="9" t="inlineStr">
        <is>
          <t>JoJo Parker</t>
        </is>
      </c>
      <c r="C1768" s="9" t="inlineStr">
        <is>
          <t>TOR</t>
        </is>
      </c>
      <c r="D1768" s="9" t="n">
        <v>25</v>
      </c>
      <c r="E1768" s="16" t="inlineStr">
        <is>
          <t>L</t>
        </is>
      </c>
      <c r="F1768" s="16" t="n"/>
      <c r="G1768" s="9" t="n">
        <v>19.69230769230769</v>
      </c>
      <c r="H1768" s="9" t="n">
        <v>19.69230769230769</v>
      </c>
      <c r="I1768" s="9" t="inlineStr">
        <is>
          <t>Depth (no MLB PA)</t>
        </is>
      </c>
      <c r="J1768" s="16" t="inlineStr">
        <is>
          <t>Late Season (~Sept)</t>
        </is>
      </c>
      <c r="K1768" s="11">
        <f>IFERROR(INDEX(Roles!$B$17:$B$20,MATCH(J1768,Roles!$A$17:$A$20,0)),1)</f>
        <v/>
      </c>
      <c r="L1768" s="17" t="n">
        <v>1</v>
      </c>
      <c r="M1768" s="11" t="n">
        <v>1</v>
      </c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/>
      <c r="Y1768" s="17" t="n">
        <v>1</v>
      </c>
      <c r="Z1768" s="13">
        <f>SUMPRODUCT(N1768:Y1768,$N$2:$Y$2)*$K1768*$L1768*$M1768</f>
        <v/>
      </c>
      <c r="AA1768" s="14">
        <f>SUM(N1768:Y1768)</f>
        <v/>
      </c>
      <c r="AB1768" s="14">
        <f>IFERROR(IF(UPPER($E1768)="L",SUMPRODUCT(N1768:Y1768,$N$3:$Y$3,$N$2:$Y$2),SUMPRODUCT(N1768:Y1768,$N$4:$Y$4,$N$2:$Y$2))/(Z1768/($K1768*$L1768*$M1768)),"")</f>
        <v/>
      </c>
      <c r="AC1768" s="18" t="n"/>
    </row>
    <row r="1769">
      <c r="A1769" s="9" t="n">
        <v>689822</v>
      </c>
      <c r="B1769" s="9" t="inlineStr">
        <is>
          <t>Matt Rudick</t>
        </is>
      </c>
      <c r="C1769" s="9" t="inlineStr">
        <is>
          <t>NYM</t>
        </is>
      </c>
      <c r="D1769" s="9" t="n">
        <v>25</v>
      </c>
      <c r="E1769" s="16" t="inlineStr">
        <is>
          <t>L</t>
        </is>
      </c>
      <c r="F1769" s="16" t="n"/>
      <c r="G1769" s="9" t="n">
        <v>36.66666666666667</v>
      </c>
      <c r="H1769" s="9" t="n">
        <v>36.66666666666667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1" t="n">
        <v>1</v>
      </c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/>
      <c r="Y1769" s="17" t="n">
        <v>1</v>
      </c>
      <c r="Z1769" s="13">
        <f>SUMPRODUCT(N1769:Y1769,$N$2:$Y$2)*$K1769*$L1769*$M1769</f>
        <v/>
      </c>
      <c r="AA1769" s="14">
        <f>SUM(N1769:Y1769)</f>
        <v/>
      </c>
      <c r="AB1769" s="14">
        <f>IFERROR(IF(UPPER($E1769)="L",SUMPRODUCT(N1769:Y1769,$N$3:$Y$3,$N$2:$Y$2),SUMPRODUCT(N1769:Y1769,$N$4:$Y$4,$N$2:$Y$2))/(Z1769/($K1769*$L1769*$M1769)),"")</f>
        <v/>
      </c>
      <c r="AC1769" s="18" t="n"/>
    </row>
    <row r="1770">
      <c r="A1770" s="9" t="n">
        <v>642708</v>
      </c>
      <c r="B1770" s="9" t="inlineStr">
        <is>
          <t>Amed Rosario</t>
        </is>
      </c>
      <c r="C1770" s="9" t="inlineStr">
        <is>
          <t>NYY</t>
        </is>
      </c>
      <c r="D1770" s="9" t="n">
        <v>31</v>
      </c>
      <c r="E1770" s="16" t="inlineStr">
        <is>
          <t>R</t>
        </is>
      </c>
      <c r="F1770" s="16" t="inlineStr">
        <is>
          <t>3B</t>
        </is>
      </c>
      <c r="G1770" s="9" t="n">
        <v>244</v>
      </c>
      <c r="H1770" s="9" t="n">
        <v>1996</v>
      </c>
      <c r="I1770" s="9" t="inlineStr">
        <is>
          <t>Utility IF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1" t="n">
        <v>0.875459435538381</v>
      </c>
      <c r="N1770" s="17" t="n"/>
      <c r="O1770" s="17" t="n"/>
      <c r="P1770" s="17" t="n"/>
      <c r="Q1770" s="17" t="n"/>
      <c r="R1770" s="17" t="n"/>
      <c r="S1770" s="17" t="n"/>
      <c r="T1770" s="17" t="n"/>
      <c r="U1770" s="17" t="n">
        <v>0.7</v>
      </c>
      <c r="V1770" s="17" t="n"/>
      <c r="W1770" s="17" t="n">
        <v>0.3</v>
      </c>
      <c r="X1770" s="17" t="n"/>
      <c r="Y1770" s="17" t="n"/>
      <c r="Z1770" s="13">
        <f>SUMPRODUCT(N1770:Y1770,$N$2:$Y$2)*$K1770*$L1770*$M1770</f>
        <v/>
      </c>
      <c r="AA1770" s="14">
        <f>SUM(N1770:Y1770)</f>
        <v/>
      </c>
      <c r="AB1770" s="14">
        <f>IFERROR(IF(UPPER($E1770)="L",SUMPRODUCT(N1770:Y1770,$N$3:$Y$3,$N$2:$Y$2),SUMPRODUCT(N1770:Y1770,$N$4:$Y$4,$N$2:$Y$2))/(Z1770/($K1770*$L1770*$M1770)),"")</f>
        <v/>
      </c>
      <c r="AC1770" s="18" t="n"/>
    </row>
    <row r="1771">
      <c r="A1771" s="9" t="n">
        <v>808693</v>
      </c>
      <c r="B1771" s="9" t="inlineStr">
        <is>
          <t>Daniel Lopez</t>
        </is>
      </c>
      <c r="C1771" s="9" t="inlineStr">
        <is>
          <t>KC</t>
        </is>
      </c>
      <c r="D1771" s="9" t="n">
        <v>25</v>
      </c>
      <c r="E1771" s="16" t="inlineStr">
        <is>
          <t>L</t>
        </is>
      </c>
      <c r="F1771" s="16" t="n"/>
      <c r="G1771" s="9" t="n">
        <v>21.78461538461539</v>
      </c>
      <c r="H1771" s="9" t="n">
        <v>21.78461538461539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1" t="n">
        <v>1</v>
      </c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/>
      <c r="Y1771" s="17" t="n">
        <v>1</v>
      </c>
      <c r="Z1771" s="13">
        <f>SUMPRODUCT(N1771:Y1771,$N$2:$Y$2)*$K1771*$L1771*$M1771</f>
        <v/>
      </c>
      <c r="AA1771" s="14">
        <f>SUM(N1771:Y1771)</f>
        <v/>
      </c>
      <c r="AB1771" s="14">
        <f>IFERROR(IF(UPPER($E1771)="L",SUMPRODUCT(N1771:Y1771,$N$3:$Y$3,$N$2:$Y$2),SUMPRODUCT(N1771:Y1771,$N$4:$Y$4,$N$2:$Y$2))/(Z1771/($K1771*$L1771*$M1771)),"")</f>
        <v/>
      </c>
      <c r="AC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1" t="n">
        <v>1</v>
      </c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/>
      <c r="Y1772" s="17" t="n">
        <v>1</v>
      </c>
      <c r="Z1772" s="13">
        <f>SUMPRODUCT(N1772:Y1772,$N$2:$Y$2)*$K1772*$L1772*$M1772</f>
        <v/>
      </c>
      <c r="AA1772" s="14">
        <f>SUM(N1772:Y1772)</f>
        <v/>
      </c>
      <c r="AB1772" s="14">
        <f>IFERROR(IF(UPPER($E1772)="L",SUMPRODUCT(N1772:Y1772,$N$3:$Y$3,$N$2:$Y$2),SUMPRODUCT(N1772:Y1772,$N$4:$Y$4,$N$2:$Y$2))/(Z1772/($K1772*$L1772*$M1772)),"")</f>
        <v/>
      </c>
      <c r="AC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1" t="n">
        <v>1</v>
      </c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/>
      <c r="Y1773" s="17" t="n">
        <v>1</v>
      </c>
      <c r="Z1773" s="13">
        <f>SUMPRODUCT(N1773:Y1773,$N$2:$Y$2)*$K1773*$L1773*$M1773</f>
        <v/>
      </c>
      <c r="AA1773" s="14">
        <f>SUM(N1773:Y1773)</f>
        <v/>
      </c>
      <c r="AB1773" s="14">
        <f>IFERROR(IF(UPPER($E1773)="L",SUMPRODUCT(N1773:Y1773,$N$3:$Y$3,$N$2:$Y$2),SUMPRODUCT(N1773:Y1773,$N$4:$Y$4,$N$2:$Y$2))/(Z1773/($K1773*$L1773*$M1773)),"")</f>
        <v/>
      </c>
      <c r="AC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1" t="n">
        <v>1</v>
      </c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/>
      <c r="Y1774" s="17" t="n">
        <v>1</v>
      </c>
      <c r="Z1774" s="13">
        <f>SUMPRODUCT(N1774:Y1774,$N$2:$Y$2)*$K1774*$L1774*$M1774</f>
        <v/>
      </c>
      <c r="AA1774" s="14">
        <f>SUM(N1774:Y1774)</f>
        <v/>
      </c>
      <c r="AB1774" s="14">
        <f>IFERROR(IF(UPPER($E1774)="L",SUMPRODUCT(N1774:Y1774,$N$3:$Y$3,$N$2:$Y$2),SUMPRODUCT(N1774:Y1774,$N$4:$Y$4,$N$2:$Y$2))/(Z1774/($K1774*$L1774*$M1774)),"")</f>
        <v/>
      </c>
      <c r="AC1774" s="18" t="n"/>
    </row>
    <row r="1775">
      <c r="A1775" s="9" t="n">
        <v>821075</v>
      </c>
      <c r="B1775" s="9" t="inlineStr">
        <is>
          <t>Merphy Hernandez</t>
        </is>
      </c>
      <c r="C1775" s="9" t="inlineStr">
        <is>
          <t>MIN</t>
        </is>
      </c>
      <c r="D1775" s="9" t="n">
        <v>25</v>
      </c>
      <c r="E1775" s="16" t="inlineStr">
        <is>
          <t>L</t>
        </is>
      </c>
      <c r="F1775" s="16" t="n"/>
      <c r="G1775" s="9" t="n">
        <v>28.92307692307692</v>
      </c>
      <c r="H1775" s="9" t="n">
        <v>28.92307692307692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1" t="n">
        <v>1</v>
      </c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/>
      <c r="Y1775" s="17" t="n">
        <v>1</v>
      </c>
      <c r="Z1775" s="13">
        <f>SUMPRODUCT(N1775:Y1775,$N$2:$Y$2)*$K1775*$L1775*$M1775</f>
        <v/>
      </c>
      <c r="AA1775" s="14">
        <f>SUM(N1775:Y1775)</f>
        <v/>
      </c>
      <c r="AB1775" s="14">
        <f>IFERROR(IF(UPPER($E1775)="L",SUMPRODUCT(N1775:Y1775,$N$3:$Y$3,$N$2:$Y$2),SUMPRODUCT(N1775:Y1775,$N$4:$Y$4,$N$2:$Y$2))/(Z1775/($K1775*$L1775*$M1775)),"")</f>
        <v/>
      </c>
      <c r="AC1775" s="18" t="n"/>
    </row>
    <row r="1776">
      <c r="A1776" s="9" t="n">
        <v>699130</v>
      </c>
      <c r="B1776" s="9" t="inlineStr">
        <is>
          <t>Jadher Areinamo</t>
        </is>
      </c>
      <c r="C1776" s="9" t="inlineStr">
        <is>
          <t>TB</t>
        </is>
      </c>
      <c r="D1776" s="9" t="n">
        <v>25</v>
      </c>
      <c r="E1776" s="16" t="inlineStr">
        <is>
          <t>R</t>
        </is>
      </c>
      <c r="F1776" s="16" t="n"/>
      <c r="G1776" s="9" t="n">
        <v>21.43589743589744</v>
      </c>
      <c r="H1776" s="9" t="n">
        <v>21.43589743589744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1" t="n">
        <v>1</v>
      </c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/>
      <c r="Y1776" s="17" t="n">
        <v>1</v>
      </c>
      <c r="Z1776" s="13">
        <f>SUMPRODUCT(N1776:Y1776,$N$2:$Y$2)*$K1776*$L1776*$M1776</f>
        <v/>
      </c>
      <c r="AA1776" s="14">
        <f>SUM(N1776:Y1776)</f>
        <v/>
      </c>
      <c r="AB1776" s="14">
        <f>IFERROR(IF(UPPER($E1776)="L",SUMPRODUCT(N1776:Y1776,$N$3:$Y$3,$N$2:$Y$2),SUMPRODUCT(N1776:Y1776,$N$4:$Y$4,$N$2:$Y$2))/(Z1776/($K1776*$L1776*$M1776)),"")</f>
        <v/>
      </c>
      <c r="AC1776" s="18" t="n"/>
    </row>
    <row r="1777">
      <c r="A1777" s="9" t="n">
        <v>800516</v>
      </c>
      <c r="B1777" s="9" t="inlineStr">
        <is>
          <t>Alberto Hernandez</t>
        </is>
      </c>
      <c r="C1777" s="9" t="inlineStr">
        <is>
          <t>HOU</t>
        </is>
      </c>
      <c r="D1777" s="9" t="n">
        <v>25</v>
      </c>
      <c r="E1777" s="16" t="inlineStr">
        <is>
          <t>R</t>
        </is>
      </c>
      <c r="F1777" s="16" t="n"/>
      <c r="G1777" s="9" t="n">
        <v>38.41025641025641</v>
      </c>
      <c r="H1777" s="9" t="n">
        <v>38.41025641025641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1" t="n">
        <v>1</v>
      </c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/>
      <c r="Y1777" s="17" t="n">
        <v>1</v>
      </c>
      <c r="Z1777" s="13">
        <f>SUMPRODUCT(N1777:Y1777,$N$2:$Y$2)*$K1777*$L1777*$M1777</f>
        <v/>
      </c>
      <c r="AA1777" s="14">
        <f>SUM(N1777:Y1777)</f>
        <v/>
      </c>
      <c r="AB1777" s="14">
        <f>IFERROR(IF(UPPER($E1777)="L",SUMPRODUCT(N1777:Y1777,$N$3:$Y$3,$N$2:$Y$2),SUMPRODUCT(N1777:Y1777,$N$4:$Y$4,$N$2:$Y$2))/(Z1777/($K1777*$L1777*$M1777)),"")</f>
        <v/>
      </c>
      <c r="AC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1" t="n">
        <v>1</v>
      </c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/>
      <c r="Y1778" s="17" t="n">
        <v>1</v>
      </c>
      <c r="Z1778" s="13">
        <f>SUMPRODUCT(N1778:Y1778,$N$2:$Y$2)*$K1778*$L1778*$M1778</f>
        <v/>
      </c>
      <c r="AA1778" s="14">
        <f>SUM(N1778:Y1778)</f>
        <v/>
      </c>
      <c r="AB1778" s="14">
        <f>IFERROR(IF(UPPER($E1778)="L",SUMPRODUCT(N1778:Y1778,$N$3:$Y$3,$N$2:$Y$2),SUMPRODUCT(N1778:Y1778,$N$4:$Y$4,$N$2:$Y$2))/(Z1778/($K1778*$L1778*$M1778)),"")</f>
        <v/>
      </c>
      <c r="AC1778" s="18" t="n"/>
    </row>
    <row r="1779">
      <c r="A1779" s="9" t="n">
        <v>703641</v>
      </c>
      <c r="B1779" s="9" t="inlineStr">
        <is>
          <t>Adrian Rodriguez</t>
        </is>
      </c>
      <c r="C1779" s="9" t="inlineStr">
        <is>
          <t>ARI</t>
        </is>
      </c>
      <c r="D1779" s="9" t="n">
        <v>25</v>
      </c>
      <c r="E1779" s="16" t="inlineStr">
        <is>
          <t>R</t>
        </is>
      </c>
      <c r="F1779" s="16" t="n"/>
      <c r="G1779" s="9" t="n">
        <v>29.33333333333333</v>
      </c>
      <c r="H1779" s="9" t="n">
        <v>29.33333333333333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1" t="n">
        <v>1</v>
      </c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/>
      <c r="Y1779" s="17" t="n">
        <v>1</v>
      </c>
      <c r="Z1779" s="13">
        <f>SUMPRODUCT(N1779:Y1779,$N$2:$Y$2)*$K1779*$L1779*$M1779</f>
        <v/>
      </c>
      <c r="AA1779" s="14">
        <f>SUM(N1779:Y1779)</f>
        <v/>
      </c>
      <c r="AB1779" s="14">
        <f>IFERROR(IF(UPPER($E1779)="L",SUMPRODUCT(N1779:Y1779,$N$3:$Y$3,$N$2:$Y$2),SUMPRODUCT(N1779:Y1779,$N$4:$Y$4,$N$2:$Y$2))/(Z1779/($K1779*$L1779*$M1779)),"")</f>
        <v/>
      </c>
      <c r="AC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inlineStr">
        <is>
          <t>2B</t>
        </is>
      </c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1" t="n">
        <v>1</v>
      </c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/>
      <c r="Y1780" s="17" t="n">
        <v>1</v>
      </c>
      <c r="Z1780" s="13">
        <f>SUMPRODUCT(N1780:Y1780,$N$2:$Y$2)*$K1780*$L1780*$M1780</f>
        <v/>
      </c>
      <c r="AA1780" s="14">
        <f>SUM(N1780:Y1780)</f>
        <v/>
      </c>
      <c r="AB1780" s="14">
        <f>IFERROR(IF(UPPER($E1780)="L",SUMPRODUCT(N1780:Y1780,$N$3:$Y$3,$N$2:$Y$2),SUMPRODUCT(N1780:Y1780,$N$4:$Y$4,$N$2:$Y$2))/(Z1780/($K1780*$L1780*$M1780)),"")</f>
        <v/>
      </c>
      <c r="AC1780" s="18" t="n"/>
    </row>
    <row r="1781">
      <c r="A1781" s="9" t="n">
        <v>547379</v>
      </c>
      <c r="B1781" s="9" t="inlineStr">
        <is>
          <t>Roberto Pérez</t>
        </is>
      </c>
      <c r="C1781" s="9" t="inlineStr">
        <is>
          <t>PIT</t>
        </is>
      </c>
      <c r="D1781" s="9" t="n">
        <v>38</v>
      </c>
      <c r="E1781" s="16" t="inlineStr">
        <is>
          <t>R</t>
        </is>
      </c>
      <c r="F1781" s="16" t="inlineStr">
        <is>
          <t>C</t>
        </is>
      </c>
      <c r="G1781" s="9" t="n">
        <v>17</v>
      </c>
      <c r="H1781" s="9" t="n">
        <v>86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1" t="n">
        <v>1</v>
      </c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/>
      <c r="Y1781" s="17" t="n">
        <v>1</v>
      </c>
      <c r="Z1781" s="13">
        <f>SUMPRODUCT(N1781:Y1781,$N$2:$Y$2)*$K1781*$L1781*$M1781</f>
        <v/>
      </c>
      <c r="AA1781" s="14">
        <f>SUM(N1781:Y1781)</f>
        <v/>
      </c>
      <c r="AB1781" s="14">
        <f>IFERROR(IF(UPPER($E1781)="L",SUMPRODUCT(N1781:Y1781,$N$3:$Y$3,$N$2:$Y$2),SUMPRODUCT(N1781:Y1781,$N$4:$Y$4,$N$2:$Y$2))/(Z1781/($K1781*$L1781*$M1781)),"")</f>
        <v/>
      </c>
      <c r="AC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1" t="n">
        <v>1</v>
      </c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/>
      <c r="Y1782" s="17" t="n">
        <v>1</v>
      </c>
      <c r="Z1782" s="13">
        <f>SUMPRODUCT(N1782:Y1782,$N$2:$Y$2)*$K1782*$L1782*$M1782</f>
        <v/>
      </c>
      <c r="AA1782" s="14">
        <f>SUM(N1782:Y1782)</f>
        <v/>
      </c>
      <c r="AB1782" s="14">
        <f>IFERROR(IF(UPPER($E1782)="L",SUMPRODUCT(N1782:Y1782,$N$3:$Y$3,$N$2:$Y$2),SUMPRODUCT(N1782:Y1782,$N$4:$Y$4,$N$2:$Y$2))/(Z1782/($K1782*$L1782*$M1782)),"")</f>
        <v/>
      </c>
      <c r="AC1782" s="18" t="n"/>
    </row>
    <row r="1783">
      <c r="A1783" s="9" t="n">
        <v>807461</v>
      </c>
      <c r="B1783" s="9" t="inlineStr">
        <is>
          <t>Kaleb Freeman</t>
        </is>
      </c>
      <c r="C1783" s="9" t="inlineStr">
        <is>
          <t>CWS</t>
        </is>
      </c>
      <c r="D1783" s="9" t="n">
        <v>25</v>
      </c>
      <c r="E1783" s="16" t="inlineStr">
        <is>
          <t>S</t>
        </is>
      </c>
      <c r="F1783" s="16" t="n"/>
      <c r="G1783" s="9" t="n">
        <v>61.53846153846154</v>
      </c>
      <c r="H1783" s="9" t="n">
        <v>61.53846153846154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1" t="n">
        <v>1</v>
      </c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/>
      <c r="Y1783" s="17" t="n">
        <v>1</v>
      </c>
      <c r="Z1783" s="13">
        <f>SUMPRODUCT(N1783:Y1783,$N$2:$Y$2)*$K1783*$L1783*$M1783</f>
        <v/>
      </c>
      <c r="AA1783" s="14">
        <f>SUM(N1783:Y1783)</f>
        <v/>
      </c>
      <c r="AB1783" s="14">
        <f>IFERROR(IF(UPPER($E1783)="L",SUMPRODUCT(N1783:Y1783,$N$3:$Y$3,$N$2:$Y$2),SUMPRODUCT(N1783:Y1783,$N$4:$Y$4,$N$2:$Y$2))/(Z1783/($K1783*$L1783*$M1783)),"")</f>
        <v/>
      </c>
      <c r="AC1783" s="18" t="n"/>
    </row>
    <row r="1784">
      <c r="A1784" s="9" t="n">
        <v>605141</v>
      </c>
      <c r="B1784" s="9" t="inlineStr">
        <is>
          <t>Mookie Betts</t>
        </is>
      </c>
      <c r="C1784" s="9" t="inlineStr">
        <is>
          <t>LAD</t>
        </is>
      </c>
      <c r="D1784" s="9" t="n">
        <v>34</v>
      </c>
      <c r="E1784" s="16" t="inlineStr">
        <is>
          <t>R</t>
        </is>
      </c>
      <c r="F1784" s="16" t="inlineStr">
        <is>
          <t>SS</t>
        </is>
      </c>
      <c r="G1784" s="9" t="n">
        <v>528</v>
      </c>
      <c r="H1784" s="9" t="n">
        <v>3039</v>
      </c>
      <c r="I1784" s="9" t="inlineStr">
        <is>
          <t>Full Time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1" t="n">
        <v>1.046896601564069</v>
      </c>
      <c r="N1784" s="17" t="n">
        <v>1</v>
      </c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7" t="n"/>
      <c r="Z1784" s="13">
        <f>SUMPRODUCT(N1784:Y1784,$N$2:$Y$2)*$K1784*$L1784*$M1784</f>
        <v/>
      </c>
      <c r="AA1784" s="14">
        <f>SUM(N1784:Y1784)</f>
        <v/>
      </c>
      <c r="AB1784" s="14">
        <f>IFERROR(IF(UPPER($E1784)="L",SUMPRODUCT(N1784:Y1784,$N$3:$Y$3,$N$2:$Y$2),SUMPRODUCT(N1784:Y1784,$N$4:$Y$4,$N$2:$Y$2))/(Z1784/($K1784*$L1784*$M1784)),"")</f>
        <v/>
      </c>
      <c r="AC1784" s="18" t="n"/>
    </row>
    <row r="1785">
      <c r="A1785" s="9" t="n">
        <v>690443</v>
      </c>
      <c r="B1785" s="9" t="inlineStr">
        <is>
          <t>Mike Antico</t>
        </is>
      </c>
      <c r="C1785" s="9" t="inlineStr">
        <is>
          <t>COL</t>
        </is>
      </c>
      <c r="D1785" s="9" t="n">
        <v>25</v>
      </c>
      <c r="E1785" s="16" t="inlineStr">
        <is>
          <t>L</t>
        </is>
      </c>
      <c r="F1785" s="16" t="n"/>
      <c r="G1785" s="9" t="n">
        <v>36.10256410256411</v>
      </c>
      <c r="H1785" s="9" t="n">
        <v>36.10256410256411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1" t="n">
        <v>1</v>
      </c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/>
      <c r="Y1785" s="17" t="n">
        <v>1</v>
      </c>
      <c r="Z1785" s="13">
        <f>SUMPRODUCT(N1785:Y1785,$N$2:$Y$2)*$K1785*$L1785*$M1785</f>
        <v/>
      </c>
      <c r="AA1785" s="14">
        <f>SUM(N1785:Y1785)</f>
        <v/>
      </c>
      <c r="AB1785" s="14">
        <f>IFERROR(IF(UPPER($E1785)="L",SUMPRODUCT(N1785:Y1785,$N$3:$Y$3,$N$2:$Y$2),SUMPRODUCT(N1785:Y1785,$N$4:$Y$4,$N$2:$Y$2))/(Z1785/($K1785*$L1785*$M1785)),"")</f>
        <v/>
      </c>
      <c r="AC1785" s="18" t="n"/>
    </row>
    <row r="1786">
      <c r="A1786" s="9" t="n">
        <v>806963</v>
      </c>
      <c r="B1786" s="9" t="inlineStr">
        <is>
          <t>Brando Mayea</t>
        </is>
      </c>
      <c r="C1786" s="9" t="inlineStr">
        <is>
          <t>NYY</t>
        </is>
      </c>
      <c r="D1786" s="9" t="n">
        <v>25</v>
      </c>
      <c r="E1786" s="16" t="inlineStr">
        <is>
          <t>R</t>
        </is>
      </c>
      <c r="F1786" s="16" t="n"/>
      <c r="G1786" s="9" t="n">
        <v>38.15384615384615</v>
      </c>
      <c r="H1786" s="9" t="n">
        <v>38.15384615384615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1" t="n">
        <v>1</v>
      </c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/>
      <c r="Y1786" s="17" t="n">
        <v>1</v>
      </c>
      <c r="Z1786" s="13">
        <f>SUMPRODUCT(N1786:Y1786,$N$2:$Y$2)*$K1786*$L1786*$M1786</f>
        <v/>
      </c>
      <c r="AA1786" s="14">
        <f>SUM(N1786:Y1786)</f>
        <v/>
      </c>
      <c r="AB1786" s="14">
        <f>IFERROR(IF(UPPER($E1786)="L",SUMPRODUCT(N1786:Y1786,$N$3:$Y$3,$N$2:$Y$2),SUMPRODUCT(N1786:Y1786,$N$4:$Y$4,$N$2:$Y$2))/(Z1786/($K1786*$L1786*$M1786)),"")</f>
        <v/>
      </c>
      <c r="AC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inlineStr">
        <is>
          <t>RF</t>
        </is>
      </c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1" t="n">
        <v>1</v>
      </c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/>
      <c r="Y1787" s="17" t="n">
        <v>1</v>
      </c>
      <c r="Z1787" s="13">
        <f>SUMPRODUCT(N1787:Y1787,$N$2:$Y$2)*$K1787*$L1787*$M1787</f>
        <v/>
      </c>
      <c r="AA1787" s="14">
        <f>SUM(N1787:Y1787)</f>
        <v/>
      </c>
      <c r="AB1787" s="14">
        <f>IFERROR(IF(UPPER($E1787)="L",SUMPRODUCT(N1787:Y1787,$N$3:$Y$3,$N$2:$Y$2),SUMPRODUCT(N1787:Y1787,$N$4:$Y$4,$N$2:$Y$2))/(Z1787/($K1787*$L1787*$M1787)),"")</f>
        <v/>
      </c>
      <c r="AC1787" s="18" t="n"/>
    </row>
    <row r="1788">
      <c r="A1788" s="9" t="n">
        <v>664913</v>
      </c>
      <c r="B1788" s="9" t="inlineStr">
        <is>
          <t>Seth Brown</t>
        </is>
      </c>
      <c r="C1788" s="9" t="inlineStr">
        <is>
          <t>OAK</t>
        </is>
      </c>
      <c r="D1788" s="9" t="n">
        <v>34</v>
      </c>
      <c r="E1788" s="16" t="inlineStr">
        <is>
          <t>L</t>
        </is>
      </c>
      <c r="F1788" s="16" t="inlineStr">
        <is>
          <t>LF</t>
        </is>
      </c>
      <c r="G1788" s="9" t="n">
        <v>76</v>
      </c>
      <c r="H1788" s="9" t="n">
        <v>1409</v>
      </c>
      <c r="I1788" s="9" t="inlineStr">
        <is>
          <t>Bench Bat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1" t="n">
        <v>0.8639615690178983</v>
      </c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/>
      <c r="W1788" s="17" t="n">
        <v>1</v>
      </c>
      <c r="X1788" s="17" t="n"/>
      <c r="Y1788" s="17" t="n"/>
      <c r="Z1788" s="13">
        <f>SUMPRODUCT(N1788:Y1788,$N$2:$Y$2)*$K1788*$L1788*$M1788</f>
        <v/>
      </c>
      <c r="AA1788" s="14">
        <f>SUM(N1788:Y1788)</f>
        <v/>
      </c>
      <c r="AB1788" s="14">
        <f>IFERROR(IF(UPPER($E1788)="L",SUMPRODUCT(N1788:Y1788,$N$3:$Y$3,$N$2:$Y$2),SUMPRODUCT(N1788:Y1788,$N$4:$Y$4,$N$2:$Y$2))/(Z1788/($K1788*$L1788*$M1788)),"")</f>
        <v/>
      </c>
      <c r="AC1788" s="18" t="n"/>
    </row>
    <row r="1789">
      <c r="A1789" s="9" t="n">
        <v>683734</v>
      </c>
      <c r="B1789" s="9" t="inlineStr">
        <is>
          <t>Andrew Vaughn</t>
        </is>
      </c>
      <c r="C1789" s="9" t="inlineStr">
        <is>
          <t>MIL</t>
        </is>
      </c>
      <c r="D1789" s="9" t="n">
        <v>29</v>
      </c>
      <c r="E1789" s="16" t="inlineStr">
        <is>
          <t>R</t>
        </is>
      </c>
      <c r="F1789" s="16" t="inlineStr">
        <is>
          <t>1B</t>
        </is>
      </c>
      <c r="G1789" s="9" t="n">
        <v>331</v>
      </c>
      <c r="H1789" s="9" t="n">
        <v>2567</v>
      </c>
      <c r="I1789" s="9" t="inlineStr">
        <is>
          <t>Full Time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1" t="n">
        <v>0.9296029154447516</v>
      </c>
      <c r="N1789" s="17" t="n">
        <v>1</v>
      </c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7" t="n"/>
      <c r="Z1789" s="13">
        <f>SUMPRODUCT(N1789:Y1789,$N$2:$Y$2)*$K1789*$L1789*$M1789</f>
        <v/>
      </c>
      <c r="AA1789" s="14">
        <f>SUM(N1789:Y1789)</f>
        <v/>
      </c>
      <c r="AB1789" s="14">
        <f>IFERROR(IF(UPPER($E1789)="L",SUMPRODUCT(N1789:Y1789,$N$3:$Y$3,$N$2:$Y$2),SUMPRODUCT(N1789:Y1789,$N$4:$Y$4,$N$2:$Y$2))/(Z1789/($K1789*$L1789*$M1789)),"")</f>
        <v/>
      </c>
      <c r="AC1789" s="18" t="n"/>
    </row>
    <row r="1790">
      <c r="A1790" s="9" t="n">
        <v>806956</v>
      </c>
      <c r="B1790" s="9" t="inlineStr">
        <is>
          <t>Ethan Salas</t>
        </is>
      </c>
      <c r="C1790" s="9" t="inlineStr">
        <is>
          <t>SD</t>
        </is>
      </c>
      <c r="D1790" s="9" t="n">
        <v>21</v>
      </c>
      <c r="E1790" s="16" t="inlineStr">
        <is>
          <t>L</t>
        </is>
      </c>
      <c r="F1790" s="16" t="inlineStr">
        <is>
          <t>C</t>
        </is>
      </c>
      <c r="G1790" s="9" t="n">
        <v>40</v>
      </c>
      <c r="H1790" s="9" t="n">
        <v>40</v>
      </c>
      <c r="I1790" s="9" t="inlineStr">
        <is>
          <t>Strong Side Platoon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1" t="n">
        <v>1</v>
      </c>
      <c r="N1790" s="17" t="n"/>
      <c r="O1790" s="17" t="n"/>
      <c r="P1790" s="17" t="n">
        <v>0.6</v>
      </c>
      <c r="Q1790" s="17" t="n"/>
      <c r="R1790" s="17" t="n">
        <v>0.4</v>
      </c>
      <c r="S1790" s="17" t="n"/>
      <c r="T1790" s="17" t="n"/>
      <c r="U1790" s="17" t="n"/>
      <c r="V1790" s="17" t="n"/>
      <c r="W1790" s="17" t="n"/>
      <c r="X1790" s="17" t="n"/>
      <c r="Y1790" s="17" t="n"/>
      <c r="Z1790" s="13">
        <f>SUMPRODUCT(N1790:Y1790,$N$2:$Y$2)*$K1790*$L1790*$M1790</f>
        <v/>
      </c>
      <c r="AA1790" s="14">
        <f>SUM(N1790:Y1790)</f>
        <v/>
      </c>
      <c r="AB1790" s="14">
        <f>IFERROR(IF(UPPER($E1790)="L",SUMPRODUCT(N1790:Y1790,$N$3:$Y$3,$N$2:$Y$2),SUMPRODUCT(N1790:Y1790,$N$4:$Y$4,$N$2:$Y$2))/(Z1790/($K1790*$L1790*$M1790)),"")</f>
        <v/>
      </c>
      <c r="AC1790" s="18" t="n"/>
    </row>
    <row r="1791">
      <c r="A1791" s="9" t="n">
        <v>805058</v>
      </c>
      <c r="B1791" s="9" t="inlineStr">
        <is>
          <t>Luis Marquez</t>
        </is>
      </c>
      <c r="C1791" s="9" t="inlineStr">
        <is>
          <t>TEX</t>
        </is>
      </c>
      <c r="D1791" s="9" t="n">
        <v>25</v>
      </c>
      <c r="E1791" s="16" t="inlineStr">
        <is>
          <t>R</t>
        </is>
      </c>
      <c r="F1791" s="16" t="n"/>
      <c r="G1791" s="9" t="n">
        <v>24.24615384615385</v>
      </c>
      <c r="H1791" s="9" t="n">
        <v>24.24615384615385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1" t="n">
        <v>1</v>
      </c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/>
      <c r="Y1791" s="17" t="n">
        <v>1</v>
      </c>
      <c r="Z1791" s="13">
        <f>SUMPRODUCT(N1791:Y1791,$N$2:$Y$2)*$K1791*$L1791*$M1791</f>
        <v/>
      </c>
      <c r="AA1791" s="14">
        <f>SUM(N1791:Y1791)</f>
        <v/>
      </c>
      <c r="AB1791" s="14">
        <f>IFERROR(IF(UPPER($E1791)="L",SUMPRODUCT(N1791:Y1791,$N$3:$Y$3,$N$2:$Y$2),SUMPRODUCT(N1791:Y1791,$N$4:$Y$4,$N$2:$Y$2))/(Z1791/($K1791*$L1791*$M1791)),"")</f>
        <v/>
      </c>
      <c r="AC1791" s="18" t="n"/>
    </row>
    <row r="1792">
      <c r="A1792" s="9" t="n">
        <v>821180</v>
      </c>
      <c r="B1792" s="9" t="inlineStr">
        <is>
          <t>Ilan Fernandez</t>
        </is>
      </c>
      <c r="C1792" s="9" t="inlineStr">
        <is>
          <t>BOS</t>
        </is>
      </c>
      <c r="D1792" s="9" t="n">
        <v>25</v>
      </c>
      <c r="E1792" s="16" t="inlineStr">
        <is>
          <t>R</t>
        </is>
      </c>
      <c r="F1792" s="16" t="n"/>
      <c r="G1792" s="9" t="n">
        <v>28.92307692307692</v>
      </c>
      <c r="H1792" s="9" t="n">
        <v>28.92307692307692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1" t="n">
        <v>1</v>
      </c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/>
      <c r="Y1792" s="17" t="n">
        <v>1</v>
      </c>
      <c r="Z1792" s="13">
        <f>SUMPRODUCT(N1792:Y1792,$N$2:$Y$2)*$K1792*$L1792*$M1792</f>
        <v/>
      </c>
      <c r="AA1792" s="14">
        <f>SUM(N1792:Y1792)</f>
        <v/>
      </c>
      <c r="AB1792" s="14">
        <f>IFERROR(IF(UPPER($E1792)="L",SUMPRODUCT(N1792:Y1792,$N$3:$Y$3,$N$2:$Y$2),SUMPRODUCT(N1792:Y1792,$N$4:$Y$4,$N$2:$Y$2))/(Z1792/($K1792*$L1792*$M1792)),"")</f>
        <v/>
      </c>
      <c r="AC1792" s="18" t="n"/>
    </row>
    <row r="1793">
      <c r="A1793" s="9" t="n">
        <v>800177</v>
      </c>
      <c r="B1793" s="9" t="inlineStr">
        <is>
          <t>Cesar Gonzalez</t>
        </is>
      </c>
      <c r="C1793" s="9" t="inlineStr">
        <is>
          <t>OAK</t>
        </is>
      </c>
      <c r="D1793" s="9" t="n">
        <v>25</v>
      </c>
      <c r="E1793" s="16" t="inlineStr">
        <is>
          <t>R</t>
        </is>
      </c>
      <c r="F1793" s="16" t="n"/>
      <c r="G1793" s="9" t="n">
        <v>28.67692307692308</v>
      </c>
      <c r="H1793" s="9" t="n">
        <v>28.67692307692308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1" t="n">
        <v>1</v>
      </c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/>
      <c r="Y1793" s="17" t="n">
        <v>1</v>
      </c>
      <c r="Z1793" s="13">
        <f>SUMPRODUCT(N1793:Y1793,$N$2:$Y$2)*$K1793*$L1793*$M1793</f>
        <v/>
      </c>
      <c r="AA1793" s="14">
        <f>SUM(N1793:Y1793)</f>
        <v/>
      </c>
      <c r="AB1793" s="14">
        <f>IFERROR(IF(UPPER($E1793)="L",SUMPRODUCT(N1793:Y1793,$N$3:$Y$3,$N$2:$Y$2),SUMPRODUCT(N1793:Y1793,$N$4:$Y$4,$N$2:$Y$2))/(Z1793/($K1793*$L1793*$M1793)),"")</f>
        <v/>
      </c>
      <c r="AC1793" s="18" t="n"/>
    </row>
    <row r="1794">
      <c r="A1794" s="9" t="n">
        <v>805931</v>
      </c>
      <c r="B1794" s="9" t="inlineStr">
        <is>
          <t>Caleb Hobson</t>
        </is>
      </c>
      <c r="C1794" s="9" t="inlineStr">
        <is>
          <t>COL</t>
        </is>
      </c>
      <c r="D1794" s="9" t="n">
        <v>25</v>
      </c>
      <c r="E1794" s="16" t="inlineStr">
        <is>
          <t>R</t>
        </is>
      </c>
      <c r="F1794" s="16" t="n"/>
      <c r="G1794" s="9" t="n">
        <v>19.28205128205128</v>
      </c>
      <c r="H1794" s="9" t="n">
        <v>19.28205128205128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1" t="n">
        <v>1</v>
      </c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/>
      <c r="Y1794" s="17" t="n">
        <v>1</v>
      </c>
      <c r="Z1794" s="13">
        <f>SUMPRODUCT(N1794:Y1794,$N$2:$Y$2)*$K1794*$L1794*$M1794</f>
        <v/>
      </c>
      <c r="AA1794" s="14">
        <f>SUM(N1794:Y1794)</f>
        <v/>
      </c>
      <c r="AB1794" s="14">
        <f>IFERROR(IF(UPPER($E1794)="L",SUMPRODUCT(N1794:Y1794,$N$3:$Y$3,$N$2:$Y$2),SUMPRODUCT(N1794:Y1794,$N$4:$Y$4,$N$2:$Y$2))/(Z1794/($K1794*$L1794*$M1794)),"")</f>
        <v/>
      </c>
      <c r="AC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1" t="n">
        <v>1</v>
      </c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/>
      <c r="Y1795" s="17" t="n">
        <v>1</v>
      </c>
      <c r="Z1795" s="13">
        <f>SUMPRODUCT(N1795:Y1795,$N$2:$Y$2)*$K1795*$L1795*$M1795</f>
        <v/>
      </c>
      <c r="AA1795" s="14">
        <f>SUM(N1795:Y1795)</f>
        <v/>
      </c>
      <c r="AB1795" s="14">
        <f>IFERROR(IF(UPPER($E1795)="L",SUMPRODUCT(N1795:Y1795,$N$3:$Y$3,$N$2:$Y$2),SUMPRODUCT(N1795:Y1795,$N$4:$Y$4,$N$2:$Y$2))/(Z1795/($K1795*$L1795*$M1795)),"")</f>
        <v/>
      </c>
      <c r="AC1795" s="18" t="n"/>
    </row>
    <row r="1796">
      <c r="A1796" s="9" t="n">
        <v>829643</v>
      </c>
      <c r="B1796" s="9" t="inlineStr">
        <is>
          <t>Jacob McCombs</t>
        </is>
      </c>
      <c r="C1796" s="9" t="inlineStr">
        <is>
          <t>MIN</t>
        </is>
      </c>
      <c r="D1796" s="9" t="n">
        <v>25</v>
      </c>
      <c r="E1796" s="16" t="inlineStr">
        <is>
          <t>L</t>
        </is>
      </c>
      <c r="F1796" s="16" t="n"/>
      <c r="G1796" s="9" t="n">
        <v>52.30769230769232</v>
      </c>
      <c r="H1796" s="9" t="n">
        <v>52.30769230769232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1" t="n">
        <v>1</v>
      </c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/>
      <c r="Y1796" s="17" t="n">
        <v>1</v>
      </c>
      <c r="Z1796" s="13">
        <f>SUMPRODUCT(N1796:Y1796,$N$2:$Y$2)*$K1796*$L1796*$M1796</f>
        <v/>
      </c>
      <c r="AA1796" s="14">
        <f>SUM(N1796:Y1796)</f>
        <v/>
      </c>
      <c r="AB1796" s="14">
        <f>IFERROR(IF(UPPER($E1796)="L",SUMPRODUCT(N1796:Y1796,$N$3:$Y$3,$N$2:$Y$2),SUMPRODUCT(N1796:Y1796,$N$4:$Y$4,$N$2:$Y$2))/(Z1796/($K1796*$L1796*$M1796)),"")</f>
        <v/>
      </c>
      <c r="AC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1" t="n">
        <v>1</v>
      </c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/>
      <c r="Y1797" s="17" t="n">
        <v>1</v>
      </c>
      <c r="Z1797" s="13">
        <f>SUMPRODUCT(N1797:Y1797,$N$2:$Y$2)*$K1797*$L1797*$M1797</f>
        <v/>
      </c>
      <c r="AA1797" s="14">
        <f>SUM(N1797:Y1797)</f>
        <v/>
      </c>
      <c r="AB1797" s="14">
        <f>IFERROR(IF(UPPER($E1797)="L",SUMPRODUCT(N1797:Y1797,$N$3:$Y$3,$N$2:$Y$2),SUMPRODUCT(N1797:Y1797,$N$4:$Y$4,$N$2:$Y$2))/(Z1797/($K1797*$L1797*$M1797)),"")</f>
        <v/>
      </c>
      <c r="AC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25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Mid Season (~July)</t>
        </is>
      </c>
      <c r="K1798" s="11">
        <f>IFERROR(INDEX(Roles!$B$17:$B$20,MATCH(J1798,Roles!$A$17:$A$20,0)),1)</f>
        <v/>
      </c>
      <c r="L1798" s="17" t="n">
        <v>1</v>
      </c>
      <c r="M1798" s="11" t="n">
        <v>1</v>
      </c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/>
      <c r="Y1798" s="17" t="n">
        <v>1</v>
      </c>
      <c r="Z1798" s="13">
        <f>SUMPRODUCT(N1798:Y1798,$N$2:$Y$2)*$K1798*$L1798*$M1798</f>
        <v/>
      </c>
      <c r="AA1798" s="14">
        <f>SUM(N1798:Y1798)</f>
        <v/>
      </c>
      <c r="AB1798" s="14">
        <f>IFERROR(IF(UPPER($E1798)="L",SUMPRODUCT(N1798:Y1798,$N$3:$Y$3,$N$2:$Y$2),SUMPRODUCT(N1798:Y1798,$N$4:$Y$4,$N$2:$Y$2))/(Z1798/($K1798*$L1798*$M1798)),"")</f>
        <v/>
      </c>
      <c r="AC1798" s="18" t="n"/>
    </row>
    <row r="1799">
      <c r="A1799" s="9" t="n">
        <v>815551</v>
      </c>
      <c r="B1799" s="9" t="inlineStr">
        <is>
          <t>Trey Snyder</t>
        </is>
      </c>
      <c r="C1799" s="9" t="inlineStr">
        <is>
          <t>NYM</t>
        </is>
      </c>
      <c r="D1799" s="9" t="n">
        <v>25</v>
      </c>
      <c r="E1799" s="16" t="inlineStr">
        <is>
          <t>R</t>
        </is>
      </c>
      <c r="F1799" s="16" t="n"/>
      <c r="G1799" s="9" t="n">
        <v>28.92307692307692</v>
      </c>
      <c r="H1799" s="9" t="n">
        <v>28.92307692307692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1" t="n">
        <v>1</v>
      </c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/>
      <c r="Y1799" s="17" t="n">
        <v>1</v>
      </c>
      <c r="Z1799" s="13">
        <f>SUMPRODUCT(N1799:Y1799,$N$2:$Y$2)*$K1799*$L1799*$M1799</f>
        <v/>
      </c>
      <c r="AA1799" s="14">
        <f>SUM(N1799:Y1799)</f>
        <v/>
      </c>
      <c r="AB1799" s="14">
        <f>IFERROR(IF(UPPER($E1799)="L",SUMPRODUCT(N1799:Y1799,$N$3:$Y$3,$N$2:$Y$2),SUMPRODUCT(N1799:Y1799,$N$4:$Y$4,$N$2:$Y$2))/(Z1799/($K1799*$L1799*$M1799)),"")</f>
        <v/>
      </c>
      <c r="AC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inlineStr">
        <is>
          <t>2B</t>
        </is>
      </c>
      <c r="G1800" s="9" t="n">
        <v>147</v>
      </c>
      <c r="H1800" s="9" t="n">
        <v>331</v>
      </c>
      <c r="I1800" s="9" t="inlineStr">
        <is>
          <t>Full Time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1" t="n">
        <v>1</v>
      </c>
      <c r="N1800" s="17" t="n">
        <v>0.7</v>
      </c>
      <c r="O1800" s="17" t="n"/>
      <c r="P1800" s="17" t="n">
        <v>0.3</v>
      </c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7" t="n"/>
      <c r="Z1800" s="13">
        <f>SUMPRODUCT(N1800:Y1800,$N$2:$Y$2)*$K1800*$L1800*$M1800</f>
        <v/>
      </c>
      <c r="AA1800" s="14">
        <f>SUM(N1800:Y1800)</f>
        <v/>
      </c>
      <c r="AB1800" s="14">
        <f>IFERROR(IF(UPPER($E1800)="L",SUMPRODUCT(N1800:Y1800,$N$3:$Y$3,$N$2:$Y$2),SUMPRODUCT(N1800:Y1800,$N$4:$Y$4,$N$2:$Y$2))/(Z1800/($K1800*$L1800*$M1800)),"")</f>
        <v/>
      </c>
      <c r="AC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inlineStr">
        <is>
          <t>SS</t>
        </is>
      </c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1" t="n">
        <v>1</v>
      </c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/>
      <c r="Y1801" s="17" t="n">
        <v>1</v>
      </c>
      <c r="Z1801" s="13">
        <f>SUMPRODUCT(N1801:Y1801,$N$2:$Y$2)*$K1801*$L1801*$M1801</f>
        <v/>
      </c>
      <c r="AA1801" s="14">
        <f>SUM(N1801:Y1801)</f>
        <v/>
      </c>
      <c r="AB1801" s="14">
        <f>IFERROR(IF(UPPER($E1801)="L",SUMPRODUCT(N1801:Y1801,$N$3:$Y$3,$N$2:$Y$2),SUMPRODUCT(N1801:Y1801,$N$4:$Y$4,$N$2:$Y$2))/(Z1801/($K1801*$L1801*$M1801)),"")</f>
        <v/>
      </c>
      <c r="AC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1" t="n">
        <v>1</v>
      </c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/>
      <c r="Y1802" s="17" t="n">
        <v>1</v>
      </c>
      <c r="Z1802" s="13">
        <f>SUMPRODUCT(N1802:Y1802,$N$2:$Y$2)*$K1802*$L1802*$M1802</f>
        <v/>
      </c>
      <c r="AA1802" s="14">
        <f>SUM(N1802:Y1802)</f>
        <v/>
      </c>
      <c r="AB1802" s="14">
        <f>IFERROR(IF(UPPER($E1802)="L",SUMPRODUCT(N1802:Y1802,$N$3:$Y$3,$N$2:$Y$2),SUMPRODUCT(N1802:Y1802,$N$4:$Y$4,$N$2:$Y$2))/(Z1802/($K1802*$L1802*$M1802)),"")</f>
        <v/>
      </c>
      <c r="AC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25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Late Season (~Sept)</t>
        </is>
      </c>
      <c r="K1803" s="11">
        <f>IFERROR(INDEX(Roles!$B$17:$B$20,MATCH(J1803,Roles!$A$17:$A$20,0)),1)</f>
        <v/>
      </c>
      <c r="L1803" s="17" t="n">
        <v>1</v>
      </c>
      <c r="M1803" s="11" t="n">
        <v>1</v>
      </c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/>
      <c r="Y1803" s="17" t="n">
        <v>1</v>
      </c>
      <c r="Z1803" s="13">
        <f>SUMPRODUCT(N1803:Y1803,$N$2:$Y$2)*$K1803*$L1803*$M1803</f>
        <v/>
      </c>
      <c r="AA1803" s="14">
        <f>SUM(N1803:Y1803)</f>
        <v/>
      </c>
      <c r="AB1803" s="14">
        <f>IFERROR(IF(UPPER($E1803)="L",SUMPRODUCT(N1803:Y1803,$N$3:$Y$3,$N$2:$Y$2),SUMPRODUCT(N1803:Y1803,$N$4:$Y$4,$N$2:$Y$2))/(Z1803/($K1803*$L1803*$M1803)),"")</f>
        <v/>
      </c>
      <c r="AC1803" s="18" t="n"/>
    </row>
    <row r="1804">
      <c r="A1804" s="9" t="n">
        <v>703195</v>
      </c>
      <c r="B1804" s="9" t="inlineStr">
        <is>
          <t>Bryan Acuña</t>
        </is>
      </c>
      <c r="C1804" s="9" t="inlineStr">
        <is>
          <t>MIN</t>
        </is>
      </c>
      <c r="D1804" s="9" t="n">
        <v>25</v>
      </c>
      <c r="E1804" s="16" t="inlineStr">
        <is>
          <t>R</t>
        </is>
      </c>
      <c r="F1804" s="16" t="n"/>
      <c r="G1804" s="9" t="n">
        <v>20.18461538461538</v>
      </c>
      <c r="H1804" s="9" t="n">
        <v>20.18461538461538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1" t="n">
        <v>1</v>
      </c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/>
      <c r="Y1804" s="17" t="n">
        <v>1</v>
      </c>
      <c r="Z1804" s="13">
        <f>SUMPRODUCT(N1804:Y1804,$N$2:$Y$2)*$K1804*$L1804*$M1804</f>
        <v/>
      </c>
      <c r="AA1804" s="14">
        <f>SUM(N1804:Y1804)</f>
        <v/>
      </c>
      <c r="AB1804" s="14">
        <f>IFERROR(IF(UPPER($E1804)="L",SUMPRODUCT(N1804:Y1804,$N$3:$Y$3,$N$2:$Y$2),SUMPRODUCT(N1804:Y1804,$N$4:$Y$4,$N$2:$Y$2))/(Z1804/($K1804*$L1804*$M1804)),"")</f>
        <v/>
      </c>
      <c r="AC1804" s="18" t="n"/>
    </row>
    <row r="1805">
      <c r="A1805" s="9" t="n">
        <v>812540</v>
      </c>
      <c r="B1805" s="9" t="inlineStr">
        <is>
          <t>Qrey Lott</t>
        </is>
      </c>
      <c r="C1805" s="9" t="inlineStr">
        <is>
          <t>SD</t>
        </is>
      </c>
      <c r="D1805" s="9" t="n">
        <v>25</v>
      </c>
      <c r="E1805" s="16" t="inlineStr">
        <is>
          <t>R</t>
        </is>
      </c>
      <c r="F1805" s="16" t="n"/>
      <c r="G1805" s="9" t="n">
        <v>38.4</v>
      </c>
      <c r="H1805" s="9" t="n">
        <v>38.4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1" t="n">
        <v>1</v>
      </c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/>
      <c r="Y1805" s="17" t="n">
        <v>1</v>
      </c>
      <c r="Z1805" s="13">
        <f>SUMPRODUCT(N1805:Y1805,$N$2:$Y$2)*$K1805*$L1805*$M1805</f>
        <v/>
      </c>
      <c r="AA1805" s="14">
        <f>SUM(N1805:Y1805)</f>
        <v/>
      </c>
      <c r="AB1805" s="14">
        <f>IFERROR(IF(UPPER($E1805)="L",SUMPRODUCT(N1805:Y1805,$N$3:$Y$3,$N$2:$Y$2),SUMPRODUCT(N1805:Y1805,$N$4:$Y$4,$N$2:$Y$2))/(Z1805/($K1805*$L1805*$M1805)),"")</f>
        <v/>
      </c>
      <c r="AC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1" t="n">
        <v>1</v>
      </c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/>
      <c r="Y1806" s="17" t="n">
        <v>1</v>
      </c>
      <c r="Z1806" s="13">
        <f>SUMPRODUCT(N1806:Y1806,$N$2:$Y$2)*$K1806*$L1806*$M1806</f>
        <v/>
      </c>
      <c r="AA1806" s="14">
        <f>SUM(N1806:Y1806)</f>
        <v/>
      </c>
      <c r="AB1806" s="14">
        <f>IFERROR(IF(UPPER($E1806)="L",SUMPRODUCT(N1806:Y1806,$N$3:$Y$3,$N$2:$Y$2),SUMPRODUCT(N1806:Y1806,$N$4:$Y$4,$N$2:$Y$2))/(Z1806/($K1806*$L1806*$M1806)),"")</f>
        <v/>
      </c>
      <c r="AC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1" t="n">
        <v>1</v>
      </c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/>
      <c r="Y1807" s="17" t="n">
        <v>1</v>
      </c>
      <c r="Z1807" s="13">
        <f>SUMPRODUCT(N1807:Y1807,$N$2:$Y$2)*$K1807*$L1807*$M1807</f>
        <v/>
      </c>
      <c r="AA1807" s="14">
        <f>SUM(N1807:Y1807)</f>
        <v/>
      </c>
      <c r="AB1807" s="14">
        <f>IFERROR(IF(UPPER($E1807)="L",SUMPRODUCT(N1807:Y1807,$N$3:$Y$3,$N$2:$Y$2),SUMPRODUCT(N1807:Y1807,$N$4:$Y$4,$N$2:$Y$2))/(Z1807/($K1807*$L1807*$M1807)),"")</f>
        <v/>
      </c>
      <c r="AC1807" s="18" t="n"/>
    </row>
    <row r="1808">
      <c r="A1808" s="9" t="n">
        <v>699305</v>
      </c>
      <c r="B1808" s="9" t="inlineStr">
        <is>
          <t>Diego Mosquera</t>
        </is>
      </c>
      <c r="C1808" s="9" t="inlineStr">
        <is>
          <t>NYM</t>
        </is>
      </c>
      <c r="D1808" s="9" t="n">
        <v>25</v>
      </c>
      <c r="E1808" s="16" t="inlineStr">
        <is>
          <t>R</t>
        </is>
      </c>
      <c r="F1808" s="16" t="n"/>
      <c r="G1808" s="9" t="n">
        <v>20.10256410256411</v>
      </c>
      <c r="H1808" s="9" t="n">
        <v>20.10256410256411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1" t="n">
        <v>1</v>
      </c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/>
      <c r="Y1808" s="17" t="n">
        <v>1</v>
      </c>
      <c r="Z1808" s="13">
        <f>SUMPRODUCT(N1808:Y1808,$N$2:$Y$2)*$K1808*$L1808*$M1808</f>
        <v/>
      </c>
      <c r="AA1808" s="14">
        <f>SUM(N1808:Y1808)</f>
        <v/>
      </c>
      <c r="AB1808" s="14">
        <f>IFERROR(IF(UPPER($E1808)="L",SUMPRODUCT(N1808:Y1808,$N$3:$Y$3,$N$2:$Y$2),SUMPRODUCT(N1808:Y1808,$N$4:$Y$4,$N$2:$Y$2))/(Z1808/($K1808*$L1808*$M1808)),"")</f>
        <v/>
      </c>
      <c r="AC1808" s="18" t="n"/>
    </row>
    <row r="1809">
      <c r="A1809" s="9" t="n">
        <v>694208</v>
      </c>
      <c r="B1809" s="9" t="inlineStr">
        <is>
          <t>Moisés Ballesteros</t>
        </is>
      </c>
      <c r="C1809" s="9" t="inlineStr">
        <is>
          <t>LAA</t>
        </is>
      </c>
      <c r="D1809" s="9" t="n">
        <v>23</v>
      </c>
      <c r="E1809" s="16" t="inlineStr">
        <is>
          <t>L</t>
        </is>
      </c>
      <c r="F1809" s="16" t="inlineStr">
        <is>
          <t>C</t>
        </is>
      </c>
      <c r="G1809" s="9" t="n">
        <v>352</v>
      </c>
      <c r="H1809" s="9" t="n">
        <v>418</v>
      </c>
      <c r="I1809" s="9" t="inlineStr">
        <is>
          <t>Catcher - Primary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1" t="n">
        <v>0.812572202906797</v>
      </c>
      <c r="N1809" s="17" t="n"/>
      <c r="O1809" s="17" t="n"/>
      <c r="P1809" s="17" t="n"/>
      <c r="Q1809" s="17" t="n"/>
      <c r="R1809" s="17" t="n">
        <v>0.7</v>
      </c>
      <c r="S1809" s="17" t="n">
        <v>0.3</v>
      </c>
      <c r="T1809" s="17" t="n"/>
      <c r="U1809" s="17" t="n"/>
      <c r="V1809" s="17" t="n"/>
      <c r="W1809" s="17" t="n"/>
      <c r="X1809" s="17" t="n"/>
      <c r="Y1809" s="17" t="n"/>
      <c r="Z1809" s="13">
        <f>SUMPRODUCT(N1809:Y1809,$N$2:$Y$2)*$K1809*$L1809*$M1809</f>
        <v/>
      </c>
      <c r="AA1809" s="14">
        <f>SUM(N1809:Y1809)</f>
        <v/>
      </c>
      <c r="AB1809" s="14">
        <f>IFERROR(IF(UPPER($E1809)="L",SUMPRODUCT(N1809:Y1809,$N$3:$Y$3,$N$2:$Y$2),SUMPRODUCT(N1809:Y1809,$N$4:$Y$4,$N$2:$Y$2))/(Z1809/($K1809*$L1809*$M1809)),"")</f>
        <v/>
      </c>
      <c r="AC1809" s="18" t="n"/>
    </row>
    <row r="1810">
      <c r="A1810" s="9" t="n">
        <v>682663</v>
      </c>
      <c r="B1810" s="9" t="inlineStr">
        <is>
          <t>Agustín Ramírez</t>
        </is>
      </c>
      <c r="C1810" s="9" t="inlineStr">
        <is>
          <t>MIA</t>
        </is>
      </c>
      <c r="D1810" s="9" t="n">
        <v>25</v>
      </c>
      <c r="E1810" s="16" t="inlineStr">
        <is>
          <t>R</t>
        </is>
      </c>
      <c r="F1810" s="16" t="inlineStr">
        <is>
          <t>C</t>
        </is>
      </c>
      <c r="G1810" s="9" t="n">
        <v>255</v>
      </c>
      <c r="H1810" s="9" t="n">
        <v>840</v>
      </c>
      <c r="I1810" s="9" t="inlineStr">
        <is>
          <t>Full Time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1" t="n">
        <v>0.8687694290076452</v>
      </c>
      <c r="N1810" s="17" t="n">
        <v>1</v>
      </c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7" t="n"/>
      <c r="Z1810" s="13">
        <f>SUMPRODUCT(N1810:Y1810,$N$2:$Y$2)*$K1810*$L1810*$M1810</f>
        <v/>
      </c>
      <c r="AA1810" s="14">
        <f>SUM(N1810:Y1810)</f>
        <v/>
      </c>
      <c r="AB1810" s="14">
        <f>IFERROR(IF(UPPER($E1810)="L",SUMPRODUCT(N1810:Y1810,$N$3:$Y$3,$N$2:$Y$2),SUMPRODUCT(N1810:Y1810,$N$4:$Y$4,$N$2:$Y$2))/(Z1810/($K1810*$L1810*$M1810)),"")</f>
        <v/>
      </c>
      <c r="AC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1" t="n">
        <v>1</v>
      </c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/>
      <c r="Y1811" s="17" t="n">
        <v>1</v>
      </c>
      <c r="Z1811" s="13">
        <f>SUMPRODUCT(N1811:Y1811,$N$2:$Y$2)*$K1811*$L1811*$M1811</f>
        <v/>
      </c>
      <c r="AA1811" s="14">
        <f>SUM(N1811:Y1811)</f>
        <v/>
      </c>
      <c r="AB1811" s="14">
        <f>IFERROR(IF(UPPER($E1811)="L",SUMPRODUCT(N1811:Y1811,$N$3:$Y$3,$N$2:$Y$2),SUMPRODUCT(N1811:Y1811,$N$4:$Y$4,$N$2:$Y$2))/(Z1811/($K1811*$L1811*$M1811)),"")</f>
        <v/>
      </c>
      <c r="AC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1" t="n">
        <v>1</v>
      </c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/>
      <c r="Y1812" s="17" t="n">
        <v>1</v>
      </c>
      <c r="Z1812" s="13">
        <f>SUMPRODUCT(N1812:Y1812,$N$2:$Y$2)*$K1812*$L1812*$M1812</f>
        <v/>
      </c>
      <c r="AA1812" s="14">
        <f>SUM(N1812:Y1812)</f>
        <v/>
      </c>
      <c r="AB1812" s="14">
        <f>IFERROR(IF(UPPER($E1812)="L",SUMPRODUCT(N1812:Y1812,$N$3:$Y$3,$N$2:$Y$2),SUMPRODUCT(N1812:Y1812,$N$4:$Y$4,$N$2:$Y$2))/(Z1812/($K1812*$L1812*$M1812)),"")</f>
        <v/>
      </c>
      <c r="AC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1" t="n">
        <v>1</v>
      </c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/>
      <c r="Y1813" s="17" t="n">
        <v>1</v>
      </c>
      <c r="Z1813" s="13">
        <f>SUMPRODUCT(N1813:Y1813,$N$2:$Y$2)*$K1813*$L1813*$M1813</f>
        <v/>
      </c>
      <c r="AA1813" s="14">
        <f>SUM(N1813:Y1813)</f>
        <v/>
      </c>
      <c r="AB1813" s="14">
        <f>IFERROR(IF(UPPER($E1813)="L",SUMPRODUCT(N1813:Y1813,$N$3:$Y$3,$N$2:$Y$2),SUMPRODUCT(N1813:Y1813,$N$4:$Y$4,$N$2:$Y$2))/(Z1813/($K1813*$L1813*$M1813)),"")</f>
        <v/>
      </c>
      <c r="AC1813" s="18" t="n"/>
    </row>
    <row r="1814">
      <c r="A1814" s="9" t="n">
        <v>804119</v>
      </c>
      <c r="B1814" s="9" t="inlineStr">
        <is>
          <t>Bobby Boser</t>
        </is>
      </c>
      <c r="C1814" s="9" t="inlineStr">
        <is>
          <t>OAK</t>
        </is>
      </c>
      <c r="D1814" s="9" t="n">
        <v>25</v>
      </c>
      <c r="E1814" s="16" t="inlineStr">
        <is>
          <t>R</t>
        </is>
      </c>
      <c r="F1814" s="16" t="n"/>
      <c r="G1814" s="9" t="n">
        <v>116.3076923076923</v>
      </c>
      <c r="H1814" s="9" t="n">
        <v>116.3076923076923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1" t="n">
        <v>1</v>
      </c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/>
      <c r="Y1814" s="17" t="n">
        <v>1</v>
      </c>
      <c r="Z1814" s="13">
        <f>SUMPRODUCT(N1814:Y1814,$N$2:$Y$2)*$K1814*$L1814*$M1814</f>
        <v/>
      </c>
      <c r="AA1814" s="14">
        <f>SUM(N1814:Y1814)</f>
        <v/>
      </c>
      <c r="AB1814" s="14">
        <f>IFERROR(IF(UPPER($E1814)="L",SUMPRODUCT(N1814:Y1814,$N$3:$Y$3,$N$2:$Y$2),SUMPRODUCT(N1814:Y1814,$N$4:$Y$4,$N$2:$Y$2))/(Z1814/($K1814*$L1814*$M1814)),"")</f>
        <v/>
      </c>
      <c r="AC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inlineStr">
        <is>
          <t>SS</t>
        </is>
      </c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1" t="n">
        <v>1</v>
      </c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/>
      <c r="Y1815" s="17" t="n">
        <v>1</v>
      </c>
      <c r="Z1815" s="13">
        <f>SUMPRODUCT(N1815:Y1815,$N$2:$Y$2)*$K1815*$L1815*$M1815</f>
        <v/>
      </c>
      <c r="AA1815" s="14">
        <f>SUM(N1815:Y1815)</f>
        <v/>
      </c>
      <c r="AB1815" s="14">
        <f>IFERROR(IF(UPPER($E1815)="L",SUMPRODUCT(N1815:Y1815,$N$3:$Y$3,$N$2:$Y$2),SUMPRODUCT(N1815:Y1815,$N$4:$Y$4,$N$2:$Y$2))/(Z1815/($K1815*$L1815*$M1815)),"")</f>
        <v/>
      </c>
      <c r="AC1815" s="18" t="n"/>
    </row>
    <row r="1816">
      <c r="A1816" s="9" t="n">
        <v>808307</v>
      </c>
      <c r="B1816" s="9" t="inlineStr">
        <is>
          <t>Kleyver Salazar</t>
        </is>
      </c>
      <c r="C1816" s="9" t="inlineStr">
        <is>
          <t>BOS</t>
        </is>
      </c>
      <c r="D1816" s="9" t="n">
        <v>25</v>
      </c>
      <c r="E1816" s="16" t="inlineStr">
        <is>
          <t>R</t>
        </is>
      </c>
      <c r="F1816" s="16" t="n"/>
      <c r="G1816" s="9" t="n">
        <v>48.98461538461539</v>
      </c>
      <c r="H1816" s="9" t="n">
        <v>48.98461538461539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1" t="n">
        <v>1</v>
      </c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/>
      <c r="Y1816" s="17" t="n">
        <v>1</v>
      </c>
      <c r="Z1816" s="13">
        <f>SUMPRODUCT(N1816:Y1816,$N$2:$Y$2)*$K1816*$L1816*$M1816</f>
        <v/>
      </c>
      <c r="AA1816" s="14">
        <f>SUM(N1816:Y1816)</f>
        <v/>
      </c>
      <c r="AB1816" s="14">
        <f>IFERROR(IF(UPPER($E1816)="L",SUMPRODUCT(N1816:Y1816,$N$3:$Y$3,$N$2:$Y$2),SUMPRODUCT(N1816:Y1816,$N$4:$Y$4,$N$2:$Y$2))/(Z1816/($K1816*$L1816*$M1816)),"")</f>
        <v/>
      </c>
      <c r="AC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1" t="n">
        <v>1</v>
      </c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/>
      <c r="Y1817" s="17" t="n">
        <v>1</v>
      </c>
      <c r="Z1817" s="13">
        <f>SUMPRODUCT(N1817:Y1817,$N$2:$Y$2)*$K1817*$L1817*$M1817</f>
        <v/>
      </c>
      <c r="AA1817" s="14">
        <f>SUM(N1817:Y1817)</f>
        <v/>
      </c>
      <c r="AB1817" s="14">
        <f>IFERROR(IF(UPPER($E1817)="L",SUMPRODUCT(N1817:Y1817,$N$3:$Y$3,$N$2:$Y$2),SUMPRODUCT(N1817:Y1817,$N$4:$Y$4,$N$2:$Y$2))/(Z1817/($K1817*$L1817*$M1817)),"")</f>
        <v/>
      </c>
      <c r="AC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inlineStr">
        <is>
          <t>LF</t>
        </is>
      </c>
      <c r="G1818" s="9" t="n">
        <v>568</v>
      </c>
      <c r="H1818" s="9" t="n">
        <v>2402</v>
      </c>
      <c r="I1818" s="9" t="inlineStr">
        <is>
          <t>Strong Side Platoon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1" t="n">
        <v>1.15</v>
      </c>
      <c r="N1818" s="17" t="n">
        <v>0.4</v>
      </c>
      <c r="O1818" s="17" t="n"/>
      <c r="P1818" s="17" t="n">
        <v>0.6</v>
      </c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7" t="n"/>
      <c r="Z1818" s="13">
        <f>SUMPRODUCT(N1818:Y1818,$N$2:$Y$2)*$K1818*$L1818*$M1818</f>
        <v/>
      </c>
      <c r="AA1818" s="14">
        <f>SUM(N1818:Y1818)</f>
        <v/>
      </c>
      <c r="AB1818" s="14">
        <f>IFERROR(IF(UPPER($E1818)="L",SUMPRODUCT(N1818:Y1818,$N$3:$Y$3,$N$2:$Y$2),SUMPRODUCT(N1818:Y1818,$N$4:$Y$4,$N$2:$Y$2))/(Z1818/($K1818*$L1818*$M1818)),"")</f>
        <v/>
      </c>
      <c r="AC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inlineStr">
        <is>
          <t>1B</t>
        </is>
      </c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1" t="n">
        <v>1</v>
      </c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/>
      <c r="Y1819" s="17" t="n">
        <v>1</v>
      </c>
      <c r="Z1819" s="13">
        <f>SUMPRODUCT(N1819:Y1819,$N$2:$Y$2)*$K1819*$L1819*$M1819</f>
        <v/>
      </c>
      <c r="AA1819" s="14">
        <f>SUM(N1819:Y1819)</f>
        <v/>
      </c>
      <c r="AB1819" s="14">
        <f>IFERROR(IF(UPPER($E1819)="L",SUMPRODUCT(N1819:Y1819,$N$3:$Y$3,$N$2:$Y$2),SUMPRODUCT(N1819:Y1819,$N$4:$Y$4,$N$2:$Y$2))/(Z1819/($K1819*$L1819*$M1819)),"")</f>
        <v/>
      </c>
      <c r="AC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1" t="n">
        <v>1</v>
      </c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/>
      <c r="Y1820" s="17" t="n">
        <v>1</v>
      </c>
      <c r="Z1820" s="13">
        <f>SUMPRODUCT(N1820:Y1820,$N$2:$Y$2)*$K1820*$L1820*$M1820</f>
        <v/>
      </c>
      <c r="AA1820" s="14">
        <f>SUM(N1820:Y1820)</f>
        <v/>
      </c>
      <c r="AB1820" s="14">
        <f>IFERROR(IF(UPPER($E1820)="L",SUMPRODUCT(N1820:Y1820,$N$3:$Y$3,$N$2:$Y$2),SUMPRODUCT(N1820:Y1820,$N$4:$Y$4,$N$2:$Y$2))/(Z1820/($K1820*$L1820*$M1820)),"")</f>
        <v/>
      </c>
      <c r="AC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1" t="n">
        <v>1</v>
      </c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/>
      <c r="Y1821" s="17" t="n">
        <v>1</v>
      </c>
      <c r="Z1821" s="13">
        <f>SUMPRODUCT(N1821:Y1821,$N$2:$Y$2)*$K1821*$L1821*$M1821</f>
        <v/>
      </c>
      <c r="AA1821" s="14">
        <f>SUM(N1821:Y1821)</f>
        <v/>
      </c>
      <c r="AB1821" s="14">
        <f>IFERROR(IF(UPPER($E1821)="L",SUMPRODUCT(N1821:Y1821,$N$3:$Y$3,$N$2:$Y$2),SUMPRODUCT(N1821:Y1821,$N$4:$Y$4,$N$2:$Y$2))/(Z1821/($K1821*$L1821*$M1821)),"")</f>
        <v/>
      </c>
      <c r="AC1821" s="18" t="n"/>
    </row>
    <row r="1822">
      <c r="A1822" s="9" t="n">
        <v>641680</v>
      </c>
      <c r="B1822" s="9" t="inlineStr">
        <is>
          <t>Jonah Heim</t>
        </is>
      </c>
      <c r="C1822" s="9" t="inlineStr">
        <is>
          <t>OAK</t>
        </is>
      </c>
      <c r="D1822" s="9" t="n">
        <v>32</v>
      </c>
      <c r="E1822" s="16" t="inlineStr">
        <is>
          <t>S</t>
        </is>
      </c>
      <c r="F1822" s="16" t="inlineStr">
        <is>
          <t>C</t>
        </is>
      </c>
      <c r="G1822" s="9" t="n">
        <v>390</v>
      </c>
      <c r="H1822" s="9" t="n">
        <v>2265</v>
      </c>
      <c r="I1822" s="9" t="inlineStr">
        <is>
          <t>Catcher - Primary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1" t="n">
        <v>1.011447848293202</v>
      </c>
      <c r="N1822" s="17" t="n"/>
      <c r="O1822" s="17" t="n"/>
      <c r="P1822" s="17" t="n"/>
      <c r="Q1822" s="17" t="n"/>
      <c r="R1822" s="17" t="n">
        <v>0.62</v>
      </c>
      <c r="S1822" s="17" t="n">
        <v>0.38</v>
      </c>
      <c r="T1822" s="17" t="n"/>
      <c r="U1822" s="17" t="n"/>
      <c r="V1822" s="17" t="n"/>
      <c r="W1822" s="17" t="n"/>
      <c r="X1822" s="17" t="n"/>
      <c r="Y1822" s="17" t="n"/>
      <c r="Z1822" s="13">
        <f>SUMPRODUCT(N1822:Y1822,$N$2:$Y$2)*$K1822*$L1822*$M1822</f>
        <v/>
      </c>
      <c r="AA1822" s="14">
        <f>SUM(N1822:Y1822)</f>
        <v/>
      </c>
      <c r="AB1822" s="14">
        <f>IFERROR(IF(UPPER($E1822)="L",SUMPRODUCT(N1822:Y1822,$N$3:$Y$3,$N$2:$Y$2),SUMPRODUCT(N1822:Y1822,$N$4:$Y$4,$N$2:$Y$2))/(Z1822/($K1822*$L1822*$M1822)),"")</f>
        <v/>
      </c>
      <c r="AC1822" s="18" t="n"/>
    </row>
    <row r="1823">
      <c r="A1823" s="9" t="n">
        <v>670208</v>
      </c>
      <c r="B1823" s="9" t="inlineStr">
        <is>
          <t>Matt Fraizer</t>
        </is>
      </c>
      <c r="C1823" s="9" t="inlineStr">
        <is>
          <t>BOS</t>
        </is>
      </c>
      <c r="D1823" s="9" t="n">
        <v>25</v>
      </c>
      <c r="E1823" s="16" t="inlineStr">
        <is>
          <t>L</t>
        </is>
      </c>
      <c r="F1823" s="16" t="n"/>
      <c r="G1823" s="9" t="n">
        <v>30.51282051282051</v>
      </c>
      <c r="H1823" s="9" t="n">
        <v>30.51282051282051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1" t="n">
        <v>1</v>
      </c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/>
      <c r="Y1823" s="17" t="n">
        <v>1</v>
      </c>
      <c r="Z1823" s="13">
        <f>SUMPRODUCT(N1823:Y1823,$N$2:$Y$2)*$K1823*$L1823*$M1823</f>
        <v/>
      </c>
      <c r="AA1823" s="14">
        <f>SUM(N1823:Y1823)</f>
        <v/>
      </c>
      <c r="AB1823" s="14">
        <f>IFERROR(IF(UPPER($E1823)="L",SUMPRODUCT(N1823:Y1823,$N$3:$Y$3,$N$2:$Y$2),SUMPRODUCT(N1823:Y1823,$N$4:$Y$4,$N$2:$Y$2))/(Z1823/($K1823*$L1823*$M1823)),"")</f>
        <v/>
      </c>
      <c r="AC1823" s="18" t="n"/>
    </row>
    <row r="1824">
      <c r="A1824" s="9" t="n">
        <v>821009</v>
      </c>
      <c r="B1824" s="9" t="inlineStr">
        <is>
          <t>Cesar Hernandez</t>
        </is>
      </c>
      <c r="C1824" s="9" t="inlineStr">
        <is>
          <t>HOU</t>
        </is>
      </c>
      <c r="D1824" s="9" t="n">
        <v>25</v>
      </c>
      <c r="E1824" s="16" t="inlineStr">
        <is>
          <t>L</t>
        </is>
      </c>
      <c r="F1824" s="16" t="n"/>
      <c r="G1824" s="9" t="n">
        <v>29.94871794871795</v>
      </c>
      <c r="H1824" s="9" t="n">
        <v>29.94871794871795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1" t="n">
        <v>1</v>
      </c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/>
      <c r="Y1824" s="17" t="n">
        <v>1</v>
      </c>
      <c r="Z1824" s="13">
        <f>SUMPRODUCT(N1824:Y1824,$N$2:$Y$2)*$K1824*$L1824*$M1824</f>
        <v/>
      </c>
      <c r="AA1824" s="14">
        <f>SUM(N1824:Y1824)</f>
        <v/>
      </c>
      <c r="AB1824" s="14">
        <f>IFERROR(IF(UPPER($E1824)="L",SUMPRODUCT(N1824:Y1824,$N$3:$Y$3,$N$2:$Y$2),SUMPRODUCT(N1824:Y1824,$N$4:$Y$4,$N$2:$Y$2))/(Z1824/($K1824*$L1824*$M1824)),"")</f>
        <v/>
      </c>
      <c r="AC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inlineStr">
        <is>
          <t>1B</t>
        </is>
      </c>
      <c r="G1825" s="9" t="n">
        <v>609</v>
      </c>
      <c r="H1825" s="9" t="n">
        <v>3374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1" t="n">
        <v>1.147191202738558</v>
      </c>
      <c r="N1825" s="17" t="n">
        <v>1</v>
      </c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7" t="n"/>
      <c r="Z1825" s="13">
        <f>SUMPRODUCT(N1825:Y1825,$N$2:$Y$2)*$K1825*$L1825*$M1825</f>
        <v/>
      </c>
      <c r="AA1825" s="14">
        <f>SUM(N1825:Y1825)</f>
        <v/>
      </c>
      <c r="AB1825" s="14">
        <f>IFERROR(IF(UPPER($E1825)="L",SUMPRODUCT(N1825:Y1825,$N$3:$Y$3,$N$2:$Y$2),SUMPRODUCT(N1825:Y1825,$N$4:$Y$4,$N$2:$Y$2))/(Z1825/($K1825*$L1825*$M1825)),"")</f>
        <v/>
      </c>
      <c r="AC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25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Bench Bat</t>
        </is>
      </c>
      <c r="J1826" s="16" t="inlineStr">
        <is>
          <t>Mid Season (~July)</t>
        </is>
      </c>
      <c r="K1826" s="11">
        <f>IFERROR(INDEX(Roles!$B$17:$B$20,MATCH(J1826,Roles!$A$17:$A$20,0)),1)</f>
        <v/>
      </c>
      <c r="L1826" s="17" t="n">
        <v>1</v>
      </c>
      <c r="M1826" s="11" t="n">
        <v>1</v>
      </c>
      <c r="N1826" s="17" t="n">
        <v>0.25</v>
      </c>
      <c r="O1826" s="17" t="n"/>
      <c r="P1826" s="17" t="n">
        <v>0.3</v>
      </c>
      <c r="Q1826" s="17" t="n"/>
      <c r="R1826" s="17" t="n"/>
      <c r="S1826" s="17" t="n"/>
      <c r="T1826" s="17" t="n"/>
      <c r="U1826" s="17" t="n"/>
      <c r="V1826" s="17" t="n"/>
      <c r="W1826" s="17" t="n">
        <v>0.45</v>
      </c>
      <c r="X1826" s="17" t="n"/>
      <c r="Y1826" s="17" t="n"/>
      <c r="Z1826" s="13">
        <f>SUMPRODUCT(N1826:Y1826,$N$2:$Y$2)*$K1826*$L1826*$M1826</f>
        <v/>
      </c>
      <c r="AA1826" s="14">
        <f>SUM(N1826:Y1826)</f>
        <v/>
      </c>
      <c r="AB1826" s="14">
        <f>IFERROR(IF(UPPER($E1826)="L",SUMPRODUCT(N1826:Y1826,$N$3:$Y$3,$N$2:$Y$2),SUMPRODUCT(N1826:Y1826,$N$4:$Y$4,$N$2:$Y$2))/(Z1826/($K1826*$L1826*$M1826)),"")</f>
        <v/>
      </c>
      <c r="AC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1" t="n">
        <v>1</v>
      </c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/>
      <c r="Y1827" s="17" t="n">
        <v>1</v>
      </c>
      <c r="Z1827" s="13">
        <f>SUMPRODUCT(N1827:Y1827,$N$2:$Y$2)*$K1827*$L1827*$M1827</f>
        <v/>
      </c>
      <c r="AA1827" s="14">
        <f>SUM(N1827:Y1827)</f>
        <v/>
      </c>
      <c r="AB1827" s="14">
        <f>IFERROR(IF(UPPER($E1827)="L",SUMPRODUCT(N1827:Y1827,$N$3:$Y$3,$N$2:$Y$2),SUMPRODUCT(N1827:Y1827,$N$4:$Y$4,$N$2:$Y$2))/(Z1827/($K1827*$L1827*$M1827)),"")</f>
        <v/>
      </c>
      <c r="AC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25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Mid Season (~July)</t>
        </is>
      </c>
      <c r="K1828" s="11">
        <f>IFERROR(INDEX(Roles!$B$17:$B$20,MATCH(J1828,Roles!$A$17:$A$20,0)),1)</f>
        <v/>
      </c>
      <c r="L1828" s="17" t="n">
        <v>1</v>
      </c>
      <c r="M1828" s="11" t="n">
        <v>1</v>
      </c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/>
      <c r="Y1828" s="17" t="n">
        <v>1</v>
      </c>
      <c r="Z1828" s="13">
        <f>SUMPRODUCT(N1828:Y1828,$N$2:$Y$2)*$K1828*$L1828*$M1828</f>
        <v/>
      </c>
      <c r="AA1828" s="14">
        <f>SUM(N1828:Y1828)</f>
        <v/>
      </c>
      <c r="AB1828" s="14">
        <f>IFERROR(IF(UPPER($E1828)="L",SUMPRODUCT(N1828:Y1828,$N$3:$Y$3,$N$2:$Y$2),SUMPRODUCT(N1828:Y1828,$N$4:$Y$4,$N$2:$Y$2))/(Z1828/($K1828*$L1828*$M1828)),"")</f>
        <v/>
      </c>
      <c r="AC1828" s="18" t="n"/>
    </row>
    <row r="1829">
      <c r="A1829" s="9" t="n">
        <v>701678</v>
      </c>
      <c r="B1829" s="9" t="inlineStr">
        <is>
          <t>Hao-Yu Lee</t>
        </is>
      </c>
      <c r="C1829" s="9" t="inlineStr">
        <is>
          <t>DET</t>
        </is>
      </c>
      <c r="D1829" s="9" t="n">
        <v>24</v>
      </c>
      <c r="E1829" s="16" t="inlineStr">
        <is>
          <t>R</t>
        </is>
      </c>
      <c r="F1829" s="16" t="inlineStr">
        <is>
          <t>2B</t>
        </is>
      </c>
      <c r="G1829" s="9" t="n">
        <v>364</v>
      </c>
      <c r="H1829" s="9" t="n">
        <v>364</v>
      </c>
      <c r="I1829" s="9" t="inlineStr">
        <is>
          <t>Full Time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1" t="n">
        <v>0.965702942635469</v>
      </c>
      <c r="N1829" s="17" t="n">
        <v>0.9</v>
      </c>
      <c r="O1829" s="17" t="n"/>
      <c r="P1829" s="17" t="n">
        <v>0.1</v>
      </c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7" t="n"/>
      <c r="Z1829" s="13">
        <f>SUMPRODUCT(N1829:Y1829,$N$2:$Y$2)*$K1829*$L1829*$M1829</f>
        <v/>
      </c>
      <c r="AA1829" s="14">
        <f>SUM(N1829:Y1829)</f>
        <v/>
      </c>
      <c r="AB1829" s="14">
        <f>IFERROR(IF(UPPER($E1829)="L",SUMPRODUCT(N1829:Y1829,$N$3:$Y$3,$N$2:$Y$2),SUMPRODUCT(N1829:Y1829,$N$4:$Y$4,$N$2:$Y$2))/(Z1829/($K1829*$L1829*$M1829)),"")</f>
        <v/>
      </c>
      <c r="AC1829" s="18" t="n"/>
    </row>
    <row r="1830">
      <c r="A1830" s="9" t="n">
        <v>815913</v>
      </c>
      <c r="B1830" s="9" t="inlineStr">
        <is>
          <t>Stiven Martinez</t>
        </is>
      </c>
      <c r="C1830" s="9" t="inlineStr">
        <is>
          <t>BAL</t>
        </is>
      </c>
      <c r="D1830" s="9" t="n">
        <v>25</v>
      </c>
      <c r="E1830" s="16" t="inlineStr">
        <is>
          <t>R</t>
        </is>
      </c>
      <c r="F1830" s="16" t="n"/>
      <c r="G1830" s="9" t="n">
        <v>52.18461538461538</v>
      </c>
      <c r="H1830" s="9" t="n">
        <v>52.18461538461538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1" t="n">
        <v>1</v>
      </c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/>
      <c r="Y1830" s="17" t="n">
        <v>1</v>
      </c>
      <c r="Z1830" s="13">
        <f>SUMPRODUCT(N1830:Y1830,$N$2:$Y$2)*$K1830*$L1830*$M1830</f>
        <v/>
      </c>
      <c r="AA1830" s="14">
        <f>SUM(N1830:Y1830)</f>
        <v/>
      </c>
      <c r="AB1830" s="14">
        <f>IFERROR(IF(UPPER($E1830)="L",SUMPRODUCT(N1830:Y1830,$N$3:$Y$3,$N$2:$Y$2),SUMPRODUCT(N1830:Y1830,$N$4:$Y$4,$N$2:$Y$2))/(Z1830/($K1830*$L1830*$M1830)),"")</f>
        <v/>
      </c>
      <c r="AC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inlineStr">
        <is>
          <t>C</t>
        </is>
      </c>
      <c r="G1831" s="9" t="n">
        <v>237</v>
      </c>
      <c r="H1831" s="9" t="n">
        <v>349</v>
      </c>
      <c r="I1831" s="9" t="inlineStr">
        <is>
          <t>Bench Bat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1" t="n">
        <v>1</v>
      </c>
      <c r="N1831" s="17" t="n"/>
      <c r="O1831" s="17" t="n"/>
      <c r="P1831" s="17" t="n"/>
      <c r="Q1831" s="17" t="n"/>
      <c r="R1831" s="17" t="n"/>
      <c r="S1831" s="17" t="n"/>
      <c r="T1831" s="17" t="n">
        <v>0.4</v>
      </c>
      <c r="U1831" s="17" t="n"/>
      <c r="V1831" s="17" t="n"/>
      <c r="W1831" s="17" t="n">
        <v>0.6</v>
      </c>
      <c r="X1831" s="17" t="n"/>
      <c r="Y1831" s="17" t="n"/>
      <c r="Z1831" s="13">
        <f>SUMPRODUCT(N1831:Y1831,$N$2:$Y$2)*$K1831*$L1831*$M1831</f>
        <v/>
      </c>
      <c r="AA1831" s="14">
        <f>SUM(N1831:Y1831)</f>
        <v/>
      </c>
      <c r="AB1831" s="14">
        <f>IFERROR(IF(UPPER($E1831)="L",SUMPRODUCT(N1831:Y1831,$N$3:$Y$3,$N$2:$Y$2),SUMPRODUCT(N1831:Y1831,$N$4:$Y$4,$N$2:$Y$2))/(Z1831/($K1831*$L1831*$M1831)),"")</f>
        <v/>
      </c>
      <c r="AC1831" s="18" t="n"/>
    </row>
    <row r="1832">
      <c r="A1832" s="9" t="n">
        <v>823807</v>
      </c>
      <c r="B1832" s="9" t="inlineStr">
        <is>
          <t>Kane Kepley</t>
        </is>
      </c>
      <c r="C1832" s="9" t="inlineStr">
        <is>
          <t>CHC</t>
        </is>
      </c>
      <c r="D1832" s="9" t="n">
        <v>25</v>
      </c>
      <c r="E1832" s="16" t="inlineStr">
        <is>
          <t>L</t>
        </is>
      </c>
      <c r="F1832" s="16" t="n"/>
      <c r="G1832" s="9" t="n">
        <v>49.17948717948718</v>
      </c>
      <c r="H1832" s="9" t="n">
        <v>49.17948717948718</v>
      </c>
      <c r="I1832" s="9" t="inlineStr">
        <is>
          <t>Depth (no MLB PA)</t>
        </is>
      </c>
      <c r="J1832" s="16" t="inlineStr">
        <is>
          <t>Mid Season (~July)</t>
        </is>
      </c>
      <c r="K1832" s="11">
        <f>IFERROR(INDEX(Roles!$B$17:$B$20,MATCH(J1832,Roles!$A$17:$A$20,0)),1)</f>
        <v/>
      </c>
      <c r="L1832" s="17" t="n">
        <v>1</v>
      </c>
      <c r="M1832" s="11" t="n">
        <v>1</v>
      </c>
      <c r="N1832" s="17" t="n"/>
      <c r="O1832" s="17" t="n"/>
      <c r="P1832" s="17" t="n"/>
      <c r="Q1832" s="17" t="n"/>
      <c r="R1832" s="17" t="n"/>
      <c r="S1832" s="17" t="n"/>
      <c r="T1832" s="17" t="n"/>
      <c r="U1832" s="17" t="n"/>
      <c r="V1832" s="17" t="n"/>
      <c r="W1832" s="17" t="n"/>
      <c r="X1832" s="17" t="n"/>
      <c r="Y1832" s="17" t="n">
        <v>1</v>
      </c>
      <c r="Z1832" s="13">
        <f>SUMPRODUCT(N1832:Y1832,$N$2:$Y$2)*$K1832*$L1832*$M1832</f>
        <v/>
      </c>
      <c r="AA1832" s="14">
        <f>SUM(N1832:Y1832)</f>
        <v/>
      </c>
      <c r="AB1832" s="14">
        <f>IFERROR(IF(UPPER($E1832)="L",SUMPRODUCT(N1832:Y1832,$N$3:$Y$3,$N$2:$Y$2),SUMPRODUCT(N1832:Y1832,$N$4:$Y$4,$N$2:$Y$2))/(Z1832/($K1832*$L1832*$M1832)),"")</f>
        <v/>
      </c>
      <c r="AC1832" s="18" t="n"/>
    </row>
    <row r="1833">
      <c r="A1833" s="9" t="n">
        <v>823918</v>
      </c>
      <c r="B1833" s="9" t="inlineStr">
        <is>
          <t>Kyle West</t>
        </is>
      </c>
      <c r="C1833" s="9" t="inlineStr">
        <is>
          <t>NYY</t>
        </is>
      </c>
      <c r="D1833" s="9" t="n">
        <v>25</v>
      </c>
      <c r="E1833" s="16" t="inlineStr">
        <is>
          <t>L</t>
        </is>
      </c>
      <c r="F1833" s="16" t="n"/>
      <c r="G1833" s="9" t="n">
        <v>108.3076923076923</v>
      </c>
      <c r="H1833" s="9" t="n">
        <v>108.3076923076923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1" t="n">
        <v>1</v>
      </c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/>
      <c r="Y1833" s="17" t="n">
        <v>1</v>
      </c>
      <c r="Z1833" s="13">
        <f>SUMPRODUCT(N1833:Y1833,$N$2:$Y$2)*$K1833*$L1833*$M1833</f>
        <v/>
      </c>
      <c r="AA1833" s="14">
        <f>SUM(N1833:Y1833)</f>
        <v/>
      </c>
      <c r="AB1833" s="14">
        <f>IFERROR(IF(UPPER($E1833)="L",SUMPRODUCT(N1833:Y1833,$N$3:$Y$3,$N$2:$Y$2),SUMPRODUCT(N1833:Y1833,$N$4:$Y$4,$N$2:$Y$2))/(Z1833/($K1833*$L1833*$M1833)),"")</f>
        <v/>
      </c>
      <c r="AC1833" s="18" t="n"/>
    </row>
    <row r="1834">
      <c r="A1834" s="9" t="n">
        <v>815839</v>
      </c>
      <c r="B1834" s="9" t="inlineStr">
        <is>
          <t>Quentin Young</t>
        </is>
      </c>
      <c r="C1834" s="9" t="inlineStr">
        <is>
          <t>MIN</t>
        </is>
      </c>
      <c r="D1834" s="9" t="n">
        <v>25</v>
      </c>
      <c r="E1834" s="16" t="inlineStr">
        <is>
          <t>R</t>
        </is>
      </c>
      <c r="F1834" s="16" t="n"/>
      <c r="G1834" s="9" t="n">
        <v>53.16923076923077</v>
      </c>
      <c r="H1834" s="9" t="n">
        <v>53.16923076923077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1" t="n">
        <v>1</v>
      </c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/>
      <c r="Y1834" s="17" t="n">
        <v>1</v>
      </c>
      <c r="Z1834" s="13">
        <f>SUMPRODUCT(N1834:Y1834,$N$2:$Y$2)*$K1834*$L1834*$M1834</f>
        <v/>
      </c>
      <c r="AA1834" s="14">
        <f>SUM(N1834:Y1834)</f>
        <v/>
      </c>
      <c r="AB1834" s="14">
        <f>IFERROR(IF(UPPER($E1834)="L",SUMPRODUCT(N1834:Y1834,$N$3:$Y$3,$N$2:$Y$2),SUMPRODUCT(N1834:Y1834,$N$4:$Y$4,$N$2:$Y$2))/(Z1834/($K1834*$L1834*$M1834)),"")</f>
        <v/>
      </c>
      <c r="AC1834" s="18" t="n"/>
    </row>
    <row r="1835">
      <c r="A1835" s="9" t="n">
        <v>808113</v>
      </c>
      <c r="B1835" s="9" t="inlineStr">
        <is>
          <t>Anyelo Marquez</t>
        </is>
      </c>
      <c r="C1835" s="9" t="inlineStr">
        <is>
          <t>LAA</t>
        </is>
      </c>
      <c r="D1835" s="9" t="n">
        <v>25</v>
      </c>
      <c r="E1835" s="16" t="inlineStr">
        <is>
          <t>L</t>
        </is>
      </c>
      <c r="F1835" s="16" t="n"/>
      <c r="G1835" s="9" t="n">
        <v>55.01538461538461</v>
      </c>
      <c r="H1835" s="9" t="n">
        <v>55.01538461538461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1" t="n">
        <v>1</v>
      </c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/>
      <c r="Y1835" s="17" t="n">
        <v>1</v>
      </c>
      <c r="Z1835" s="13">
        <f>SUMPRODUCT(N1835:Y1835,$N$2:$Y$2)*$K1835*$L1835*$M1835</f>
        <v/>
      </c>
      <c r="AA1835" s="14">
        <f>SUM(N1835:Y1835)</f>
        <v/>
      </c>
      <c r="AB1835" s="14">
        <f>IFERROR(IF(UPPER($E1835)="L",SUMPRODUCT(N1835:Y1835,$N$3:$Y$3,$N$2:$Y$2),SUMPRODUCT(N1835:Y1835,$N$4:$Y$4,$N$2:$Y$2))/(Z1835/($K1835*$L1835*$M1835)),"")</f>
        <v/>
      </c>
      <c r="AC1835" s="18" t="n"/>
    </row>
    <row r="1836">
      <c r="A1836" s="9" t="n">
        <v>805126</v>
      </c>
      <c r="B1836" s="9" t="inlineStr">
        <is>
          <t>Charlie Szykowny</t>
        </is>
      </c>
      <c r="C1836" s="9" t="inlineStr">
        <is>
          <t>SF</t>
        </is>
      </c>
      <c r="D1836" s="9" t="n">
        <v>25</v>
      </c>
      <c r="E1836" s="16" t="inlineStr">
        <is>
          <t>L</t>
        </is>
      </c>
      <c r="F1836" s="16" t="n"/>
      <c r="G1836" s="9" t="n">
        <v>40.05128205128205</v>
      </c>
      <c r="H1836" s="9" t="n">
        <v>40.05128205128205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1" t="n">
        <v>1</v>
      </c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/>
      <c r="Y1836" s="17" t="n">
        <v>1</v>
      </c>
      <c r="Z1836" s="13">
        <f>SUMPRODUCT(N1836:Y1836,$N$2:$Y$2)*$K1836*$L1836*$M1836</f>
        <v/>
      </c>
      <c r="AA1836" s="14">
        <f>SUM(N1836:Y1836)</f>
        <v/>
      </c>
      <c r="AB1836" s="14">
        <f>IFERROR(IF(UPPER($E1836)="L",SUMPRODUCT(N1836:Y1836,$N$3:$Y$3,$N$2:$Y$2),SUMPRODUCT(N1836:Y1836,$N$4:$Y$4,$N$2:$Y$2))/(Z1836/($K1836*$L1836*$M1836)),"")</f>
        <v/>
      </c>
      <c r="AC1836" s="18" t="n"/>
    </row>
    <row r="1837">
      <c r="A1837" s="9" t="n">
        <v>682983</v>
      </c>
      <c r="B1837" s="9" t="inlineStr">
        <is>
          <t>Jud Fabian</t>
        </is>
      </c>
      <c r="C1837" s="9" t="inlineStr">
        <is>
          <t>BAL</t>
        </is>
      </c>
      <c r="D1837" s="9" t="n">
        <v>25</v>
      </c>
      <c r="E1837" s="16" t="inlineStr">
        <is>
          <t>R</t>
        </is>
      </c>
      <c r="F1837" s="16" t="n"/>
      <c r="G1837" s="9" t="n">
        <v>246.5128205128205</v>
      </c>
      <c r="H1837" s="9" t="n">
        <v>246.5128205128205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1" t="n">
        <v>1</v>
      </c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/>
      <c r="Y1837" s="17" t="n">
        <v>1</v>
      </c>
      <c r="Z1837" s="13">
        <f>SUMPRODUCT(N1837:Y1837,$N$2:$Y$2)*$K1837*$L1837*$M1837</f>
        <v/>
      </c>
      <c r="AA1837" s="14">
        <f>SUM(N1837:Y1837)</f>
        <v/>
      </c>
      <c r="AB1837" s="14">
        <f>IFERROR(IF(UPPER($E1837)="L",SUMPRODUCT(N1837:Y1837,$N$3:$Y$3,$N$2:$Y$2),SUMPRODUCT(N1837:Y1837,$N$4:$Y$4,$N$2:$Y$2))/(Z1837/($K1837*$L1837*$M1837)),"")</f>
        <v/>
      </c>
      <c r="AC1837" s="18" t="n"/>
    </row>
    <row r="1838">
      <c r="A1838" s="9" t="n">
        <v>700369</v>
      </c>
      <c r="B1838" s="9" t="inlineStr">
        <is>
          <t>Adrian De Leon</t>
        </is>
      </c>
      <c r="C1838" s="9" t="inlineStr">
        <is>
          <t>ARI</t>
        </is>
      </c>
      <c r="D1838" s="9" t="n">
        <v>25</v>
      </c>
      <c r="E1838" s="16" t="inlineStr">
        <is>
          <t>R</t>
        </is>
      </c>
      <c r="F1838" s="16" t="n"/>
      <c r="G1838" s="9" t="n">
        <v>29.07692307692308</v>
      </c>
      <c r="H1838" s="9" t="n">
        <v>29.07692307692308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1" t="n">
        <v>1</v>
      </c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/>
      <c r="Y1838" s="17" t="n">
        <v>1</v>
      </c>
      <c r="Z1838" s="13">
        <f>SUMPRODUCT(N1838:Y1838,$N$2:$Y$2)*$K1838*$L1838*$M1838</f>
        <v/>
      </c>
      <c r="AA1838" s="14">
        <f>SUM(N1838:Y1838)</f>
        <v/>
      </c>
      <c r="AB1838" s="14">
        <f>IFERROR(IF(UPPER($E1838)="L",SUMPRODUCT(N1838:Y1838,$N$3:$Y$3,$N$2:$Y$2),SUMPRODUCT(N1838:Y1838,$N$4:$Y$4,$N$2:$Y$2))/(Z1838/($K1838*$L1838*$M1838)),"")</f>
        <v/>
      </c>
      <c r="AC1838" s="18" t="n"/>
    </row>
    <row r="1839">
      <c r="A1839" s="9" t="n">
        <v>806161</v>
      </c>
      <c r="B1839" s="9" t="inlineStr">
        <is>
          <t>Yahil Melendez</t>
        </is>
      </c>
      <c r="C1839" s="9" t="inlineStr">
        <is>
          <t>CHC</t>
        </is>
      </c>
      <c r="D1839" s="9" t="n">
        <v>25</v>
      </c>
      <c r="E1839" s="16" t="inlineStr">
        <is>
          <t>L</t>
        </is>
      </c>
      <c r="F1839" s="16" t="n"/>
      <c r="G1839" s="9" t="n">
        <v>24.86153846153847</v>
      </c>
      <c r="H1839" s="9" t="n">
        <v>24.86153846153847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1" t="n">
        <v>1</v>
      </c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/>
      <c r="Y1839" s="17" t="n">
        <v>1</v>
      </c>
      <c r="Z1839" s="13">
        <f>SUMPRODUCT(N1839:Y1839,$N$2:$Y$2)*$K1839*$L1839*$M1839</f>
        <v/>
      </c>
      <c r="AA1839" s="14">
        <f>SUM(N1839:Y1839)</f>
        <v/>
      </c>
      <c r="AB1839" s="14">
        <f>IFERROR(IF(UPPER($E1839)="L",SUMPRODUCT(N1839:Y1839,$N$3:$Y$3,$N$2:$Y$2),SUMPRODUCT(N1839:Y1839,$N$4:$Y$4,$N$2:$Y$2))/(Z1839/($K1839*$L1839*$M1839)),"")</f>
        <v/>
      </c>
      <c r="AC1839" s="18" t="n"/>
    </row>
    <row r="1840">
      <c r="A1840" s="9" t="n">
        <v>694385</v>
      </c>
      <c r="B1840" s="9" t="inlineStr">
        <is>
          <t>Brock Wilken</t>
        </is>
      </c>
      <c r="C1840" s="9" t="inlineStr">
        <is>
          <t>MIL</t>
        </is>
      </c>
      <c r="D1840" s="9" t="n">
        <v>25</v>
      </c>
      <c r="E1840" s="16" t="inlineStr">
        <is>
          <t>R</t>
        </is>
      </c>
      <c r="F1840" s="16" t="n"/>
      <c r="G1840" s="9" t="n">
        <v>297.2820512820513</v>
      </c>
      <c r="H1840" s="9" t="n">
        <v>297.2820512820513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1" t="n">
        <v>1</v>
      </c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/>
      <c r="Y1840" s="17" t="n">
        <v>1</v>
      </c>
      <c r="Z1840" s="13">
        <f>SUMPRODUCT(N1840:Y1840,$N$2:$Y$2)*$K1840*$L1840*$M1840</f>
        <v/>
      </c>
      <c r="AA1840" s="14">
        <f>SUM(N1840:Y1840)</f>
        <v/>
      </c>
      <c r="AB1840" s="14">
        <f>IFERROR(IF(UPPER($E1840)="L",SUMPRODUCT(N1840:Y1840,$N$3:$Y$3,$N$2:$Y$2),SUMPRODUCT(N1840:Y1840,$N$4:$Y$4,$N$2:$Y$2))/(Z1840/($K1840*$L1840*$M1840)),"")</f>
        <v/>
      </c>
      <c r="AC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1" t="n">
        <v>1</v>
      </c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/>
      <c r="Y1841" s="17" t="n">
        <v>1</v>
      </c>
      <c r="Z1841" s="13">
        <f>SUMPRODUCT(N1841:Y1841,$N$2:$Y$2)*$K1841*$L1841*$M1841</f>
        <v/>
      </c>
      <c r="AA1841" s="14">
        <f>SUM(N1841:Y1841)</f>
        <v/>
      </c>
      <c r="AB1841" s="14">
        <f>IFERROR(IF(UPPER($E1841)="L",SUMPRODUCT(N1841:Y1841,$N$3:$Y$3,$N$2:$Y$2),SUMPRODUCT(N1841:Y1841,$N$4:$Y$4,$N$2:$Y$2))/(Z1841/($K1841*$L1841*$M1841)),"")</f>
        <v/>
      </c>
      <c r="AC1841" s="18" t="n"/>
    </row>
    <row r="1842">
      <c r="A1842" s="9" t="n">
        <v>686744</v>
      </c>
      <c r="B1842" s="9" t="inlineStr">
        <is>
          <t>Jake Snider</t>
        </is>
      </c>
      <c r="C1842" s="9" t="inlineStr">
        <is>
          <t>TEX</t>
        </is>
      </c>
      <c r="D1842" s="9" t="n">
        <v>25</v>
      </c>
      <c r="E1842" s="16" t="inlineStr">
        <is>
          <t>L</t>
        </is>
      </c>
      <c r="F1842" s="16" t="n"/>
      <c r="G1842" s="9" t="n">
        <v>20.82051282051282</v>
      </c>
      <c r="H1842" s="9" t="n">
        <v>20.82051282051282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1" t="n">
        <v>1</v>
      </c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/>
      <c r="Y1842" s="17" t="n">
        <v>1</v>
      </c>
      <c r="Z1842" s="13">
        <f>SUMPRODUCT(N1842:Y1842,$N$2:$Y$2)*$K1842*$L1842*$M1842</f>
        <v/>
      </c>
      <c r="AA1842" s="14">
        <f>SUM(N1842:Y1842)</f>
        <v/>
      </c>
      <c r="AB1842" s="14">
        <f>IFERROR(IF(UPPER($E1842)="L",SUMPRODUCT(N1842:Y1842,$N$3:$Y$3,$N$2:$Y$2),SUMPRODUCT(N1842:Y1842,$N$4:$Y$4,$N$2:$Y$2))/(Z1842/($K1842*$L1842*$M1842)),"")</f>
        <v/>
      </c>
      <c r="AC1842" s="18" t="n"/>
    </row>
    <row r="1843">
      <c r="A1843" s="9" t="n">
        <v>703151</v>
      </c>
      <c r="B1843" s="9" t="inlineStr">
        <is>
          <t>William Bergolla Jr.</t>
        </is>
      </c>
      <c r="C1843" s="9" t="inlineStr">
        <is>
          <t>CWS</t>
        </is>
      </c>
      <c r="D1843" s="9" t="n">
        <v>25</v>
      </c>
      <c r="E1843" s="16" t="inlineStr">
        <is>
          <t>L</t>
        </is>
      </c>
      <c r="F1843" s="16" t="n"/>
      <c r="G1843" s="9" t="n">
        <v>22.56410256410257</v>
      </c>
      <c r="H1843" s="9" t="n">
        <v>22.56410256410257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1" t="n">
        <v>1</v>
      </c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/>
      <c r="Y1843" s="17" t="n">
        <v>1</v>
      </c>
      <c r="Z1843" s="13">
        <f>SUMPRODUCT(N1843:Y1843,$N$2:$Y$2)*$K1843*$L1843*$M1843</f>
        <v/>
      </c>
      <c r="AA1843" s="14">
        <f>SUM(N1843:Y1843)</f>
        <v/>
      </c>
      <c r="AB1843" s="14">
        <f>IFERROR(IF(UPPER($E1843)="L",SUMPRODUCT(N1843:Y1843,$N$3:$Y$3,$N$2:$Y$2),SUMPRODUCT(N1843:Y1843,$N$4:$Y$4,$N$2:$Y$2))/(Z1843/($K1843*$L1843*$M1843)),"")</f>
        <v/>
      </c>
      <c r="AC1843" s="18" t="n"/>
    </row>
    <row r="1844">
      <c r="A1844" s="9" t="n">
        <v>808166</v>
      </c>
      <c r="B1844" s="9" t="inlineStr">
        <is>
          <t>Junior Aybar</t>
        </is>
      </c>
      <c r="C1844" s="9" t="inlineStr">
        <is>
          <t>BAL</t>
        </is>
      </c>
      <c r="D1844" s="9" t="n">
        <v>25</v>
      </c>
      <c r="E1844" s="16" t="inlineStr">
        <is>
          <t>L</t>
        </is>
      </c>
      <c r="F1844" s="16" t="n"/>
      <c r="G1844" s="9" t="n">
        <v>25.35384615384616</v>
      </c>
      <c r="H1844" s="9" t="n">
        <v>25.35384615384616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1" t="n">
        <v>1</v>
      </c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/>
      <c r="Y1844" s="17" t="n">
        <v>1</v>
      </c>
      <c r="Z1844" s="13">
        <f>SUMPRODUCT(N1844:Y1844,$N$2:$Y$2)*$K1844*$L1844*$M1844</f>
        <v/>
      </c>
      <c r="AA1844" s="14">
        <f>SUM(N1844:Y1844)</f>
        <v/>
      </c>
      <c r="AB1844" s="14">
        <f>IFERROR(IF(UPPER($E1844)="L",SUMPRODUCT(N1844:Y1844,$N$3:$Y$3,$N$2:$Y$2),SUMPRODUCT(N1844:Y1844,$N$4:$Y$4,$N$2:$Y$2))/(Z1844/($K1844*$L1844*$M1844)),"")</f>
        <v/>
      </c>
      <c r="AC1844" s="18" t="n"/>
    </row>
    <row r="1845">
      <c r="A1845" s="9" t="n">
        <v>701394</v>
      </c>
      <c r="B1845" s="9" t="inlineStr">
        <is>
          <t>Zach Ehrhard</t>
        </is>
      </c>
      <c r="C1845" s="9" t="inlineStr">
        <is>
          <t>LAD</t>
        </is>
      </c>
      <c r="D1845" s="9" t="n">
        <v>25</v>
      </c>
      <c r="E1845" s="16" t="inlineStr">
        <is>
          <t>R</t>
        </is>
      </c>
      <c r="F1845" s="16" t="n"/>
      <c r="G1845" s="9" t="n">
        <v>353.1282051282052</v>
      </c>
      <c r="H1845" s="9" t="n">
        <v>353.1282051282052</v>
      </c>
      <c r="I1845" s="9" t="inlineStr">
        <is>
          <t>Bench Bat</t>
        </is>
      </c>
      <c r="J1845" s="16" t="inlineStr">
        <is>
          <t>Mid Season (~July)</t>
        </is>
      </c>
      <c r="K1845" s="11">
        <f>IFERROR(INDEX(Roles!$B$17:$B$20,MATCH(J1845,Roles!$A$17:$A$20,0)),1)</f>
        <v/>
      </c>
      <c r="L1845" s="17" t="n">
        <v>1</v>
      </c>
      <c r="M1845" s="11" t="n">
        <v>1</v>
      </c>
      <c r="N1845" s="17" t="n"/>
      <c r="O1845" s="17" t="n"/>
      <c r="P1845" s="17" t="n">
        <v>0.3</v>
      </c>
      <c r="Q1845" s="17" t="n"/>
      <c r="R1845" s="17" t="n"/>
      <c r="S1845" s="17" t="n"/>
      <c r="T1845" s="17" t="n"/>
      <c r="U1845" s="17" t="n"/>
      <c r="V1845" s="17" t="n"/>
      <c r="W1845" s="17" t="n">
        <v>0.45</v>
      </c>
      <c r="X1845" s="17" t="n">
        <v>0.25</v>
      </c>
      <c r="Y1845" s="17" t="n"/>
      <c r="Z1845" s="13">
        <f>SUMPRODUCT(N1845:Y1845,$N$2:$Y$2)*$K1845*$L1845*$M1845</f>
        <v/>
      </c>
      <c r="AA1845" s="14">
        <f>SUM(N1845:Y1845)</f>
        <v/>
      </c>
      <c r="AB1845" s="14">
        <f>IFERROR(IF(UPPER($E1845)="L",SUMPRODUCT(N1845:Y1845,$N$3:$Y$3,$N$2:$Y$2),SUMPRODUCT(N1845:Y1845,$N$4:$Y$4,$N$2:$Y$2))/(Z1845/($K1845*$L1845*$M1845)),"")</f>
        <v/>
      </c>
      <c r="AC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1" t="n">
        <v>1</v>
      </c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/>
      <c r="Y1846" s="17" t="n">
        <v>1</v>
      </c>
      <c r="Z1846" s="13">
        <f>SUMPRODUCT(N1846:Y1846,$N$2:$Y$2)*$K1846*$L1846*$M1846</f>
        <v/>
      </c>
      <c r="AA1846" s="14">
        <f>SUM(N1846:Y1846)</f>
        <v/>
      </c>
      <c r="AB1846" s="14">
        <f>IFERROR(IF(UPPER($E1846)="L",SUMPRODUCT(N1846:Y1846,$N$3:$Y$3,$N$2:$Y$2),SUMPRODUCT(N1846:Y1846,$N$4:$Y$4,$N$2:$Y$2))/(Z1846/($K1846*$L1846*$M1846)),"")</f>
        <v/>
      </c>
      <c r="AC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inlineStr">
        <is>
          <t>1B</t>
        </is>
      </c>
      <c r="G1847" s="9" t="n">
        <v>650</v>
      </c>
      <c r="H1847" s="9" t="n">
        <v>2880</v>
      </c>
      <c r="I1847" s="9" t="inlineStr">
        <is>
          <t>Full Time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1" t="n">
        <v>1.144641339996834</v>
      </c>
      <c r="N1847" s="17" t="n">
        <v>1</v>
      </c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7" t="n"/>
      <c r="Z1847" s="13">
        <f>SUMPRODUCT(N1847:Y1847,$N$2:$Y$2)*$K1847*$L1847*$M1847</f>
        <v/>
      </c>
      <c r="AA1847" s="14">
        <f>SUM(N1847:Y1847)</f>
        <v/>
      </c>
      <c r="AB1847" s="14">
        <f>IFERROR(IF(UPPER($E1847)="L",SUMPRODUCT(N1847:Y1847,$N$3:$Y$3,$N$2:$Y$2),SUMPRODUCT(N1847:Y1847,$N$4:$Y$4,$N$2:$Y$2))/(Z1847/($K1847*$L1847*$M1847)),"")</f>
        <v/>
      </c>
      <c r="AC1847" s="18" t="n"/>
    </row>
    <row r="1848">
      <c r="A1848" s="9" t="n">
        <v>808381</v>
      </c>
      <c r="B1848" s="9" t="inlineStr">
        <is>
          <t>Enyervert Perez</t>
        </is>
      </c>
      <c r="C1848" s="9" t="inlineStr">
        <is>
          <t>ARI</t>
        </is>
      </c>
      <c r="D1848" s="9" t="n">
        <v>25</v>
      </c>
      <c r="E1848" s="16" t="inlineStr">
        <is>
          <t>R</t>
        </is>
      </c>
      <c r="F1848" s="16" t="n"/>
      <c r="G1848" s="9" t="n">
        <v>45.90769230769231</v>
      </c>
      <c r="H1848" s="9" t="n">
        <v>45.90769230769231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1" t="n">
        <v>1</v>
      </c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/>
      <c r="Y1848" s="17" t="n">
        <v>1</v>
      </c>
      <c r="Z1848" s="13">
        <f>SUMPRODUCT(N1848:Y1848,$N$2:$Y$2)*$K1848*$L1848*$M1848</f>
        <v/>
      </c>
      <c r="AA1848" s="14">
        <f>SUM(N1848:Y1848)</f>
        <v/>
      </c>
      <c r="AB1848" s="14">
        <f>IFERROR(IF(UPPER($E1848)="L",SUMPRODUCT(N1848:Y1848,$N$3:$Y$3,$N$2:$Y$2),SUMPRODUCT(N1848:Y1848,$N$4:$Y$4,$N$2:$Y$2))/(Z1848/($K1848*$L1848*$M1848)),"")</f>
        <v/>
      </c>
      <c r="AC1848" s="18" t="n"/>
    </row>
    <row r="1849">
      <c r="A1849" s="9" t="n">
        <v>800957</v>
      </c>
      <c r="B1849" s="9" t="inlineStr">
        <is>
          <t>Brendan Jones</t>
        </is>
      </c>
      <c r="C1849" s="9" t="inlineStr">
        <is>
          <t>MIA</t>
        </is>
      </c>
      <c r="D1849" s="9" t="n">
        <v>25</v>
      </c>
      <c r="E1849" s="16" t="inlineStr">
        <is>
          <t>L</t>
        </is>
      </c>
      <c r="F1849" s="16" t="n"/>
      <c r="G1849" s="9" t="n">
        <v>53.5897435897436</v>
      </c>
      <c r="H1849" s="9" t="n">
        <v>53.5897435897436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1" t="n">
        <v>1</v>
      </c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/>
      <c r="Y1849" s="17" t="n">
        <v>1</v>
      </c>
      <c r="Z1849" s="13">
        <f>SUMPRODUCT(N1849:Y1849,$N$2:$Y$2)*$K1849*$L1849*$M1849</f>
        <v/>
      </c>
      <c r="AA1849" s="14">
        <f>SUM(N1849:Y1849)</f>
        <v/>
      </c>
      <c r="AB1849" s="14">
        <f>IFERROR(IF(UPPER($E1849)="L",SUMPRODUCT(N1849:Y1849,$N$3:$Y$3,$N$2:$Y$2),SUMPRODUCT(N1849:Y1849,$N$4:$Y$4,$N$2:$Y$2))/(Z1849/($K1849*$L1849*$M1849)),"")</f>
        <v/>
      </c>
      <c r="AC1849" s="18" t="n"/>
    </row>
    <row r="1850">
      <c r="A1850" s="9" t="n">
        <v>800354</v>
      </c>
      <c r="B1850" s="9" t="inlineStr">
        <is>
          <t>Esteban Mejia</t>
        </is>
      </c>
      <c r="C1850" s="9" t="inlineStr">
        <is>
          <t>TEX</t>
        </is>
      </c>
      <c r="D1850" s="9" t="n">
        <v>25</v>
      </c>
      <c r="E1850" s="16" t="inlineStr">
        <is>
          <t>R</t>
        </is>
      </c>
      <c r="F1850" s="16" t="n"/>
      <c r="G1850" s="9" t="n">
        <v>31.17948717948718</v>
      </c>
      <c r="H1850" s="9" t="n">
        <v>31.17948717948718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1" t="n">
        <v>1</v>
      </c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/>
      <c r="Y1850" s="17" t="n">
        <v>1</v>
      </c>
      <c r="Z1850" s="13">
        <f>SUMPRODUCT(N1850:Y1850,$N$2:$Y$2)*$K1850*$L1850*$M1850</f>
        <v/>
      </c>
      <c r="AA1850" s="14">
        <f>SUM(N1850:Y1850)</f>
        <v/>
      </c>
      <c r="AB1850" s="14">
        <f>IFERROR(IF(UPPER($E1850)="L",SUMPRODUCT(N1850:Y1850,$N$3:$Y$3,$N$2:$Y$2),SUMPRODUCT(N1850:Y1850,$N$4:$Y$4,$N$2:$Y$2))/(Z1850/($K1850*$L1850*$M1850)),"")</f>
        <v/>
      </c>
      <c r="AC1850" s="18" t="n"/>
    </row>
    <row r="1851">
      <c r="A1851" s="9" t="n">
        <v>699321</v>
      </c>
      <c r="B1851" s="9" t="inlineStr">
        <is>
          <t>Diego Guzman</t>
        </is>
      </c>
      <c r="C1851" s="9" t="inlineStr">
        <is>
          <t>KC</t>
        </is>
      </c>
      <c r="D1851" s="9" t="n">
        <v>25</v>
      </c>
      <c r="E1851" s="16" t="inlineStr">
        <is>
          <t>R</t>
        </is>
      </c>
      <c r="F1851" s="16" t="n"/>
      <c r="G1851" s="9" t="n">
        <v>20.92307692307692</v>
      </c>
      <c r="H1851" s="9" t="n">
        <v>20.92307692307692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1" t="n">
        <v>1</v>
      </c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/>
      <c r="Y1851" s="17" t="n">
        <v>1</v>
      </c>
      <c r="Z1851" s="13">
        <f>SUMPRODUCT(N1851:Y1851,$N$2:$Y$2)*$K1851*$L1851*$M1851</f>
        <v/>
      </c>
      <c r="AA1851" s="14">
        <f>SUM(N1851:Y1851)</f>
        <v/>
      </c>
      <c r="AB1851" s="14">
        <f>IFERROR(IF(UPPER($E1851)="L",SUMPRODUCT(N1851:Y1851,$N$3:$Y$3,$N$2:$Y$2),SUMPRODUCT(N1851:Y1851,$N$4:$Y$4,$N$2:$Y$2))/(Z1851/($K1851*$L1851*$M1851)),"")</f>
        <v/>
      </c>
      <c r="AC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1" t="n">
        <v>1</v>
      </c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/>
      <c r="Y1852" s="17" t="n">
        <v>1</v>
      </c>
      <c r="Z1852" s="13">
        <f>SUMPRODUCT(N1852:Y1852,$N$2:$Y$2)*$K1852*$L1852*$M1852</f>
        <v/>
      </c>
      <c r="AA1852" s="14">
        <f>SUM(N1852:Y1852)</f>
        <v/>
      </c>
      <c r="AB1852" s="14">
        <f>IFERROR(IF(UPPER($E1852)="L",SUMPRODUCT(N1852:Y1852,$N$3:$Y$3,$N$2:$Y$2),SUMPRODUCT(N1852:Y1852,$N$4:$Y$4,$N$2:$Y$2))/(Z1852/($K1852*$L1852*$M1852)),"")</f>
        <v/>
      </c>
      <c r="AC1852" s="18" t="n"/>
    </row>
    <row r="1853">
      <c r="A1853" s="9" t="n">
        <v>801507</v>
      </c>
      <c r="B1853" s="9" t="inlineStr">
        <is>
          <t>Jake Cunningham</t>
        </is>
      </c>
      <c r="C1853" s="9" t="inlineStr">
        <is>
          <t>SD</t>
        </is>
      </c>
      <c r="D1853" s="9" t="n">
        <v>25</v>
      </c>
      <c r="E1853" s="16" t="inlineStr">
        <is>
          <t>R</t>
        </is>
      </c>
      <c r="F1853" s="16" t="n"/>
      <c r="G1853" s="9" t="n">
        <v>57.7948717948718</v>
      </c>
      <c r="H1853" s="9" t="n">
        <v>57.7948717948718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1" t="n">
        <v>1</v>
      </c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/>
      <c r="Y1853" s="17" t="n">
        <v>1</v>
      </c>
      <c r="Z1853" s="13">
        <f>SUMPRODUCT(N1853:Y1853,$N$2:$Y$2)*$K1853*$L1853*$M1853</f>
        <v/>
      </c>
      <c r="AA1853" s="14">
        <f>SUM(N1853:Y1853)</f>
        <v/>
      </c>
      <c r="AB1853" s="14">
        <f>IFERROR(IF(UPPER($E1853)="L",SUMPRODUCT(N1853:Y1853,$N$3:$Y$3,$N$2:$Y$2),SUMPRODUCT(N1853:Y1853,$N$4:$Y$4,$N$2:$Y$2))/(Z1853/($K1853*$L1853*$M1853)),"")</f>
        <v/>
      </c>
      <c r="AC1853" s="18" t="n"/>
    </row>
    <row r="1854">
      <c r="A1854" s="9" t="n">
        <v>800246</v>
      </c>
      <c r="B1854" s="9" t="inlineStr">
        <is>
          <t>Engelth Urena</t>
        </is>
      </c>
      <c r="C1854" s="9" t="inlineStr">
        <is>
          <t>NYY</t>
        </is>
      </c>
      <c r="D1854" s="9" t="n">
        <v>25</v>
      </c>
      <c r="E1854" s="16" t="inlineStr">
        <is>
          <t>R</t>
        </is>
      </c>
      <c r="F1854" s="16" t="n"/>
      <c r="G1854" s="9" t="n">
        <v>37.66153846153846</v>
      </c>
      <c r="H1854" s="9" t="n">
        <v>37.66153846153846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1" t="n">
        <v>1</v>
      </c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/>
      <c r="Y1854" s="17" t="n">
        <v>1</v>
      </c>
      <c r="Z1854" s="13">
        <f>SUMPRODUCT(N1854:Y1854,$N$2:$Y$2)*$K1854*$L1854*$M1854</f>
        <v/>
      </c>
      <c r="AA1854" s="14">
        <f>SUM(N1854:Y1854)</f>
        <v/>
      </c>
      <c r="AB1854" s="14">
        <f>IFERROR(IF(UPPER($E1854)="L",SUMPRODUCT(N1854:Y1854,$N$3:$Y$3,$N$2:$Y$2),SUMPRODUCT(N1854:Y1854,$N$4:$Y$4,$N$2:$Y$2))/(Z1854/($K1854*$L1854*$M1854)),"")</f>
        <v/>
      </c>
      <c r="AC1854" s="18" t="n"/>
    </row>
    <row r="1855">
      <c r="A1855" s="9" t="n">
        <v>691006</v>
      </c>
      <c r="B1855" s="9" t="inlineStr">
        <is>
          <t>Kevin Parada</t>
        </is>
      </c>
      <c r="C1855" s="9" t="inlineStr">
        <is>
          <t>NYM</t>
        </is>
      </c>
      <c r="D1855" s="9" t="n">
        <v>25</v>
      </c>
      <c r="E1855" s="16" t="inlineStr">
        <is>
          <t>R</t>
        </is>
      </c>
      <c r="F1855" s="16" t="n"/>
      <c r="G1855" s="9" t="n">
        <v>55.28205128205128</v>
      </c>
      <c r="H1855" s="9" t="n">
        <v>55.28205128205128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1" t="n">
        <v>1</v>
      </c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/>
      <c r="Y1855" s="17" t="n">
        <v>1</v>
      </c>
      <c r="Z1855" s="13">
        <f>SUMPRODUCT(N1855:Y1855,$N$2:$Y$2)*$K1855*$L1855*$M1855</f>
        <v/>
      </c>
      <c r="AA1855" s="14">
        <f>SUM(N1855:Y1855)</f>
        <v/>
      </c>
      <c r="AB1855" s="14">
        <f>IFERROR(IF(UPPER($E1855)="L",SUMPRODUCT(N1855:Y1855,$N$3:$Y$3,$N$2:$Y$2),SUMPRODUCT(N1855:Y1855,$N$4:$Y$4,$N$2:$Y$2))/(Z1855/($K1855*$L1855*$M1855)),"")</f>
        <v/>
      </c>
      <c r="AC1855" s="18" t="n"/>
    </row>
    <row r="1856">
      <c r="A1856" s="9" t="n">
        <v>808119</v>
      </c>
      <c r="B1856" s="9" t="inlineStr">
        <is>
          <t>Yaikel Mijares</t>
        </is>
      </c>
      <c r="C1856" s="9" t="inlineStr">
        <is>
          <t>CLE</t>
        </is>
      </c>
      <c r="D1856" s="9" t="n">
        <v>25</v>
      </c>
      <c r="E1856" s="16" t="inlineStr">
        <is>
          <t>R</t>
        </is>
      </c>
      <c r="F1856" s="16" t="n"/>
      <c r="G1856" s="9" t="n">
        <v>23.26153846153846</v>
      </c>
      <c r="H1856" s="9" t="n">
        <v>23.26153846153846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1" t="n">
        <v>1</v>
      </c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/>
      <c r="Y1856" s="17" t="n">
        <v>1</v>
      </c>
      <c r="Z1856" s="13">
        <f>SUMPRODUCT(N1856:Y1856,$N$2:$Y$2)*$K1856*$L1856*$M1856</f>
        <v/>
      </c>
      <c r="AA1856" s="14">
        <f>SUM(N1856:Y1856)</f>
        <v/>
      </c>
      <c r="AB1856" s="14">
        <f>IFERROR(IF(UPPER($E1856)="L",SUMPRODUCT(N1856:Y1856,$N$3:$Y$3,$N$2:$Y$2),SUMPRODUCT(N1856:Y1856,$N$4:$Y$4,$N$2:$Y$2))/(Z1856/($K1856*$L1856*$M1856)),"")</f>
        <v/>
      </c>
      <c r="AC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1" t="n">
        <v>1</v>
      </c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/>
      <c r="Y1857" s="17" t="n">
        <v>1</v>
      </c>
      <c r="Z1857" s="13">
        <f>SUMPRODUCT(N1857:Y1857,$N$2:$Y$2)*$K1857*$L1857*$M1857</f>
        <v/>
      </c>
      <c r="AA1857" s="14">
        <f>SUM(N1857:Y1857)</f>
        <v/>
      </c>
      <c r="AB1857" s="14">
        <f>IFERROR(IF(UPPER($E1857)="L",SUMPRODUCT(N1857:Y1857,$N$3:$Y$3,$N$2:$Y$2),SUMPRODUCT(N1857:Y1857,$N$4:$Y$4,$N$2:$Y$2))/(Z1857/($K1857*$L1857*$M1857)),"")</f>
        <v/>
      </c>
      <c r="AC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1" t="n">
        <v>1</v>
      </c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/>
      <c r="Y1858" s="17" t="n">
        <v>1</v>
      </c>
      <c r="Z1858" s="13">
        <f>SUMPRODUCT(N1858:Y1858,$N$2:$Y$2)*$K1858*$L1858*$M1858</f>
        <v/>
      </c>
      <c r="AA1858" s="14">
        <f>SUM(N1858:Y1858)</f>
        <v/>
      </c>
      <c r="AB1858" s="14">
        <f>IFERROR(IF(UPPER($E1858)="L",SUMPRODUCT(N1858:Y1858,$N$3:$Y$3,$N$2:$Y$2),SUMPRODUCT(N1858:Y1858,$N$4:$Y$4,$N$2:$Y$2))/(Z1858/($K1858*$L1858*$M1858)),"")</f>
        <v/>
      </c>
      <c r="AC1858" s="18" t="n"/>
    </row>
    <row r="1859">
      <c r="A1859" s="9" t="n">
        <v>806534</v>
      </c>
      <c r="B1859" s="9" t="inlineStr">
        <is>
          <t>Ben Gobbel</t>
        </is>
      </c>
      <c r="C1859" s="9" t="inlineStr">
        <is>
          <t>LAA</t>
        </is>
      </c>
      <c r="D1859" s="9" t="n">
        <v>25</v>
      </c>
      <c r="E1859" s="16" t="inlineStr">
        <is>
          <t>R</t>
        </is>
      </c>
      <c r="F1859" s="16" t="n"/>
      <c r="G1859" s="9" t="n">
        <v>154.5641025641026</v>
      </c>
      <c r="H1859" s="9" t="n">
        <v>154.5641025641026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1" t="n">
        <v>1</v>
      </c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/>
      <c r="Y1859" s="17" t="n">
        <v>1</v>
      </c>
      <c r="Z1859" s="13">
        <f>SUMPRODUCT(N1859:Y1859,$N$2:$Y$2)*$K1859*$L1859*$M1859</f>
        <v/>
      </c>
      <c r="AA1859" s="14">
        <f>SUM(N1859:Y1859)</f>
        <v/>
      </c>
      <c r="AB1859" s="14">
        <f>IFERROR(IF(UPPER($E1859)="L",SUMPRODUCT(N1859:Y1859,$N$3:$Y$3,$N$2:$Y$2),SUMPRODUCT(N1859:Y1859,$N$4:$Y$4,$N$2:$Y$2))/(Z1859/($K1859*$L1859*$M1859)),"")</f>
        <v/>
      </c>
      <c r="AC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1" t="n">
        <v>1</v>
      </c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/>
      <c r="Y1860" s="17" t="n">
        <v>1</v>
      </c>
      <c r="Z1860" s="13">
        <f>SUMPRODUCT(N1860:Y1860,$N$2:$Y$2)*$K1860*$L1860*$M1860</f>
        <v/>
      </c>
      <c r="AA1860" s="14">
        <f>SUM(N1860:Y1860)</f>
        <v/>
      </c>
      <c r="AB1860" s="14">
        <f>IFERROR(IF(UPPER($E1860)="L",SUMPRODUCT(N1860:Y1860,$N$3:$Y$3,$N$2:$Y$2),SUMPRODUCT(N1860:Y1860,$N$4:$Y$4,$N$2:$Y$2))/(Z1860/($K1860*$L1860*$M1860)),"")</f>
        <v/>
      </c>
      <c r="AC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1" t="n">
        <v>1</v>
      </c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/>
      <c r="Y1861" s="17" t="n">
        <v>1</v>
      </c>
      <c r="Z1861" s="13">
        <f>SUMPRODUCT(N1861:Y1861,$N$2:$Y$2)*$K1861*$L1861*$M1861</f>
        <v/>
      </c>
      <c r="AA1861" s="14">
        <f>SUM(N1861:Y1861)</f>
        <v/>
      </c>
      <c r="AB1861" s="14">
        <f>IFERROR(IF(UPPER($E1861)="L",SUMPRODUCT(N1861:Y1861,$N$3:$Y$3,$N$2:$Y$2),SUMPRODUCT(N1861:Y1861,$N$4:$Y$4,$N$2:$Y$2))/(Z1861/($K1861*$L1861*$M1861)),"")</f>
        <v/>
      </c>
      <c r="AC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1" t="n">
        <v>1</v>
      </c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/>
      <c r="Y1862" s="17" t="n">
        <v>1</v>
      </c>
      <c r="Z1862" s="13">
        <f>SUMPRODUCT(N1862:Y1862,$N$2:$Y$2)*$K1862*$L1862*$M1862</f>
        <v/>
      </c>
      <c r="AA1862" s="14">
        <f>SUM(N1862:Y1862)</f>
        <v/>
      </c>
      <c r="AB1862" s="14">
        <f>IFERROR(IF(UPPER($E1862)="L",SUMPRODUCT(N1862:Y1862,$N$3:$Y$3,$N$2:$Y$2),SUMPRODUCT(N1862:Y1862,$N$4:$Y$4,$N$2:$Y$2))/(Z1862/($K1862*$L1862*$M1862)),"")</f>
        <v/>
      </c>
      <c r="AC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1" t="n">
        <v>1</v>
      </c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/>
      <c r="Y1863" s="17" t="n">
        <v>1</v>
      </c>
      <c r="Z1863" s="13">
        <f>SUMPRODUCT(N1863:Y1863,$N$2:$Y$2)*$K1863*$L1863*$M1863</f>
        <v/>
      </c>
      <c r="AA1863" s="14">
        <f>SUM(N1863:Y1863)</f>
        <v/>
      </c>
      <c r="AB1863" s="14">
        <f>IFERROR(IF(UPPER($E1863)="L",SUMPRODUCT(N1863:Y1863,$N$3:$Y$3,$N$2:$Y$2),SUMPRODUCT(N1863:Y1863,$N$4:$Y$4,$N$2:$Y$2))/(Z1863/($K1863*$L1863*$M1863)),"")</f>
        <v/>
      </c>
      <c r="AC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1" t="n">
        <v>1</v>
      </c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/>
      <c r="Y1864" s="17" t="n">
        <v>1</v>
      </c>
      <c r="Z1864" s="13">
        <f>SUMPRODUCT(N1864:Y1864,$N$2:$Y$2)*$K1864*$L1864*$M1864</f>
        <v/>
      </c>
      <c r="AA1864" s="14">
        <f>SUM(N1864:Y1864)</f>
        <v/>
      </c>
      <c r="AB1864" s="14">
        <f>IFERROR(IF(UPPER($E1864)="L",SUMPRODUCT(N1864:Y1864,$N$3:$Y$3,$N$2:$Y$2),SUMPRODUCT(N1864:Y1864,$N$4:$Y$4,$N$2:$Y$2))/(Z1864/($K1864*$L1864*$M1864)),"")</f>
        <v/>
      </c>
      <c r="AC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1" t="n">
        <v>1</v>
      </c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/>
      <c r="Y1865" s="17" t="n">
        <v>1</v>
      </c>
      <c r="Z1865" s="13">
        <f>SUMPRODUCT(N1865:Y1865,$N$2:$Y$2)*$K1865*$L1865*$M1865</f>
        <v/>
      </c>
      <c r="AA1865" s="14">
        <f>SUM(N1865:Y1865)</f>
        <v/>
      </c>
      <c r="AB1865" s="14">
        <f>IFERROR(IF(UPPER($E1865)="L",SUMPRODUCT(N1865:Y1865,$N$3:$Y$3,$N$2:$Y$2),SUMPRODUCT(N1865:Y1865,$N$4:$Y$4,$N$2:$Y$2))/(Z1865/($K1865*$L1865*$M1865)),"")</f>
        <v/>
      </c>
      <c r="AC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inlineStr">
        <is>
          <t>LF</t>
        </is>
      </c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1" t="n">
        <v>1</v>
      </c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/>
      <c r="Y1866" s="17" t="n">
        <v>1</v>
      </c>
      <c r="Z1866" s="13">
        <f>SUMPRODUCT(N1866:Y1866,$N$2:$Y$2)*$K1866*$L1866*$M1866</f>
        <v/>
      </c>
      <c r="AA1866" s="14">
        <f>SUM(N1866:Y1866)</f>
        <v/>
      </c>
      <c r="AB1866" s="14">
        <f>IFERROR(IF(UPPER($E1866)="L",SUMPRODUCT(N1866:Y1866,$N$3:$Y$3,$N$2:$Y$2),SUMPRODUCT(N1866:Y1866,$N$4:$Y$4,$N$2:$Y$2))/(Z1866/($K1866*$L1866*$M1866)),"")</f>
        <v/>
      </c>
      <c r="AC1866" s="18" t="n"/>
    </row>
    <row r="1867">
      <c r="A1867" s="9" t="n">
        <v>806984</v>
      </c>
      <c r="B1867" s="9" t="inlineStr">
        <is>
          <t>Arnaldo Lantigua</t>
        </is>
      </c>
      <c r="C1867" s="9" t="inlineStr">
        <is>
          <t>CIN</t>
        </is>
      </c>
      <c r="D1867" s="9" t="n">
        <v>25</v>
      </c>
      <c r="E1867" s="16" t="inlineStr">
        <is>
          <t>R</t>
        </is>
      </c>
      <c r="F1867" s="16" t="n"/>
      <c r="G1867" s="9" t="n">
        <v>49.84615384615385</v>
      </c>
      <c r="H1867" s="9" t="n">
        <v>49.84615384615385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1" t="n">
        <v>1</v>
      </c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/>
      <c r="Y1867" s="17" t="n">
        <v>1</v>
      </c>
      <c r="Z1867" s="13">
        <f>SUMPRODUCT(N1867:Y1867,$N$2:$Y$2)*$K1867*$L1867*$M1867</f>
        <v/>
      </c>
      <c r="AA1867" s="14">
        <f>SUM(N1867:Y1867)</f>
        <v/>
      </c>
      <c r="AB1867" s="14">
        <f>IFERROR(IF(UPPER($E1867)="L",SUMPRODUCT(N1867:Y1867,$N$3:$Y$3,$N$2:$Y$2),SUMPRODUCT(N1867:Y1867,$N$4:$Y$4,$N$2:$Y$2))/(Z1867/($K1867*$L1867*$M1867)),"")</f>
        <v/>
      </c>
      <c r="AC1867" s="18" t="n"/>
    </row>
    <row r="1868">
      <c r="A1868" s="9" t="n">
        <v>813896</v>
      </c>
      <c r="B1868" s="9" t="inlineStr">
        <is>
          <t>Joseph Sullivan</t>
        </is>
      </c>
      <c r="C1868" s="9" t="inlineStr">
        <is>
          <t>HOU</t>
        </is>
      </c>
      <c r="D1868" s="9" t="n">
        <v>25</v>
      </c>
      <c r="E1868" s="16" t="inlineStr">
        <is>
          <t>L</t>
        </is>
      </c>
      <c r="F1868" s="16" t="n"/>
      <c r="G1868" s="9" t="n">
        <v>120.2564102564102</v>
      </c>
      <c r="H1868" s="9" t="n">
        <v>120.2564102564102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1" t="n">
        <v>1</v>
      </c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/>
      <c r="Y1868" s="17" t="n">
        <v>1</v>
      </c>
      <c r="Z1868" s="13">
        <f>SUMPRODUCT(N1868:Y1868,$N$2:$Y$2)*$K1868*$L1868*$M1868</f>
        <v/>
      </c>
      <c r="AA1868" s="14">
        <f>SUM(N1868:Y1868)</f>
        <v/>
      </c>
      <c r="AB1868" s="14">
        <f>IFERROR(IF(UPPER($E1868)="L",SUMPRODUCT(N1868:Y1868,$N$3:$Y$3,$N$2:$Y$2),SUMPRODUCT(N1868:Y1868,$N$4:$Y$4,$N$2:$Y$2))/(Z1868/($K1868*$L1868*$M1868)),"")</f>
        <v/>
      </c>
      <c r="AC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1" t="n">
        <v>1</v>
      </c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/>
      <c r="Y1869" s="17" t="n">
        <v>1</v>
      </c>
      <c r="Z1869" s="13">
        <f>SUMPRODUCT(N1869:Y1869,$N$2:$Y$2)*$K1869*$L1869*$M1869</f>
        <v/>
      </c>
      <c r="AA1869" s="14">
        <f>SUM(N1869:Y1869)</f>
        <v/>
      </c>
      <c r="AB1869" s="14">
        <f>IFERROR(IF(UPPER($E1869)="L",SUMPRODUCT(N1869:Y1869,$N$3:$Y$3,$N$2:$Y$2),SUMPRODUCT(N1869:Y1869,$N$4:$Y$4,$N$2:$Y$2))/(Z1869/($K1869*$L1869*$M1869)),"")</f>
        <v/>
      </c>
      <c r="AC1869" s="18" t="n"/>
    </row>
    <row r="1870">
      <c r="A1870" s="9" t="n">
        <v>692031</v>
      </c>
      <c r="B1870" s="9" t="inlineStr">
        <is>
          <t>George Feliz</t>
        </is>
      </c>
      <c r="C1870" s="9" t="inlineStr">
        <is>
          <t>SEA</t>
        </is>
      </c>
      <c r="D1870" s="9" t="n">
        <v>25</v>
      </c>
      <c r="E1870" s="16" t="inlineStr">
        <is>
          <t>R</t>
        </is>
      </c>
      <c r="F1870" s="16" t="n"/>
      <c r="G1870" s="9" t="n">
        <v>32.73846153846154</v>
      </c>
      <c r="H1870" s="9" t="n">
        <v>32.73846153846154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1" t="n">
        <v>1</v>
      </c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/>
      <c r="Y1870" s="17" t="n">
        <v>1</v>
      </c>
      <c r="Z1870" s="13">
        <f>SUMPRODUCT(N1870:Y1870,$N$2:$Y$2)*$K1870*$L1870*$M1870</f>
        <v/>
      </c>
      <c r="AA1870" s="14">
        <f>SUM(N1870:Y1870)</f>
        <v/>
      </c>
      <c r="AB1870" s="14">
        <f>IFERROR(IF(UPPER($E1870)="L",SUMPRODUCT(N1870:Y1870,$N$3:$Y$3,$N$2:$Y$2),SUMPRODUCT(N1870:Y1870,$N$4:$Y$4,$N$2:$Y$2))/(Z1870/($K1870*$L1870*$M1870)),"")</f>
        <v/>
      </c>
      <c r="AC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1" t="n">
        <v>1</v>
      </c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/>
      <c r="Y1871" s="17" t="n">
        <v>1</v>
      </c>
      <c r="Z1871" s="13">
        <f>SUMPRODUCT(N1871:Y1871,$N$2:$Y$2)*$K1871*$L1871*$M1871</f>
        <v/>
      </c>
      <c r="AA1871" s="14">
        <f>SUM(N1871:Y1871)</f>
        <v/>
      </c>
      <c r="AB1871" s="14">
        <f>IFERROR(IF(UPPER($E1871)="L",SUMPRODUCT(N1871:Y1871,$N$3:$Y$3,$N$2:$Y$2),SUMPRODUCT(N1871:Y1871,$N$4:$Y$4,$N$2:$Y$2))/(Z1871/($K1871*$L1871*$M1871)),"")</f>
        <v/>
      </c>
      <c r="AC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1" t="n">
        <v>1</v>
      </c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/>
      <c r="Y1872" s="17" t="n">
        <v>1</v>
      </c>
      <c r="Z1872" s="13">
        <f>SUMPRODUCT(N1872:Y1872,$N$2:$Y$2)*$K1872*$L1872*$M1872</f>
        <v/>
      </c>
      <c r="AA1872" s="14">
        <f>SUM(N1872:Y1872)</f>
        <v/>
      </c>
      <c r="AB1872" s="14">
        <f>IFERROR(IF(UPPER($E1872)="L",SUMPRODUCT(N1872:Y1872,$N$3:$Y$3,$N$2:$Y$2),SUMPRODUCT(N1872:Y1872,$N$4:$Y$4,$N$2:$Y$2))/(Z1872/($K1872*$L1872*$M1872)),"")</f>
        <v/>
      </c>
      <c r="AC1872" s="18" t="n"/>
    </row>
    <row r="1873">
      <c r="A1873" s="9" t="n">
        <v>666126</v>
      </c>
      <c r="B1873" s="9" t="inlineStr">
        <is>
          <t>Carlos Cortes</t>
        </is>
      </c>
      <c r="C1873" s="9" t="inlineStr">
        <is>
          <t>OAK</t>
        </is>
      </c>
      <c r="D1873" s="9" t="n">
        <v>30</v>
      </c>
      <c r="E1873" s="16" t="inlineStr">
        <is>
          <t>L</t>
        </is>
      </c>
      <c r="F1873" s="16" t="inlineStr">
        <is>
          <t>RF</t>
        </is>
      </c>
      <c r="G1873" s="9" t="n">
        <v>381</v>
      </c>
      <c r="H1873" s="9" t="n">
        <v>480</v>
      </c>
      <c r="I1873" s="9" t="inlineStr">
        <is>
          <t>Strong Side Platoon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1" t="n">
        <v>0.8711386631358964</v>
      </c>
      <c r="N1873" s="17" t="n">
        <v>0.4</v>
      </c>
      <c r="O1873" s="17" t="n"/>
      <c r="P1873" s="17" t="n">
        <v>0.6</v>
      </c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7" t="n"/>
      <c r="Z1873" s="13">
        <f>SUMPRODUCT(N1873:Y1873,$N$2:$Y$2)*$K1873*$L1873*$M1873</f>
        <v/>
      </c>
      <c r="AA1873" s="14">
        <f>SUM(N1873:Y1873)</f>
        <v/>
      </c>
      <c r="AB1873" s="14">
        <f>IFERROR(IF(UPPER($E1873)="L",SUMPRODUCT(N1873:Y1873,$N$3:$Y$3,$N$2:$Y$2),SUMPRODUCT(N1873:Y1873,$N$4:$Y$4,$N$2:$Y$2))/(Z1873/($K1873*$L1873*$M1873)),"")</f>
        <v/>
      </c>
      <c r="AC1873" s="18" t="n"/>
    </row>
    <row r="1874">
      <c r="A1874" s="9" t="n">
        <v>834681</v>
      </c>
      <c r="B1874" s="9" t="inlineStr">
        <is>
          <t>Matthew Miura</t>
        </is>
      </c>
      <c r="C1874" s="9" t="inlineStr">
        <is>
          <t>STL</t>
        </is>
      </c>
      <c r="D1874" s="9" t="n">
        <v>25</v>
      </c>
      <c r="E1874" s="16" t="inlineStr">
        <is>
          <t>R</t>
        </is>
      </c>
      <c r="F1874" s="16" t="n"/>
      <c r="G1874" s="9" t="n">
        <v>30.64615384615384</v>
      </c>
      <c r="H1874" s="9" t="n">
        <v>30.64615384615384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1" t="n">
        <v>1</v>
      </c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/>
      <c r="Y1874" s="17" t="n">
        <v>1</v>
      </c>
      <c r="Z1874" s="13">
        <f>SUMPRODUCT(N1874:Y1874,$N$2:$Y$2)*$K1874*$L1874*$M1874</f>
        <v/>
      </c>
      <c r="AA1874" s="14">
        <f>SUM(N1874:Y1874)</f>
        <v/>
      </c>
      <c r="AB1874" s="14">
        <f>IFERROR(IF(UPPER($E1874)="L",SUMPRODUCT(N1874:Y1874,$N$3:$Y$3,$N$2:$Y$2),SUMPRODUCT(N1874:Y1874,$N$4:$Y$4,$N$2:$Y$2))/(Z1874/($K1874*$L1874*$M1874)),"")</f>
        <v/>
      </c>
      <c r="AC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1" t="n">
        <v>1</v>
      </c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/>
      <c r="Y1875" s="17" t="n">
        <v>1</v>
      </c>
      <c r="Z1875" s="13">
        <f>SUMPRODUCT(N1875:Y1875,$N$2:$Y$2)*$K1875*$L1875*$M1875</f>
        <v/>
      </c>
      <c r="AA1875" s="14">
        <f>SUM(N1875:Y1875)</f>
        <v/>
      </c>
      <c r="AB1875" s="14">
        <f>IFERROR(IF(UPPER($E1875)="L",SUMPRODUCT(N1875:Y1875,$N$3:$Y$3,$N$2:$Y$2),SUMPRODUCT(N1875:Y1875,$N$4:$Y$4,$N$2:$Y$2))/(Z1875/($K1875*$L1875*$M1875)),"")</f>
        <v/>
      </c>
      <c r="AC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1" t="n">
        <v>1</v>
      </c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/>
      <c r="Y1876" s="17" t="n">
        <v>1</v>
      </c>
      <c r="Z1876" s="13">
        <f>SUMPRODUCT(N1876:Y1876,$N$2:$Y$2)*$K1876*$L1876*$M1876</f>
        <v/>
      </c>
      <c r="AA1876" s="14">
        <f>SUM(N1876:Y1876)</f>
        <v/>
      </c>
      <c r="AB1876" s="14">
        <f>IFERROR(IF(UPPER($E1876)="L",SUMPRODUCT(N1876:Y1876,$N$3:$Y$3,$N$2:$Y$2),SUMPRODUCT(N1876:Y1876,$N$4:$Y$4,$N$2:$Y$2))/(Z1876/($K1876*$L1876*$M1876)),"")</f>
        <v/>
      </c>
      <c r="AC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1" t="n">
        <v>1</v>
      </c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/>
      <c r="Y1877" s="17" t="n">
        <v>1</v>
      </c>
      <c r="Z1877" s="13">
        <f>SUMPRODUCT(N1877:Y1877,$N$2:$Y$2)*$K1877*$L1877*$M1877</f>
        <v/>
      </c>
      <c r="AA1877" s="14">
        <f>SUM(N1877:Y1877)</f>
        <v/>
      </c>
      <c r="AB1877" s="14">
        <f>IFERROR(IF(UPPER($E1877)="L",SUMPRODUCT(N1877:Y1877,$N$3:$Y$3,$N$2:$Y$2),SUMPRODUCT(N1877:Y1877,$N$4:$Y$4,$N$2:$Y$2))/(Z1877/($K1877*$L1877*$M1877)),"")</f>
        <v/>
      </c>
      <c r="AC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1" t="n">
        <v>1</v>
      </c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/>
      <c r="Y1878" s="17" t="n">
        <v>1</v>
      </c>
      <c r="Z1878" s="13">
        <f>SUMPRODUCT(N1878:Y1878,$N$2:$Y$2)*$K1878*$L1878*$M1878</f>
        <v/>
      </c>
      <c r="AA1878" s="14">
        <f>SUM(N1878:Y1878)</f>
        <v/>
      </c>
      <c r="AB1878" s="14">
        <f>IFERROR(IF(UPPER($E1878)="L",SUMPRODUCT(N1878:Y1878,$N$3:$Y$3,$N$2:$Y$2),SUMPRODUCT(N1878:Y1878,$N$4:$Y$4,$N$2:$Y$2))/(Z1878/($K1878*$L1878*$M1878)),"")</f>
        <v/>
      </c>
      <c r="AC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1" t="n">
        <v>1</v>
      </c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/>
      <c r="Y1879" s="17" t="n">
        <v>1</v>
      </c>
      <c r="Z1879" s="13">
        <f>SUMPRODUCT(N1879:Y1879,$N$2:$Y$2)*$K1879*$L1879*$M1879</f>
        <v/>
      </c>
      <c r="AA1879" s="14">
        <f>SUM(N1879:Y1879)</f>
        <v/>
      </c>
      <c r="AB1879" s="14">
        <f>IFERROR(IF(UPPER($E1879)="L",SUMPRODUCT(N1879:Y1879,$N$3:$Y$3,$N$2:$Y$2),SUMPRODUCT(N1879:Y1879,$N$4:$Y$4,$N$2:$Y$2))/(Z1879/($K1879*$L1879*$M1879)),"")</f>
        <v/>
      </c>
      <c r="AC1879" s="18" t="n"/>
    </row>
    <row r="1880">
      <c r="A1880" s="9" t="n">
        <v>666464</v>
      </c>
      <c r="B1880" s="9" t="inlineStr">
        <is>
          <t>Jerar Encarnacion</t>
        </is>
      </c>
      <c r="C1880" s="9" t="inlineStr">
        <is>
          <t>SF</t>
        </is>
      </c>
      <c r="D1880" s="9" t="n">
        <v>29</v>
      </c>
      <c r="E1880" s="16" t="inlineStr">
        <is>
          <t>R</t>
        </is>
      </c>
      <c r="F1880" s="16" t="inlineStr">
        <is>
          <t>RF</t>
        </is>
      </c>
      <c r="G1880" s="9" t="n">
        <v>35</v>
      </c>
      <c r="H1880" s="9" t="n">
        <v>291</v>
      </c>
      <c r="I1880" s="9" t="inlineStr">
        <is>
          <t>Bench Bat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1" t="n">
        <v>1</v>
      </c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/>
      <c r="W1880" s="17" t="n">
        <v>1</v>
      </c>
      <c r="X1880" s="17" t="n"/>
      <c r="Y1880" s="17" t="n"/>
      <c r="Z1880" s="13">
        <f>SUMPRODUCT(N1880:Y1880,$N$2:$Y$2)*$K1880*$L1880*$M1880</f>
        <v/>
      </c>
      <c r="AA1880" s="14">
        <f>SUM(N1880:Y1880)</f>
        <v/>
      </c>
      <c r="AB1880" s="14">
        <f>IFERROR(IF(UPPER($E1880)="L",SUMPRODUCT(N1880:Y1880,$N$3:$Y$3,$N$2:$Y$2),SUMPRODUCT(N1880:Y1880,$N$4:$Y$4,$N$2:$Y$2))/(Z1880/($K1880*$L1880*$M1880)),"")</f>
        <v/>
      </c>
      <c r="AC1880" s="18" t="n"/>
    </row>
    <row r="1881">
      <c r="A1881" s="9" t="n">
        <v>689070</v>
      </c>
      <c r="B1881" s="9" t="inlineStr">
        <is>
          <t>Spencer Packard</t>
        </is>
      </c>
      <c r="C1881" s="9" t="inlineStr">
        <is>
          <t>SEA</t>
        </is>
      </c>
      <c r="D1881" s="9" t="n">
        <v>25</v>
      </c>
      <c r="E1881" s="16" t="inlineStr">
        <is>
          <t>L</t>
        </is>
      </c>
      <c r="F1881" s="16" t="n"/>
      <c r="G1881" s="9" t="n">
        <v>108.3076923076923</v>
      </c>
      <c r="H1881" s="9" t="n">
        <v>108.3076923076923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1" t="n">
        <v>1</v>
      </c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/>
      <c r="Y1881" s="17" t="n">
        <v>1</v>
      </c>
      <c r="Z1881" s="13">
        <f>SUMPRODUCT(N1881:Y1881,$N$2:$Y$2)*$K1881*$L1881*$M1881</f>
        <v/>
      </c>
      <c r="AA1881" s="14">
        <f>SUM(N1881:Y1881)</f>
        <v/>
      </c>
      <c r="AB1881" s="14">
        <f>IFERROR(IF(UPPER($E1881)="L",SUMPRODUCT(N1881:Y1881,$N$3:$Y$3,$N$2:$Y$2),SUMPRODUCT(N1881:Y1881,$N$4:$Y$4,$N$2:$Y$2))/(Z1881/($K1881*$L1881*$M1881)),"")</f>
        <v/>
      </c>
      <c r="AC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inlineStr">
        <is>
          <t>SS</t>
        </is>
      </c>
      <c r="G1882" s="9" t="n">
        <v>141</v>
      </c>
      <c r="H1882" s="9" t="n">
        <v>2262</v>
      </c>
      <c r="I1882" s="9" t="inlineStr">
        <is>
          <t>Full Time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1" t="n">
        <v>0.7885105104026737</v>
      </c>
      <c r="N1882" s="17" t="n">
        <v>1</v>
      </c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7" t="n"/>
      <c r="Z1882" s="13">
        <f>SUMPRODUCT(N1882:Y1882,$N$2:$Y$2)*$K1882*$L1882*$M1882</f>
        <v/>
      </c>
      <c r="AA1882" s="14">
        <f>SUM(N1882:Y1882)</f>
        <v/>
      </c>
      <c r="AB1882" s="14">
        <f>IFERROR(IF(UPPER($E1882)="L",SUMPRODUCT(N1882:Y1882,$N$3:$Y$3,$N$2:$Y$2),SUMPRODUCT(N1882:Y1882,$N$4:$Y$4,$N$2:$Y$2))/(Z1882/($K1882*$L1882*$M1882)),"")</f>
        <v/>
      </c>
      <c r="AC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1" t="n">
        <v>1</v>
      </c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/>
      <c r="Y1883" s="17" t="n">
        <v>1</v>
      </c>
      <c r="Z1883" s="13">
        <f>SUMPRODUCT(N1883:Y1883,$N$2:$Y$2)*$K1883*$L1883*$M1883</f>
        <v/>
      </c>
      <c r="AA1883" s="14">
        <f>SUM(N1883:Y1883)</f>
        <v/>
      </c>
      <c r="AB1883" s="14">
        <f>IFERROR(IF(UPPER($E1883)="L",SUMPRODUCT(N1883:Y1883,$N$3:$Y$3,$N$2:$Y$2),SUMPRODUCT(N1883:Y1883,$N$4:$Y$4,$N$2:$Y$2))/(Z1883/($K1883*$L1883*$M1883)),"")</f>
        <v/>
      </c>
      <c r="AC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25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Mid Season (~July)</t>
        </is>
      </c>
      <c r="K1884" s="11">
        <f>IFERROR(INDEX(Roles!$B$17:$B$20,MATCH(J1884,Roles!$A$17:$A$20,0)),1)</f>
        <v/>
      </c>
      <c r="L1884" s="17" t="n">
        <v>1</v>
      </c>
      <c r="M1884" s="11" t="n">
        <v>1</v>
      </c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/>
      <c r="Y1884" s="17" t="n">
        <v>1</v>
      </c>
      <c r="Z1884" s="13">
        <f>SUMPRODUCT(N1884:Y1884,$N$2:$Y$2)*$K1884*$L1884*$M1884</f>
        <v/>
      </c>
      <c r="AA1884" s="14">
        <f>SUM(N1884:Y1884)</f>
        <v/>
      </c>
      <c r="AB1884" s="14">
        <f>IFERROR(IF(UPPER($E1884)="L",SUMPRODUCT(N1884:Y1884,$N$3:$Y$3,$N$2:$Y$2),SUMPRODUCT(N1884:Y1884,$N$4:$Y$4,$N$2:$Y$2))/(Z1884/($K1884*$L1884*$M1884)),"")</f>
        <v/>
      </c>
      <c r="AC1884" s="18" t="n"/>
    </row>
    <row r="1885">
      <c r="A1885" s="9" t="n">
        <v>808277</v>
      </c>
      <c r="B1885" s="9" t="inlineStr">
        <is>
          <t>Miguel Rodríguez</t>
        </is>
      </c>
      <c r="C1885" s="9" t="inlineStr">
        <is>
          <t>BAL</t>
        </is>
      </c>
      <c r="D1885" s="9" t="n">
        <v>25</v>
      </c>
      <c r="E1885" s="16" t="inlineStr">
        <is>
          <t>R</t>
        </is>
      </c>
      <c r="F1885" s="16" t="n"/>
      <c r="G1885" s="9" t="n">
        <v>28.8</v>
      </c>
      <c r="H1885" s="9" t="n">
        <v>28.8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1" t="n">
        <v>1</v>
      </c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/>
      <c r="Y1885" s="17" t="n">
        <v>1</v>
      </c>
      <c r="Z1885" s="13">
        <f>SUMPRODUCT(N1885:Y1885,$N$2:$Y$2)*$K1885*$L1885*$M1885</f>
        <v/>
      </c>
      <c r="AA1885" s="14">
        <f>SUM(N1885:Y1885)</f>
        <v/>
      </c>
      <c r="AB1885" s="14">
        <f>IFERROR(IF(UPPER($E1885)="L",SUMPRODUCT(N1885:Y1885,$N$3:$Y$3,$N$2:$Y$2),SUMPRODUCT(N1885:Y1885,$N$4:$Y$4,$N$2:$Y$2))/(Z1885/($K1885*$L1885*$M1885)),"")</f>
        <v/>
      </c>
      <c r="AC1885" s="18" t="n"/>
    </row>
    <row r="1886">
      <c r="A1886" s="9" t="n">
        <v>678854</v>
      </c>
      <c r="B1886" s="9" t="inlineStr">
        <is>
          <t>Viandel Pena</t>
        </is>
      </c>
      <c r="C1886" s="9" t="inlineStr">
        <is>
          <t>DET</t>
        </is>
      </c>
      <c r="D1886" s="9" t="n">
        <v>25</v>
      </c>
      <c r="E1886" s="16" t="inlineStr">
        <is>
          <t>S</t>
        </is>
      </c>
      <c r="F1886" s="16" t="n"/>
      <c r="G1886" s="9" t="n">
        <v>41.28205128205128</v>
      </c>
      <c r="H1886" s="9" t="n">
        <v>41.28205128205128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1" t="n">
        <v>1</v>
      </c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/>
      <c r="Y1886" s="17" t="n">
        <v>1</v>
      </c>
      <c r="Z1886" s="13">
        <f>SUMPRODUCT(N1886:Y1886,$N$2:$Y$2)*$K1886*$L1886*$M1886</f>
        <v/>
      </c>
      <c r="AA1886" s="14">
        <f>SUM(N1886:Y1886)</f>
        <v/>
      </c>
      <c r="AB1886" s="14">
        <f>IFERROR(IF(UPPER($E1886)="L",SUMPRODUCT(N1886:Y1886,$N$3:$Y$3,$N$2:$Y$2),SUMPRODUCT(N1886:Y1886,$N$4:$Y$4,$N$2:$Y$2))/(Z1886/($K1886*$L1886*$M1886)),"")</f>
        <v/>
      </c>
      <c r="AC1886" s="18" t="n"/>
    </row>
    <row r="1887">
      <c r="A1887" s="9" t="n">
        <v>650619</v>
      </c>
      <c r="B1887" s="9" t="inlineStr">
        <is>
          <t>Meibrys Viloria</t>
        </is>
      </c>
      <c r="C1887" s="9" t="inlineStr">
        <is>
          <t>TEX</t>
        </is>
      </c>
      <c r="D1887" s="9" t="n">
        <v>30</v>
      </c>
      <c r="E1887" s="16" t="inlineStr">
        <is>
          <t>L</t>
        </is>
      </c>
      <c r="F1887" s="16" t="inlineStr">
        <is>
          <t>C</t>
        </is>
      </c>
      <c r="G1887" s="9" t="n">
        <v>4</v>
      </c>
      <c r="H1887" s="9" t="n">
        <v>79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1" t="n">
        <v>1</v>
      </c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/>
      <c r="Y1887" s="17" t="n">
        <v>1</v>
      </c>
      <c r="Z1887" s="13">
        <f>SUMPRODUCT(N1887:Y1887,$N$2:$Y$2)*$K1887*$L1887*$M1887</f>
        <v/>
      </c>
      <c r="AA1887" s="14">
        <f>SUM(N1887:Y1887)</f>
        <v/>
      </c>
      <c r="AB1887" s="14">
        <f>IFERROR(IF(UPPER($E1887)="L",SUMPRODUCT(N1887:Y1887,$N$3:$Y$3,$N$2:$Y$2),SUMPRODUCT(N1887:Y1887,$N$4:$Y$4,$N$2:$Y$2))/(Z1887/($K1887*$L1887*$M1887)),"")</f>
        <v/>
      </c>
      <c r="AC1887" s="18" t="n"/>
    </row>
    <row r="1888">
      <c r="A1888" s="9" t="n">
        <v>804710</v>
      </c>
      <c r="B1888" s="9" t="inlineStr">
        <is>
          <t>Brennan Orf</t>
        </is>
      </c>
      <c r="C1888" s="9" t="inlineStr">
        <is>
          <t>TOR</t>
        </is>
      </c>
      <c r="D1888" s="9" t="n">
        <v>25</v>
      </c>
      <c r="E1888" s="16" t="inlineStr">
        <is>
          <t>L</t>
        </is>
      </c>
      <c r="F1888" s="16" t="n"/>
      <c r="G1888" s="9" t="n">
        <v>26.66666666666667</v>
      </c>
      <c r="H1888" s="9" t="n">
        <v>26.66666666666667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1" t="n">
        <v>1</v>
      </c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/>
      <c r="Y1888" s="17" t="n">
        <v>1</v>
      </c>
      <c r="Z1888" s="13">
        <f>SUMPRODUCT(N1888:Y1888,$N$2:$Y$2)*$K1888*$L1888*$M1888</f>
        <v/>
      </c>
      <c r="AA1888" s="14">
        <f>SUM(N1888:Y1888)</f>
        <v/>
      </c>
      <c r="AB1888" s="14">
        <f>IFERROR(IF(UPPER($E1888)="L",SUMPRODUCT(N1888:Y1888,$N$3:$Y$3,$N$2:$Y$2),SUMPRODUCT(N1888:Y1888,$N$4:$Y$4,$N$2:$Y$2))/(Z1888/($K1888*$L1888*$M1888)),"")</f>
        <v/>
      </c>
      <c r="AC1888" s="18" t="n"/>
    </row>
    <row r="1889">
      <c r="A1889" s="9" t="n">
        <v>815830</v>
      </c>
      <c r="B1889" s="9" t="inlineStr">
        <is>
          <t>Dean Moss</t>
        </is>
      </c>
      <c r="C1889" s="9" t="inlineStr">
        <is>
          <t>TB</t>
        </is>
      </c>
      <c r="D1889" s="9" t="n">
        <v>25</v>
      </c>
      <c r="E1889" s="16" t="inlineStr">
        <is>
          <t>L</t>
        </is>
      </c>
      <c r="F1889" s="16" t="n"/>
      <c r="G1889" s="9" t="n">
        <v>35.81538461538462</v>
      </c>
      <c r="H1889" s="9" t="n">
        <v>35.81538461538462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1" t="n">
        <v>1</v>
      </c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/>
      <c r="Y1889" s="17" t="n">
        <v>1</v>
      </c>
      <c r="Z1889" s="13">
        <f>SUMPRODUCT(N1889:Y1889,$N$2:$Y$2)*$K1889*$L1889*$M1889</f>
        <v/>
      </c>
      <c r="AA1889" s="14">
        <f>SUM(N1889:Y1889)</f>
        <v/>
      </c>
      <c r="AB1889" s="14">
        <f>IFERROR(IF(UPPER($E1889)="L",SUMPRODUCT(N1889:Y1889,$N$3:$Y$3,$N$2:$Y$2),SUMPRODUCT(N1889:Y1889,$N$4:$Y$4,$N$2:$Y$2))/(Z1889/($K1889*$L1889*$M1889)),"")</f>
        <v/>
      </c>
      <c r="AC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1" t="n">
        <v>1</v>
      </c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/>
      <c r="Y1890" s="17" t="n">
        <v>1</v>
      </c>
      <c r="Z1890" s="13">
        <f>SUMPRODUCT(N1890:Y1890,$N$2:$Y$2)*$K1890*$L1890*$M1890</f>
        <v/>
      </c>
      <c r="AA1890" s="14">
        <f>SUM(N1890:Y1890)</f>
        <v/>
      </c>
      <c r="AB1890" s="14">
        <f>IFERROR(IF(UPPER($E1890)="L",SUMPRODUCT(N1890:Y1890,$N$3:$Y$3,$N$2:$Y$2),SUMPRODUCT(N1890:Y1890,$N$4:$Y$4,$N$2:$Y$2))/(Z1890/($K1890*$L1890*$M1890)),"")</f>
        <v/>
      </c>
      <c r="AC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inlineStr">
        <is>
          <t>RF</t>
        </is>
      </c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1" t="n">
        <v>1</v>
      </c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/>
      <c r="Y1891" s="17" t="n">
        <v>1</v>
      </c>
      <c r="Z1891" s="13">
        <f>SUMPRODUCT(N1891:Y1891,$N$2:$Y$2)*$K1891*$L1891*$M1891</f>
        <v/>
      </c>
      <c r="AA1891" s="14">
        <f>SUM(N1891:Y1891)</f>
        <v/>
      </c>
      <c r="AB1891" s="14">
        <f>IFERROR(IF(UPPER($E1891)="L",SUMPRODUCT(N1891:Y1891,$N$3:$Y$3,$N$2:$Y$2),SUMPRODUCT(N1891:Y1891,$N$4:$Y$4,$N$2:$Y$2))/(Z1891/($K1891*$L1891*$M1891)),"")</f>
        <v/>
      </c>
      <c r="AC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inlineStr">
        <is>
          <t>LF</t>
        </is>
      </c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1" t="n">
        <v>1</v>
      </c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/>
      <c r="W1892" s="17" t="n">
        <v>1</v>
      </c>
      <c r="X1892" s="17" t="n"/>
      <c r="Y1892" s="17" t="n"/>
      <c r="Z1892" s="13">
        <f>SUMPRODUCT(N1892:Y1892,$N$2:$Y$2)*$K1892*$L1892*$M1892</f>
        <v/>
      </c>
      <c r="AA1892" s="14">
        <f>SUM(N1892:Y1892)</f>
        <v/>
      </c>
      <c r="AB1892" s="14">
        <f>IFERROR(IF(UPPER($E1892)="L",SUMPRODUCT(N1892:Y1892,$N$3:$Y$3,$N$2:$Y$2),SUMPRODUCT(N1892:Y1892,$N$4:$Y$4,$N$2:$Y$2))/(Z1892/($K1892*$L1892*$M1892)),"")</f>
        <v/>
      </c>
      <c r="AC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inlineStr">
        <is>
          <t>3B</t>
        </is>
      </c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1" t="n">
        <v>1</v>
      </c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/>
      <c r="Y1893" s="17" t="n">
        <v>1</v>
      </c>
      <c r="Z1893" s="13">
        <f>SUMPRODUCT(N1893:Y1893,$N$2:$Y$2)*$K1893*$L1893*$M1893</f>
        <v/>
      </c>
      <c r="AA1893" s="14">
        <f>SUM(N1893:Y1893)</f>
        <v/>
      </c>
      <c r="AB1893" s="14">
        <f>IFERROR(IF(UPPER($E1893)="L",SUMPRODUCT(N1893:Y1893,$N$3:$Y$3,$N$2:$Y$2),SUMPRODUCT(N1893:Y1893,$N$4:$Y$4,$N$2:$Y$2))/(Z1893/($K1893*$L1893*$M1893)),"")</f>
        <v/>
      </c>
      <c r="AC1893" s="18" t="n"/>
    </row>
    <row r="1894">
      <c r="A1894" s="9" t="n">
        <v>572008</v>
      </c>
      <c r="B1894" s="9" t="inlineStr">
        <is>
          <t>Chris Owings</t>
        </is>
      </c>
      <c r="C1894" s="9" t="inlineStr">
        <is>
          <t>PIT</t>
        </is>
      </c>
      <c r="D1894" s="9" t="n">
        <v>35</v>
      </c>
      <c r="E1894" s="16" t="inlineStr">
        <is>
          <t>R</t>
        </is>
      </c>
      <c r="F1894" s="16" t="inlineStr">
        <is>
          <t>SS</t>
        </is>
      </c>
      <c r="G1894" s="9" t="n">
        <v>25</v>
      </c>
      <c r="H1894" s="9" t="n">
        <v>93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1" t="n">
        <v>1</v>
      </c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/>
      <c r="Y1894" s="17" t="n">
        <v>1</v>
      </c>
      <c r="Z1894" s="13">
        <f>SUMPRODUCT(N1894:Y1894,$N$2:$Y$2)*$K1894*$L1894*$M1894</f>
        <v/>
      </c>
      <c r="AA1894" s="14">
        <f>SUM(N1894:Y1894)</f>
        <v/>
      </c>
      <c r="AB1894" s="14">
        <f>IFERROR(IF(UPPER($E1894)="L",SUMPRODUCT(N1894:Y1894,$N$3:$Y$3,$N$2:$Y$2),SUMPRODUCT(N1894:Y1894,$N$4:$Y$4,$N$2:$Y$2))/(Z1894/($K1894*$L1894*$M1894)),"")</f>
        <v/>
      </c>
      <c r="AC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1" t="n">
        <v>1</v>
      </c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/>
      <c r="Y1895" s="17" t="n">
        <v>1</v>
      </c>
      <c r="Z1895" s="13">
        <f>SUMPRODUCT(N1895:Y1895,$N$2:$Y$2)*$K1895*$L1895*$M1895</f>
        <v/>
      </c>
      <c r="AA1895" s="14">
        <f>SUM(N1895:Y1895)</f>
        <v/>
      </c>
      <c r="AB1895" s="14">
        <f>IFERROR(IF(UPPER($E1895)="L",SUMPRODUCT(N1895:Y1895,$N$3:$Y$3,$N$2:$Y$2),SUMPRODUCT(N1895:Y1895,$N$4:$Y$4,$N$2:$Y$2))/(Z1895/($K1895*$L1895*$M1895)),"")</f>
        <v/>
      </c>
      <c r="AC1895" s="18" t="n"/>
    </row>
    <row r="1896">
      <c r="A1896" s="9" t="n">
        <v>681371</v>
      </c>
      <c r="B1896" s="9" t="inlineStr">
        <is>
          <t>Dom Keegan</t>
        </is>
      </c>
      <c r="C1896" s="9" t="inlineStr">
        <is>
          <t>TB</t>
        </is>
      </c>
      <c r="D1896" s="9" t="n">
        <v>25</v>
      </c>
      <c r="E1896" s="16" t="inlineStr">
        <is>
          <t>R</t>
        </is>
      </c>
      <c r="F1896" s="16" t="n"/>
      <c r="G1896" s="9" t="n">
        <v>117.8974358974359</v>
      </c>
      <c r="H1896" s="9" t="n">
        <v>117.8974358974359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1" t="n">
        <v>1</v>
      </c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/>
      <c r="Y1896" s="17" t="n">
        <v>1</v>
      </c>
      <c r="Z1896" s="13">
        <f>SUMPRODUCT(N1896:Y1896,$N$2:$Y$2)*$K1896*$L1896*$M1896</f>
        <v/>
      </c>
      <c r="AA1896" s="14">
        <f>SUM(N1896:Y1896)</f>
        <v/>
      </c>
      <c r="AB1896" s="14">
        <f>IFERROR(IF(UPPER($E1896)="L",SUMPRODUCT(N1896:Y1896,$N$3:$Y$3,$N$2:$Y$2),SUMPRODUCT(N1896:Y1896,$N$4:$Y$4,$N$2:$Y$2))/(Z1896/($K1896*$L1896*$M1896)),"")</f>
        <v/>
      </c>
      <c r="AC1896" s="18" t="n"/>
    </row>
    <row r="1897">
      <c r="A1897" s="9" t="n">
        <v>650489</v>
      </c>
      <c r="B1897" s="9" t="inlineStr">
        <is>
          <t>Willi Castro</t>
        </is>
      </c>
      <c r="C1897" s="9" t="inlineStr">
        <is>
          <t>COL</t>
        </is>
      </c>
      <c r="D1897" s="9" t="n">
        <v>30</v>
      </c>
      <c r="E1897" s="16" t="inlineStr">
        <is>
          <t>S</t>
        </is>
      </c>
      <c r="F1897" s="16" t="inlineStr">
        <is>
          <t>2B</t>
        </is>
      </c>
      <c r="G1897" s="9" t="n">
        <v>477</v>
      </c>
      <c r="H1897" s="9" t="n">
        <v>2367</v>
      </c>
      <c r="I1897" s="9" t="inlineStr">
        <is>
          <t>Bench Bat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1" t="n">
        <v>1.15</v>
      </c>
      <c r="N1897" s="17" t="n"/>
      <c r="O1897" s="17" t="n"/>
      <c r="P1897" s="17" t="n"/>
      <c r="Q1897" s="17" t="n"/>
      <c r="R1897" s="17" t="n"/>
      <c r="S1897" s="17" t="n"/>
      <c r="T1897" s="17" t="n"/>
      <c r="U1897" s="17" t="n">
        <v>0.4</v>
      </c>
      <c r="V1897" s="17" t="n"/>
      <c r="W1897" s="17" t="n">
        <v>0.6</v>
      </c>
      <c r="X1897" s="17" t="n"/>
      <c r="Y1897" s="17" t="n"/>
      <c r="Z1897" s="13">
        <f>SUMPRODUCT(N1897:Y1897,$N$2:$Y$2)*$K1897*$L1897*$M1897</f>
        <v/>
      </c>
      <c r="AA1897" s="14">
        <f>SUM(N1897:Y1897)</f>
        <v/>
      </c>
      <c r="AB1897" s="14">
        <f>IFERROR(IF(UPPER($E1897)="L",SUMPRODUCT(N1897:Y1897,$N$3:$Y$3,$N$2:$Y$2),SUMPRODUCT(N1897:Y1897,$N$4:$Y$4,$N$2:$Y$2))/(Z1897/($K1897*$L1897*$M1897)),"")</f>
        <v/>
      </c>
      <c r="AC1897" s="18" t="n"/>
    </row>
    <row r="1898">
      <c r="A1898" s="9" t="n">
        <v>669352</v>
      </c>
      <c r="B1898" s="9" t="inlineStr">
        <is>
          <t>Bubba Thompson</t>
        </is>
      </c>
      <c r="C1898" s="9" t="inlineStr">
        <is>
          <t>TEX</t>
        </is>
      </c>
      <c r="D1898" s="9" t="n">
        <v>29</v>
      </c>
      <c r="E1898" s="16" t="inlineStr">
        <is>
          <t>R</t>
        </is>
      </c>
      <c r="F1898" s="16" t="inlineStr">
        <is>
          <t>CF</t>
        </is>
      </c>
      <c r="G1898" s="9" t="n">
        <v>18</v>
      </c>
      <c r="H1898" s="9" t="n">
        <v>259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1" t="n">
        <v>1</v>
      </c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/>
      <c r="Y1898" s="17" t="n">
        <v>1</v>
      </c>
      <c r="Z1898" s="13">
        <f>SUMPRODUCT(N1898:Y1898,$N$2:$Y$2)*$K1898*$L1898*$M1898</f>
        <v/>
      </c>
      <c r="AA1898" s="14">
        <f>SUM(N1898:Y1898)</f>
        <v/>
      </c>
      <c r="AB1898" s="14">
        <f>IFERROR(IF(UPPER($E1898)="L",SUMPRODUCT(N1898:Y1898,$N$3:$Y$3,$N$2:$Y$2),SUMPRODUCT(N1898:Y1898,$N$4:$Y$4,$N$2:$Y$2))/(Z1898/($K1898*$L1898*$M1898)),"")</f>
        <v/>
      </c>
      <c r="AC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inlineStr">
        <is>
          <t>CF</t>
        </is>
      </c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1" t="n">
        <v>1.137841706018902</v>
      </c>
      <c r="N1899" s="17" t="n">
        <v>0.8</v>
      </c>
      <c r="O1899" s="17" t="n"/>
      <c r="P1899" s="17" t="n">
        <v>0.2</v>
      </c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7" t="n"/>
      <c r="Z1899" s="13">
        <f>SUMPRODUCT(N1899:Y1899,$N$2:$Y$2)*$K1899*$L1899*$M1899</f>
        <v/>
      </c>
      <c r="AA1899" s="14">
        <f>SUM(N1899:Y1899)</f>
        <v/>
      </c>
      <c r="AB1899" s="14">
        <f>IFERROR(IF(UPPER($E1899)="L",SUMPRODUCT(N1899:Y1899,$N$3:$Y$3,$N$2:$Y$2),SUMPRODUCT(N1899:Y1899,$N$4:$Y$4,$N$2:$Y$2))/(Z1899/($K1899*$L1899*$M1899)),"")</f>
        <v/>
      </c>
      <c r="AC1899" s="18" t="n"/>
    </row>
    <row r="1900">
      <c r="A1900" s="9" t="n">
        <v>701696</v>
      </c>
      <c r="B1900" s="9" t="inlineStr">
        <is>
          <t>Ryan Stafford</t>
        </is>
      </c>
      <c r="C1900" s="9" t="inlineStr">
        <is>
          <t>BAL</t>
        </is>
      </c>
      <c r="D1900" s="9" t="n">
        <v>25</v>
      </c>
      <c r="E1900" s="16" t="inlineStr">
        <is>
          <t>R</t>
        </is>
      </c>
      <c r="F1900" s="16" t="n"/>
      <c r="G1900" s="9" t="n">
        <v>32.82051282051282</v>
      </c>
      <c r="H1900" s="9" t="n">
        <v>32.82051282051282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1" t="n">
        <v>1</v>
      </c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/>
      <c r="Y1900" s="17" t="n">
        <v>1</v>
      </c>
      <c r="Z1900" s="13">
        <f>SUMPRODUCT(N1900:Y1900,$N$2:$Y$2)*$K1900*$L1900*$M1900</f>
        <v/>
      </c>
      <c r="AA1900" s="14">
        <f>SUM(N1900:Y1900)</f>
        <v/>
      </c>
      <c r="AB1900" s="14">
        <f>IFERROR(IF(UPPER($E1900)="L",SUMPRODUCT(N1900:Y1900,$N$3:$Y$3,$N$2:$Y$2),SUMPRODUCT(N1900:Y1900,$N$4:$Y$4,$N$2:$Y$2))/(Z1900/($K1900*$L1900*$M1900)),"")</f>
        <v/>
      </c>
      <c r="AC1900" s="18" t="n"/>
    </row>
    <row r="1901">
      <c r="A1901" s="9" t="n">
        <v>703178</v>
      </c>
      <c r="B1901" s="9" t="inlineStr">
        <is>
          <t>Braylin Tavera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83.4871794871795</v>
      </c>
      <c r="H1901" s="9" t="n">
        <v>83.4871794871795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1" t="n">
        <v>1</v>
      </c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/>
      <c r="Y1901" s="17" t="n">
        <v>1</v>
      </c>
      <c r="Z1901" s="13">
        <f>SUMPRODUCT(N1901:Y1901,$N$2:$Y$2)*$K1901*$L1901*$M1901</f>
        <v/>
      </c>
      <c r="AA1901" s="14">
        <f>SUM(N1901:Y1901)</f>
        <v/>
      </c>
      <c r="AB1901" s="14">
        <f>IFERROR(IF(UPPER($E1901)="L",SUMPRODUCT(N1901:Y1901,$N$3:$Y$3,$N$2:$Y$2),SUMPRODUCT(N1901:Y1901,$N$4:$Y$4,$N$2:$Y$2))/(Z1901/($K1901*$L1901*$M1901)),"")</f>
        <v/>
      </c>
      <c r="AC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1" t="n">
        <v>1</v>
      </c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/>
      <c r="Y1902" s="17" t="n">
        <v>1</v>
      </c>
      <c r="Z1902" s="13">
        <f>SUMPRODUCT(N1902:Y1902,$N$2:$Y$2)*$K1902*$L1902*$M1902</f>
        <v/>
      </c>
      <c r="AA1902" s="14">
        <f>SUM(N1902:Y1902)</f>
        <v/>
      </c>
      <c r="AB1902" s="14">
        <f>IFERROR(IF(UPPER($E1902)="L",SUMPRODUCT(N1902:Y1902,$N$3:$Y$3,$N$2:$Y$2),SUMPRODUCT(N1902:Y1902,$N$4:$Y$4,$N$2:$Y$2))/(Z1902/($K1902*$L1902*$M1902)),"")</f>
        <v/>
      </c>
      <c r="AC1902" s="18" t="n"/>
    </row>
    <row r="1903">
      <c r="A1903" s="9" t="n">
        <v>815632</v>
      </c>
      <c r="B1903" s="9" t="inlineStr">
        <is>
          <t>Tytus Cissell</t>
        </is>
      </c>
      <c r="C1903" s="9" t="inlineStr">
        <is>
          <t>ARI</t>
        </is>
      </c>
      <c r="D1903" s="9" t="n">
        <v>25</v>
      </c>
      <c r="E1903" s="16" t="inlineStr">
        <is>
          <t>S</t>
        </is>
      </c>
      <c r="F1903" s="16" t="n"/>
      <c r="G1903" s="9" t="n">
        <v>25.84615384615385</v>
      </c>
      <c r="H1903" s="9" t="n">
        <v>25.84615384615385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1" t="n">
        <v>1</v>
      </c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/>
      <c r="Y1903" s="17" t="n">
        <v>1</v>
      </c>
      <c r="Z1903" s="13">
        <f>SUMPRODUCT(N1903:Y1903,$N$2:$Y$2)*$K1903*$L1903*$M1903</f>
        <v/>
      </c>
      <c r="AA1903" s="14">
        <f>SUM(N1903:Y1903)</f>
        <v/>
      </c>
      <c r="AB1903" s="14">
        <f>IFERROR(IF(UPPER($E1903)="L",SUMPRODUCT(N1903:Y1903,$N$3:$Y$3,$N$2:$Y$2),SUMPRODUCT(N1903:Y1903,$N$4:$Y$4,$N$2:$Y$2))/(Z1903/($K1903*$L1903*$M1903)),"")</f>
        <v/>
      </c>
      <c r="AC1903" s="18" t="n"/>
    </row>
    <row r="1904">
      <c r="A1904" s="9" t="n">
        <v>808129</v>
      </c>
      <c r="B1904" s="9" t="inlineStr">
        <is>
          <t>Juan Flores</t>
        </is>
      </c>
      <c r="C1904" s="9" t="inlineStr">
        <is>
          <t>LAA</t>
        </is>
      </c>
      <c r="D1904" s="9" t="n">
        <v>25</v>
      </c>
      <c r="E1904" s="16" t="inlineStr">
        <is>
          <t>R</t>
        </is>
      </c>
      <c r="F1904" s="16" t="n"/>
      <c r="G1904" s="9" t="n">
        <v>69.28205128205128</v>
      </c>
      <c r="H1904" s="9" t="n">
        <v>69.28205128205128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1" t="n">
        <v>1</v>
      </c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/>
      <c r="Y1904" s="17" t="n">
        <v>1</v>
      </c>
      <c r="Z1904" s="13">
        <f>SUMPRODUCT(N1904:Y1904,$N$2:$Y$2)*$K1904*$L1904*$M1904</f>
        <v/>
      </c>
      <c r="AA1904" s="14">
        <f>SUM(N1904:Y1904)</f>
        <v/>
      </c>
      <c r="AB1904" s="14">
        <f>IFERROR(IF(UPPER($E1904)="L",SUMPRODUCT(N1904:Y1904,$N$3:$Y$3,$N$2:$Y$2),SUMPRODUCT(N1904:Y1904,$N$4:$Y$4,$N$2:$Y$2))/(Z1904/($K1904*$L1904*$M1904)),"")</f>
        <v/>
      </c>
      <c r="AC1904" s="18" t="n"/>
    </row>
    <row r="1905">
      <c r="A1905" s="9" t="n">
        <v>703198</v>
      </c>
      <c r="B1905" s="9" t="inlineStr">
        <is>
          <t>Kenni Gomez</t>
        </is>
      </c>
      <c r="C1905" s="9" t="inlineStr">
        <is>
          <t>HOU</t>
        </is>
      </c>
      <c r="D1905" s="9" t="n">
        <v>25</v>
      </c>
      <c r="E1905" s="16" t="inlineStr">
        <is>
          <t>L</t>
        </is>
      </c>
      <c r="F1905" s="16" t="n"/>
      <c r="G1905" s="9" t="n">
        <v>23.69230769230769</v>
      </c>
      <c r="H1905" s="9" t="n">
        <v>23.69230769230769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1" t="n">
        <v>1</v>
      </c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/>
      <c r="Y1905" s="17" t="n">
        <v>1</v>
      </c>
      <c r="Z1905" s="13">
        <f>SUMPRODUCT(N1905:Y1905,$N$2:$Y$2)*$K1905*$L1905*$M1905</f>
        <v/>
      </c>
      <c r="AA1905" s="14">
        <f>SUM(N1905:Y1905)</f>
        <v/>
      </c>
      <c r="AB1905" s="14">
        <f>IFERROR(IF(UPPER($E1905)="L",SUMPRODUCT(N1905:Y1905,$N$3:$Y$3,$N$2:$Y$2),SUMPRODUCT(N1905:Y1905,$N$4:$Y$4,$N$2:$Y$2))/(Z1905/($K1905*$L1905*$M1905)),"")</f>
        <v/>
      </c>
      <c r="AC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inlineStr">
        <is>
          <t>RF</t>
        </is>
      </c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1" t="n">
        <v>1</v>
      </c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/>
      <c r="W1906" s="17" t="n">
        <v>1</v>
      </c>
      <c r="X1906" s="17" t="n"/>
      <c r="Y1906" s="17" t="n"/>
      <c r="Z1906" s="13">
        <f>SUMPRODUCT(N1906:Y1906,$N$2:$Y$2)*$K1906*$L1906*$M1906</f>
        <v/>
      </c>
      <c r="AA1906" s="14">
        <f>SUM(N1906:Y1906)</f>
        <v/>
      </c>
      <c r="AB1906" s="14">
        <f>IFERROR(IF(UPPER($E1906)="L",SUMPRODUCT(N1906:Y1906,$N$3:$Y$3,$N$2:$Y$2),SUMPRODUCT(N1906:Y1906,$N$4:$Y$4,$N$2:$Y$2))/(Z1906/($K1906*$L1906*$M1906)),"")</f>
        <v/>
      </c>
      <c r="AC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1" t="n">
        <v>1</v>
      </c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/>
      <c r="Y1907" s="17" t="n">
        <v>1</v>
      </c>
      <c r="Z1907" s="13">
        <f>SUMPRODUCT(N1907:Y1907,$N$2:$Y$2)*$K1907*$L1907*$M1907</f>
        <v/>
      </c>
      <c r="AA1907" s="14">
        <f>SUM(N1907:Y1907)</f>
        <v/>
      </c>
      <c r="AB1907" s="14">
        <f>IFERROR(IF(UPPER($E1907)="L",SUMPRODUCT(N1907:Y1907,$N$3:$Y$3,$N$2:$Y$2),SUMPRODUCT(N1907:Y1907,$N$4:$Y$4,$N$2:$Y$2))/(Z1907/($K1907*$L1907*$M1907)),"")</f>
        <v/>
      </c>
      <c r="AC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1" t="n">
        <v>1</v>
      </c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/>
      <c r="Y1908" s="17" t="n">
        <v>1</v>
      </c>
      <c r="Z1908" s="13">
        <f>SUMPRODUCT(N1908:Y1908,$N$2:$Y$2)*$K1908*$L1908*$M1908</f>
        <v/>
      </c>
      <c r="AA1908" s="14">
        <f>SUM(N1908:Y1908)</f>
        <v/>
      </c>
      <c r="AB1908" s="14">
        <f>IFERROR(IF(UPPER($E1908)="L",SUMPRODUCT(N1908:Y1908,$N$3:$Y$3,$N$2:$Y$2),SUMPRODUCT(N1908:Y1908,$N$4:$Y$4,$N$2:$Y$2))/(Z1908/($K1908*$L1908*$M1908)),"")</f>
        <v/>
      </c>
      <c r="AC1908" s="18" t="n"/>
    </row>
    <row r="1909">
      <c r="A1909" s="9" t="n">
        <v>518626</v>
      </c>
      <c r="B1909" s="9" t="inlineStr">
        <is>
          <t>Josh Donaldson</t>
        </is>
      </c>
      <c r="C1909" s="9" t="inlineStr">
        <is>
          <t>MIL</t>
        </is>
      </c>
      <c r="D1909" s="9" t="n">
        <v>41</v>
      </c>
      <c r="E1909" s="16" t="inlineStr">
        <is>
          <t>R</t>
        </is>
      </c>
      <c r="F1909" s="16" t="inlineStr">
        <is>
          <t>3B</t>
        </is>
      </c>
      <c r="G1909" s="9" t="n">
        <v>189</v>
      </c>
      <c r="H1909" s="9" t="n">
        <v>735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1" t="n">
        <v>1</v>
      </c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/>
      <c r="Y1909" s="17" t="n">
        <v>1</v>
      </c>
      <c r="Z1909" s="13">
        <f>SUMPRODUCT(N1909:Y1909,$N$2:$Y$2)*$K1909*$L1909*$M1909</f>
        <v/>
      </c>
      <c r="AA1909" s="14">
        <f>SUM(N1909:Y1909)</f>
        <v/>
      </c>
      <c r="AB1909" s="14">
        <f>IFERROR(IF(UPPER($E1909)="L",SUMPRODUCT(N1909:Y1909,$N$3:$Y$3,$N$2:$Y$2),SUMPRODUCT(N1909:Y1909,$N$4:$Y$4,$N$2:$Y$2))/(Z1909/($K1909*$L1909*$M1909)),"")</f>
        <v/>
      </c>
      <c r="AC1909" s="18" t="n"/>
    </row>
    <row r="1910">
      <c r="A1910" s="9" t="n">
        <v>815909</v>
      </c>
      <c r="B1910" s="9" t="inlineStr">
        <is>
          <t>Luis Cova</t>
        </is>
      </c>
      <c r="C1910" s="9" t="inlineStr">
        <is>
          <t>MIA</t>
        </is>
      </c>
      <c r="D1910" s="9" t="n">
        <v>25</v>
      </c>
      <c r="E1910" s="16" t="inlineStr">
        <is>
          <t>R</t>
        </is>
      </c>
      <c r="F1910" s="16" t="n"/>
      <c r="G1910" s="9" t="n">
        <v>30.64615384615384</v>
      </c>
      <c r="H1910" s="9" t="n">
        <v>30.64615384615384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1" t="n">
        <v>1</v>
      </c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/>
      <c r="Y1910" s="17" t="n">
        <v>1</v>
      </c>
      <c r="Z1910" s="13">
        <f>SUMPRODUCT(N1910:Y1910,$N$2:$Y$2)*$K1910*$L1910*$M1910</f>
        <v/>
      </c>
      <c r="AA1910" s="14">
        <f>SUM(N1910:Y1910)</f>
        <v/>
      </c>
      <c r="AB1910" s="14">
        <f>IFERROR(IF(UPPER($E1910)="L",SUMPRODUCT(N1910:Y1910,$N$3:$Y$3,$N$2:$Y$2),SUMPRODUCT(N1910:Y1910,$N$4:$Y$4,$N$2:$Y$2))/(Z1910/($K1910*$L1910*$M1910)),"")</f>
        <v/>
      </c>
      <c r="AC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1" t="n">
        <v>1</v>
      </c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/>
      <c r="Y1911" s="17" t="n">
        <v>1</v>
      </c>
      <c r="Z1911" s="13">
        <f>SUMPRODUCT(N1911:Y1911,$N$2:$Y$2)*$K1911*$L1911*$M1911</f>
        <v/>
      </c>
      <c r="AA1911" s="14">
        <f>SUM(N1911:Y1911)</f>
        <v/>
      </c>
      <c r="AB1911" s="14">
        <f>IFERROR(IF(UPPER($E1911)="L",SUMPRODUCT(N1911:Y1911,$N$3:$Y$3,$N$2:$Y$2),SUMPRODUCT(N1911:Y1911,$N$4:$Y$4,$N$2:$Y$2))/(Z1911/($K1911*$L1911*$M1911)),"")</f>
        <v/>
      </c>
      <c r="AC1911" s="18" t="n"/>
    </row>
    <row r="1912">
      <c r="A1912" s="9" t="n">
        <v>665856</v>
      </c>
      <c r="B1912" s="9" t="inlineStr">
        <is>
          <t>Jair Camargo</t>
        </is>
      </c>
      <c r="C1912" s="9" t="inlineStr">
        <is>
          <t>ATL</t>
        </is>
      </c>
      <c r="D1912" s="9" t="n">
        <v>27</v>
      </c>
      <c r="E1912" s="16" t="inlineStr">
        <is>
          <t>R</t>
        </is>
      </c>
      <c r="F1912" s="16" t="inlineStr">
        <is>
          <t>C</t>
        </is>
      </c>
      <c r="G1912" s="9" t="n">
        <v>2</v>
      </c>
      <c r="H1912" s="9" t="n">
        <v>9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1" t="n">
        <v>1</v>
      </c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/>
      <c r="Y1912" s="17" t="n">
        <v>1</v>
      </c>
      <c r="Z1912" s="13">
        <f>SUMPRODUCT(N1912:Y1912,$N$2:$Y$2)*$K1912*$L1912*$M1912</f>
        <v/>
      </c>
      <c r="AA1912" s="14">
        <f>SUM(N1912:Y1912)</f>
        <v/>
      </c>
      <c r="AB1912" s="14">
        <f>IFERROR(IF(UPPER($E1912)="L",SUMPRODUCT(N1912:Y1912,$N$3:$Y$3,$N$2:$Y$2),SUMPRODUCT(N1912:Y1912,$N$4:$Y$4,$N$2:$Y$2))/(Z1912/($K1912*$L1912*$M1912)),"")</f>
        <v/>
      </c>
      <c r="AC1912" s="18" t="n"/>
    </row>
    <row r="1913">
      <c r="A1913" s="9" t="n">
        <v>572228</v>
      </c>
      <c r="B1913" s="9" t="inlineStr">
        <is>
          <t>Luke Voit</t>
        </is>
      </c>
      <c r="C1913" s="9" t="inlineStr">
        <is>
          <t>MIL</t>
        </is>
      </c>
      <c r="D1913" s="9" t="n">
        <v>36</v>
      </c>
      <c r="E1913" s="16" t="inlineStr">
        <is>
          <t>R</t>
        </is>
      </c>
      <c r="F1913" s="16" t="inlineStr">
        <is>
          <t>1B</t>
        </is>
      </c>
      <c r="G1913" s="9" t="n">
        <v>74</v>
      </c>
      <c r="H1913" s="9" t="n">
        <v>642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1" t="n">
        <v>1</v>
      </c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/>
      <c r="Y1913" s="17" t="n">
        <v>1</v>
      </c>
      <c r="Z1913" s="13">
        <f>SUMPRODUCT(N1913:Y1913,$N$2:$Y$2)*$K1913*$L1913*$M1913</f>
        <v/>
      </c>
      <c r="AA1913" s="14">
        <f>SUM(N1913:Y1913)</f>
        <v/>
      </c>
      <c r="AB1913" s="14">
        <f>IFERROR(IF(UPPER($E1913)="L",SUMPRODUCT(N1913:Y1913,$N$3:$Y$3,$N$2:$Y$2),SUMPRODUCT(N1913:Y1913,$N$4:$Y$4,$N$2:$Y$2))/(Z1913/($K1913*$L1913*$M1913)),"")</f>
        <v/>
      </c>
      <c r="AC1913" s="18" t="n"/>
    </row>
    <row r="1914">
      <c r="A1914" s="9" t="n">
        <v>809331</v>
      </c>
      <c r="B1914" s="9" t="inlineStr">
        <is>
          <t>Brian Sanchez</t>
        </is>
      </c>
      <c r="C1914" s="9" t="inlineStr">
        <is>
          <t>MIA</t>
        </is>
      </c>
      <c r="D1914" s="9" t="n">
        <v>25</v>
      </c>
      <c r="E1914" s="16" t="inlineStr">
        <is>
          <t>L</t>
        </is>
      </c>
      <c r="F1914" s="16" t="n"/>
      <c r="G1914" s="9" t="n">
        <v>82.05128205128206</v>
      </c>
      <c r="H1914" s="9" t="n">
        <v>82.05128205128206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1" t="n">
        <v>1</v>
      </c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/>
      <c r="Y1914" s="17" t="n">
        <v>1</v>
      </c>
      <c r="Z1914" s="13">
        <f>SUMPRODUCT(N1914:Y1914,$N$2:$Y$2)*$K1914*$L1914*$M1914</f>
        <v/>
      </c>
      <c r="AA1914" s="14">
        <f>SUM(N1914:Y1914)</f>
        <v/>
      </c>
      <c r="AB1914" s="14">
        <f>IFERROR(IF(UPPER($E1914)="L",SUMPRODUCT(N1914:Y1914,$N$3:$Y$3,$N$2:$Y$2),SUMPRODUCT(N1914:Y1914,$N$4:$Y$4,$N$2:$Y$2))/(Z1914/($K1914*$L1914*$M1914)),"")</f>
        <v/>
      </c>
      <c r="AC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1" t="n">
        <v>1</v>
      </c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/>
      <c r="Y1915" s="17" t="n">
        <v>1</v>
      </c>
      <c r="Z1915" s="13">
        <f>SUMPRODUCT(N1915:Y1915,$N$2:$Y$2)*$K1915*$L1915*$M1915</f>
        <v/>
      </c>
      <c r="AA1915" s="14">
        <f>SUM(N1915:Y1915)</f>
        <v/>
      </c>
      <c r="AB1915" s="14">
        <f>IFERROR(IF(UPPER($E1915)="L",SUMPRODUCT(N1915:Y1915,$N$3:$Y$3,$N$2:$Y$2),SUMPRODUCT(N1915:Y1915,$N$4:$Y$4,$N$2:$Y$2))/(Z1915/($K1915*$L1915*$M1915)),"")</f>
        <v/>
      </c>
      <c r="AC1915" s="18" t="n"/>
    </row>
    <row r="1916">
      <c r="A1916" s="9" t="n">
        <v>679734</v>
      </c>
      <c r="B1916" s="9" t="inlineStr">
        <is>
          <t>Julio Carreras</t>
        </is>
      </c>
      <c r="C1916" s="9" t="inlineStr">
        <is>
          <t>CIN</t>
        </is>
      </c>
      <c r="D1916" s="9" t="n">
        <v>25</v>
      </c>
      <c r="E1916" s="16" t="inlineStr">
        <is>
          <t>R</t>
        </is>
      </c>
      <c r="F1916" s="16" t="n"/>
      <c r="G1916" s="9" t="n">
        <v>50.61538461538461</v>
      </c>
      <c r="H1916" s="9" t="n">
        <v>50.61538461538461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1" t="n">
        <v>1</v>
      </c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/>
      <c r="Y1916" s="17" t="n">
        <v>1</v>
      </c>
      <c r="Z1916" s="13">
        <f>SUMPRODUCT(N1916:Y1916,$N$2:$Y$2)*$K1916*$L1916*$M1916</f>
        <v/>
      </c>
      <c r="AA1916" s="14">
        <f>SUM(N1916:Y1916)</f>
        <v/>
      </c>
      <c r="AB1916" s="14">
        <f>IFERROR(IF(UPPER($E1916)="L",SUMPRODUCT(N1916:Y1916,$N$3:$Y$3,$N$2:$Y$2),SUMPRODUCT(N1916:Y1916,$N$4:$Y$4,$N$2:$Y$2))/(Z1916/($K1916*$L1916*$M1916)),"")</f>
        <v/>
      </c>
      <c r="AC1916" s="18" t="n"/>
    </row>
    <row r="1917">
      <c r="A1917" s="9" t="n">
        <v>802139</v>
      </c>
      <c r="B1917" s="9" t="inlineStr">
        <is>
          <t>JJ Wetherholt</t>
        </is>
      </c>
      <c r="C1917" s="9" t="inlineStr">
        <is>
          <t>STL</t>
        </is>
      </c>
      <c r="D1917" s="9" t="n">
        <v>24</v>
      </c>
      <c r="E1917" s="16" t="inlineStr">
        <is>
          <t>L</t>
        </is>
      </c>
      <c r="F1917" s="16" t="inlineStr">
        <is>
          <t>2B</t>
        </is>
      </c>
      <c r="G1917" s="9" t="n">
        <v>619</v>
      </c>
      <c r="H1917" s="9" t="n">
        <v>619</v>
      </c>
      <c r="I1917" s="9" t="inlineStr">
        <is>
          <t>Full Time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1" t="n">
        <v>1.030866101590646</v>
      </c>
      <c r="N1917" s="17" t="n">
        <v>1</v>
      </c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7" t="n"/>
      <c r="Z1917" s="13">
        <f>SUMPRODUCT(N1917:Y1917,$N$2:$Y$2)*$K1917*$L1917*$M1917</f>
        <v/>
      </c>
      <c r="AA1917" s="14">
        <f>SUM(N1917:Y1917)</f>
        <v/>
      </c>
      <c r="AB1917" s="14">
        <f>IFERROR(IF(UPPER($E1917)="L",SUMPRODUCT(N1917:Y1917,$N$3:$Y$3,$N$2:$Y$2),SUMPRODUCT(N1917:Y1917,$N$4:$Y$4,$N$2:$Y$2))/(Z1917/($K1917*$L1917*$M1917)),"")</f>
        <v/>
      </c>
      <c r="AC1917" s="18" t="n"/>
    </row>
    <row r="1918">
      <c r="A1918" s="9" t="n">
        <v>446334</v>
      </c>
      <c r="B1918" s="9" t="inlineStr">
        <is>
          <t>Evan Longoria</t>
        </is>
      </c>
      <c r="C1918" s="9" t="inlineStr">
        <is>
          <t>ARI</t>
        </is>
      </c>
      <c r="D1918" s="9" t="n">
        <v>41</v>
      </c>
      <c r="E1918" s="16" t="inlineStr">
        <is>
          <t>R</t>
        </is>
      </c>
      <c r="F1918" s="16" t="inlineStr">
        <is>
          <t>3B</t>
        </is>
      </c>
      <c r="G1918" s="9" t="n">
        <v>237</v>
      </c>
      <c r="H1918" s="9" t="n">
        <v>535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1" t="n">
        <v>1</v>
      </c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/>
      <c r="Y1918" s="17" t="n">
        <v>1</v>
      </c>
      <c r="Z1918" s="13">
        <f>SUMPRODUCT(N1918:Y1918,$N$2:$Y$2)*$K1918*$L1918*$M1918</f>
        <v/>
      </c>
      <c r="AA1918" s="14">
        <f>SUM(N1918:Y1918)</f>
        <v/>
      </c>
      <c r="AB1918" s="14">
        <f>IFERROR(IF(UPPER($E1918)="L",SUMPRODUCT(N1918:Y1918,$N$3:$Y$3,$N$2:$Y$2),SUMPRODUCT(N1918:Y1918,$N$4:$Y$4,$N$2:$Y$2))/(Z1918/($K1918*$L1918*$M1918)),"")</f>
        <v/>
      </c>
      <c r="AC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1" t="n">
        <v>1</v>
      </c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/>
      <c r="Y1919" s="17" t="n">
        <v>1</v>
      </c>
      <c r="Z1919" s="13">
        <f>SUMPRODUCT(N1919:Y1919,$N$2:$Y$2)*$K1919*$L1919*$M1919</f>
        <v/>
      </c>
      <c r="AA1919" s="14">
        <f>SUM(N1919:Y1919)</f>
        <v/>
      </c>
      <c r="AB1919" s="14">
        <f>IFERROR(IF(UPPER($E1919)="L",SUMPRODUCT(N1919:Y1919,$N$3:$Y$3,$N$2:$Y$2),SUMPRODUCT(N1919:Y1919,$N$4:$Y$4,$N$2:$Y$2))/(Z1919/($K1919*$L1919*$M1919)),"")</f>
        <v/>
      </c>
      <c r="AC1919" s="18" t="n"/>
    </row>
    <row r="1920">
      <c r="A1920" s="9" t="n">
        <v>677356</v>
      </c>
      <c r="B1920" s="9" t="inlineStr">
        <is>
          <t>Carter Young</t>
        </is>
      </c>
      <c r="C1920" s="9" t="inlineStr">
        <is>
          <t>BAL</t>
        </is>
      </c>
      <c r="D1920" s="9" t="n">
        <v>25</v>
      </c>
      <c r="E1920" s="16" t="inlineStr">
        <is>
          <t>L</t>
        </is>
      </c>
      <c r="F1920" s="16" t="n"/>
      <c r="G1920" s="9" t="n">
        <v>23.12820512820513</v>
      </c>
      <c r="H1920" s="9" t="n">
        <v>23.12820512820513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1" t="n">
        <v>1</v>
      </c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/>
      <c r="Y1920" s="17" t="n">
        <v>1</v>
      </c>
      <c r="Z1920" s="13">
        <f>SUMPRODUCT(N1920:Y1920,$N$2:$Y$2)*$K1920*$L1920*$M1920</f>
        <v/>
      </c>
      <c r="AA1920" s="14">
        <f>SUM(N1920:Y1920)</f>
        <v/>
      </c>
      <c r="AB1920" s="14">
        <f>IFERROR(IF(UPPER($E1920)="L",SUMPRODUCT(N1920:Y1920,$N$3:$Y$3,$N$2:$Y$2),SUMPRODUCT(N1920:Y1920,$N$4:$Y$4,$N$2:$Y$2))/(Z1920/($K1920*$L1920*$M1920)),"")</f>
        <v/>
      </c>
      <c r="AC1920" s="18" t="n"/>
    </row>
    <row r="1921">
      <c r="A1921" s="9" t="n">
        <v>816120</v>
      </c>
      <c r="B1921" s="9" t="inlineStr">
        <is>
          <t>Griffin Burkholder</t>
        </is>
      </c>
      <c r="C1921" s="9" t="inlineStr">
        <is>
          <t>PHI</t>
        </is>
      </c>
      <c r="D1921" s="9" t="n">
        <v>25</v>
      </c>
      <c r="E1921" s="16" t="inlineStr">
        <is>
          <t>R</t>
        </is>
      </c>
      <c r="F1921" s="16" t="n"/>
      <c r="G1921" s="9" t="n">
        <v>24</v>
      </c>
      <c r="H1921" s="9" t="n">
        <v>24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1" t="n">
        <v>1</v>
      </c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/>
      <c r="Y1921" s="17" t="n">
        <v>1</v>
      </c>
      <c r="Z1921" s="13">
        <f>SUMPRODUCT(N1921:Y1921,$N$2:$Y$2)*$K1921*$L1921*$M1921</f>
        <v/>
      </c>
      <c r="AA1921" s="14">
        <f>SUM(N1921:Y1921)</f>
        <v/>
      </c>
      <c r="AB1921" s="14">
        <f>IFERROR(IF(UPPER($E1921)="L",SUMPRODUCT(N1921:Y1921,$N$3:$Y$3,$N$2:$Y$2),SUMPRODUCT(N1921:Y1921,$N$4:$Y$4,$N$2:$Y$2))/(Z1921/($K1921*$L1921*$M1921)),"")</f>
        <v/>
      </c>
      <c r="AC1921" s="18" t="n"/>
    </row>
    <row r="1922">
      <c r="A1922" s="9" t="n">
        <v>666971</v>
      </c>
      <c r="B1922" s="9" t="inlineStr">
        <is>
          <t>Lourdes Gurriel Jr.</t>
        </is>
      </c>
      <c r="C1922" s="9" t="inlineStr">
        <is>
          <t>ARI</t>
        </is>
      </c>
      <c r="D1922" s="9" t="n">
        <v>33</v>
      </c>
      <c r="E1922" s="16" t="inlineStr">
        <is>
          <t>R</t>
        </is>
      </c>
      <c r="F1922" s="16" t="inlineStr">
        <is>
          <t>LF</t>
        </is>
      </c>
      <c r="G1922" s="9" t="n">
        <v>201</v>
      </c>
      <c r="H1922" s="9" t="n">
        <v>2385</v>
      </c>
      <c r="I1922" s="9" t="inlineStr">
        <is>
          <t>Full Time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1" t="n">
        <v>0.8386578109899183</v>
      </c>
      <c r="N1922" s="17" t="n">
        <v>1</v>
      </c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7" t="n"/>
      <c r="Z1922" s="13">
        <f>SUMPRODUCT(N1922:Y1922,$N$2:$Y$2)*$K1922*$L1922*$M1922</f>
        <v/>
      </c>
      <c r="AA1922" s="14">
        <f>SUM(N1922:Y1922)</f>
        <v/>
      </c>
      <c r="AB1922" s="14">
        <f>IFERROR(IF(UPPER($E1922)="L",SUMPRODUCT(N1922:Y1922,$N$3:$Y$3,$N$2:$Y$2),SUMPRODUCT(N1922:Y1922,$N$4:$Y$4,$N$2:$Y$2))/(Z1922/($K1922*$L1922*$M1922)),"")</f>
        <v/>
      </c>
      <c r="AC1922" s="18" t="n"/>
    </row>
    <row r="1923">
      <c r="A1923" s="9" t="n">
        <v>663550</v>
      </c>
      <c r="B1923" s="9" t="inlineStr">
        <is>
          <t>Trey Cabbage</t>
        </is>
      </c>
      <c r="C1923" s="9" t="inlineStr">
        <is>
          <t>HOU</t>
        </is>
      </c>
      <c r="D1923" s="9" t="n">
        <v>30</v>
      </c>
      <c r="E1923" s="16" t="inlineStr">
        <is>
          <t>L</t>
        </is>
      </c>
      <c r="F1923" s="16" t="inlineStr">
        <is>
          <t>RF</t>
        </is>
      </c>
      <c r="G1923" s="9" t="n">
        <v>91</v>
      </c>
      <c r="H1923" s="9" t="n">
        <v>147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1" t="n">
        <v>1</v>
      </c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/>
      <c r="Y1923" s="17" t="n">
        <v>1</v>
      </c>
      <c r="Z1923" s="13">
        <f>SUMPRODUCT(N1923:Y1923,$N$2:$Y$2)*$K1923*$L1923*$M1923</f>
        <v/>
      </c>
      <c r="AA1923" s="14">
        <f>SUM(N1923:Y1923)</f>
        <v/>
      </c>
      <c r="AB1923" s="14">
        <f>IFERROR(IF(UPPER($E1923)="L",SUMPRODUCT(N1923:Y1923,$N$3:$Y$3,$N$2:$Y$2),SUMPRODUCT(N1923:Y1923,$N$4:$Y$4,$N$2:$Y$2))/(Z1923/($K1923*$L1923*$M1923)),"")</f>
        <v/>
      </c>
      <c r="AC1923" s="18" t="n"/>
    </row>
    <row r="1924">
      <c r="A1924" s="9" t="n">
        <v>808286</v>
      </c>
      <c r="B1924" s="9" t="inlineStr">
        <is>
          <t>Cristian Jauregui</t>
        </is>
      </c>
      <c r="C1924" s="9" t="inlineStr">
        <is>
          <t>PIT</t>
        </is>
      </c>
      <c r="D1924" s="9" t="n">
        <v>25</v>
      </c>
      <c r="E1924" s="16" t="inlineStr">
        <is>
          <t>L</t>
        </is>
      </c>
      <c r="F1924" s="16" t="n"/>
      <c r="G1924" s="9" t="n">
        <v>37.90769230769231</v>
      </c>
      <c r="H1924" s="9" t="n">
        <v>37.90769230769231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1" t="n">
        <v>1</v>
      </c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/>
      <c r="Y1924" s="17" t="n">
        <v>1</v>
      </c>
      <c r="Z1924" s="13">
        <f>SUMPRODUCT(N1924:Y1924,$N$2:$Y$2)*$K1924*$L1924*$M1924</f>
        <v/>
      </c>
      <c r="AA1924" s="14">
        <f>SUM(N1924:Y1924)</f>
        <v/>
      </c>
      <c r="AB1924" s="14">
        <f>IFERROR(IF(UPPER($E1924)="L",SUMPRODUCT(N1924:Y1924,$N$3:$Y$3,$N$2:$Y$2),SUMPRODUCT(N1924:Y1924,$N$4:$Y$4,$N$2:$Y$2))/(Z1924/($K1924*$L1924*$M1924)),"")</f>
        <v/>
      </c>
      <c r="AC1924" s="18" t="n"/>
    </row>
    <row r="1925">
      <c r="A1925" s="9" t="n">
        <v>675394</v>
      </c>
      <c r="B1925" s="9" t="inlineStr">
        <is>
          <t>Johnny Olmstead</t>
        </is>
      </c>
      <c r="C1925" s="9" t="inlineStr">
        <is>
          <t>MIA</t>
        </is>
      </c>
      <c r="D1925" s="9" t="n">
        <v>25</v>
      </c>
      <c r="E1925" s="16" t="inlineStr">
        <is>
          <t>R</t>
        </is>
      </c>
      <c r="F1925" s="16" t="n"/>
      <c r="G1925" s="9" t="n">
        <v>173.7435897435898</v>
      </c>
      <c r="H1925" s="9" t="n">
        <v>173.7435897435898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1" t="n">
        <v>1</v>
      </c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/>
      <c r="Y1925" s="17" t="n">
        <v>1</v>
      </c>
      <c r="Z1925" s="13">
        <f>SUMPRODUCT(N1925:Y1925,$N$2:$Y$2)*$K1925*$L1925*$M1925</f>
        <v/>
      </c>
      <c r="AA1925" s="14">
        <f>SUM(N1925:Y1925)</f>
        <v/>
      </c>
      <c r="AB1925" s="14">
        <f>IFERROR(IF(UPPER($E1925)="L",SUMPRODUCT(N1925:Y1925,$N$3:$Y$3,$N$2:$Y$2),SUMPRODUCT(N1925:Y1925,$N$4:$Y$4,$N$2:$Y$2))/(Z1925/($K1925*$L1925*$M1925)),"")</f>
        <v/>
      </c>
      <c r="AC1925" s="18" t="n"/>
    </row>
    <row r="1926">
      <c r="A1926" s="9" t="n">
        <v>808245</v>
      </c>
      <c r="B1926" s="9" t="inlineStr">
        <is>
          <t>Starlyn Nunez</t>
        </is>
      </c>
      <c r="C1926" s="9" t="inlineStr">
        <is>
          <t>BOS</t>
        </is>
      </c>
      <c r="D1926" s="9" t="n">
        <v>25</v>
      </c>
      <c r="E1926" s="16" t="inlineStr">
        <is>
          <t>S</t>
        </is>
      </c>
      <c r="F1926" s="16" t="n"/>
      <c r="G1926" s="9" t="n">
        <v>52.06153846153846</v>
      </c>
      <c r="H1926" s="9" t="n">
        <v>52.06153846153846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1" t="n">
        <v>1</v>
      </c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/>
      <c r="Y1926" s="17" t="n">
        <v>1</v>
      </c>
      <c r="Z1926" s="13">
        <f>SUMPRODUCT(N1926:Y1926,$N$2:$Y$2)*$K1926*$L1926*$M1926</f>
        <v/>
      </c>
      <c r="AA1926" s="14">
        <f>SUM(N1926:Y1926)</f>
        <v/>
      </c>
      <c r="AB1926" s="14">
        <f>IFERROR(IF(UPPER($E1926)="L",SUMPRODUCT(N1926:Y1926,$N$3:$Y$3,$N$2:$Y$2),SUMPRODUCT(N1926:Y1926,$N$4:$Y$4,$N$2:$Y$2))/(Z1926/($K1926*$L1926*$M1926)),"")</f>
        <v/>
      </c>
      <c r="AC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1" t="n">
        <v>1</v>
      </c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/>
      <c r="Y1927" s="17" t="n">
        <v>1</v>
      </c>
      <c r="Z1927" s="13">
        <f>SUMPRODUCT(N1927:Y1927,$N$2:$Y$2)*$K1927*$L1927*$M1927</f>
        <v/>
      </c>
      <c r="AA1927" s="14">
        <f>SUM(N1927:Y1927)</f>
        <v/>
      </c>
      <c r="AB1927" s="14">
        <f>IFERROR(IF(UPPER($E1927)="L",SUMPRODUCT(N1927:Y1927,$N$3:$Y$3,$N$2:$Y$2),SUMPRODUCT(N1927:Y1927,$N$4:$Y$4,$N$2:$Y$2))/(Z1927/($K1927*$L1927*$M1927)),"")</f>
        <v/>
      </c>
      <c r="AC1927" s="18" t="n"/>
    </row>
    <row r="1928">
      <c r="A1928" s="9" t="n">
        <v>458015</v>
      </c>
      <c r="B1928" s="9" t="inlineStr">
        <is>
          <t>Joey Votto</t>
        </is>
      </c>
      <c r="C1928" s="9" t="inlineStr">
        <is>
          <t>CIN</t>
        </is>
      </c>
      <c r="D1928" s="9" t="n">
        <v>43</v>
      </c>
      <c r="E1928" s="16" t="inlineStr">
        <is>
          <t>L</t>
        </is>
      </c>
      <c r="F1928" s="16" t="inlineStr">
        <is>
          <t>1B</t>
        </is>
      </c>
      <c r="G1928" s="9" t="n">
        <v>242</v>
      </c>
      <c r="H1928" s="9" t="n">
        <v>618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1" t="n">
        <v>1</v>
      </c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/>
      <c r="Y1928" s="17" t="n">
        <v>1</v>
      </c>
      <c r="Z1928" s="13">
        <f>SUMPRODUCT(N1928:Y1928,$N$2:$Y$2)*$K1928*$L1928*$M1928</f>
        <v/>
      </c>
      <c r="AA1928" s="14">
        <f>SUM(N1928:Y1928)</f>
        <v/>
      </c>
      <c r="AB1928" s="14">
        <f>IFERROR(IF(UPPER($E1928)="L",SUMPRODUCT(N1928:Y1928,$N$3:$Y$3,$N$2:$Y$2),SUMPRODUCT(N1928:Y1928,$N$4:$Y$4,$N$2:$Y$2))/(Z1928/($K1928*$L1928*$M1928)),"")</f>
        <v/>
      </c>
      <c r="AC1928" s="18" t="n"/>
    </row>
    <row r="1929">
      <c r="A1929" s="9" t="n">
        <v>807643</v>
      </c>
      <c r="B1929" s="9" t="inlineStr">
        <is>
          <t>Alfredo Alcantara</t>
        </is>
      </c>
      <c r="C1929" s="9" t="inlineStr">
        <is>
          <t>CIN</t>
        </is>
      </c>
      <c r="D1929" s="9" t="n">
        <v>25</v>
      </c>
      <c r="E1929" s="16" t="inlineStr">
        <is>
          <t>R</t>
        </is>
      </c>
      <c r="F1929" s="16" t="n"/>
      <c r="G1929" s="9" t="n">
        <v>86.76923076923077</v>
      </c>
      <c r="H1929" s="9" t="n">
        <v>86.76923076923077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1" t="n">
        <v>1</v>
      </c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/>
      <c r="Y1929" s="17" t="n">
        <v>1</v>
      </c>
      <c r="Z1929" s="13">
        <f>SUMPRODUCT(N1929:Y1929,$N$2:$Y$2)*$K1929*$L1929*$M1929</f>
        <v/>
      </c>
      <c r="AA1929" s="14">
        <f>SUM(N1929:Y1929)</f>
        <v/>
      </c>
      <c r="AB1929" s="14">
        <f>IFERROR(IF(UPPER($E1929)="L",SUMPRODUCT(N1929:Y1929,$N$3:$Y$3,$N$2:$Y$2),SUMPRODUCT(N1929:Y1929,$N$4:$Y$4,$N$2:$Y$2))/(Z1929/($K1929*$L1929*$M1929)),"")</f>
        <v/>
      </c>
      <c r="AC1929" s="18" t="n"/>
    </row>
    <row r="1930">
      <c r="A1930" s="9" t="n">
        <v>685091</v>
      </c>
      <c r="B1930" s="9" t="inlineStr">
        <is>
          <t>Parker Chavers</t>
        </is>
      </c>
      <c r="C1930" s="9" t="inlineStr">
        <is>
          <t>HOU</t>
        </is>
      </c>
      <c r="D1930" s="9" t="n">
        <v>25</v>
      </c>
      <c r="E1930" s="16" t="inlineStr">
        <is>
          <t>L</t>
        </is>
      </c>
      <c r="F1930" s="16" t="n"/>
      <c r="G1930" s="9" t="n">
        <v>23.6923076923077</v>
      </c>
      <c r="H1930" s="9" t="n">
        <v>23.6923076923077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1" t="n">
        <v>1</v>
      </c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/>
      <c r="Y1930" s="17" t="n">
        <v>1</v>
      </c>
      <c r="Z1930" s="13">
        <f>SUMPRODUCT(N1930:Y1930,$N$2:$Y$2)*$K1930*$L1930*$M1930</f>
        <v/>
      </c>
      <c r="AA1930" s="14">
        <f>SUM(N1930:Y1930)</f>
        <v/>
      </c>
      <c r="AB1930" s="14">
        <f>IFERROR(IF(UPPER($E1930)="L",SUMPRODUCT(N1930:Y1930,$N$3:$Y$3,$N$2:$Y$2),SUMPRODUCT(N1930:Y1930,$N$4:$Y$4,$N$2:$Y$2))/(Z1930/($K1930*$L1930*$M1930)),"")</f>
        <v/>
      </c>
      <c r="AC1930" s="18" t="n"/>
    </row>
    <row r="1931">
      <c r="A1931" s="9" t="n">
        <v>681132</v>
      </c>
      <c r="B1931" s="9" t="inlineStr">
        <is>
          <t>Max Ferguson</t>
        </is>
      </c>
      <c r="C1931" s="9" t="inlineStr">
        <is>
          <t>BOS</t>
        </is>
      </c>
      <c r="D1931" s="9" t="n">
        <v>25</v>
      </c>
      <c r="E1931" s="16" t="inlineStr">
        <is>
          <t>L</t>
        </is>
      </c>
      <c r="F1931" s="16" t="n"/>
      <c r="G1931" s="9" t="n">
        <v>74.46153846153847</v>
      </c>
      <c r="H1931" s="9" t="n">
        <v>74.46153846153847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1" t="n">
        <v>1</v>
      </c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/>
      <c r="Y1931" s="17" t="n">
        <v>1</v>
      </c>
      <c r="Z1931" s="13">
        <f>SUMPRODUCT(N1931:Y1931,$N$2:$Y$2)*$K1931*$L1931*$M1931</f>
        <v/>
      </c>
      <c r="AA1931" s="14">
        <f>SUM(N1931:Y1931)</f>
        <v/>
      </c>
      <c r="AB1931" s="14">
        <f>IFERROR(IF(UPPER($E1931)="L",SUMPRODUCT(N1931:Y1931,$N$3:$Y$3,$N$2:$Y$2),SUMPRODUCT(N1931:Y1931,$N$4:$Y$4,$N$2:$Y$2))/(Z1931/($K1931*$L1931*$M1931)),"")</f>
        <v/>
      </c>
      <c r="AC1931" s="18" t="n"/>
    </row>
    <row r="1932">
      <c r="A1932" s="9" t="n">
        <v>702619</v>
      </c>
      <c r="B1932" s="9" t="inlineStr">
        <is>
          <t>Luke Hill</t>
        </is>
      </c>
      <c r="C1932" s="9" t="inlineStr">
        <is>
          <t>CLE</t>
        </is>
      </c>
      <c r="D1932" s="9" t="n">
        <v>25</v>
      </c>
      <c r="E1932" s="16" t="inlineStr">
        <is>
          <t>R</t>
        </is>
      </c>
      <c r="F1932" s="16" t="n"/>
      <c r="G1932" s="9" t="n">
        <v>52.76923076923077</v>
      </c>
      <c r="H1932" s="9" t="n">
        <v>52.76923076923077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1" t="n">
        <v>1</v>
      </c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/>
      <c r="Y1932" s="17" t="n">
        <v>1</v>
      </c>
      <c r="Z1932" s="13">
        <f>SUMPRODUCT(N1932:Y1932,$N$2:$Y$2)*$K1932*$L1932*$M1932</f>
        <v/>
      </c>
      <c r="AA1932" s="14">
        <f>SUM(N1932:Y1932)</f>
        <v/>
      </c>
      <c r="AB1932" s="14">
        <f>IFERROR(IF(UPPER($E1932)="L",SUMPRODUCT(N1932:Y1932,$N$3:$Y$3,$N$2:$Y$2),SUMPRODUCT(N1932:Y1932,$N$4:$Y$4,$N$2:$Y$2))/(Z1932/($K1932*$L1932*$M1932)),"")</f>
        <v/>
      </c>
      <c r="AC1932" s="18" t="n"/>
    </row>
    <row r="1933">
      <c r="A1933" s="9" t="n">
        <v>701734</v>
      </c>
      <c r="B1933" s="9" t="inlineStr">
        <is>
          <t>Ryan McCrystal</t>
        </is>
      </c>
      <c r="C1933" s="9" t="inlineStr">
        <is>
          <t>CIN</t>
        </is>
      </c>
      <c r="D1933" s="9" t="n">
        <v>25</v>
      </c>
      <c r="E1933" s="16" t="inlineStr">
        <is>
          <t>L</t>
        </is>
      </c>
      <c r="F1933" s="16" t="n"/>
      <c r="G1933" s="9" t="n">
        <v>43.79487179487179</v>
      </c>
      <c r="H1933" s="9" t="n">
        <v>43.79487179487179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1" t="n">
        <v>1</v>
      </c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/>
      <c r="Y1933" s="17" t="n">
        <v>1</v>
      </c>
      <c r="Z1933" s="13">
        <f>SUMPRODUCT(N1933:Y1933,$N$2:$Y$2)*$K1933*$L1933*$M1933</f>
        <v/>
      </c>
      <c r="AA1933" s="14">
        <f>SUM(N1933:Y1933)</f>
        <v/>
      </c>
      <c r="AB1933" s="14">
        <f>IFERROR(IF(UPPER($E1933)="L",SUMPRODUCT(N1933:Y1933,$N$3:$Y$3,$N$2:$Y$2),SUMPRODUCT(N1933:Y1933,$N$4:$Y$4,$N$2:$Y$2))/(Z1933/($K1933*$L1933*$M1933)),"")</f>
        <v/>
      </c>
      <c r="AC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1" t="n">
        <v>1</v>
      </c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/>
      <c r="Y1934" s="17" t="n">
        <v>1</v>
      </c>
      <c r="Z1934" s="13">
        <f>SUMPRODUCT(N1934:Y1934,$N$2:$Y$2)*$K1934*$L1934*$M1934</f>
        <v/>
      </c>
      <c r="AA1934" s="14">
        <f>SUM(N1934:Y1934)</f>
        <v/>
      </c>
      <c r="AB1934" s="14">
        <f>IFERROR(IF(UPPER($E1934)="L",SUMPRODUCT(N1934:Y1934,$N$3:$Y$3,$N$2:$Y$2),SUMPRODUCT(N1934:Y1934,$N$4:$Y$4,$N$2:$Y$2))/(Z1934/($K1934*$L1934*$M1934)),"")</f>
        <v/>
      </c>
      <c r="AC1934" s="18" t="n"/>
    </row>
    <row r="1935">
      <c r="A1935" s="9" t="n">
        <v>808291</v>
      </c>
      <c r="B1935" s="9" t="inlineStr">
        <is>
          <t>Tyler Rodriguez</t>
        </is>
      </c>
      <c r="C1935" s="9" t="inlineStr">
        <is>
          <t>MIL</t>
        </is>
      </c>
      <c r="D1935" s="9" t="n">
        <v>25</v>
      </c>
      <c r="E1935" s="16" t="inlineStr">
        <is>
          <t>R</t>
        </is>
      </c>
      <c r="F1935" s="16" t="n"/>
      <c r="G1935" s="9" t="n">
        <v>33.84615384615385</v>
      </c>
      <c r="H1935" s="9" t="n">
        <v>33.84615384615385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1" t="n">
        <v>1</v>
      </c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/>
      <c r="Y1935" s="17" t="n">
        <v>1</v>
      </c>
      <c r="Z1935" s="13">
        <f>SUMPRODUCT(N1935:Y1935,$N$2:$Y$2)*$K1935*$L1935*$M1935</f>
        <v/>
      </c>
      <c r="AA1935" s="14">
        <f>SUM(N1935:Y1935)</f>
        <v/>
      </c>
      <c r="AB1935" s="14">
        <f>IFERROR(IF(UPPER($E1935)="L",SUMPRODUCT(N1935:Y1935,$N$3:$Y$3,$N$2:$Y$2),SUMPRODUCT(N1935:Y1935,$N$4:$Y$4,$N$2:$Y$2))/(Z1935/($K1935*$L1935*$M1935)),"")</f>
        <v/>
      </c>
      <c r="AC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1" t="n">
        <v>1</v>
      </c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/>
      <c r="Y1936" s="17" t="n">
        <v>1</v>
      </c>
      <c r="Z1936" s="13">
        <f>SUMPRODUCT(N1936:Y1936,$N$2:$Y$2)*$K1936*$L1936*$M1936</f>
        <v/>
      </c>
      <c r="AA1936" s="14">
        <f>SUM(N1936:Y1936)</f>
        <v/>
      </c>
      <c r="AB1936" s="14">
        <f>IFERROR(IF(UPPER($E1936)="L",SUMPRODUCT(N1936:Y1936,$N$3:$Y$3,$N$2:$Y$2),SUMPRODUCT(N1936:Y1936,$N$4:$Y$4,$N$2:$Y$2))/(Z1936/($K1936*$L1936*$M1936)),"")</f>
        <v/>
      </c>
      <c r="AC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1" t="n">
        <v>1</v>
      </c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/>
      <c r="Y1937" s="17" t="n">
        <v>1</v>
      </c>
      <c r="Z1937" s="13">
        <f>SUMPRODUCT(N1937:Y1937,$N$2:$Y$2)*$K1937*$L1937*$M1937</f>
        <v/>
      </c>
      <c r="AA1937" s="14">
        <f>SUM(N1937:Y1937)</f>
        <v/>
      </c>
      <c r="AB1937" s="14">
        <f>IFERROR(IF(UPPER($E1937)="L",SUMPRODUCT(N1937:Y1937,$N$3:$Y$3,$N$2:$Y$2),SUMPRODUCT(N1937:Y1937,$N$4:$Y$4,$N$2:$Y$2))/(Z1937/($K1937*$L1937*$M1937)),"")</f>
        <v/>
      </c>
      <c r="AC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1" t="n">
        <v>1</v>
      </c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/>
      <c r="Y1938" s="17" t="n">
        <v>1</v>
      </c>
      <c r="Z1938" s="13">
        <f>SUMPRODUCT(N1938:Y1938,$N$2:$Y$2)*$K1938*$L1938*$M1938</f>
        <v/>
      </c>
      <c r="AA1938" s="14">
        <f>SUM(N1938:Y1938)</f>
        <v/>
      </c>
      <c r="AB1938" s="14">
        <f>IFERROR(IF(UPPER($E1938)="L",SUMPRODUCT(N1938:Y1938,$N$3:$Y$3,$N$2:$Y$2),SUMPRODUCT(N1938:Y1938,$N$4:$Y$4,$N$2:$Y$2))/(Z1938/($K1938*$L1938*$M1938)),"")</f>
        <v/>
      </c>
      <c r="AC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1" t="n">
        <v>1</v>
      </c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/>
      <c r="Y1939" s="17" t="n">
        <v>1</v>
      </c>
      <c r="Z1939" s="13">
        <f>SUMPRODUCT(N1939:Y1939,$N$2:$Y$2)*$K1939*$L1939*$M1939</f>
        <v/>
      </c>
      <c r="AA1939" s="14">
        <f>SUM(N1939:Y1939)</f>
        <v/>
      </c>
      <c r="AB1939" s="14">
        <f>IFERROR(IF(UPPER($E1939)="L",SUMPRODUCT(N1939:Y1939,$N$3:$Y$3,$N$2:$Y$2),SUMPRODUCT(N1939:Y1939,$N$4:$Y$4,$N$2:$Y$2))/(Z1939/($K1939*$L1939*$M1939)),"")</f>
        <v/>
      </c>
      <c r="AC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inlineStr">
        <is>
          <t>C</t>
        </is>
      </c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1" t="n">
        <v>1</v>
      </c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/>
      <c r="Y1940" s="17" t="n">
        <v>1</v>
      </c>
      <c r="Z1940" s="13">
        <f>SUMPRODUCT(N1940:Y1940,$N$2:$Y$2)*$K1940*$L1940*$M1940</f>
        <v/>
      </c>
      <c r="AA1940" s="14">
        <f>SUM(N1940:Y1940)</f>
        <v/>
      </c>
      <c r="AB1940" s="14">
        <f>IFERROR(IF(UPPER($E1940)="L",SUMPRODUCT(N1940:Y1940,$N$3:$Y$3,$N$2:$Y$2),SUMPRODUCT(N1940:Y1940,$N$4:$Y$4,$N$2:$Y$2))/(Z1940/($K1940*$L1940*$M1940)),"")</f>
        <v/>
      </c>
      <c r="AC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1" t="n">
        <v>1</v>
      </c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/>
      <c r="Y1941" s="17" t="n">
        <v>1</v>
      </c>
      <c r="Z1941" s="13">
        <f>SUMPRODUCT(N1941:Y1941,$N$2:$Y$2)*$K1941*$L1941*$M1941</f>
        <v/>
      </c>
      <c r="AA1941" s="14">
        <f>SUM(N1941:Y1941)</f>
        <v/>
      </c>
      <c r="AB1941" s="14">
        <f>IFERROR(IF(UPPER($E1941)="L",SUMPRODUCT(N1941:Y1941,$N$3:$Y$3,$N$2:$Y$2),SUMPRODUCT(N1941:Y1941,$N$4:$Y$4,$N$2:$Y$2))/(Z1941/($K1941*$L1941*$M1941)),"")</f>
        <v/>
      </c>
      <c r="AC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1" t="n">
        <v>1</v>
      </c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/>
      <c r="Y1942" s="17" t="n">
        <v>1</v>
      </c>
      <c r="Z1942" s="13">
        <f>SUMPRODUCT(N1942:Y1942,$N$2:$Y$2)*$K1942*$L1942*$M1942</f>
        <v/>
      </c>
      <c r="AA1942" s="14">
        <f>SUM(N1942:Y1942)</f>
        <v/>
      </c>
      <c r="AB1942" s="14">
        <f>IFERROR(IF(UPPER($E1942)="L",SUMPRODUCT(N1942:Y1942,$N$3:$Y$3,$N$2:$Y$2),SUMPRODUCT(N1942:Y1942,$N$4:$Y$4,$N$2:$Y$2))/(Z1942/($K1942*$L1942*$M1942)),"")</f>
        <v/>
      </c>
      <c r="AC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1" t="n">
        <v>1</v>
      </c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/>
      <c r="Y1943" s="17" t="n">
        <v>1</v>
      </c>
      <c r="Z1943" s="13">
        <f>SUMPRODUCT(N1943:Y1943,$N$2:$Y$2)*$K1943*$L1943*$M1943</f>
        <v/>
      </c>
      <c r="AA1943" s="14">
        <f>SUM(N1943:Y1943)</f>
        <v/>
      </c>
      <c r="AB1943" s="14">
        <f>IFERROR(IF(UPPER($E1943)="L",SUMPRODUCT(N1943:Y1943,$N$3:$Y$3,$N$2:$Y$2),SUMPRODUCT(N1943:Y1943,$N$4:$Y$4,$N$2:$Y$2))/(Z1943/($K1943*$L1943*$M1943)),"")</f>
        <v/>
      </c>
      <c r="AC1943" s="18" t="n"/>
    </row>
    <row r="1944">
      <c r="A1944" s="9" t="n">
        <v>643348</v>
      </c>
      <c r="B1944" s="9" t="inlineStr">
        <is>
          <t>Caleb Hamilton</t>
        </is>
      </c>
      <c r="C1944" s="9" t="inlineStr">
        <is>
          <t>BOS</t>
        </is>
      </c>
      <c r="D1944" s="9" t="n">
        <v>32</v>
      </c>
      <c r="E1944" s="16" t="inlineStr">
        <is>
          <t>R</t>
        </is>
      </c>
      <c r="F1944" s="16" t="inlineStr">
        <is>
          <t>C</t>
        </is>
      </c>
      <c r="G1944" s="9" t="n">
        <v>6</v>
      </c>
      <c r="H1944" s="9" t="n">
        <v>29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1" t="n">
        <v>1</v>
      </c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/>
      <c r="Y1944" s="17" t="n">
        <v>1</v>
      </c>
      <c r="Z1944" s="13">
        <f>SUMPRODUCT(N1944:Y1944,$N$2:$Y$2)*$K1944*$L1944*$M1944</f>
        <v/>
      </c>
      <c r="AA1944" s="14">
        <f>SUM(N1944:Y1944)</f>
        <v/>
      </c>
      <c r="AB1944" s="14">
        <f>IFERROR(IF(UPPER($E1944)="L",SUMPRODUCT(N1944:Y1944,$N$3:$Y$3,$N$2:$Y$2),SUMPRODUCT(N1944:Y1944,$N$4:$Y$4,$N$2:$Y$2))/(Z1944/($K1944*$L1944*$M1944)),"")</f>
        <v/>
      </c>
      <c r="AC1944" s="18" t="n"/>
    </row>
    <row r="1945">
      <c r="A1945" s="9" t="n">
        <v>829058</v>
      </c>
      <c r="B1945" s="9" t="inlineStr">
        <is>
          <t>Gabriel Davalillo</t>
        </is>
      </c>
      <c r="C1945" s="9" t="inlineStr">
        <is>
          <t>LAA</t>
        </is>
      </c>
      <c r="D1945" s="9" t="n">
        <v>25</v>
      </c>
      <c r="E1945" s="16" t="inlineStr">
        <is>
          <t>R</t>
        </is>
      </c>
      <c r="F1945" s="16" t="n"/>
      <c r="G1945" s="9" t="n">
        <v>54.52307692307692</v>
      </c>
      <c r="H1945" s="9" t="n">
        <v>54.52307692307692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1" t="n">
        <v>1</v>
      </c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/>
      <c r="Y1945" s="17" t="n">
        <v>1</v>
      </c>
      <c r="Z1945" s="13">
        <f>SUMPRODUCT(N1945:Y1945,$N$2:$Y$2)*$K1945*$L1945*$M1945</f>
        <v/>
      </c>
      <c r="AA1945" s="14">
        <f>SUM(N1945:Y1945)</f>
        <v/>
      </c>
      <c r="AB1945" s="14">
        <f>IFERROR(IF(UPPER($E1945)="L",SUMPRODUCT(N1945:Y1945,$N$3:$Y$3,$N$2:$Y$2),SUMPRODUCT(N1945:Y1945,$N$4:$Y$4,$N$2:$Y$2))/(Z1945/($K1945*$L1945*$M1945)),"")</f>
        <v/>
      </c>
      <c r="AC1945" s="18" t="n"/>
    </row>
    <row r="1946">
      <c r="A1946" s="9" t="n">
        <v>808159</v>
      </c>
      <c r="B1946" s="9" t="inlineStr">
        <is>
          <t>Jonathan Martinez</t>
        </is>
      </c>
      <c r="C1946" s="9" t="inlineStr">
        <is>
          <t>CLE</t>
        </is>
      </c>
      <c r="D1946" s="9" t="n">
        <v>25</v>
      </c>
      <c r="E1946" s="16" t="inlineStr">
        <is>
          <t>S</t>
        </is>
      </c>
      <c r="F1946" s="16" t="n"/>
      <c r="G1946" s="9" t="n">
        <v>30.64615384615384</v>
      </c>
      <c r="H1946" s="9" t="n">
        <v>30.64615384615384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1" t="n">
        <v>1</v>
      </c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/>
      <c r="Y1946" s="17" t="n">
        <v>1</v>
      </c>
      <c r="Z1946" s="13">
        <f>SUMPRODUCT(N1946:Y1946,$N$2:$Y$2)*$K1946*$L1946*$M1946</f>
        <v/>
      </c>
      <c r="AA1946" s="14">
        <f>SUM(N1946:Y1946)</f>
        <v/>
      </c>
      <c r="AB1946" s="14">
        <f>IFERROR(IF(UPPER($E1946)="L",SUMPRODUCT(N1946:Y1946,$N$3:$Y$3,$N$2:$Y$2),SUMPRODUCT(N1946:Y1946,$N$4:$Y$4,$N$2:$Y$2))/(Z1946/($K1946*$L1946*$M1946)),"")</f>
        <v/>
      </c>
      <c r="AC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inlineStr">
        <is>
          <t>LF</t>
        </is>
      </c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1" t="n">
        <v>0.8775064173277538</v>
      </c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/>
      <c r="W1947" s="17" t="n">
        <v>1</v>
      </c>
      <c r="X1947" s="17" t="n"/>
      <c r="Y1947" s="17" t="n"/>
      <c r="Z1947" s="13">
        <f>SUMPRODUCT(N1947:Y1947,$N$2:$Y$2)*$K1947*$L1947*$M1947</f>
        <v/>
      </c>
      <c r="AA1947" s="14">
        <f>SUM(N1947:Y1947)</f>
        <v/>
      </c>
      <c r="AB1947" s="14">
        <f>IFERROR(IF(UPPER($E1947)="L",SUMPRODUCT(N1947:Y1947,$N$3:$Y$3,$N$2:$Y$2),SUMPRODUCT(N1947:Y1947,$N$4:$Y$4,$N$2:$Y$2))/(Z1947/($K1947*$L1947*$M1947)),"")</f>
        <v/>
      </c>
      <c r="AC1947" s="18" t="n"/>
    </row>
    <row r="1948">
      <c r="A1948" s="9" t="n">
        <v>821657</v>
      </c>
      <c r="B1948" s="9" t="inlineStr">
        <is>
          <t>Gabriel Rodriguez</t>
        </is>
      </c>
      <c r="C1948" s="9" t="inlineStr">
        <is>
          <t>CLE</t>
        </is>
      </c>
      <c r="D1948" s="9" t="n">
        <v>25</v>
      </c>
      <c r="E1948" s="16" t="inlineStr">
        <is>
          <t>L</t>
        </is>
      </c>
      <c r="F1948" s="16" t="n"/>
      <c r="G1948" s="9" t="n">
        <v>32.49230769230769</v>
      </c>
      <c r="H1948" s="9" t="n">
        <v>32.49230769230769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1" t="n">
        <v>1</v>
      </c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/>
      <c r="Y1948" s="17" t="n">
        <v>1</v>
      </c>
      <c r="Z1948" s="13">
        <f>SUMPRODUCT(N1948:Y1948,$N$2:$Y$2)*$K1948*$L1948*$M1948</f>
        <v/>
      </c>
      <c r="AA1948" s="14">
        <f>SUM(N1948:Y1948)</f>
        <v/>
      </c>
      <c r="AB1948" s="14">
        <f>IFERROR(IF(UPPER($E1948)="L",SUMPRODUCT(N1948:Y1948,$N$3:$Y$3,$N$2:$Y$2),SUMPRODUCT(N1948:Y1948,$N$4:$Y$4,$N$2:$Y$2))/(Z1948/($K1948*$L1948*$M1948)),"")</f>
        <v/>
      </c>
      <c r="AC1948" s="18" t="n"/>
    </row>
    <row r="1949">
      <c r="A1949" s="9" t="n">
        <v>808282</v>
      </c>
      <c r="B1949" s="9" t="inlineStr">
        <is>
          <t>Victor Cardoza</t>
        </is>
      </c>
      <c r="C1949" s="9" t="inlineStr">
        <is>
          <t>PHI</t>
        </is>
      </c>
      <c r="D1949" s="9" t="n">
        <v>25</v>
      </c>
      <c r="E1949" s="16" t="inlineStr">
        <is>
          <t>R</t>
        </is>
      </c>
      <c r="F1949" s="16" t="n"/>
      <c r="G1949" s="9" t="n">
        <v>26.95384615384616</v>
      </c>
      <c r="H1949" s="9" t="n">
        <v>26.95384615384616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1" t="n">
        <v>1</v>
      </c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/>
      <c r="Y1949" s="17" t="n">
        <v>1</v>
      </c>
      <c r="Z1949" s="13">
        <f>SUMPRODUCT(N1949:Y1949,$N$2:$Y$2)*$K1949*$L1949*$M1949</f>
        <v/>
      </c>
      <c r="AA1949" s="14">
        <f>SUM(N1949:Y1949)</f>
        <v/>
      </c>
      <c r="AB1949" s="14">
        <f>IFERROR(IF(UPPER($E1949)="L",SUMPRODUCT(N1949:Y1949,$N$3:$Y$3,$N$2:$Y$2),SUMPRODUCT(N1949:Y1949,$N$4:$Y$4,$N$2:$Y$2))/(Z1949/($K1949*$L1949*$M1949)),"")</f>
        <v/>
      </c>
      <c r="AC1949" s="18" t="n"/>
    </row>
    <row r="1950">
      <c r="A1950" s="9" t="n">
        <v>573131</v>
      </c>
      <c r="B1950" s="9" t="inlineStr">
        <is>
          <t>Darin Ruf</t>
        </is>
      </c>
      <c r="C1950" s="9" t="inlineStr">
        <is>
          <t>MIL</t>
        </is>
      </c>
      <c r="D1950" s="9" t="n">
        <v>40</v>
      </c>
      <c r="E1950" s="16" t="inlineStr">
        <is>
          <t>R</t>
        </is>
      </c>
      <c r="F1950" s="16" t="inlineStr">
        <is>
          <t>1B</t>
        </is>
      </c>
      <c r="G1950" s="9" t="n">
        <v>57</v>
      </c>
      <c r="H1950" s="9" t="n">
        <v>445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1" t="n">
        <v>1</v>
      </c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/>
      <c r="Y1950" s="17" t="n">
        <v>1</v>
      </c>
      <c r="Z1950" s="13">
        <f>SUMPRODUCT(N1950:Y1950,$N$2:$Y$2)*$K1950*$L1950*$M1950</f>
        <v/>
      </c>
      <c r="AA1950" s="14">
        <f>SUM(N1950:Y1950)</f>
        <v/>
      </c>
      <c r="AB1950" s="14">
        <f>IFERROR(IF(UPPER($E1950)="L",SUMPRODUCT(N1950:Y1950,$N$3:$Y$3,$N$2:$Y$2),SUMPRODUCT(N1950:Y1950,$N$4:$Y$4,$N$2:$Y$2))/(Z1950/($K1950*$L1950*$M1950)),"")</f>
        <v/>
      </c>
      <c r="AC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1" t="n">
        <v>1</v>
      </c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/>
      <c r="Y1951" s="17" t="n">
        <v>1</v>
      </c>
      <c r="Z1951" s="13">
        <f>SUMPRODUCT(N1951:Y1951,$N$2:$Y$2)*$K1951*$L1951*$M1951</f>
        <v/>
      </c>
      <c r="AA1951" s="14">
        <f>SUM(N1951:Y1951)</f>
        <v/>
      </c>
      <c r="AB1951" s="14">
        <f>IFERROR(IF(UPPER($E1951)="L",SUMPRODUCT(N1951:Y1951,$N$3:$Y$3,$N$2:$Y$2),SUMPRODUCT(N1951:Y1951,$N$4:$Y$4,$N$2:$Y$2))/(Z1951/($K1951*$L1951*$M1951)),"")</f>
        <v/>
      </c>
      <c r="AC1951" s="18" t="n"/>
    </row>
    <row r="1952">
      <c r="A1952" s="9" t="n">
        <v>691411</v>
      </c>
      <c r="B1952" s="9" t="inlineStr">
        <is>
          <t>Luis Durango</t>
        </is>
      </c>
      <c r="C1952" s="9" t="inlineStr">
        <is>
          <t>NYY</t>
        </is>
      </c>
      <c r="D1952" s="9" t="n">
        <v>25</v>
      </c>
      <c r="E1952" s="16" t="inlineStr">
        <is>
          <t>L</t>
        </is>
      </c>
      <c r="F1952" s="16" t="n"/>
      <c r="G1952" s="9" t="n">
        <v>26.56410256410256</v>
      </c>
      <c r="H1952" s="9" t="n">
        <v>26.56410256410256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1" t="n">
        <v>1</v>
      </c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/>
      <c r="Y1952" s="17" t="n">
        <v>1</v>
      </c>
      <c r="Z1952" s="13">
        <f>SUMPRODUCT(N1952:Y1952,$N$2:$Y$2)*$K1952*$L1952*$M1952</f>
        <v/>
      </c>
      <c r="AA1952" s="14">
        <f>SUM(N1952:Y1952)</f>
        <v/>
      </c>
      <c r="AB1952" s="14">
        <f>IFERROR(IF(UPPER($E1952)="L",SUMPRODUCT(N1952:Y1952,$N$3:$Y$3,$N$2:$Y$2),SUMPRODUCT(N1952:Y1952,$N$4:$Y$4,$N$2:$Y$2))/(Z1952/($K1952*$L1952*$M1952)),"")</f>
        <v/>
      </c>
      <c r="AC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1" t="n">
        <v>1</v>
      </c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/>
      <c r="Y1953" s="17" t="n">
        <v>1</v>
      </c>
      <c r="Z1953" s="13">
        <f>SUMPRODUCT(N1953:Y1953,$N$2:$Y$2)*$K1953*$L1953*$M1953</f>
        <v/>
      </c>
      <c r="AA1953" s="14">
        <f>SUM(N1953:Y1953)</f>
        <v/>
      </c>
      <c r="AB1953" s="14">
        <f>IFERROR(IF(UPPER($E1953)="L",SUMPRODUCT(N1953:Y1953,$N$3:$Y$3,$N$2:$Y$2),SUMPRODUCT(N1953:Y1953,$N$4:$Y$4,$N$2:$Y$2))/(Z1953/($K1953*$L1953*$M1953)),"")</f>
        <v/>
      </c>
      <c r="AC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1" t="n">
        <v>1</v>
      </c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/>
      <c r="Y1954" s="17" t="n">
        <v>1</v>
      </c>
      <c r="Z1954" s="13">
        <f>SUMPRODUCT(N1954:Y1954,$N$2:$Y$2)*$K1954*$L1954*$M1954</f>
        <v/>
      </c>
      <c r="AA1954" s="14">
        <f>SUM(N1954:Y1954)</f>
        <v/>
      </c>
      <c r="AB1954" s="14">
        <f>IFERROR(IF(UPPER($E1954)="L",SUMPRODUCT(N1954:Y1954,$N$3:$Y$3,$N$2:$Y$2),SUMPRODUCT(N1954:Y1954,$N$4:$Y$4,$N$2:$Y$2))/(Z1954/($K1954*$L1954*$M1954)),"")</f>
        <v/>
      </c>
      <c r="AC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1" t="n">
        <v>1</v>
      </c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/>
      <c r="Y1955" s="17" t="n">
        <v>1</v>
      </c>
      <c r="Z1955" s="13">
        <f>SUMPRODUCT(N1955:Y1955,$N$2:$Y$2)*$K1955*$L1955*$M1955</f>
        <v/>
      </c>
      <c r="AA1955" s="14">
        <f>SUM(N1955:Y1955)</f>
        <v/>
      </c>
      <c r="AB1955" s="14">
        <f>IFERROR(IF(UPPER($E1955)="L",SUMPRODUCT(N1955:Y1955,$N$3:$Y$3,$N$2:$Y$2),SUMPRODUCT(N1955:Y1955,$N$4:$Y$4,$N$2:$Y$2))/(Z1955/($K1955*$L1955*$M1955)),"")</f>
        <v/>
      </c>
      <c r="AC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1" t="n">
        <v>1</v>
      </c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/>
      <c r="Y1956" s="17" t="n">
        <v>1</v>
      </c>
      <c r="Z1956" s="13">
        <f>SUMPRODUCT(N1956:Y1956,$N$2:$Y$2)*$K1956*$L1956*$M1956</f>
        <v/>
      </c>
      <c r="AA1956" s="14">
        <f>SUM(N1956:Y1956)</f>
        <v/>
      </c>
      <c r="AB1956" s="14">
        <f>IFERROR(IF(UPPER($E1956)="L",SUMPRODUCT(N1956:Y1956,$N$3:$Y$3,$N$2:$Y$2),SUMPRODUCT(N1956:Y1956,$N$4:$Y$4,$N$2:$Y$2))/(Z1956/($K1956*$L1956*$M1956)),"")</f>
        <v/>
      </c>
      <c r="AC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inlineStr">
        <is>
          <t>1B</t>
        </is>
      </c>
      <c r="G1957" s="9" t="n">
        <v>451</v>
      </c>
      <c r="H1957" s="9" t="n">
        <v>1287</v>
      </c>
      <c r="I1957" s="9" t="inlineStr">
        <is>
          <t>Strong Side Platoon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1" t="n">
        <v>0.9599098596807004</v>
      </c>
      <c r="N1957" s="17" t="n">
        <v>0.4</v>
      </c>
      <c r="O1957" s="17" t="n"/>
      <c r="P1957" s="17" t="n">
        <v>0.6</v>
      </c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7" t="n"/>
      <c r="Z1957" s="13">
        <f>SUMPRODUCT(N1957:Y1957,$N$2:$Y$2)*$K1957*$L1957*$M1957</f>
        <v/>
      </c>
      <c r="AA1957" s="14">
        <f>SUM(N1957:Y1957)</f>
        <v/>
      </c>
      <c r="AB1957" s="14">
        <f>IFERROR(IF(UPPER($E1957)="L",SUMPRODUCT(N1957:Y1957,$N$3:$Y$3,$N$2:$Y$2),SUMPRODUCT(N1957:Y1957,$N$4:$Y$4,$N$2:$Y$2))/(Z1957/($K1957*$L1957*$M1957)),"")</f>
        <v/>
      </c>
      <c r="AC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1" t="n">
        <v>1</v>
      </c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/>
      <c r="Y1958" s="17" t="n">
        <v>1</v>
      </c>
      <c r="Z1958" s="13">
        <f>SUMPRODUCT(N1958:Y1958,$N$2:$Y$2)*$K1958*$L1958*$M1958</f>
        <v/>
      </c>
      <c r="AA1958" s="14">
        <f>SUM(N1958:Y1958)</f>
        <v/>
      </c>
      <c r="AB1958" s="14">
        <f>IFERROR(IF(UPPER($E1958)="L",SUMPRODUCT(N1958:Y1958,$N$3:$Y$3,$N$2:$Y$2),SUMPRODUCT(N1958:Y1958,$N$4:$Y$4,$N$2:$Y$2))/(Z1958/($K1958*$L1958*$M1958)),"")</f>
        <v/>
      </c>
      <c r="AC1958" s="18" t="n"/>
    </row>
    <row r="1959">
      <c r="A1959" s="9" t="n">
        <v>808289</v>
      </c>
      <c r="B1959" s="9" t="inlineStr">
        <is>
          <t>Julio Zayas</t>
        </is>
      </c>
      <c r="C1959" s="9" t="inlineStr">
        <is>
          <t>NYM</t>
        </is>
      </c>
      <c r="D1959" s="9" t="n">
        <v>25</v>
      </c>
      <c r="E1959" s="16" t="inlineStr">
        <is>
          <t>R</t>
        </is>
      </c>
      <c r="F1959" s="16" t="n"/>
      <c r="G1959" s="9" t="n">
        <v>50.58461538461538</v>
      </c>
      <c r="H1959" s="9" t="n">
        <v>50.58461538461538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1" t="n">
        <v>1</v>
      </c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/>
      <c r="Y1959" s="17" t="n">
        <v>1</v>
      </c>
      <c r="Z1959" s="13">
        <f>SUMPRODUCT(N1959:Y1959,$N$2:$Y$2)*$K1959*$L1959*$M1959</f>
        <v/>
      </c>
      <c r="AA1959" s="14">
        <f>SUM(N1959:Y1959)</f>
        <v/>
      </c>
      <c r="AB1959" s="14">
        <f>IFERROR(IF(UPPER($E1959)="L",SUMPRODUCT(N1959:Y1959,$N$3:$Y$3,$N$2:$Y$2),SUMPRODUCT(N1959:Y1959,$N$4:$Y$4,$N$2:$Y$2))/(Z1959/($K1959*$L1959*$M1959)),"")</f>
        <v/>
      </c>
      <c r="AC1959" s="18" t="n"/>
    </row>
    <row r="1960">
      <c r="A1960" s="9" t="n">
        <v>800276</v>
      </c>
      <c r="B1960" s="9" t="inlineStr">
        <is>
          <t>Juan Villavicencio</t>
        </is>
      </c>
      <c r="C1960" s="9" t="inlineStr">
        <is>
          <t>PHI</t>
        </is>
      </c>
      <c r="D1960" s="9" t="n">
        <v>25</v>
      </c>
      <c r="E1960" s="16" t="inlineStr">
        <is>
          <t>L</t>
        </is>
      </c>
      <c r="F1960" s="16" t="n"/>
      <c r="G1960" s="9" t="n">
        <v>29.74358974358975</v>
      </c>
      <c r="H1960" s="9" t="n">
        <v>29.74358974358975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1" t="n">
        <v>1</v>
      </c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/>
      <c r="Y1960" s="17" t="n">
        <v>1</v>
      </c>
      <c r="Z1960" s="13">
        <f>SUMPRODUCT(N1960:Y1960,$N$2:$Y$2)*$K1960*$L1960*$M1960</f>
        <v/>
      </c>
      <c r="AA1960" s="14">
        <f>SUM(N1960:Y1960)</f>
        <v/>
      </c>
      <c r="AB1960" s="14">
        <f>IFERROR(IF(UPPER($E1960)="L",SUMPRODUCT(N1960:Y1960,$N$3:$Y$3,$N$2:$Y$2),SUMPRODUCT(N1960:Y1960,$N$4:$Y$4,$N$2:$Y$2))/(Z1960/($K1960*$L1960*$M1960)),"")</f>
        <v/>
      </c>
      <c r="AC1960" s="18" t="n"/>
    </row>
    <row r="1961">
      <c r="A1961" s="9" t="n">
        <v>700648</v>
      </c>
      <c r="B1961" s="9" t="inlineStr">
        <is>
          <t>Josue Gonzalez</t>
        </is>
      </c>
      <c r="C1961" s="9" t="inlineStr">
        <is>
          <t>NYY</t>
        </is>
      </c>
      <c r="D1961" s="9" t="n">
        <v>25</v>
      </c>
      <c r="E1961" s="16" t="inlineStr">
        <is>
          <t>R</t>
        </is>
      </c>
      <c r="F1961" s="16" t="n"/>
      <c r="G1961" s="9" t="n">
        <v>52.1025641025641</v>
      </c>
      <c r="H1961" s="9" t="n">
        <v>52.1025641025641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1" t="n">
        <v>1</v>
      </c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/>
      <c r="Y1961" s="17" t="n">
        <v>1</v>
      </c>
      <c r="Z1961" s="13">
        <f>SUMPRODUCT(N1961:Y1961,$N$2:$Y$2)*$K1961*$L1961*$M1961</f>
        <v/>
      </c>
      <c r="AA1961" s="14">
        <f>SUM(N1961:Y1961)</f>
        <v/>
      </c>
      <c r="AB1961" s="14">
        <f>IFERROR(IF(UPPER($E1961)="L",SUMPRODUCT(N1961:Y1961,$N$3:$Y$3,$N$2:$Y$2),SUMPRODUCT(N1961:Y1961,$N$4:$Y$4,$N$2:$Y$2))/(Z1961/($K1961*$L1961*$M1961)),"")</f>
        <v/>
      </c>
      <c r="AC1961" s="18" t="n"/>
    </row>
    <row r="1962">
      <c r="A1962" s="9" t="n">
        <v>806401</v>
      </c>
      <c r="B1962" s="9" t="inlineStr">
        <is>
          <t>Dayson Croes</t>
        </is>
      </c>
      <c r="C1962" s="9" t="inlineStr">
        <is>
          <t>SF</t>
        </is>
      </c>
      <c r="D1962" s="9" t="n">
        <v>25</v>
      </c>
      <c r="E1962" s="16" t="inlineStr">
        <is>
          <t>L</t>
        </is>
      </c>
      <c r="F1962" s="16" t="n"/>
      <c r="G1962" s="9" t="n">
        <v>45.12820512820514</v>
      </c>
      <c r="H1962" s="9" t="n">
        <v>45.12820512820514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1" t="n">
        <v>1</v>
      </c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/>
      <c r="Y1962" s="17" t="n">
        <v>1</v>
      </c>
      <c r="Z1962" s="13">
        <f>SUMPRODUCT(N1962:Y1962,$N$2:$Y$2)*$K1962*$L1962*$M1962</f>
        <v/>
      </c>
      <c r="AA1962" s="14">
        <f>SUM(N1962:Y1962)</f>
        <v/>
      </c>
      <c r="AB1962" s="14">
        <f>IFERROR(IF(UPPER($E1962)="L",SUMPRODUCT(N1962:Y1962,$N$3:$Y$3,$N$2:$Y$2),SUMPRODUCT(N1962:Y1962,$N$4:$Y$4,$N$2:$Y$2))/(Z1962/($K1962*$L1962*$M1962)),"")</f>
        <v/>
      </c>
      <c r="AC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1" t="n">
        <v>1</v>
      </c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/>
      <c r="Y1963" s="17" t="n">
        <v>1</v>
      </c>
      <c r="Z1963" s="13">
        <f>SUMPRODUCT(N1963:Y1963,$N$2:$Y$2)*$K1963*$L1963*$M1963</f>
        <v/>
      </c>
      <c r="AA1963" s="14">
        <f>SUM(N1963:Y1963)</f>
        <v/>
      </c>
      <c r="AB1963" s="14">
        <f>IFERROR(IF(UPPER($E1963)="L",SUMPRODUCT(N1963:Y1963,$N$3:$Y$3,$N$2:$Y$2),SUMPRODUCT(N1963:Y1963,$N$4:$Y$4,$N$2:$Y$2))/(Z1963/($K1963*$L1963*$M1963)),"")</f>
        <v/>
      </c>
      <c r="AC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1" t="n">
        <v>1</v>
      </c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/>
      <c r="Y1964" s="17" t="n">
        <v>1</v>
      </c>
      <c r="Z1964" s="13">
        <f>SUMPRODUCT(N1964:Y1964,$N$2:$Y$2)*$K1964*$L1964*$M1964</f>
        <v/>
      </c>
      <c r="AA1964" s="14">
        <f>SUM(N1964:Y1964)</f>
        <v/>
      </c>
      <c r="AB1964" s="14">
        <f>IFERROR(IF(UPPER($E1964)="L",SUMPRODUCT(N1964:Y1964,$N$3:$Y$3,$N$2:$Y$2),SUMPRODUCT(N1964:Y1964,$N$4:$Y$4,$N$2:$Y$2))/(Z1964/($K1964*$L1964*$M1964)),"")</f>
        <v/>
      </c>
      <c r="AC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1" t="n">
        <v>1</v>
      </c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/>
      <c r="Y1965" s="17" t="n">
        <v>1</v>
      </c>
      <c r="Z1965" s="13">
        <f>SUMPRODUCT(N1965:Y1965,$N$2:$Y$2)*$K1965*$L1965*$M1965</f>
        <v/>
      </c>
      <c r="AA1965" s="14">
        <f>SUM(N1965:Y1965)</f>
        <v/>
      </c>
      <c r="AB1965" s="14">
        <f>IFERROR(IF(UPPER($E1965)="L",SUMPRODUCT(N1965:Y1965,$N$3:$Y$3,$N$2:$Y$2),SUMPRODUCT(N1965:Y1965,$N$4:$Y$4,$N$2:$Y$2))/(Z1965/($K1965*$L1965*$M1965)),"")</f>
        <v/>
      </c>
      <c r="AC1965" s="18" t="n"/>
    </row>
    <row r="1966">
      <c r="A1966" s="9" t="n">
        <v>663527</v>
      </c>
      <c r="B1966" s="9" t="inlineStr">
        <is>
          <t>Tyler Nevin</t>
        </is>
      </c>
      <c r="C1966" s="9" t="inlineStr">
        <is>
          <t>OAK</t>
        </is>
      </c>
      <c r="D1966" s="9" t="n">
        <v>30</v>
      </c>
      <c r="E1966" s="16" t="inlineStr">
        <is>
          <t>R</t>
        </is>
      </c>
      <c r="F1966" s="16" t="inlineStr">
        <is>
          <t>1B</t>
        </is>
      </c>
      <c r="G1966" s="9" t="n">
        <v>278</v>
      </c>
      <c r="H1966" s="9" t="n">
        <v>573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1" t="n">
        <v>1</v>
      </c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/>
      <c r="Y1966" s="17" t="n">
        <v>1</v>
      </c>
      <c r="Z1966" s="13">
        <f>SUMPRODUCT(N1966:Y1966,$N$2:$Y$2)*$K1966*$L1966*$M1966</f>
        <v/>
      </c>
      <c r="AA1966" s="14">
        <f>SUM(N1966:Y1966)</f>
        <v/>
      </c>
      <c r="AB1966" s="14">
        <f>IFERROR(IF(UPPER($E1966)="L",SUMPRODUCT(N1966:Y1966,$N$3:$Y$3,$N$2:$Y$2),SUMPRODUCT(N1966:Y1966,$N$4:$Y$4,$N$2:$Y$2))/(Z1966/($K1966*$L1966*$M1966)),"")</f>
        <v/>
      </c>
      <c r="AC1966" s="18" t="n"/>
    </row>
    <row r="1967">
      <c r="A1967" s="9" t="n">
        <v>693459</v>
      </c>
      <c r="B1967" s="9" t="inlineStr">
        <is>
          <t>Kyler Fedko</t>
        </is>
      </c>
      <c r="C1967" s="9" t="inlineStr">
        <is>
          <t>MIN</t>
        </is>
      </c>
      <c r="D1967" s="9" t="n">
        <v>27</v>
      </c>
      <c r="E1967" s="16" t="inlineStr">
        <is>
          <t>R</t>
        </is>
      </c>
      <c r="F1967" s="16" t="inlineStr">
        <is>
          <t>CF</t>
        </is>
      </c>
      <c r="G1967" s="9" t="n">
        <v>19</v>
      </c>
      <c r="H1967" s="9" t="n">
        <v>19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1" t="n">
        <v>1</v>
      </c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/>
      <c r="Y1967" s="17" t="n">
        <v>1</v>
      </c>
      <c r="Z1967" s="13">
        <f>SUMPRODUCT(N1967:Y1967,$N$2:$Y$2)*$K1967*$L1967*$M1967</f>
        <v/>
      </c>
      <c r="AA1967" s="14">
        <f>SUM(N1967:Y1967)</f>
        <v/>
      </c>
      <c r="AB1967" s="14">
        <f>IFERROR(IF(UPPER($E1967)="L",SUMPRODUCT(N1967:Y1967,$N$3:$Y$3,$N$2:$Y$2),SUMPRODUCT(N1967:Y1967,$N$4:$Y$4,$N$2:$Y$2))/(Z1967/($K1967*$L1967*$M1967)),"")</f>
        <v/>
      </c>
      <c r="AC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1" t="n">
        <v>1</v>
      </c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/>
      <c r="Y1968" s="17" t="n">
        <v>1</v>
      </c>
      <c r="Z1968" s="13">
        <f>SUMPRODUCT(N1968:Y1968,$N$2:$Y$2)*$K1968*$L1968*$M1968</f>
        <v/>
      </c>
      <c r="AA1968" s="14">
        <f>SUM(N1968:Y1968)</f>
        <v/>
      </c>
      <c r="AB1968" s="14">
        <f>IFERROR(IF(UPPER($E1968)="L",SUMPRODUCT(N1968:Y1968,$N$3:$Y$3,$N$2:$Y$2),SUMPRODUCT(N1968:Y1968,$N$4:$Y$4,$N$2:$Y$2))/(Z1968/($K1968*$L1968*$M1968)),"")</f>
        <v/>
      </c>
      <c r="AC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1" t="n">
        <v>1</v>
      </c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/>
      <c r="Y1969" s="17" t="n">
        <v>1</v>
      </c>
      <c r="Z1969" s="13">
        <f>SUMPRODUCT(N1969:Y1969,$N$2:$Y$2)*$K1969*$L1969*$M1969</f>
        <v/>
      </c>
      <c r="AA1969" s="14">
        <f>SUM(N1969:Y1969)</f>
        <v/>
      </c>
      <c r="AB1969" s="14">
        <f>IFERROR(IF(UPPER($E1969)="L",SUMPRODUCT(N1969:Y1969,$N$3:$Y$3,$N$2:$Y$2),SUMPRODUCT(N1969:Y1969,$N$4:$Y$4,$N$2:$Y$2))/(Z1969/($K1969*$L1969*$M1969)),"")</f>
        <v/>
      </c>
      <c r="AC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25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Late Season (~Sept)</t>
        </is>
      </c>
      <c r="K1970" s="11">
        <f>IFERROR(INDEX(Roles!$B$17:$B$20,MATCH(J1970,Roles!$A$17:$A$20,0)),1)</f>
        <v/>
      </c>
      <c r="L1970" s="17" t="n">
        <v>1</v>
      </c>
      <c r="M1970" s="11" t="n">
        <v>1</v>
      </c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/>
      <c r="Y1970" s="17" t="n">
        <v>1</v>
      </c>
      <c r="Z1970" s="13">
        <f>SUMPRODUCT(N1970:Y1970,$N$2:$Y$2)*$K1970*$L1970*$M1970</f>
        <v/>
      </c>
      <c r="AA1970" s="14">
        <f>SUM(N1970:Y1970)</f>
        <v/>
      </c>
      <c r="AB1970" s="14">
        <f>IFERROR(IF(UPPER($E1970)="L",SUMPRODUCT(N1970:Y1970,$N$3:$Y$3,$N$2:$Y$2),SUMPRODUCT(N1970:Y1970,$N$4:$Y$4,$N$2:$Y$2))/(Z1970/($K1970*$L1970*$M1970)),"")</f>
        <v/>
      </c>
      <c r="AC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1" t="n">
        <v>1</v>
      </c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/>
      <c r="Y1971" s="17" t="n">
        <v>1</v>
      </c>
      <c r="Z1971" s="13">
        <f>SUMPRODUCT(N1971:Y1971,$N$2:$Y$2)*$K1971*$L1971*$M1971</f>
        <v/>
      </c>
      <c r="AA1971" s="14">
        <f>SUM(N1971:Y1971)</f>
        <v/>
      </c>
      <c r="AB1971" s="14">
        <f>IFERROR(IF(UPPER($E1971)="L",SUMPRODUCT(N1971:Y1971,$N$3:$Y$3,$N$2:$Y$2),SUMPRODUCT(N1971:Y1971,$N$4:$Y$4,$N$2:$Y$2))/(Z1971/($K1971*$L1971*$M1971)),"")</f>
        <v/>
      </c>
      <c r="AC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1" t="n">
        <v>1</v>
      </c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/>
      <c r="Y1972" s="17" t="n">
        <v>1</v>
      </c>
      <c r="Z1972" s="13">
        <f>SUMPRODUCT(N1972:Y1972,$N$2:$Y$2)*$K1972*$L1972*$M1972</f>
        <v/>
      </c>
      <c r="AA1972" s="14">
        <f>SUM(N1972:Y1972)</f>
        <v/>
      </c>
      <c r="AB1972" s="14">
        <f>IFERROR(IF(UPPER($E1972)="L",SUMPRODUCT(N1972:Y1972,$N$3:$Y$3,$N$2:$Y$2),SUMPRODUCT(N1972:Y1972,$N$4:$Y$4,$N$2:$Y$2))/(Z1972/($K1972*$L1972*$M1972)),"")</f>
        <v/>
      </c>
      <c r="AC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1" t="n">
        <v>1</v>
      </c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/>
      <c r="Y1973" s="17" t="n">
        <v>1</v>
      </c>
      <c r="Z1973" s="13">
        <f>SUMPRODUCT(N1973:Y1973,$N$2:$Y$2)*$K1973*$L1973*$M1973</f>
        <v/>
      </c>
      <c r="AA1973" s="14">
        <f>SUM(N1973:Y1973)</f>
        <v/>
      </c>
      <c r="AB1973" s="14">
        <f>IFERROR(IF(UPPER($E1973)="L",SUMPRODUCT(N1973:Y1973,$N$3:$Y$3,$N$2:$Y$2),SUMPRODUCT(N1973:Y1973,$N$4:$Y$4,$N$2:$Y$2))/(Z1973/($K1973*$L1973*$M1973)),"")</f>
        <v/>
      </c>
      <c r="AC1973" s="18" t="n"/>
    </row>
    <row r="1974">
      <c r="A1974" s="9" t="n">
        <v>829037</v>
      </c>
      <c r="B1974" s="9" t="inlineStr">
        <is>
          <t>Kevin Alvarez</t>
        </is>
      </c>
      <c r="C1974" s="9" t="inlineStr">
        <is>
          <t>HOU</t>
        </is>
      </c>
      <c r="D1974" s="9" t="n">
        <v>25</v>
      </c>
      <c r="E1974" s="16" t="inlineStr">
        <is>
          <t>L</t>
        </is>
      </c>
      <c r="F1974" s="16" t="n"/>
      <c r="G1974" s="9" t="n">
        <v>53.04615384615384</v>
      </c>
      <c r="H1974" s="9" t="n">
        <v>53.04615384615384</v>
      </c>
      <c r="I1974" s="9" t="inlineStr">
        <is>
          <t>Depth (no MLB PA)</t>
        </is>
      </c>
      <c r="J1974" s="16" t="inlineStr">
        <is>
          <t>Late Season (~Sept)</t>
        </is>
      </c>
      <c r="K1974" s="11">
        <f>IFERROR(INDEX(Roles!$B$17:$B$20,MATCH(J1974,Roles!$A$17:$A$20,0)),1)</f>
        <v/>
      </c>
      <c r="L1974" s="17" t="n">
        <v>1</v>
      </c>
      <c r="M1974" s="11" t="n">
        <v>1</v>
      </c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/>
      <c r="Y1974" s="17" t="n">
        <v>1</v>
      </c>
      <c r="Z1974" s="13">
        <f>SUMPRODUCT(N1974:Y1974,$N$2:$Y$2)*$K1974*$L1974*$M1974</f>
        <v/>
      </c>
      <c r="AA1974" s="14">
        <f>SUM(N1974:Y1974)</f>
        <v/>
      </c>
      <c r="AB1974" s="14">
        <f>IFERROR(IF(UPPER($E1974)="L",SUMPRODUCT(N1974:Y1974,$N$3:$Y$3,$N$2:$Y$2),SUMPRODUCT(N1974:Y1974,$N$4:$Y$4,$N$2:$Y$2))/(Z1974/($K1974*$L1974*$M1974)),"")</f>
        <v/>
      </c>
      <c r="AC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inlineStr">
        <is>
          <t>1B</t>
        </is>
      </c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1" t="n">
        <v>1</v>
      </c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/>
      <c r="Y1975" s="17" t="n">
        <v>1</v>
      </c>
      <c r="Z1975" s="13">
        <f>SUMPRODUCT(N1975:Y1975,$N$2:$Y$2)*$K1975*$L1975*$M1975</f>
        <v/>
      </c>
      <c r="AA1975" s="14">
        <f>SUM(N1975:Y1975)</f>
        <v/>
      </c>
      <c r="AB1975" s="14">
        <f>IFERROR(IF(UPPER($E1975)="L",SUMPRODUCT(N1975:Y1975,$N$3:$Y$3,$N$2:$Y$2),SUMPRODUCT(N1975:Y1975,$N$4:$Y$4,$N$2:$Y$2))/(Z1975/($K1975*$L1975*$M1975)),"")</f>
        <v/>
      </c>
      <c r="AC1975" s="18" t="n"/>
    </row>
    <row r="1976">
      <c r="A1976" s="9" t="n">
        <v>808223</v>
      </c>
      <c r="B1976" s="9" t="inlineStr">
        <is>
          <t>Javier Herrera</t>
        </is>
      </c>
      <c r="C1976" s="9" t="inlineStr">
        <is>
          <t>LAD</t>
        </is>
      </c>
      <c r="D1976" s="9" t="n">
        <v>25</v>
      </c>
      <c r="E1976" s="16" t="inlineStr">
        <is>
          <t>S</t>
        </is>
      </c>
      <c r="F1976" s="16" t="n"/>
      <c r="G1976" s="9" t="n">
        <v>33.10769230769231</v>
      </c>
      <c r="H1976" s="9" t="n">
        <v>33.10769230769231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1" t="n">
        <v>1</v>
      </c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/>
      <c r="Y1976" s="17" t="n">
        <v>1</v>
      </c>
      <c r="Z1976" s="13">
        <f>SUMPRODUCT(N1976:Y1976,$N$2:$Y$2)*$K1976*$L1976*$M1976</f>
        <v/>
      </c>
      <c r="AA1976" s="14">
        <f>SUM(N1976:Y1976)</f>
        <v/>
      </c>
      <c r="AB1976" s="14">
        <f>IFERROR(IF(UPPER($E1976)="L",SUMPRODUCT(N1976:Y1976,$N$3:$Y$3,$N$2:$Y$2),SUMPRODUCT(N1976:Y1976,$N$4:$Y$4,$N$2:$Y$2))/(Z1976/($K1976*$L1976*$M1976)),"")</f>
        <v/>
      </c>
      <c r="AC1976" s="18" t="n"/>
    </row>
    <row r="1977">
      <c r="A1977" s="9" t="n">
        <v>808903</v>
      </c>
      <c r="B1977" s="9" t="inlineStr">
        <is>
          <t>Emilio Barreras</t>
        </is>
      </c>
      <c r="C1977" s="9" t="inlineStr">
        <is>
          <t>MIA</t>
        </is>
      </c>
      <c r="D1977" s="9" t="n">
        <v>25</v>
      </c>
      <c r="E1977" s="16" t="inlineStr">
        <is>
          <t>L</t>
        </is>
      </c>
      <c r="F1977" s="16" t="n"/>
      <c r="G1977" s="9" t="n">
        <v>45.94871794871796</v>
      </c>
      <c r="H1977" s="9" t="n">
        <v>45.94871794871796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1" t="n">
        <v>1</v>
      </c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/>
      <c r="Y1977" s="17" t="n">
        <v>1</v>
      </c>
      <c r="Z1977" s="13">
        <f>SUMPRODUCT(N1977:Y1977,$N$2:$Y$2)*$K1977*$L1977*$M1977</f>
        <v/>
      </c>
      <c r="AA1977" s="14">
        <f>SUM(N1977:Y1977)</f>
        <v/>
      </c>
      <c r="AB1977" s="14">
        <f>IFERROR(IF(UPPER($E1977)="L",SUMPRODUCT(N1977:Y1977,$N$3:$Y$3,$N$2:$Y$2),SUMPRODUCT(N1977:Y1977,$N$4:$Y$4,$N$2:$Y$2))/(Z1977/($K1977*$L1977*$M1977)),"")</f>
        <v/>
      </c>
      <c r="AC1977" s="18" t="n"/>
    </row>
    <row r="1978">
      <c r="A1978" s="9" t="n">
        <v>821041</v>
      </c>
      <c r="B1978" s="9" t="inlineStr">
        <is>
          <t>Roldy Brito</t>
        </is>
      </c>
      <c r="C1978" s="9" t="inlineStr">
        <is>
          <t>COL</t>
        </is>
      </c>
      <c r="D1978" s="9" t="n">
        <v>25</v>
      </c>
      <c r="E1978" s="16" t="inlineStr">
        <is>
          <t>S</t>
        </is>
      </c>
      <c r="F1978" s="16" t="n"/>
      <c r="G1978" s="9" t="n">
        <v>35.69230769230769</v>
      </c>
      <c r="H1978" s="9" t="n">
        <v>35.69230769230769</v>
      </c>
      <c r="I1978" s="9" t="inlineStr">
        <is>
          <t>Depth (no MLB PA)</t>
        </is>
      </c>
      <c r="J1978" s="16" t="inlineStr">
        <is>
          <t>Late Season (~Sept)</t>
        </is>
      </c>
      <c r="K1978" s="11">
        <f>IFERROR(INDEX(Roles!$B$17:$B$20,MATCH(J1978,Roles!$A$17:$A$20,0)),1)</f>
        <v/>
      </c>
      <c r="L1978" s="17" t="n">
        <v>1</v>
      </c>
      <c r="M1978" s="11" t="n">
        <v>1</v>
      </c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/>
      <c r="Y1978" s="17" t="n">
        <v>1</v>
      </c>
      <c r="Z1978" s="13">
        <f>SUMPRODUCT(N1978:Y1978,$N$2:$Y$2)*$K1978*$L1978*$M1978</f>
        <v/>
      </c>
      <c r="AA1978" s="14">
        <f>SUM(N1978:Y1978)</f>
        <v/>
      </c>
      <c r="AB1978" s="14">
        <f>IFERROR(IF(UPPER($E1978)="L",SUMPRODUCT(N1978:Y1978,$N$3:$Y$3,$N$2:$Y$2),SUMPRODUCT(N1978:Y1978,$N$4:$Y$4,$N$2:$Y$2))/(Z1978/($K1978*$L1978*$M1978)),"")</f>
        <v/>
      </c>
      <c r="AC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1" t="n">
        <v>1</v>
      </c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/>
      <c r="Y1979" s="17" t="n">
        <v>1</v>
      </c>
      <c r="Z1979" s="13">
        <f>SUMPRODUCT(N1979:Y1979,$N$2:$Y$2)*$K1979*$L1979*$M1979</f>
        <v/>
      </c>
      <c r="AA1979" s="14">
        <f>SUM(N1979:Y1979)</f>
        <v/>
      </c>
      <c r="AB1979" s="14">
        <f>IFERROR(IF(UPPER($E1979)="L",SUMPRODUCT(N1979:Y1979,$N$3:$Y$3,$N$2:$Y$2),SUMPRODUCT(N1979:Y1979,$N$4:$Y$4,$N$2:$Y$2))/(Z1979/($K1979*$L1979*$M1979)),"")</f>
        <v/>
      </c>
      <c r="AC1979" s="18" t="n"/>
    </row>
    <row r="1980">
      <c r="A1980" s="9" t="n">
        <v>701805</v>
      </c>
      <c r="B1980" s="9" t="inlineStr">
        <is>
          <t>Josh Caron</t>
        </is>
      </c>
      <c r="C1980" s="9" t="inlineStr">
        <is>
          <t>SEA</t>
        </is>
      </c>
      <c r="D1980" s="9" t="n">
        <v>25</v>
      </c>
      <c r="E1980" s="16" t="inlineStr">
        <is>
          <t>R</t>
        </is>
      </c>
      <c r="F1980" s="16" t="n"/>
      <c r="G1980" s="9" t="n">
        <v>53.12820512820512</v>
      </c>
      <c r="H1980" s="9" t="n">
        <v>53.12820512820512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1" t="n">
        <v>1</v>
      </c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/>
      <c r="Y1980" s="17" t="n">
        <v>1</v>
      </c>
      <c r="Z1980" s="13">
        <f>SUMPRODUCT(N1980:Y1980,$N$2:$Y$2)*$K1980*$L1980*$M1980</f>
        <v/>
      </c>
      <c r="AA1980" s="14">
        <f>SUM(N1980:Y1980)</f>
        <v/>
      </c>
      <c r="AB1980" s="14">
        <f>IFERROR(IF(UPPER($E1980)="L",SUMPRODUCT(N1980:Y1980,$N$3:$Y$3,$N$2:$Y$2),SUMPRODUCT(N1980:Y1980,$N$4:$Y$4,$N$2:$Y$2))/(Z1980/($K1980*$L1980*$M1980)),"")</f>
        <v/>
      </c>
      <c r="AC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inlineStr">
        <is>
          <t>RF</t>
        </is>
      </c>
      <c r="G1981" s="9" t="n">
        <v>15</v>
      </c>
      <c r="H1981" s="9" t="n">
        <v>132</v>
      </c>
      <c r="I1981" s="9" t="inlineStr">
        <is>
          <t>Weak Side Platoon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1" t="n">
        <v>1</v>
      </c>
      <c r="N1981" s="17" t="n"/>
      <c r="O1981" s="17" t="n"/>
      <c r="P1981" s="17" t="n"/>
      <c r="Q1981" s="17" t="n">
        <v>1</v>
      </c>
      <c r="R1981" s="17" t="n"/>
      <c r="S1981" s="17" t="n"/>
      <c r="T1981" s="17" t="n"/>
      <c r="U1981" s="17" t="n"/>
      <c r="V1981" s="17" t="n"/>
      <c r="W1981" s="17" t="n"/>
      <c r="X1981" s="17" t="n"/>
      <c r="Y1981" s="17" t="n"/>
      <c r="Z1981" s="13">
        <f>SUMPRODUCT(N1981:Y1981,$N$2:$Y$2)*$K1981*$L1981*$M1981</f>
        <v/>
      </c>
      <c r="AA1981" s="14">
        <f>SUM(N1981:Y1981)</f>
        <v/>
      </c>
      <c r="AB1981" s="14">
        <f>IFERROR(IF(UPPER($E1981)="L",SUMPRODUCT(N1981:Y1981,$N$3:$Y$3,$N$2:$Y$2),SUMPRODUCT(N1981:Y1981,$N$4:$Y$4,$N$2:$Y$2))/(Z1981/($K1981*$L1981*$M1981)),"")</f>
        <v/>
      </c>
      <c r="AC1981" s="18" t="n"/>
    </row>
    <row r="1982">
      <c r="A1982" s="9" t="n">
        <v>814172</v>
      </c>
      <c r="B1982" s="9" t="inlineStr">
        <is>
          <t>Chase Jaworsky</t>
        </is>
      </c>
      <c r="C1982" s="9" t="inlineStr">
        <is>
          <t>MIA</t>
        </is>
      </c>
      <c r="D1982" s="9" t="n">
        <v>25</v>
      </c>
      <c r="E1982" s="16" t="inlineStr">
        <is>
          <t>L</t>
        </is>
      </c>
      <c r="F1982" s="16" t="n"/>
      <c r="G1982" s="9" t="n">
        <v>54.15384615384616</v>
      </c>
      <c r="H1982" s="9" t="n">
        <v>54.15384615384616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1" t="n">
        <v>1</v>
      </c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/>
      <c r="Y1982" s="17" t="n">
        <v>1</v>
      </c>
      <c r="Z1982" s="13">
        <f>SUMPRODUCT(N1982:Y1982,$N$2:$Y$2)*$K1982*$L1982*$M1982</f>
        <v/>
      </c>
      <c r="AA1982" s="14">
        <f>SUM(N1982:Y1982)</f>
        <v/>
      </c>
      <c r="AB1982" s="14">
        <f>IFERROR(IF(UPPER($E1982)="L",SUMPRODUCT(N1982:Y1982,$N$3:$Y$3,$N$2:$Y$2),SUMPRODUCT(N1982:Y1982,$N$4:$Y$4,$N$2:$Y$2))/(Z1982/($K1982*$L1982*$M1982)),"")</f>
        <v/>
      </c>
      <c r="AC1982" s="18" t="n"/>
    </row>
    <row r="1983">
      <c r="A1983" s="9" t="n">
        <v>692591</v>
      </c>
      <c r="B1983" s="9" t="inlineStr">
        <is>
          <t>Luis Mendez</t>
        </is>
      </c>
      <c r="C1983" s="9" t="inlineStr">
        <is>
          <t>COL</t>
        </is>
      </c>
      <c r="D1983" s="9" t="n">
        <v>25</v>
      </c>
      <c r="E1983" s="16" t="inlineStr">
        <is>
          <t>L</t>
        </is>
      </c>
      <c r="F1983" s="16" t="n"/>
      <c r="G1983" s="9" t="n">
        <v>31.38461538461538</v>
      </c>
      <c r="H1983" s="9" t="n">
        <v>31.38461538461538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1" t="n">
        <v>1</v>
      </c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/>
      <c r="Y1983" s="17" t="n">
        <v>1</v>
      </c>
      <c r="Z1983" s="13">
        <f>SUMPRODUCT(N1983:Y1983,$N$2:$Y$2)*$K1983*$L1983*$M1983</f>
        <v/>
      </c>
      <c r="AA1983" s="14">
        <f>SUM(N1983:Y1983)</f>
        <v/>
      </c>
      <c r="AB1983" s="14">
        <f>IFERROR(IF(UPPER($E1983)="L",SUMPRODUCT(N1983:Y1983,$N$3:$Y$3,$N$2:$Y$2),SUMPRODUCT(N1983:Y1983,$N$4:$Y$4,$N$2:$Y$2))/(Z1983/($K1983*$L1983*$M1983)),"")</f>
        <v/>
      </c>
      <c r="AC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inlineStr">
        <is>
          <t>3B</t>
        </is>
      </c>
      <c r="G1984" s="9" t="n">
        <v>423</v>
      </c>
      <c r="H1984" s="9" t="n">
        <v>1447</v>
      </c>
      <c r="I1984" s="9" t="inlineStr">
        <is>
          <t>Bench Bat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1" t="n">
        <v>1.15</v>
      </c>
      <c r="N1984" s="17" t="n"/>
      <c r="O1984" s="17" t="n"/>
      <c r="P1984" s="17" t="n"/>
      <c r="Q1984" s="17" t="n"/>
      <c r="R1984" s="17" t="n"/>
      <c r="S1984" s="17" t="n"/>
      <c r="T1984" s="17" t="n"/>
      <c r="U1984" s="17" t="n">
        <v>0.4</v>
      </c>
      <c r="V1984" s="17" t="n"/>
      <c r="W1984" s="17" t="n">
        <v>0.6</v>
      </c>
      <c r="X1984" s="17" t="n"/>
      <c r="Y1984" s="17" t="n"/>
      <c r="Z1984" s="13">
        <f>SUMPRODUCT(N1984:Y1984,$N$2:$Y$2)*$K1984*$L1984*$M1984</f>
        <v/>
      </c>
      <c r="AA1984" s="14">
        <f>SUM(N1984:Y1984)</f>
        <v/>
      </c>
      <c r="AB1984" s="14">
        <f>IFERROR(IF(UPPER($E1984)="L",SUMPRODUCT(N1984:Y1984,$N$3:$Y$3,$N$2:$Y$2),SUMPRODUCT(N1984:Y1984,$N$4:$Y$4,$N$2:$Y$2))/(Z1984/($K1984*$L1984*$M1984)),"")</f>
        <v/>
      </c>
      <c r="AC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1" t="n">
        <v>1</v>
      </c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/>
      <c r="Y1985" s="17" t="n">
        <v>1</v>
      </c>
      <c r="Z1985" s="13">
        <f>SUMPRODUCT(N1985:Y1985,$N$2:$Y$2)*$K1985*$L1985*$M1985</f>
        <v/>
      </c>
      <c r="AA1985" s="14">
        <f>SUM(N1985:Y1985)</f>
        <v/>
      </c>
      <c r="AB1985" s="14">
        <f>IFERROR(IF(UPPER($E1985)="L",SUMPRODUCT(N1985:Y1985,$N$3:$Y$3,$N$2:$Y$2),SUMPRODUCT(N1985:Y1985,$N$4:$Y$4,$N$2:$Y$2))/(Z1985/($K1985*$L1985*$M1985)),"")</f>
        <v/>
      </c>
      <c r="AC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1" t="n">
        <v>1</v>
      </c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/>
      <c r="Y1986" s="17" t="n">
        <v>1</v>
      </c>
      <c r="Z1986" s="13">
        <f>SUMPRODUCT(N1986:Y1986,$N$2:$Y$2)*$K1986*$L1986*$M1986</f>
        <v/>
      </c>
      <c r="AA1986" s="14">
        <f>SUM(N1986:Y1986)</f>
        <v/>
      </c>
      <c r="AB1986" s="14">
        <f>IFERROR(IF(UPPER($E1986)="L",SUMPRODUCT(N1986:Y1986,$N$3:$Y$3,$N$2:$Y$2),SUMPRODUCT(N1986:Y1986,$N$4:$Y$4,$N$2:$Y$2))/(Z1986/($K1986*$L1986*$M1986)),"")</f>
        <v/>
      </c>
      <c r="AC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1" t="n">
        <v>1</v>
      </c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/>
      <c r="Y1987" s="17" t="n">
        <v>1</v>
      </c>
      <c r="Z1987" s="13">
        <f>SUMPRODUCT(N1987:Y1987,$N$2:$Y$2)*$K1987*$L1987*$M1987</f>
        <v/>
      </c>
      <c r="AA1987" s="14">
        <f>SUM(N1987:Y1987)</f>
        <v/>
      </c>
      <c r="AB1987" s="14">
        <f>IFERROR(IF(UPPER($E1987)="L",SUMPRODUCT(N1987:Y1987,$N$3:$Y$3,$N$2:$Y$2),SUMPRODUCT(N1987:Y1987,$N$4:$Y$4,$N$2:$Y$2))/(Z1987/($K1987*$L1987*$M1987)),"")</f>
        <v/>
      </c>
      <c r="AC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inlineStr">
        <is>
          <t>C</t>
        </is>
      </c>
      <c r="G1988" s="9" t="n">
        <v>467</v>
      </c>
      <c r="H1988" s="9" t="n">
        <v>2532</v>
      </c>
      <c r="I1988" s="9" t="inlineStr">
        <is>
          <t>Catcher - Primary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1" t="n">
        <v>1.064886482559112</v>
      </c>
      <c r="N1988" s="17" t="n"/>
      <c r="O1988" s="17" t="n"/>
      <c r="P1988" s="17" t="n"/>
      <c r="Q1988" s="17" t="n"/>
      <c r="R1988" s="17" t="n">
        <v>1</v>
      </c>
      <c r="S1988" s="17" t="n"/>
      <c r="T1988" s="17" t="n"/>
      <c r="U1988" s="17" t="n"/>
      <c r="V1988" s="17" t="n"/>
      <c r="W1988" s="17" t="n"/>
      <c r="X1988" s="17" t="n"/>
      <c r="Y1988" s="17" t="n"/>
      <c r="Z1988" s="13">
        <f>SUMPRODUCT(N1988:Y1988,$N$2:$Y$2)*$K1988*$L1988*$M1988</f>
        <v/>
      </c>
      <c r="AA1988" s="14">
        <f>SUM(N1988:Y1988)</f>
        <v/>
      </c>
      <c r="AB1988" s="14">
        <f>IFERROR(IF(UPPER($E1988)="L",SUMPRODUCT(N1988:Y1988,$N$3:$Y$3,$N$2:$Y$2),SUMPRODUCT(N1988:Y1988,$N$4:$Y$4,$N$2:$Y$2))/(Z1988/($K1988*$L1988*$M1988)),"")</f>
        <v/>
      </c>
      <c r="AC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1" t="n">
        <v>1</v>
      </c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/>
      <c r="Y1989" s="17" t="n">
        <v>1</v>
      </c>
      <c r="Z1989" s="13">
        <f>SUMPRODUCT(N1989:Y1989,$N$2:$Y$2)*$K1989*$L1989*$M1989</f>
        <v/>
      </c>
      <c r="AA1989" s="14">
        <f>SUM(N1989:Y1989)</f>
        <v/>
      </c>
      <c r="AB1989" s="14">
        <f>IFERROR(IF(UPPER($E1989)="L",SUMPRODUCT(N1989:Y1989,$N$3:$Y$3,$N$2:$Y$2),SUMPRODUCT(N1989:Y1989,$N$4:$Y$4,$N$2:$Y$2))/(Z1989/($K1989*$L1989*$M1989)),"")</f>
        <v/>
      </c>
      <c r="AC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1" t="n">
        <v>1</v>
      </c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/>
      <c r="Y1990" s="17" t="n">
        <v>1</v>
      </c>
      <c r="Z1990" s="13">
        <f>SUMPRODUCT(N1990:Y1990,$N$2:$Y$2)*$K1990*$L1990*$M1990</f>
        <v/>
      </c>
      <c r="AA1990" s="14">
        <f>SUM(N1990:Y1990)</f>
        <v/>
      </c>
      <c r="AB1990" s="14">
        <f>IFERROR(IF(UPPER($E1990)="L",SUMPRODUCT(N1990:Y1990,$N$3:$Y$3,$N$2:$Y$2),SUMPRODUCT(N1990:Y1990,$N$4:$Y$4,$N$2:$Y$2))/(Z1990/($K1990*$L1990*$M1990)),"")</f>
        <v/>
      </c>
      <c r="AC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1" t="n">
        <v>1</v>
      </c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/>
      <c r="Y1991" s="17" t="n">
        <v>1</v>
      </c>
      <c r="Z1991" s="13">
        <f>SUMPRODUCT(N1991:Y1991,$N$2:$Y$2)*$K1991*$L1991*$M1991</f>
        <v/>
      </c>
      <c r="AA1991" s="14">
        <f>SUM(N1991:Y1991)</f>
        <v/>
      </c>
      <c r="AB1991" s="14">
        <f>IFERROR(IF(UPPER($E1991)="L",SUMPRODUCT(N1991:Y1991,$N$3:$Y$3,$N$2:$Y$2),SUMPRODUCT(N1991:Y1991,$N$4:$Y$4,$N$2:$Y$2))/(Z1991/($K1991*$L1991*$M1991)),"")</f>
        <v/>
      </c>
      <c r="AC1991" s="18" t="n"/>
    </row>
    <row r="1992">
      <c r="A1992" s="9" t="n">
        <v>695048</v>
      </c>
      <c r="B1992" s="9" t="inlineStr">
        <is>
          <t>Garret Guillemette</t>
        </is>
      </c>
      <c r="C1992" s="9" t="inlineStr">
        <is>
          <t>HOU</t>
        </is>
      </c>
      <c r="D1992" s="9" t="n">
        <v>25</v>
      </c>
      <c r="E1992" s="16" t="inlineStr">
        <is>
          <t>R</t>
        </is>
      </c>
      <c r="F1992" s="16" t="n"/>
      <c r="G1992" s="9" t="n">
        <v>42.87179487179488</v>
      </c>
      <c r="H1992" s="9" t="n">
        <v>42.87179487179488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1" t="n">
        <v>1</v>
      </c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/>
      <c r="Y1992" s="17" t="n">
        <v>1</v>
      </c>
      <c r="Z1992" s="13">
        <f>SUMPRODUCT(N1992:Y1992,$N$2:$Y$2)*$K1992*$L1992*$M1992</f>
        <v/>
      </c>
      <c r="AA1992" s="14">
        <f>SUM(N1992:Y1992)</f>
        <v/>
      </c>
      <c r="AB1992" s="14">
        <f>IFERROR(IF(UPPER($E1992)="L",SUMPRODUCT(N1992:Y1992,$N$3:$Y$3,$N$2:$Y$2),SUMPRODUCT(N1992:Y1992,$N$4:$Y$4,$N$2:$Y$2))/(Z1992/($K1992*$L1992*$M1992)),"")</f>
        <v/>
      </c>
      <c r="AC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1" t="n">
        <v>1</v>
      </c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/>
      <c r="Y1993" s="17" t="n">
        <v>1</v>
      </c>
      <c r="Z1993" s="13">
        <f>SUMPRODUCT(N1993:Y1993,$N$2:$Y$2)*$K1993*$L1993*$M1993</f>
        <v/>
      </c>
      <c r="AA1993" s="14">
        <f>SUM(N1993:Y1993)</f>
        <v/>
      </c>
      <c r="AB1993" s="14">
        <f>IFERROR(IF(UPPER($E1993)="L",SUMPRODUCT(N1993:Y1993,$N$3:$Y$3,$N$2:$Y$2),SUMPRODUCT(N1993:Y1993,$N$4:$Y$4,$N$2:$Y$2))/(Z1993/($K1993*$L1993*$M1993)),"")</f>
        <v/>
      </c>
      <c r="AC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inlineStr">
        <is>
          <t>LF</t>
        </is>
      </c>
      <c r="G1994" s="9" t="n">
        <v>3</v>
      </c>
      <c r="H1994" s="9" t="n">
        <v>3</v>
      </c>
      <c r="I1994" s="9" t="inlineStr">
        <is>
          <t>Bench Bat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1" t="n">
        <v>1</v>
      </c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>
        <v>0.4</v>
      </c>
      <c r="W1994" s="17" t="n">
        <v>0.6</v>
      </c>
      <c r="X1994" s="17" t="n"/>
      <c r="Y1994" s="17" t="n"/>
      <c r="Z1994" s="13">
        <f>SUMPRODUCT(N1994:Y1994,$N$2:$Y$2)*$K1994*$L1994*$M1994</f>
        <v/>
      </c>
      <c r="AA1994" s="14">
        <f>SUM(N1994:Y1994)</f>
        <v/>
      </c>
      <c r="AB1994" s="14">
        <f>IFERROR(IF(UPPER($E1994)="L",SUMPRODUCT(N1994:Y1994,$N$3:$Y$3,$N$2:$Y$2),SUMPRODUCT(N1994:Y1994,$N$4:$Y$4,$N$2:$Y$2))/(Z1994/($K1994*$L1994*$M1994)),"")</f>
        <v/>
      </c>
      <c r="AC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1" t="n">
        <v>1</v>
      </c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/>
      <c r="Y1995" s="17" t="n">
        <v>1</v>
      </c>
      <c r="Z1995" s="13">
        <f>SUMPRODUCT(N1995:Y1995,$N$2:$Y$2)*$K1995*$L1995*$M1995</f>
        <v/>
      </c>
      <c r="AA1995" s="14">
        <f>SUM(N1995:Y1995)</f>
        <v/>
      </c>
      <c r="AB1995" s="14">
        <f>IFERROR(IF(UPPER($E1995)="L",SUMPRODUCT(N1995:Y1995,$N$3:$Y$3,$N$2:$Y$2),SUMPRODUCT(N1995:Y1995,$N$4:$Y$4,$N$2:$Y$2))/(Z1995/($K1995*$L1995*$M1995)),"")</f>
        <v/>
      </c>
      <c r="AC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inlineStr">
        <is>
          <t>LF</t>
        </is>
      </c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1" t="n">
        <v>1</v>
      </c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/>
      <c r="Y1996" s="17" t="n">
        <v>1</v>
      </c>
      <c r="Z1996" s="13">
        <f>SUMPRODUCT(N1996:Y1996,$N$2:$Y$2)*$K1996*$L1996*$M1996</f>
        <v/>
      </c>
      <c r="AA1996" s="14">
        <f>SUM(N1996:Y1996)</f>
        <v/>
      </c>
      <c r="AB1996" s="14">
        <f>IFERROR(IF(UPPER($E1996)="L",SUMPRODUCT(N1996:Y1996,$N$3:$Y$3,$N$2:$Y$2),SUMPRODUCT(N1996:Y1996,$N$4:$Y$4,$N$2:$Y$2))/(Z1996/($K1996*$L1996*$M1996)),"")</f>
        <v/>
      </c>
      <c r="AC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1" t="n">
        <v>1</v>
      </c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/>
      <c r="Y1997" s="17" t="n">
        <v>1</v>
      </c>
      <c r="Z1997" s="13">
        <f>SUMPRODUCT(N1997:Y1997,$N$2:$Y$2)*$K1997*$L1997*$M1997</f>
        <v/>
      </c>
      <c r="AA1997" s="14">
        <f>SUM(N1997:Y1997)</f>
        <v/>
      </c>
      <c r="AB1997" s="14">
        <f>IFERROR(IF(UPPER($E1997)="L",SUMPRODUCT(N1997:Y1997,$N$3:$Y$3,$N$2:$Y$2),SUMPRODUCT(N1997:Y1997,$N$4:$Y$4,$N$2:$Y$2))/(Z1997/($K1997*$L1997*$M1997)),"")</f>
        <v/>
      </c>
      <c r="AC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1" t="n">
        <v>1</v>
      </c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/>
      <c r="Y1998" s="17" t="n">
        <v>1</v>
      </c>
      <c r="Z1998" s="13">
        <f>SUMPRODUCT(N1998:Y1998,$N$2:$Y$2)*$K1998*$L1998*$M1998</f>
        <v/>
      </c>
      <c r="AA1998" s="14">
        <f>SUM(N1998:Y1998)</f>
        <v/>
      </c>
      <c r="AB1998" s="14">
        <f>IFERROR(IF(UPPER($E1998)="L",SUMPRODUCT(N1998:Y1998,$N$3:$Y$3,$N$2:$Y$2),SUMPRODUCT(N1998:Y1998,$N$4:$Y$4,$N$2:$Y$2))/(Z1998/($K1998*$L1998*$M1998)),"")</f>
        <v/>
      </c>
      <c r="AC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1" t="n">
        <v>1</v>
      </c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/>
      <c r="Y1999" s="17" t="n">
        <v>1</v>
      </c>
      <c r="Z1999" s="13">
        <f>SUMPRODUCT(N1999:Y1999,$N$2:$Y$2)*$K1999*$L1999*$M1999</f>
        <v/>
      </c>
      <c r="AA1999" s="14">
        <f>SUM(N1999:Y1999)</f>
        <v/>
      </c>
      <c r="AB1999" s="14">
        <f>IFERROR(IF(UPPER($E1999)="L",SUMPRODUCT(N1999:Y1999,$N$3:$Y$3,$N$2:$Y$2),SUMPRODUCT(N1999:Y1999,$N$4:$Y$4,$N$2:$Y$2))/(Z1999/($K1999*$L1999*$M1999)),"")</f>
        <v/>
      </c>
      <c r="AC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1" t="n">
        <v>1</v>
      </c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/>
      <c r="Y2000" s="17" t="n">
        <v>1</v>
      </c>
      <c r="Z2000" s="13">
        <f>SUMPRODUCT(N2000:Y2000,$N$2:$Y$2)*$K2000*$L2000*$M2000</f>
        <v/>
      </c>
      <c r="AA2000" s="14">
        <f>SUM(N2000:Y2000)</f>
        <v/>
      </c>
      <c r="AB2000" s="14">
        <f>IFERROR(IF(UPPER($E2000)="L",SUMPRODUCT(N2000:Y2000,$N$3:$Y$3,$N$2:$Y$2),SUMPRODUCT(N2000:Y2000,$N$4:$Y$4,$N$2:$Y$2))/(Z2000/($K2000*$L2000*$M2000)),"")</f>
        <v/>
      </c>
      <c r="AC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1" t="n">
        <v>1</v>
      </c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/>
      <c r="Y2001" s="17" t="n">
        <v>1</v>
      </c>
      <c r="Z2001" s="13">
        <f>SUMPRODUCT(N2001:Y2001,$N$2:$Y$2)*$K2001*$L2001*$M2001</f>
        <v/>
      </c>
      <c r="AA2001" s="14">
        <f>SUM(N2001:Y2001)</f>
        <v/>
      </c>
      <c r="AB2001" s="14">
        <f>IFERROR(IF(UPPER($E2001)="L",SUMPRODUCT(N2001:Y2001,$N$3:$Y$3,$N$2:$Y$2),SUMPRODUCT(N2001:Y2001,$N$4:$Y$4,$N$2:$Y$2))/(Z2001/($K2001*$L2001*$M2001)),"")</f>
        <v/>
      </c>
      <c r="AC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1" t="n">
        <v>1</v>
      </c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/>
      <c r="Y2002" s="17" t="n">
        <v>1</v>
      </c>
      <c r="Z2002" s="13">
        <f>SUMPRODUCT(N2002:Y2002,$N$2:$Y$2)*$K2002*$L2002*$M2002</f>
        <v/>
      </c>
      <c r="AA2002" s="14">
        <f>SUM(N2002:Y2002)</f>
        <v/>
      </c>
      <c r="AB2002" s="14">
        <f>IFERROR(IF(UPPER($E2002)="L",SUMPRODUCT(N2002:Y2002,$N$3:$Y$3,$N$2:$Y$2),SUMPRODUCT(N2002:Y2002,$N$4:$Y$4,$N$2:$Y$2))/(Z2002/($K2002*$L2002*$M2002)),"")</f>
        <v/>
      </c>
      <c r="AC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25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Bench Bat</t>
        </is>
      </c>
      <c r="J2003" s="16" t="inlineStr">
        <is>
          <t>Mid Season (~July)</t>
        </is>
      </c>
      <c r="K2003" s="11">
        <f>IFERROR(INDEX(Roles!$B$17:$B$20,MATCH(J2003,Roles!$A$17:$A$20,0)),1)</f>
        <v/>
      </c>
      <c r="L2003" s="17" t="n">
        <v>1</v>
      </c>
      <c r="M2003" s="11" t="n">
        <v>1</v>
      </c>
      <c r="N2003" s="17" t="n">
        <v>0.25</v>
      </c>
      <c r="O2003" s="17" t="n"/>
      <c r="P2003" s="17" t="n">
        <v>0.3</v>
      </c>
      <c r="Q2003" s="17" t="n"/>
      <c r="R2003" s="17" t="n"/>
      <c r="S2003" s="17" t="n"/>
      <c r="T2003" s="17" t="n"/>
      <c r="U2003" s="17" t="n"/>
      <c r="V2003" s="17" t="n"/>
      <c r="W2003" s="17" t="n">
        <v>0.45</v>
      </c>
      <c r="X2003" s="17" t="n"/>
      <c r="Y2003" s="17" t="n"/>
      <c r="Z2003" s="13">
        <f>SUMPRODUCT(N2003:Y2003,$N$2:$Y$2)*$K2003*$L2003*$M2003</f>
        <v/>
      </c>
      <c r="AA2003" s="14">
        <f>SUM(N2003:Y2003)</f>
        <v/>
      </c>
      <c r="AB2003" s="14">
        <f>IFERROR(IF(UPPER($E2003)="L",SUMPRODUCT(N2003:Y2003,$N$3:$Y$3,$N$2:$Y$2),SUMPRODUCT(N2003:Y2003,$N$4:$Y$4,$N$2:$Y$2))/(Z2003/($K2003*$L2003*$M2003)),"")</f>
        <v/>
      </c>
      <c r="AC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1" t="n">
        <v>1</v>
      </c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/>
      <c r="Y2004" s="17" t="n">
        <v>1</v>
      </c>
      <c r="Z2004" s="13">
        <f>SUMPRODUCT(N2004:Y2004,$N$2:$Y$2)*$K2004*$L2004*$M2004</f>
        <v/>
      </c>
      <c r="AA2004" s="14">
        <f>SUM(N2004:Y2004)</f>
        <v/>
      </c>
      <c r="AB2004" s="14">
        <f>IFERROR(IF(UPPER($E2004)="L",SUMPRODUCT(N2004:Y2004,$N$3:$Y$3,$N$2:$Y$2),SUMPRODUCT(N2004:Y2004,$N$4:$Y$4,$N$2:$Y$2))/(Z2004/($K2004*$L2004*$M2004)),"")</f>
        <v/>
      </c>
      <c r="AC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1" t="n">
        <v>1</v>
      </c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/>
      <c r="Y2005" s="17" t="n">
        <v>1</v>
      </c>
      <c r="Z2005" s="13">
        <f>SUMPRODUCT(N2005:Y2005,$N$2:$Y$2)*$K2005*$L2005*$M2005</f>
        <v/>
      </c>
      <c r="AA2005" s="14">
        <f>SUM(N2005:Y2005)</f>
        <v/>
      </c>
      <c r="AB2005" s="14">
        <f>IFERROR(IF(UPPER($E2005)="L",SUMPRODUCT(N2005:Y2005,$N$3:$Y$3,$N$2:$Y$2),SUMPRODUCT(N2005:Y2005,$N$4:$Y$4,$N$2:$Y$2))/(Z2005/($K2005*$L2005*$M2005)),"")</f>
        <v/>
      </c>
      <c r="AC2005" s="18" t="n"/>
    </row>
    <row r="2006">
      <c r="A2006" s="9" t="n">
        <v>702435</v>
      </c>
      <c r="B2006" s="9" t="inlineStr">
        <is>
          <t>Jhosmmel Zue</t>
        </is>
      </c>
      <c r="C2006" s="9" t="inlineStr">
        <is>
          <t>KC</t>
        </is>
      </c>
      <c r="D2006" s="9" t="n">
        <v>25</v>
      </c>
      <c r="E2006" s="16" t="inlineStr">
        <is>
          <t>R</t>
        </is>
      </c>
      <c r="F2006" s="16" t="n"/>
      <c r="G2006" s="9" t="n">
        <v>33.84615384615385</v>
      </c>
      <c r="H2006" s="9" t="n">
        <v>33.84615384615385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1" t="n">
        <v>1</v>
      </c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/>
      <c r="Y2006" s="17" t="n">
        <v>1</v>
      </c>
      <c r="Z2006" s="13">
        <f>SUMPRODUCT(N2006:Y2006,$N$2:$Y$2)*$K2006*$L2006*$M2006</f>
        <v/>
      </c>
      <c r="AA2006" s="14">
        <f>SUM(N2006:Y2006)</f>
        <v/>
      </c>
      <c r="AB2006" s="14">
        <f>IFERROR(IF(UPPER($E2006)="L",SUMPRODUCT(N2006:Y2006,$N$3:$Y$3,$N$2:$Y$2),SUMPRODUCT(N2006:Y2006,$N$4:$Y$4,$N$2:$Y$2))/(Z2006/($K2006*$L2006*$M2006)),"")</f>
        <v/>
      </c>
      <c r="AC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1" t="n">
        <v>1</v>
      </c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/>
      <c r="Y2007" s="17" t="n">
        <v>1</v>
      </c>
      <c r="Z2007" s="13">
        <f>SUMPRODUCT(N2007:Y2007,$N$2:$Y$2)*$K2007*$L2007*$M2007</f>
        <v/>
      </c>
      <c r="AA2007" s="14">
        <f>SUM(N2007:Y2007)</f>
        <v/>
      </c>
      <c r="AB2007" s="14">
        <f>IFERROR(IF(UPPER($E2007)="L",SUMPRODUCT(N2007:Y2007,$N$3:$Y$3,$N$2:$Y$2),SUMPRODUCT(N2007:Y2007,$N$4:$Y$4,$N$2:$Y$2))/(Z2007/($K2007*$L2007*$M2007)),"")</f>
        <v/>
      </c>
      <c r="AC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25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Depth (no MLB PA)</t>
        </is>
      </c>
      <c r="J2008" s="16" t="inlineStr">
        <is>
          <t>Mid Season (~July)</t>
        </is>
      </c>
      <c r="K2008" s="11">
        <f>IFERROR(INDEX(Roles!$B$17:$B$20,MATCH(J2008,Roles!$A$17:$A$20,0)),1)</f>
        <v/>
      </c>
      <c r="L2008" s="17" t="n">
        <v>1</v>
      </c>
      <c r="M2008" s="11" t="n">
        <v>1</v>
      </c>
      <c r="N2008" s="17" t="n"/>
      <c r="O2008" s="17" t="n"/>
      <c r="P2008" s="17" t="n"/>
      <c r="Q2008" s="17" t="n"/>
      <c r="R2008" s="17" t="n"/>
      <c r="S2008" s="17" t="n"/>
      <c r="T2008" s="17" t="n"/>
      <c r="U2008" s="17" t="n"/>
      <c r="V2008" s="17" t="n"/>
      <c r="W2008" s="17" t="n"/>
      <c r="X2008" s="17" t="n"/>
      <c r="Y2008" s="17" t="n">
        <v>1</v>
      </c>
      <c r="Z2008" s="13">
        <f>SUMPRODUCT(N2008:Y2008,$N$2:$Y$2)*$K2008*$L2008*$M2008</f>
        <v/>
      </c>
      <c r="AA2008" s="14">
        <f>SUM(N2008:Y2008)</f>
        <v/>
      </c>
      <c r="AB2008" s="14">
        <f>IFERROR(IF(UPPER($E2008)="L",SUMPRODUCT(N2008:Y2008,$N$3:$Y$3,$N$2:$Y$2),SUMPRODUCT(N2008:Y2008,$N$4:$Y$4,$N$2:$Y$2))/(Z2008/($K2008*$L2008*$M2008)),"")</f>
        <v/>
      </c>
      <c r="AC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1" t="n">
        <v>1</v>
      </c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/>
      <c r="Y2009" s="17" t="n">
        <v>1</v>
      </c>
      <c r="Z2009" s="13">
        <f>SUMPRODUCT(N2009:Y2009,$N$2:$Y$2)*$K2009*$L2009*$M2009</f>
        <v/>
      </c>
      <c r="AA2009" s="14">
        <f>SUM(N2009:Y2009)</f>
        <v/>
      </c>
      <c r="AB2009" s="14">
        <f>IFERROR(IF(UPPER($E2009)="L",SUMPRODUCT(N2009:Y2009,$N$3:$Y$3,$N$2:$Y$2),SUMPRODUCT(N2009:Y2009,$N$4:$Y$4,$N$2:$Y$2))/(Z2009/($K2009*$L2009*$M2009)),"")</f>
        <v/>
      </c>
      <c r="AC2009" s="18" t="n"/>
    </row>
    <row r="2010">
      <c r="A2010" s="9" t="n">
        <v>806611</v>
      </c>
      <c r="B2010" s="9" t="inlineStr">
        <is>
          <t>Jancel Villarroel</t>
        </is>
      </c>
      <c r="C2010" s="9" t="inlineStr">
        <is>
          <t>SF</t>
        </is>
      </c>
      <c r="D2010" s="9" t="n">
        <v>25</v>
      </c>
      <c r="E2010" s="16" t="inlineStr">
        <is>
          <t>R</t>
        </is>
      </c>
      <c r="F2010" s="16" t="n"/>
      <c r="G2010" s="9" t="n">
        <v>47.38461538461538</v>
      </c>
      <c r="H2010" s="9" t="n">
        <v>47.38461538461538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1" t="n">
        <v>1</v>
      </c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/>
      <c r="Y2010" s="17" t="n">
        <v>1</v>
      </c>
      <c r="Z2010" s="13">
        <f>SUMPRODUCT(N2010:Y2010,$N$2:$Y$2)*$K2010*$L2010*$M2010</f>
        <v/>
      </c>
      <c r="AA2010" s="14">
        <f>SUM(N2010:Y2010)</f>
        <v/>
      </c>
      <c r="AB2010" s="14">
        <f>IFERROR(IF(UPPER($E2010)="L",SUMPRODUCT(N2010:Y2010,$N$3:$Y$3,$N$2:$Y$2),SUMPRODUCT(N2010:Y2010,$N$4:$Y$4,$N$2:$Y$2))/(Z2010/($K2010*$L2010*$M2010)),"")</f>
        <v/>
      </c>
      <c r="AC2010" s="18" t="n"/>
    </row>
    <row r="2011">
      <c r="A2011" s="9" t="n">
        <v>681047</v>
      </c>
      <c r="B2011" s="9" t="inlineStr">
        <is>
          <t>Christian Franklin</t>
        </is>
      </c>
      <c r="C2011" s="9" t="inlineStr">
        <is>
          <t>BAL</t>
        </is>
      </c>
      <c r="D2011" s="9" t="n">
        <v>27</v>
      </c>
      <c r="E2011" s="16" t="inlineStr">
        <is>
          <t>R</t>
        </is>
      </c>
      <c r="F2011" s="16" t="inlineStr">
        <is>
          <t>LF</t>
        </is>
      </c>
      <c r="G2011" s="9" t="n">
        <v>59</v>
      </c>
      <c r="H2011" s="9" t="n">
        <v>59</v>
      </c>
      <c r="I2011" s="9" t="inlineStr">
        <is>
          <t>Bench Bat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1" t="n">
        <v>1</v>
      </c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>
        <v>0.4</v>
      </c>
      <c r="W2011" s="17" t="n">
        <v>0.6</v>
      </c>
      <c r="X2011" s="17" t="n"/>
      <c r="Y2011" s="17" t="n"/>
      <c r="Z2011" s="13">
        <f>SUMPRODUCT(N2011:Y2011,$N$2:$Y$2)*$K2011*$L2011*$M2011</f>
        <v/>
      </c>
      <c r="AA2011" s="14">
        <f>SUM(N2011:Y2011)</f>
        <v/>
      </c>
      <c r="AB2011" s="14">
        <f>IFERROR(IF(UPPER($E2011)="L",SUMPRODUCT(N2011:Y2011,$N$3:$Y$3,$N$2:$Y$2),SUMPRODUCT(N2011:Y2011,$N$4:$Y$4,$N$2:$Y$2))/(Z2011/($K2011*$L2011*$M2011)),"")</f>
        <v/>
      </c>
      <c r="AC2011" s="18" t="n"/>
    </row>
    <row r="2012">
      <c r="A2012" s="9" t="n">
        <v>807239</v>
      </c>
      <c r="B2012" s="9" t="inlineStr">
        <is>
          <t>Bernard Moon</t>
        </is>
      </c>
      <c r="C2012" s="9" t="inlineStr">
        <is>
          <t>CIN</t>
        </is>
      </c>
      <c r="D2012" s="9" t="n">
        <v>25</v>
      </c>
      <c r="E2012" s="16" t="inlineStr">
        <is>
          <t>R</t>
        </is>
      </c>
      <c r="F2012" s="16" t="n"/>
      <c r="G2012" s="9" t="n">
        <v>51.07692307692307</v>
      </c>
      <c r="H2012" s="9" t="n">
        <v>51.07692307692307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1" t="n">
        <v>1</v>
      </c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/>
      <c r="Y2012" s="17" t="n">
        <v>1</v>
      </c>
      <c r="Z2012" s="13">
        <f>SUMPRODUCT(N2012:Y2012,$N$2:$Y$2)*$K2012*$L2012*$M2012</f>
        <v/>
      </c>
      <c r="AA2012" s="14">
        <f>SUM(N2012:Y2012)</f>
        <v/>
      </c>
      <c r="AB2012" s="14">
        <f>IFERROR(IF(UPPER($E2012)="L",SUMPRODUCT(N2012:Y2012,$N$3:$Y$3,$N$2:$Y$2),SUMPRODUCT(N2012:Y2012,$N$4:$Y$4,$N$2:$Y$2))/(Z2012/($K2012*$L2012*$M2012)),"")</f>
        <v/>
      </c>
      <c r="AC2012" s="18" t="n"/>
    </row>
    <row r="2013">
      <c r="A2013" s="9" t="n">
        <v>680814</v>
      </c>
      <c r="B2013" s="9" t="inlineStr">
        <is>
          <t>Peyton Burdick</t>
        </is>
      </c>
      <c r="C2013" s="9" t="inlineStr">
        <is>
          <t>MIA</t>
        </is>
      </c>
      <c r="D2013" s="9" t="n">
        <v>30</v>
      </c>
      <c r="E2013" s="16" t="inlineStr">
        <is>
          <t>R</t>
        </is>
      </c>
      <c r="F2013" s="16" t="inlineStr">
        <is>
          <t>RF</t>
        </is>
      </c>
      <c r="G2013" s="9" t="n">
        <v>37</v>
      </c>
      <c r="H2013" s="9" t="n">
        <v>139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1" t="n">
        <v>1</v>
      </c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/>
      <c r="Y2013" s="17" t="n">
        <v>1</v>
      </c>
      <c r="Z2013" s="13">
        <f>SUMPRODUCT(N2013:Y2013,$N$2:$Y$2)*$K2013*$L2013*$M2013</f>
        <v/>
      </c>
      <c r="AA2013" s="14">
        <f>SUM(N2013:Y2013)</f>
        <v/>
      </c>
      <c r="AB2013" s="14">
        <f>IFERROR(IF(UPPER($E2013)="L",SUMPRODUCT(N2013:Y2013,$N$3:$Y$3,$N$2:$Y$2),SUMPRODUCT(N2013:Y2013,$N$4:$Y$4,$N$2:$Y$2))/(Z2013/($K2013*$L2013*$M2013)),"")</f>
        <v/>
      </c>
      <c r="AC2013" s="18" t="n"/>
    </row>
    <row r="2014">
      <c r="A2014" s="9" t="n">
        <v>688449</v>
      </c>
      <c r="B2014" s="9" t="inlineStr">
        <is>
          <t>TT Bowens</t>
        </is>
      </c>
      <c r="C2014" s="9" t="inlineStr">
        <is>
          <t>NYM</t>
        </is>
      </c>
      <c r="D2014" s="9" t="n">
        <v>25</v>
      </c>
      <c r="E2014" s="16" t="inlineStr">
        <is>
          <t>R</t>
        </is>
      </c>
      <c r="F2014" s="16" t="n"/>
      <c r="G2014" s="9" t="n">
        <v>35.53846153846154</v>
      </c>
      <c r="H2014" s="9" t="n">
        <v>35.53846153846154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1" t="n">
        <v>1</v>
      </c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/>
      <c r="Y2014" s="17" t="n">
        <v>1</v>
      </c>
      <c r="Z2014" s="13">
        <f>SUMPRODUCT(N2014:Y2014,$N$2:$Y$2)*$K2014*$L2014*$M2014</f>
        <v/>
      </c>
      <c r="AA2014" s="14">
        <f>SUM(N2014:Y2014)</f>
        <v/>
      </c>
      <c r="AB2014" s="14">
        <f>IFERROR(IF(UPPER($E2014)="L",SUMPRODUCT(N2014:Y2014,$N$3:$Y$3,$N$2:$Y$2),SUMPRODUCT(N2014:Y2014,$N$4:$Y$4,$N$2:$Y$2))/(Z2014/($K2014*$L2014*$M2014)),"")</f>
        <v/>
      </c>
      <c r="AC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1" t="n">
        <v>1</v>
      </c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/>
      <c r="Y2015" s="17" t="n">
        <v>1</v>
      </c>
      <c r="Z2015" s="13">
        <f>SUMPRODUCT(N2015:Y2015,$N$2:$Y$2)*$K2015*$L2015*$M2015</f>
        <v/>
      </c>
      <c r="AA2015" s="14">
        <f>SUM(N2015:Y2015)</f>
        <v/>
      </c>
      <c r="AB2015" s="14">
        <f>IFERROR(IF(UPPER($E2015)="L",SUMPRODUCT(N2015:Y2015,$N$3:$Y$3,$N$2:$Y$2),SUMPRODUCT(N2015:Y2015,$N$4:$Y$4,$N$2:$Y$2))/(Z2015/($K2015*$L2015*$M2015)),"")</f>
        <v/>
      </c>
      <c r="AC2015" s="18" t="n"/>
    </row>
    <row r="2016">
      <c r="A2016" s="9" t="n">
        <v>807994</v>
      </c>
      <c r="B2016" s="9" t="inlineStr">
        <is>
          <t>Jeremy Ciriaco</t>
        </is>
      </c>
      <c r="C2016" s="9" t="inlineStr">
        <is>
          <t>COL</t>
        </is>
      </c>
      <c r="D2016" s="9" t="n">
        <v>25</v>
      </c>
      <c r="E2016" s="16" t="inlineStr">
        <is>
          <t>R</t>
        </is>
      </c>
      <c r="F2016" s="16" t="n"/>
      <c r="G2016" s="9" t="n">
        <v>32.12307692307692</v>
      </c>
      <c r="H2016" s="9" t="n">
        <v>32.12307692307692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1" t="n">
        <v>1</v>
      </c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/>
      <c r="Y2016" s="17" t="n">
        <v>1</v>
      </c>
      <c r="Z2016" s="13">
        <f>SUMPRODUCT(N2016:Y2016,$N$2:$Y$2)*$K2016*$L2016*$M2016</f>
        <v/>
      </c>
      <c r="AA2016" s="14">
        <f>SUM(N2016:Y2016)</f>
        <v/>
      </c>
      <c r="AB2016" s="14">
        <f>IFERROR(IF(UPPER($E2016)="L",SUMPRODUCT(N2016:Y2016,$N$3:$Y$3,$N$2:$Y$2),SUMPRODUCT(N2016:Y2016,$N$4:$Y$4,$N$2:$Y$2))/(Z2016/($K2016*$L2016*$M2016)),"")</f>
        <v/>
      </c>
      <c r="AC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1" t="n">
        <v>1</v>
      </c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/>
      <c r="Y2017" s="17" t="n">
        <v>1</v>
      </c>
      <c r="Z2017" s="13">
        <f>SUMPRODUCT(N2017:Y2017,$N$2:$Y$2)*$K2017*$L2017*$M2017</f>
        <v/>
      </c>
      <c r="AA2017" s="14">
        <f>SUM(N2017:Y2017)</f>
        <v/>
      </c>
      <c r="AB2017" s="14">
        <f>IFERROR(IF(UPPER($E2017)="L",SUMPRODUCT(N2017:Y2017,$N$3:$Y$3,$N$2:$Y$2),SUMPRODUCT(N2017:Y2017,$N$4:$Y$4,$N$2:$Y$2))/(Z2017/($K2017*$L2017*$M2017)),"")</f>
        <v/>
      </c>
      <c r="AC2017" s="18" t="n"/>
    </row>
    <row r="2018">
      <c r="A2018" s="9" t="n">
        <v>807007</v>
      </c>
      <c r="B2018" s="9" t="inlineStr">
        <is>
          <t>Jeremy Rodriguez</t>
        </is>
      </c>
      <c r="C2018" s="9" t="inlineStr">
        <is>
          <t>NYM</t>
        </is>
      </c>
      <c r="D2018" s="9" t="n">
        <v>25</v>
      </c>
      <c r="E2018" s="16" t="inlineStr">
        <is>
          <t>L</t>
        </is>
      </c>
      <c r="F2018" s="16" t="n"/>
      <c r="G2018" s="9" t="n">
        <v>27.81538461538462</v>
      </c>
      <c r="H2018" s="9" t="n">
        <v>27.81538461538462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1" t="n">
        <v>1</v>
      </c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/>
      <c r="Y2018" s="17" t="n">
        <v>1</v>
      </c>
      <c r="Z2018" s="13">
        <f>SUMPRODUCT(N2018:Y2018,$N$2:$Y$2)*$K2018*$L2018*$M2018</f>
        <v/>
      </c>
      <c r="AA2018" s="14">
        <f>SUM(N2018:Y2018)</f>
        <v/>
      </c>
      <c r="AB2018" s="14">
        <f>IFERROR(IF(UPPER($E2018)="L",SUMPRODUCT(N2018:Y2018,$N$3:$Y$3,$N$2:$Y$2),SUMPRODUCT(N2018:Y2018,$N$4:$Y$4,$N$2:$Y$2))/(Z2018/($K2018*$L2018*$M2018)),"")</f>
        <v/>
      </c>
      <c r="AC2018" s="18" t="n"/>
    </row>
    <row r="2019">
      <c r="A2019" s="9" t="n">
        <v>800176</v>
      </c>
      <c r="B2019" s="9" t="inlineStr">
        <is>
          <t>Carlos Sanchez</t>
        </is>
      </c>
      <c r="C2019" s="9" t="inlineStr">
        <is>
          <t>CIN</t>
        </is>
      </c>
      <c r="D2019" s="9" t="n">
        <v>25</v>
      </c>
      <c r="E2019" s="16" t="inlineStr">
        <is>
          <t>L</t>
        </is>
      </c>
      <c r="F2019" s="16" t="n"/>
      <c r="G2019" s="9" t="n">
        <v>91.17948717948715</v>
      </c>
      <c r="H2019" s="9" t="n">
        <v>91.17948717948715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1" t="n">
        <v>1</v>
      </c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/>
      <c r="Y2019" s="17" t="n">
        <v>1</v>
      </c>
      <c r="Z2019" s="13">
        <f>SUMPRODUCT(N2019:Y2019,$N$2:$Y$2)*$K2019*$L2019*$M2019</f>
        <v/>
      </c>
      <c r="AA2019" s="14">
        <f>SUM(N2019:Y2019)</f>
        <v/>
      </c>
      <c r="AB2019" s="14">
        <f>IFERROR(IF(UPPER($E2019)="L",SUMPRODUCT(N2019:Y2019,$N$3:$Y$3,$N$2:$Y$2),SUMPRODUCT(N2019:Y2019,$N$4:$Y$4,$N$2:$Y$2))/(Z2019/($K2019*$L2019*$M2019)),"")</f>
        <v/>
      </c>
      <c r="AC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1" t="n">
        <v>1</v>
      </c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/>
      <c r="Y2020" s="17" t="n">
        <v>1</v>
      </c>
      <c r="Z2020" s="13">
        <f>SUMPRODUCT(N2020:Y2020,$N$2:$Y$2)*$K2020*$L2020*$M2020</f>
        <v/>
      </c>
      <c r="AA2020" s="14">
        <f>SUM(N2020:Y2020)</f>
        <v/>
      </c>
      <c r="AB2020" s="14">
        <f>IFERROR(IF(UPPER($E2020)="L",SUMPRODUCT(N2020:Y2020,$N$3:$Y$3,$N$2:$Y$2),SUMPRODUCT(N2020:Y2020,$N$4:$Y$4,$N$2:$Y$2))/(Z2020/($K2020*$L2020*$M2020)),"")</f>
        <v/>
      </c>
      <c r="AC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1" t="n">
        <v>1</v>
      </c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/>
      <c r="Y2021" s="17" t="n">
        <v>1</v>
      </c>
      <c r="Z2021" s="13">
        <f>SUMPRODUCT(N2021:Y2021,$N$2:$Y$2)*$K2021*$L2021*$M2021</f>
        <v/>
      </c>
      <c r="AA2021" s="14">
        <f>SUM(N2021:Y2021)</f>
        <v/>
      </c>
      <c r="AB2021" s="14">
        <f>IFERROR(IF(UPPER($E2021)="L",SUMPRODUCT(N2021:Y2021,$N$3:$Y$3,$N$2:$Y$2),SUMPRODUCT(N2021:Y2021,$N$4:$Y$4,$N$2:$Y$2))/(Z2021/($K2021*$L2021*$M2021)),"")</f>
        <v/>
      </c>
      <c r="AC2021" s="18" t="n"/>
    </row>
    <row r="2022">
      <c r="A2022" s="9" t="n">
        <v>692150</v>
      </c>
      <c r="B2022" s="9" t="inlineStr">
        <is>
          <t>Émilien Pitre</t>
        </is>
      </c>
      <c r="C2022" s="9" t="inlineStr">
        <is>
          <t>NYM</t>
        </is>
      </c>
      <c r="D2022" s="9" t="n">
        <v>25</v>
      </c>
      <c r="E2022" s="16" t="inlineStr">
        <is>
          <t>L</t>
        </is>
      </c>
      <c r="F2022" s="16" t="n"/>
      <c r="G2022" s="9" t="n">
        <v>46.25641025641026</v>
      </c>
      <c r="H2022" s="9" t="n">
        <v>46.25641025641026</v>
      </c>
      <c r="I2022" s="9" t="inlineStr">
        <is>
          <t>Depth (no MLB PA)</t>
        </is>
      </c>
      <c r="J2022" s="16" t="inlineStr">
        <is>
          <t>Early Season (~May)</t>
        </is>
      </c>
      <c r="K2022" s="11">
        <f>IFERROR(INDEX(Roles!$B$17:$B$20,MATCH(J2022,Roles!$A$17:$A$20,0)),1)</f>
        <v/>
      </c>
      <c r="L2022" s="17" t="n">
        <v>1</v>
      </c>
      <c r="M2022" s="11" t="n">
        <v>1</v>
      </c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/>
      <c r="Y2022" s="17" t="n">
        <v>1</v>
      </c>
      <c r="Z2022" s="13">
        <f>SUMPRODUCT(N2022:Y2022,$N$2:$Y$2)*$K2022*$L2022*$M2022</f>
        <v/>
      </c>
      <c r="AA2022" s="14">
        <f>SUM(N2022:Y2022)</f>
        <v/>
      </c>
      <c r="AB2022" s="14">
        <f>IFERROR(IF(UPPER($E2022)="L",SUMPRODUCT(N2022:Y2022,$N$3:$Y$3,$N$2:$Y$2),SUMPRODUCT(N2022:Y2022,$N$4:$Y$4,$N$2:$Y$2))/(Z2022/($K2022*$L2022*$M2022)),"")</f>
        <v/>
      </c>
      <c r="AC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1" t="n">
        <v>1</v>
      </c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/>
      <c r="Y2023" s="17" t="n">
        <v>1</v>
      </c>
      <c r="Z2023" s="13">
        <f>SUMPRODUCT(N2023:Y2023,$N$2:$Y$2)*$K2023*$L2023*$M2023</f>
        <v/>
      </c>
      <c r="AA2023" s="14">
        <f>SUM(N2023:Y2023)</f>
        <v/>
      </c>
      <c r="AB2023" s="14">
        <f>IFERROR(IF(UPPER($E2023)="L",SUMPRODUCT(N2023:Y2023,$N$3:$Y$3,$N$2:$Y$2),SUMPRODUCT(N2023:Y2023,$N$4:$Y$4,$N$2:$Y$2))/(Z2023/($K2023*$L2023*$M2023)),"")</f>
        <v/>
      </c>
      <c r="AC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25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Late Season (~Sept)</t>
        </is>
      </c>
      <c r="K2024" s="11">
        <f>IFERROR(INDEX(Roles!$B$17:$B$20,MATCH(J2024,Roles!$A$17:$A$20,0)),1)</f>
        <v/>
      </c>
      <c r="L2024" s="17" t="n">
        <v>1</v>
      </c>
      <c r="M2024" s="11" t="n">
        <v>1</v>
      </c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/>
      <c r="Y2024" s="17" t="n">
        <v>1</v>
      </c>
      <c r="Z2024" s="13">
        <f>SUMPRODUCT(N2024:Y2024,$N$2:$Y$2)*$K2024*$L2024*$M2024</f>
        <v/>
      </c>
      <c r="AA2024" s="14">
        <f>SUM(N2024:Y2024)</f>
        <v/>
      </c>
      <c r="AB2024" s="14">
        <f>IFERROR(IF(UPPER($E2024)="L",SUMPRODUCT(N2024:Y2024,$N$3:$Y$3,$N$2:$Y$2),SUMPRODUCT(N2024:Y2024,$N$4:$Y$4,$N$2:$Y$2))/(Z2024/($K2024*$L2024*$M2024)),"")</f>
        <v/>
      </c>
      <c r="AC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1" t="n">
        <v>1</v>
      </c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/>
      <c r="Y2025" s="17" t="n">
        <v>1</v>
      </c>
      <c r="Z2025" s="13">
        <f>SUMPRODUCT(N2025:Y2025,$N$2:$Y$2)*$K2025*$L2025*$M2025</f>
        <v/>
      </c>
      <c r="AA2025" s="14">
        <f>SUM(N2025:Y2025)</f>
        <v/>
      </c>
      <c r="AB2025" s="14">
        <f>IFERROR(IF(UPPER($E2025)="L",SUMPRODUCT(N2025:Y2025,$N$3:$Y$3,$N$2:$Y$2),SUMPRODUCT(N2025:Y2025,$N$4:$Y$4,$N$2:$Y$2))/(Z2025/($K2025*$L2025*$M2025)),"")</f>
        <v/>
      </c>
      <c r="AC2025" s="18" t="n"/>
    </row>
    <row r="2026">
      <c r="A2026" s="9" t="n">
        <v>702495</v>
      </c>
      <c r="B2026" s="9" t="inlineStr">
        <is>
          <t>Josh Tate</t>
        </is>
      </c>
      <c r="C2026" s="9" t="inlineStr">
        <is>
          <t>PIT</t>
        </is>
      </c>
      <c r="D2026" s="9" t="n">
        <v>25</v>
      </c>
      <c r="E2026" s="16" t="inlineStr">
        <is>
          <t>R</t>
        </is>
      </c>
      <c r="F2026" s="16" t="n"/>
      <c r="G2026" s="9" t="n">
        <v>46.56410256410257</v>
      </c>
      <c r="H2026" s="9" t="n">
        <v>46.56410256410257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1" t="n">
        <v>1</v>
      </c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/>
      <c r="Y2026" s="17" t="n">
        <v>1</v>
      </c>
      <c r="Z2026" s="13">
        <f>SUMPRODUCT(N2026:Y2026,$N$2:$Y$2)*$K2026*$L2026*$M2026</f>
        <v/>
      </c>
      <c r="AA2026" s="14">
        <f>SUM(N2026:Y2026)</f>
        <v/>
      </c>
      <c r="AB2026" s="14">
        <f>IFERROR(IF(UPPER($E2026)="L",SUMPRODUCT(N2026:Y2026,$N$3:$Y$3,$N$2:$Y$2),SUMPRODUCT(N2026:Y2026,$N$4:$Y$4,$N$2:$Y$2))/(Z2026/($K2026*$L2026*$M2026)),"")</f>
        <v/>
      </c>
      <c r="AC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1" t="n">
        <v>1</v>
      </c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/>
      <c r="Y2027" s="17" t="n">
        <v>1</v>
      </c>
      <c r="Z2027" s="13">
        <f>SUMPRODUCT(N2027:Y2027,$N$2:$Y$2)*$K2027*$L2027*$M2027</f>
        <v/>
      </c>
      <c r="AA2027" s="14">
        <f>SUM(N2027:Y2027)</f>
        <v/>
      </c>
      <c r="AB2027" s="14">
        <f>IFERROR(IF(UPPER($E2027)="L",SUMPRODUCT(N2027:Y2027,$N$3:$Y$3,$N$2:$Y$2),SUMPRODUCT(N2027:Y2027,$N$4:$Y$4,$N$2:$Y$2))/(Z2027/($K2027*$L2027*$M2027)),"")</f>
        <v/>
      </c>
      <c r="AC2027" s="18" t="n"/>
    </row>
    <row r="2028">
      <c r="A2028" s="9" t="n">
        <v>811718</v>
      </c>
      <c r="B2028" s="9" t="inlineStr">
        <is>
          <t>Josh Wakefield</t>
        </is>
      </c>
      <c r="C2028" s="9" t="inlineStr">
        <is>
          <t>HOU</t>
        </is>
      </c>
      <c r="D2028" s="9" t="n">
        <v>25</v>
      </c>
      <c r="E2028" s="16" t="inlineStr">
        <is>
          <t>L</t>
        </is>
      </c>
      <c r="F2028" s="16" t="n"/>
      <c r="G2028" s="9" t="n">
        <v>38.03076923076923</v>
      </c>
      <c r="H2028" s="9" t="n">
        <v>38.03076923076923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1" t="n">
        <v>1</v>
      </c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/>
      <c r="Y2028" s="17" t="n">
        <v>1</v>
      </c>
      <c r="Z2028" s="13">
        <f>SUMPRODUCT(N2028:Y2028,$N$2:$Y$2)*$K2028*$L2028*$M2028</f>
        <v/>
      </c>
      <c r="AA2028" s="14">
        <f>SUM(N2028:Y2028)</f>
        <v/>
      </c>
      <c r="AB2028" s="14">
        <f>IFERROR(IF(UPPER($E2028)="L",SUMPRODUCT(N2028:Y2028,$N$3:$Y$3,$N$2:$Y$2),SUMPRODUCT(N2028:Y2028,$N$4:$Y$4,$N$2:$Y$2))/(Z2028/($K2028*$L2028*$M2028)),"")</f>
        <v/>
      </c>
      <c r="AC2028" s="18" t="n"/>
    </row>
    <row r="2029">
      <c r="A2029" s="9" t="n">
        <v>823759</v>
      </c>
      <c r="B2029" s="9" t="inlineStr">
        <is>
          <t>Eric Genther</t>
        </is>
      </c>
      <c r="C2029" s="9" t="inlineStr">
        <is>
          <t>NYY</t>
        </is>
      </c>
      <c r="D2029" s="9" t="n">
        <v>25</v>
      </c>
      <c r="E2029" s="16" t="inlineStr">
        <is>
          <t>L</t>
        </is>
      </c>
      <c r="F2029" s="16" t="n"/>
      <c r="G2029" s="9" t="n">
        <v>93.33333333333334</v>
      </c>
      <c r="H2029" s="9" t="n">
        <v>93.33333333333334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1" t="n">
        <v>1</v>
      </c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/>
      <c r="Y2029" s="17" t="n">
        <v>1</v>
      </c>
      <c r="Z2029" s="13">
        <f>SUMPRODUCT(N2029:Y2029,$N$2:$Y$2)*$K2029*$L2029*$M2029</f>
        <v/>
      </c>
      <c r="AA2029" s="14">
        <f>SUM(N2029:Y2029)</f>
        <v/>
      </c>
      <c r="AB2029" s="14">
        <f>IFERROR(IF(UPPER($E2029)="L",SUMPRODUCT(N2029:Y2029,$N$3:$Y$3,$N$2:$Y$2),SUMPRODUCT(N2029:Y2029,$N$4:$Y$4,$N$2:$Y$2))/(Z2029/($K2029*$L2029*$M2029)),"")</f>
        <v/>
      </c>
      <c r="AC2029" s="18" t="n"/>
    </row>
    <row r="2030">
      <c r="A2030" s="9" t="n">
        <v>814696</v>
      </c>
      <c r="B2030" s="9" t="inlineStr">
        <is>
          <t>Jaron Elkins</t>
        </is>
      </c>
      <c r="C2030" s="9" t="inlineStr">
        <is>
          <t>LAD</t>
        </is>
      </c>
      <c r="D2030" s="9" t="n">
        <v>25</v>
      </c>
      <c r="E2030" s="16" t="inlineStr">
        <is>
          <t>R</t>
        </is>
      </c>
      <c r="F2030" s="16" t="n"/>
      <c r="G2030" s="9" t="n">
        <v>28.30769230769231</v>
      </c>
      <c r="H2030" s="9" t="n">
        <v>28.30769230769231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1" t="n">
        <v>1</v>
      </c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/>
      <c r="Y2030" s="17" t="n">
        <v>1</v>
      </c>
      <c r="Z2030" s="13">
        <f>SUMPRODUCT(N2030:Y2030,$N$2:$Y$2)*$K2030*$L2030*$M2030</f>
        <v/>
      </c>
      <c r="AA2030" s="14">
        <f>SUM(N2030:Y2030)</f>
        <v/>
      </c>
      <c r="AB2030" s="14">
        <f>IFERROR(IF(UPPER($E2030)="L",SUMPRODUCT(N2030:Y2030,$N$3:$Y$3,$N$2:$Y$2),SUMPRODUCT(N2030:Y2030,$N$4:$Y$4,$N$2:$Y$2))/(Z2030/($K2030*$L2030*$M2030)),"")</f>
        <v/>
      </c>
      <c r="AC2030" s="18" t="n"/>
    </row>
    <row r="2031">
      <c r="A2031" s="9" t="n">
        <v>834404</v>
      </c>
      <c r="B2031" s="9" t="inlineStr">
        <is>
          <t>Jake Cook</t>
        </is>
      </c>
      <c r="C2031" s="9" t="inlineStr">
        <is>
          <t>TOR</t>
        </is>
      </c>
      <c r="D2031" s="9" t="n">
        <v>25</v>
      </c>
      <c r="E2031" s="16" t="inlineStr">
        <is>
          <t>L</t>
        </is>
      </c>
      <c r="F2031" s="16" t="n"/>
      <c r="G2031" s="9" t="n">
        <v>39.26153846153846</v>
      </c>
      <c r="H2031" s="9" t="n">
        <v>39.26153846153846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1" t="n">
        <v>1</v>
      </c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/>
      <c r="Y2031" s="17" t="n">
        <v>1</v>
      </c>
      <c r="Z2031" s="13">
        <f>SUMPRODUCT(N2031:Y2031,$N$2:$Y$2)*$K2031*$L2031*$M2031</f>
        <v/>
      </c>
      <c r="AA2031" s="14">
        <f>SUM(N2031:Y2031)</f>
        <v/>
      </c>
      <c r="AB2031" s="14">
        <f>IFERROR(IF(UPPER($E2031)="L",SUMPRODUCT(N2031:Y2031,$N$3:$Y$3,$N$2:$Y$2),SUMPRODUCT(N2031:Y2031,$N$4:$Y$4,$N$2:$Y$2))/(Z2031/($K2031*$L2031*$M2031)),"")</f>
        <v/>
      </c>
      <c r="AC2031" s="18" t="n"/>
    </row>
    <row r="2032">
      <c r="A2032" s="9" t="n">
        <v>808338</v>
      </c>
      <c r="B2032" s="9" t="inlineStr">
        <is>
          <t>Pedro Ibarguen</t>
        </is>
      </c>
      <c r="C2032" s="9" t="inlineStr">
        <is>
          <t>MIL</t>
        </is>
      </c>
      <c r="D2032" s="9" t="n">
        <v>25</v>
      </c>
      <c r="E2032" s="16" t="inlineStr">
        <is>
          <t>R</t>
        </is>
      </c>
      <c r="F2032" s="16" t="n"/>
      <c r="G2032" s="9" t="n">
        <v>39.99999999999999</v>
      </c>
      <c r="H2032" s="9" t="n">
        <v>39.99999999999999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1" t="n">
        <v>1</v>
      </c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/>
      <c r="Y2032" s="17" t="n">
        <v>1</v>
      </c>
      <c r="Z2032" s="13">
        <f>SUMPRODUCT(N2032:Y2032,$N$2:$Y$2)*$K2032*$L2032*$M2032</f>
        <v/>
      </c>
      <c r="AA2032" s="14">
        <f>SUM(N2032:Y2032)</f>
        <v/>
      </c>
      <c r="AB2032" s="14">
        <f>IFERROR(IF(UPPER($E2032)="L",SUMPRODUCT(N2032:Y2032,$N$3:$Y$3,$N$2:$Y$2),SUMPRODUCT(N2032:Y2032,$N$4:$Y$4,$N$2:$Y$2))/(Z2032/($K2032*$L2032*$M2032)),"")</f>
        <v/>
      </c>
      <c r="AC2032" s="18" t="n"/>
    </row>
    <row r="2033">
      <c r="A2033" s="9" t="n">
        <v>621512</v>
      </c>
      <c r="B2033" s="9" t="inlineStr">
        <is>
          <t>Tomás Nido</t>
        </is>
      </c>
      <c r="C2033" s="9" t="inlineStr">
        <is>
          <t>DET</t>
        </is>
      </c>
      <c r="D2033" s="9" t="n">
        <v>33</v>
      </c>
      <c r="E2033" s="16" t="inlineStr">
        <is>
          <t>R</t>
        </is>
      </c>
      <c r="F2033" s="16" t="inlineStr">
        <is>
          <t>C</t>
        </is>
      </c>
      <c r="G2033" s="9" t="n">
        <v>37</v>
      </c>
      <c r="H2033" s="9" t="n">
        <v>551</v>
      </c>
      <c r="I2033" s="9" t="inlineStr">
        <is>
          <t>Catcher - Backup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1" t="n">
        <v>1</v>
      </c>
      <c r="N2033" s="17" t="n"/>
      <c r="O2033" s="17" t="n"/>
      <c r="P2033" s="17" t="n"/>
      <c r="Q2033" s="17" t="n"/>
      <c r="R2033" s="17" t="n"/>
      <c r="S2033" s="17" t="n"/>
      <c r="T2033" s="17" t="n">
        <v>1</v>
      </c>
      <c r="U2033" s="17" t="n"/>
      <c r="V2033" s="17" t="n"/>
      <c r="W2033" s="17" t="n"/>
      <c r="X2033" s="17" t="n"/>
      <c r="Y2033" s="17" t="n"/>
      <c r="Z2033" s="13">
        <f>SUMPRODUCT(N2033:Y2033,$N$2:$Y$2)*$K2033*$L2033*$M2033</f>
        <v/>
      </c>
      <c r="AA2033" s="14">
        <f>SUM(N2033:Y2033)</f>
        <v/>
      </c>
      <c r="AB2033" s="14">
        <f>IFERROR(IF(UPPER($E2033)="L",SUMPRODUCT(N2033:Y2033,$N$3:$Y$3,$N$2:$Y$2),SUMPRODUCT(N2033:Y2033,$N$4:$Y$4,$N$2:$Y$2))/(Z2033/($K2033*$L2033*$M2033)),"")</f>
        <v/>
      </c>
      <c r="AC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1" t="n">
        <v>1</v>
      </c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/>
      <c r="Y2034" s="17" t="n">
        <v>1</v>
      </c>
      <c r="Z2034" s="13">
        <f>SUMPRODUCT(N2034:Y2034,$N$2:$Y$2)*$K2034*$L2034*$M2034</f>
        <v/>
      </c>
      <c r="AA2034" s="14">
        <f>SUM(N2034:Y2034)</f>
        <v/>
      </c>
      <c r="AB2034" s="14">
        <f>IFERROR(IF(UPPER($E2034)="L",SUMPRODUCT(N2034:Y2034,$N$3:$Y$3,$N$2:$Y$2),SUMPRODUCT(N2034:Y2034,$N$4:$Y$4,$N$2:$Y$2))/(Z2034/($K2034*$L2034*$M2034)),"")</f>
        <v/>
      </c>
      <c r="AC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inlineStr">
        <is>
          <t>RF</t>
        </is>
      </c>
      <c r="G2035" s="9" t="n">
        <v>74</v>
      </c>
      <c r="H2035" s="9" t="n">
        <v>978</v>
      </c>
      <c r="I2035" s="9" t="inlineStr">
        <is>
          <t>Weak Side Platoon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1" t="n">
        <v>1</v>
      </c>
      <c r="N2035" s="17" t="n"/>
      <c r="O2035" s="17" t="n"/>
      <c r="P2035" s="17" t="n"/>
      <c r="Q2035" s="17" t="n">
        <v>1</v>
      </c>
      <c r="R2035" s="17" t="n"/>
      <c r="S2035" s="17" t="n"/>
      <c r="T2035" s="17" t="n"/>
      <c r="U2035" s="17" t="n"/>
      <c r="V2035" s="17" t="n"/>
      <c r="W2035" s="17" t="n"/>
      <c r="X2035" s="17" t="n"/>
      <c r="Y2035" s="17" t="n"/>
      <c r="Z2035" s="13">
        <f>SUMPRODUCT(N2035:Y2035,$N$2:$Y$2)*$K2035*$L2035*$M2035</f>
        <v/>
      </c>
      <c r="AA2035" s="14">
        <f>SUM(N2035:Y2035)</f>
        <v/>
      </c>
      <c r="AB2035" s="14">
        <f>IFERROR(IF(UPPER($E2035)="L",SUMPRODUCT(N2035:Y2035,$N$3:$Y$3,$N$2:$Y$2),SUMPRODUCT(N2035:Y2035,$N$4:$Y$4,$N$2:$Y$2))/(Z2035/($K2035*$L2035*$M2035)),"")</f>
        <v/>
      </c>
      <c r="AC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1" t="n">
        <v>1</v>
      </c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/>
      <c r="Y2036" s="17" t="n">
        <v>1</v>
      </c>
      <c r="Z2036" s="13">
        <f>SUMPRODUCT(N2036:Y2036,$N$2:$Y$2)*$K2036*$L2036*$M2036</f>
        <v/>
      </c>
      <c r="AA2036" s="14">
        <f>SUM(N2036:Y2036)</f>
        <v/>
      </c>
      <c r="AB2036" s="14">
        <f>IFERROR(IF(UPPER($E2036)="L",SUMPRODUCT(N2036:Y2036,$N$3:$Y$3,$N$2:$Y$2),SUMPRODUCT(N2036:Y2036,$N$4:$Y$4,$N$2:$Y$2))/(Z2036/($K2036*$L2036*$M2036)),"")</f>
        <v/>
      </c>
      <c r="AC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1" t="n">
        <v>1</v>
      </c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/>
      <c r="Y2037" s="17" t="n">
        <v>1</v>
      </c>
      <c r="Z2037" s="13">
        <f>SUMPRODUCT(N2037:Y2037,$N$2:$Y$2)*$K2037*$L2037*$M2037</f>
        <v/>
      </c>
      <c r="AA2037" s="14">
        <f>SUM(N2037:Y2037)</f>
        <v/>
      </c>
      <c r="AB2037" s="14">
        <f>IFERROR(IF(UPPER($E2037)="L",SUMPRODUCT(N2037:Y2037,$N$3:$Y$3,$N$2:$Y$2),SUMPRODUCT(N2037:Y2037,$N$4:$Y$4,$N$2:$Y$2))/(Z2037/($K2037*$L2037*$M2037)),"")</f>
        <v/>
      </c>
      <c r="AC2037" s="18" t="n"/>
    </row>
    <row r="2038">
      <c r="A2038" s="9" t="n">
        <v>663457</v>
      </c>
      <c r="B2038" s="9" t="inlineStr">
        <is>
          <t>Lars Nootbaar</t>
        </is>
      </c>
      <c r="C2038" s="9" t="inlineStr">
        <is>
          <t>ARI</t>
        </is>
      </c>
      <c r="D2038" s="9" t="n">
        <v>29</v>
      </c>
      <c r="E2038" s="16" t="inlineStr">
        <is>
          <t>L</t>
        </is>
      </c>
      <c r="F2038" s="16" t="inlineStr">
        <is>
          <t>LF</t>
        </is>
      </c>
      <c r="G2038" s="9" t="n">
        <v>334</v>
      </c>
      <c r="H2038" s="9" t="n">
        <v>2172</v>
      </c>
      <c r="I2038" s="9" t="inlineStr">
        <is>
          <t>Full Time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1" t="n">
        <v>0.9661509480761332</v>
      </c>
      <c r="N2038" s="17" t="n">
        <v>1</v>
      </c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7" t="n"/>
      <c r="Z2038" s="13">
        <f>SUMPRODUCT(N2038:Y2038,$N$2:$Y$2)*$K2038*$L2038*$M2038</f>
        <v/>
      </c>
      <c r="AA2038" s="14">
        <f>SUM(N2038:Y2038)</f>
        <v/>
      </c>
      <c r="AB2038" s="14">
        <f>IFERROR(IF(UPPER($E2038)="L",SUMPRODUCT(N2038:Y2038,$N$3:$Y$3,$N$2:$Y$2),SUMPRODUCT(N2038:Y2038,$N$4:$Y$4,$N$2:$Y$2))/(Z2038/($K2038*$L2038*$M2038)),"")</f>
        <v/>
      </c>
      <c r="AC2038" s="18" t="n"/>
    </row>
    <row r="2039">
      <c r="A2039" s="9" t="n">
        <v>801464</v>
      </c>
      <c r="B2039" s="9" t="inlineStr">
        <is>
          <t>Andrew Pintar</t>
        </is>
      </c>
      <c r="C2039" s="9" t="inlineStr">
        <is>
          <t>MIA</t>
        </is>
      </c>
      <c r="D2039" s="9" t="n">
        <v>25</v>
      </c>
      <c r="E2039" s="16" t="inlineStr">
        <is>
          <t>R</t>
        </is>
      </c>
      <c r="F2039" s="16" t="n"/>
      <c r="G2039" s="9" t="n">
        <v>199.1282051282052</v>
      </c>
      <c r="H2039" s="9" t="n">
        <v>199.1282051282052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1" t="n">
        <v>1</v>
      </c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/>
      <c r="Y2039" s="17" t="n">
        <v>1</v>
      </c>
      <c r="Z2039" s="13">
        <f>SUMPRODUCT(N2039:Y2039,$N$2:$Y$2)*$K2039*$L2039*$M2039</f>
        <v/>
      </c>
      <c r="AA2039" s="14">
        <f>SUM(N2039:Y2039)</f>
        <v/>
      </c>
      <c r="AB2039" s="14">
        <f>IFERROR(IF(UPPER($E2039)="L",SUMPRODUCT(N2039:Y2039,$N$3:$Y$3,$N$2:$Y$2),SUMPRODUCT(N2039:Y2039,$N$4:$Y$4,$N$2:$Y$2))/(Z2039/($K2039*$L2039*$M2039)),"")</f>
        <v/>
      </c>
      <c r="AC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1" t="n">
        <v>1</v>
      </c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/>
      <c r="Y2040" s="17" t="n">
        <v>1</v>
      </c>
      <c r="Z2040" s="13">
        <f>SUMPRODUCT(N2040:Y2040,$N$2:$Y$2)*$K2040*$L2040*$M2040</f>
        <v/>
      </c>
      <c r="AA2040" s="14">
        <f>SUM(N2040:Y2040)</f>
        <v/>
      </c>
      <c r="AB2040" s="14">
        <f>IFERROR(IF(UPPER($E2040)="L",SUMPRODUCT(N2040:Y2040,$N$3:$Y$3,$N$2:$Y$2),SUMPRODUCT(N2040:Y2040,$N$4:$Y$4,$N$2:$Y$2))/(Z2040/($K2040*$L2040*$M2040)),"")</f>
        <v/>
      </c>
      <c r="AC2040" s="18" t="n"/>
    </row>
    <row r="2041">
      <c r="A2041" s="9" t="n">
        <v>701750</v>
      </c>
      <c r="B2041" s="9" t="inlineStr">
        <is>
          <t>Bennett Thompson</t>
        </is>
      </c>
      <c r="C2041" s="9" t="inlineStr">
        <is>
          <t>CLE</t>
        </is>
      </c>
      <c r="D2041" s="9" t="n">
        <v>25</v>
      </c>
      <c r="E2041" s="16" t="inlineStr">
        <is>
          <t>R</t>
        </is>
      </c>
      <c r="F2041" s="16" t="n"/>
      <c r="G2041" s="9" t="n">
        <v>77.17948717948718</v>
      </c>
      <c r="H2041" s="9" t="n">
        <v>77.17948717948718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1" t="n">
        <v>1</v>
      </c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/>
      <c r="Y2041" s="17" t="n">
        <v>1</v>
      </c>
      <c r="Z2041" s="13">
        <f>SUMPRODUCT(N2041:Y2041,$N$2:$Y$2)*$K2041*$L2041*$M2041</f>
        <v/>
      </c>
      <c r="AA2041" s="14">
        <f>SUM(N2041:Y2041)</f>
        <v/>
      </c>
      <c r="AB2041" s="14">
        <f>IFERROR(IF(UPPER($E2041)="L",SUMPRODUCT(N2041:Y2041,$N$3:$Y$3,$N$2:$Y$2),SUMPRODUCT(N2041:Y2041,$N$4:$Y$4,$N$2:$Y$2))/(Z2041/($K2041*$L2041*$M2041)),"")</f>
        <v/>
      </c>
      <c r="AC2041" s="18" t="n"/>
    </row>
    <row r="2042">
      <c r="A2042" s="9" t="n">
        <v>702264</v>
      </c>
      <c r="B2042" s="9" t="inlineStr">
        <is>
          <t>Gavin Kilen</t>
        </is>
      </c>
      <c r="C2042" s="9" t="inlineStr">
        <is>
          <t>SF</t>
        </is>
      </c>
      <c r="D2042" s="9" t="n">
        <v>25</v>
      </c>
      <c r="E2042" s="16" t="inlineStr">
        <is>
          <t>L</t>
        </is>
      </c>
      <c r="F2042" s="16" t="n"/>
      <c r="G2042" s="9" t="n">
        <v>49.8974358974359</v>
      </c>
      <c r="H2042" s="9" t="n">
        <v>49.8974358974359</v>
      </c>
      <c r="I2042" s="9" t="inlineStr">
        <is>
          <t>Depth (no MLB PA)</t>
        </is>
      </c>
      <c r="J2042" s="16" t="inlineStr">
        <is>
          <t>Mid Season (~July)</t>
        </is>
      </c>
      <c r="K2042" s="11">
        <f>IFERROR(INDEX(Roles!$B$17:$B$20,MATCH(J2042,Roles!$A$17:$A$20,0)),1)</f>
        <v/>
      </c>
      <c r="L2042" s="17" t="n">
        <v>1</v>
      </c>
      <c r="M2042" s="11" t="n">
        <v>1</v>
      </c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/>
      <c r="Y2042" s="17" t="n">
        <v>1</v>
      </c>
      <c r="Z2042" s="13">
        <f>SUMPRODUCT(N2042:Y2042,$N$2:$Y$2)*$K2042*$L2042*$M2042</f>
        <v/>
      </c>
      <c r="AA2042" s="14">
        <f>SUM(N2042:Y2042)</f>
        <v/>
      </c>
      <c r="AB2042" s="14">
        <f>IFERROR(IF(UPPER($E2042)="L",SUMPRODUCT(N2042:Y2042,$N$3:$Y$3,$N$2:$Y$2),SUMPRODUCT(N2042:Y2042,$N$4:$Y$4,$N$2:$Y$2))/(Z2042/($K2042*$L2042*$M2042)),"")</f>
        <v/>
      </c>
      <c r="AC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1" t="n">
        <v>1</v>
      </c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/>
      <c r="Y2043" s="17" t="n">
        <v>1</v>
      </c>
      <c r="Z2043" s="13">
        <f>SUMPRODUCT(N2043:Y2043,$N$2:$Y$2)*$K2043*$L2043*$M2043</f>
        <v/>
      </c>
      <c r="AA2043" s="14">
        <f>SUM(N2043:Y2043)</f>
        <v/>
      </c>
      <c r="AB2043" s="14">
        <f>IFERROR(IF(UPPER($E2043)="L",SUMPRODUCT(N2043:Y2043,$N$3:$Y$3,$N$2:$Y$2),SUMPRODUCT(N2043:Y2043,$N$4:$Y$4,$N$2:$Y$2))/(Z2043/($K2043*$L2043*$M2043)),"")</f>
        <v/>
      </c>
      <c r="AC2043" s="18" t="n"/>
    </row>
    <row r="2044">
      <c r="A2044" s="9" t="n">
        <v>700164</v>
      </c>
      <c r="B2044" s="9" t="inlineStr">
        <is>
          <t>Bryant Betancourt</t>
        </is>
      </c>
      <c r="C2044" s="9" t="inlineStr">
        <is>
          <t>COL</t>
        </is>
      </c>
      <c r="D2044" s="9" t="n">
        <v>25</v>
      </c>
      <c r="E2044" s="16" t="inlineStr">
        <is>
          <t>L</t>
        </is>
      </c>
      <c r="F2044" s="16" t="n"/>
      <c r="G2044" s="9" t="n">
        <v>84.61538461538461</v>
      </c>
      <c r="H2044" s="9" t="n">
        <v>84.61538461538461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1" t="n">
        <v>1</v>
      </c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/>
      <c r="Y2044" s="17" t="n">
        <v>1</v>
      </c>
      <c r="Z2044" s="13">
        <f>SUMPRODUCT(N2044:Y2044,$N$2:$Y$2)*$K2044*$L2044*$M2044</f>
        <v/>
      </c>
      <c r="AA2044" s="14">
        <f>SUM(N2044:Y2044)</f>
        <v/>
      </c>
      <c r="AB2044" s="14">
        <f>IFERROR(IF(UPPER($E2044)="L",SUMPRODUCT(N2044:Y2044,$N$3:$Y$3,$N$2:$Y$2),SUMPRODUCT(N2044:Y2044,$N$4:$Y$4,$N$2:$Y$2))/(Z2044/($K2044*$L2044*$M2044)),"")</f>
        <v/>
      </c>
      <c r="AC2044" s="18" t="n"/>
    </row>
    <row r="2045">
      <c r="A2045" s="9" t="n">
        <v>836168</v>
      </c>
      <c r="B2045" s="9" t="inlineStr">
        <is>
          <t>Andrews Opata</t>
        </is>
      </c>
      <c r="C2045" s="9" t="inlineStr">
        <is>
          <t>BOS</t>
        </is>
      </c>
      <c r="D2045" s="9" t="n">
        <v>25</v>
      </c>
      <c r="E2045" s="16" t="inlineStr">
        <is>
          <t>R</t>
        </is>
      </c>
      <c r="F2045" s="16" t="n"/>
      <c r="G2045" s="9" t="n">
        <v>53.41538461538462</v>
      </c>
      <c r="H2045" s="9" t="n">
        <v>53.41538461538462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1" t="n">
        <v>1</v>
      </c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/>
      <c r="Y2045" s="17" t="n">
        <v>1</v>
      </c>
      <c r="Z2045" s="13">
        <f>SUMPRODUCT(N2045:Y2045,$N$2:$Y$2)*$K2045*$L2045*$M2045</f>
        <v/>
      </c>
      <c r="AA2045" s="14">
        <f>SUM(N2045:Y2045)</f>
        <v/>
      </c>
      <c r="AB2045" s="14">
        <f>IFERROR(IF(UPPER($E2045)="L",SUMPRODUCT(N2045:Y2045,$N$3:$Y$3,$N$2:$Y$2),SUMPRODUCT(N2045:Y2045,$N$4:$Y$4,$N$2:$Y$2))/(Z2045/($K2045*$L2045*$M2045)),"")</f>
        <v/>
      </c>
      <c r="AC2045" s="18" t="n"/>
    </row>
    <row r="2046">
      <c r="A2046" s="9" t="n">
        <v>835614</v>
      </c>
      <c r="B2046" s="9" t="inlineStr">
        <is>
          <t>Brady O'Brien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30.76923076923077</v>
      </c>
      <c r="H2046" s="9" t="n">
        <v>30.76923076923077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1" t="n">
        <v>1</v>
      </c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/>
      <c r="Y2046" s="17" t="n">
        <v>1</v>
      </c>
      <c r="Z2046" s="13">
        <f>SUMPRODUCT(N2046:Y2046,$N$2:$Y$2)*$K2046*$L2046*$M2046</f>
        <v/>
      </c>
      <c r="AA2046" s="14">
        <f>SUM(N2046:Y2046)</f>
        <v/>
      </c>
      <c r="AB2046" s="14">
        <f>IFERROR(IF(UPPER($E2046)="L",SUMPRODUCT(N2046:Y2046,$N$3:$Y$3,$N$2:$Y$2),SUMPRODUCT(N2046:Y2046,$N$4:$Y$4,$N$2:$Y$2))/(Z2046/($K2046*$L2046*$M2046)),"")</f>
        <v/>
      </c>
      <c r="AC2046" s="18" t="n"/>
    </row>
    <row r="2047">
      <c r="A2047" s="9" t="n">
        <v>804558</v>
      </c>
      <c r="B2047" s="9" t="inlineStr">
        <is>
          <t>Raudi Rodriguez</t>
        </is>
      </c>
      <c r="C2047" s="9" t="inlineStr">
        <is>
          <t>LAA</t>
        </is>
      </c>
      <c r="D2047" s="9" t="n">
        <v>25</v>
      </c>
      <c r="E2047" s="16" t="inlineStr">
        <is>
          <t>R</t>
        </is>
      </c>
      <c r="F2047" s="16" t="n"/>
      <c r="G2047" s="9" t="n">
        <v>98.15384615384616</v>
      </c>
      <c r="H2047" s="9" t="n">
        <v>98.15384615384616</v>
      </c>
      <c r="I2047" s="9" t="inlineStr">
        <is>
          <t>Bench Bat</t>
        </is>
      </c>
      <c r="J2047" s="16" t="inlineStr">
        <is>
          <t>Mid Season (~July)</t>
        </is>
      </c>
      <c r="K2047" s="11">
        <f>IFERROR(INDEX(Roles!$B$17:$B$20,MATCH(J2047,Roles!$A$17:$A$20,0)),1)</f>
        <v/>
      </c>
      <c r="L2047" s="17" t="n">
        <v>1</v>
      </c>
      <c r="M2047" s="11" t="n">
        <v>1</v>
      </c>
      <c r="N2047" s="17" t="n"/>
      <c r="O2047" s="17" t="n"/>
      <c r="P2047" s="17" t="n">
        <v>0.3</v>
      </c>
      <c r="Q2047" s="17" t="n"/>
      <c r="R2047" s="17" t="n"/>
      <c r="S2047" s="17" t="n"/>
      <c r="T2047" s="17" t="n"/>
      <c r="U2047" s="17" t="n"/>
      <c r="V2047" s="17" t="n"/>
      <c r="W2047" s="17" t="n">
        <v>0.45</v>
      </c>
      <c r="X2047" s="17" t="n">
        <v>0.25</v>
      </c>
      <c r="Y2047" s="17" t="n"/>
      <c r="Z2047" s="13">
        <f>SUMPRODUCT(N2047:Y2047,$N$2:$Y$2)*$K2047*$L2047*$M2047</f>
        <v/>
      </c>
      <c r="AA2047" s="14">
        <f>SUM(N2047:Y2047)</f>
        <v/>
      </c>
      <c r="AB2047" s="14">
        <f>IFERROR(IF(UPPER($E2047)="L",SUMPRODUCT(N2047:Y2047,$N$3:$Y$3,$N$2:$Y$2),SUMPRODUCT(N2047:Y2047,$N$4:$Y$4,$N$2:$Y$2))/(Z2047/($K2047*$L2047*$M2047)),"")</f>
        <v/>
      </c>
      <c r="AC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inlineStr">
        <is>
          <t>RF</t>
        </is>
      </c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1" t="n">
        <v>1.15</v>
      </c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/>
      <c r="Y2048" s="17" t="n">
        <v>1</v>
      </c>
      <c r="Z2048" s="13">
        <f>SUMPRODUCT(N2048:Y2048,$N$2:$Y$2)*$K2048*$L2048*$M2048</f>
        <v/>
      </c>
      <c r="AA2048" s="14">
        <f>SUM(N2048:Y2048)</f>
        <v/>
      </c>
      <c r="AB2048" s="14">
        <f>IFERROR(IF(UPPER($E2048)="L",SUMPRODUCT(N2048:Y2048,$N$3:$Y$3,$N$2:$Y$2),SUMPRODUCT(N2048:Y2048,$N$4:$Y$4,$N$2:$Y$2))/(Z2048/($K2048*$L2048*$M2048)),"")</f>
        <v/>
      </c>
      <c r="AC2048" s="18" t="n"/>
    </row>
    <row r="2049">
      <c r="A2049" s="9" t="n">
        <v>692478</v>
      </c>
      <c r="B2049" s="9" t="inlineStr">
        <is>
          <t>Victor Arias</t>
        </is>
      </c>
      <c r="C2049" s="9" t="inlineStr">
        <is>
          <t>TOR</t>
        </is>
      </c>
      <c r="D2049" s="9" t="n">
        <v>25</v>
      </c>
      <c r="E2049" s="16" t="inlineStr">
        <is>
          <t>L</t>
        </is>
      </c>
      <c r="F2049" s="16" t="n"/>
      <c r="G2049" s="9" t="n">
        <v>124.9230769230769</v>
      </c>
      <c r="H2049" s="9" t="n">
        <v>124.9230769230769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1" t="n">
        <v>1</v>
      </c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/>
      <c r="Y2049" s="17" t="n">
        <v>1</v>
      </c>
      <c r="Z2049" s="13">
        <f>SUMPRODUCT(N2049:Y2049,$N$2:$Y$2)*$K2049*$L2049*$M2049</f>
        <v/>
      </c>
      <c r="AA2049" s="14">
        <f>SUM(N2049:Y2049)</f>
        <v/>
      </c>
      <c r="AB2049" s="14">
        <f>IFERROR(IF(UPPER($E2049)="L",SUMPRODUCT(N2049:Y2049,$N$3:$Y$3,$N$2:$Y$2),SUMPRODUCT(N2049:Y2049,$N$4:$Y$4,$N$2:$Y$2))/(Z2049/($K2049*$L2049*$M2049)),"")</f>
        <v/>
      </c>
      <c r="AC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1" t="n">
        <v>1</v>
      </c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/>
      <c r="Y2050" s="17" t="n">
        <v>1</v>
      </c>
      <c r="Z2050" s="13">
        <f>SUMPRODUCT(N2050:Y2050,$N$2:$Y$2)*$K2050*$L2050*$M2050</f>
        <v/>
      </c>
      <c r="AA2050" s="14">
        <f>SUM(N2050:Y2050)</f>
        <v/>
      </c>
      <c r="AB2050" s="14">
        <f>IFERROR(IF(UPPER($E2050)="L",SUMPRODUCT(N2050:Y2050,$N$3:$Y$3,$N$2:$Y$2),SUMPRODUCT(N2050:Y2050,$N$4:$Y$4,$N$2:$Y$2))/(Z2050/($K2050*$L2050*$M2050)),"")</f>
        <v/>
      </c>
      <c r="AC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1" t="n">
        <v>1</v>
      </c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/>
      <c r="Y2051" s="17" t="n">
        <v>1</v>
      </c>
      <c r="Z2051" s="13">
        <f>SUMPRODUCT(N2051:Y2051,$N$2:$Y$2)*$K2051*$L2051*$M2051</f>
        <v/>
      </c>
      <c r="AA2051" s="14">
        <f>SUM(N2051:Y2051)</f>
        <v/>
      </c>
      <c r="AB2051" s="14">
        <f>IFERROR(IF(UPPER($E2051)="L",SUMPRODUCT(N2051:Y2051,$N$3:$Y$3,$N$2:$Y$2),SUMPRODUCT(N2051:Y2051,$N$4:$Y$4,$N$2:$Y$2))/(Z2051/($K2051*$L2051*$M2051)),"")</f>
        <v/>
      </c>
      <c r="AC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1" t="n">
        <v>1</v>
      </c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/>
      <c r="Y2052" s="17" t="n">
        <v>1</v>
      </c>
      <c r="Z2052" s="13">
        <f>SUMPRODUCT(N2052:Y2052,$N$2:$Y$2)*$K2052*$L2052*$M2052</f>
        <v/>
      </c>
      <c r="AA2052" s="14">
        <f>SUM(N2052:Y2052)</f>
        <v/>
      </c>
      <c r="AB2052" s="14">
        <f>IFERROR(IF(UPPER($E2052)="L",SUMPRODUCT(N2052:Y2052,$N$3:$Y$3,$N$2:$Y$2),SUMPRODUCT(N2052:Y2052,$N$4:$Y$4,$N$2:$Y$2))/(Z2052/($K2052*$L2052*$M2052)),"")</f>
        <v/>
      </c>
      <c r="AC2052" s="18" t="n"/>
    </row>
    <row r="2053">
      <c r="A2053" s="9" t="n">
        <v>807957</v>
      </c>
      <c r="B2053" s="9" t="inlineStr">
        <is>
          <t>Yassel Soler</t>
        </is>
      </c>
      <c r="C2053" s="9" t="inlineStr">
        <is>
          <t>ARI</t>
        </is>
      </c>
      <c r="D2053" s="9" t="n">
        <v>25</v>
      </c>
      <c r="E2053" s="16" t="inlineStr">
        <is>
          <t>R</t>
        </is>
      </c>
      <c r="F2053" s="16" t="n"/>
      <c r="G2053" s="9" t="n">
        <v>90.05128205128206</v>
      </c>
      <c r="H2053" s="9" t="n">
        <v>90.05128205128206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1" t="n">
        <v>1</v>
      </c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/>
      <c r="Y2053" s="17" t="n">
        <v>1</v>
      </c>
      <c r="Z2053" s="13">
        <f>SUMPRODUCT(N2053:Y2053,$N$2:$Y$2)*$K2053*$L2053*$M2053</f>
        <v/>
      </c>
      <c r="AA2053" s="14">
        <f>SUM(N2053:Y2053)</f>
        <v/>
      </c>
      <c r="AB2053" s="14">
        <f>IFERROR(IF(UPPER($E2053)="L",SUMPRODUCT(N2053:Y2053,$N$3:$Y$3,$N$2:$Y$2),SUMPRODUCT(N2053:Y2053,$N$4:$Y$4,$N$2:$Y$2))/(Z2053/($K2053*$L2053*$M2053)),"")</f>
        <v/>
      </c>
      <c r="AC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inlineStr">
        <is>
          <t>LF</t>
        </is>
      </c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1" t="n">
        <v>1</v>
      </c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/>
      <c r="Y2054" s="17" t="n">
        <v>1</v>
      </c>
      <c r="Z2054" s="13">
        <f>SUMPRODUCT(N2054:Y2054,$N$2:$Y$2)*$K2054*$L2054*$M2054</f>
        <v/>
      </c>
      <c r="AA2054" s="14">
        <f>SUM(N2054:Y2054)</f>
        <v/>
      </c>
      <c r="AB2054" s="14">
        <f>IFERROR(IF(UPPER($E2054)="L",SUMPRODUCT(N2054:Y2054,$N$3:$Y$3,$N$2:$Y$2),SUMPRODUCT(N2054:Y2054,$N$4:$Y$4,$N$2:$Y$2))/(Z2054/($K2054*$L2054*$M2054)),"")</f>
        <v/>
      </c>
      <c r="AC2054" s="18" t="n"/>
    </row>
    <row r="2055">
      <c r="A2055" s="9" t="n">
        <v>694478</v>
      </c>
      <c r="B2055" s="9" t="inlineStr">
        <is>
          <t>Michael Turner</t>
        </is>
      </c>
      <c r="C2055" s="9" t="inlineStr">
        <is>
          <t>CWS</t>
        </is>
      </c>
      <c r="D2055" s="9" t="n">
        <v>25</v>
      </c>
      <c r="E2055" s="16" t="inlineStr">
        <is>
          <t>L</t>
        </is>
      </c>
      <c r="F2055" s="16" t="n"/>
      <c r="G2055" s="9" t="n">
        <v>165.8461538461539</v>
      </c>
      <c r="H2055" s="9" t="n">
        <v>165.8461538461539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1" t="n">
        <v>1</v>
      </c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/>
      <c r="Y2055" s="17" t="n">
        <v>1</v>
      </c>
      <c r="Z2055" s="13">
        <f>SUMPRODUCT(N2055:Y2055,$N$2:$Y$2)*$K2055*$L2055*$M2055</f>
        <v/>
      </c>
      <c r="AA2055" s="14">
        <f>SUM(N2055:Y2055)</f>
        <v/>
      </c>
      <c r="AB2055" s="14">
        <f>IFERROR(IF(UPPER($E2055)="L",SUMPRODUCT(N2055:Y2055,$N$3:$Y$3,$N$2:$Y$2),SUMPRODUCT(N2055:Y2055,$N$4:$Y$4,$N$2:$Y$2))/(Z2055/($K2055*$L2055*$M2055)),"")</f>
        <v/>
      </c>
      <c r="AC2055" s="18" t="n"/>
    </row>
    <row r="2056">
      <c r="A2056" s="9" t="n">
        <v>686960</v>
      </c>
      <c r="B2056" s="9" t="inlineStr">
        <is>
          <t>Nate Baez</t>
        </is>
      </c>
      <c r="C2056" s="9" t="inlineStr">
        <is>
          <t>BOS</t>
        </is>
      </c>
      <c r="D2056" s="9" t="n">
        <v>25</v>
      </c>
      <c r="E2056" s="16" t="inlineStr">
        <is>
          <t>R</t>
        </is>
      </c>
      <c r="F2056" s="16" t="n"/>
      <c r="G2056" s="9" t="n">
        <v>30.46153846153846</v>
      </c>
      <c r="H2056" s="9" t="n">
        <v>30.46153846153846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1" t="n">
        <v>1</v>
      </c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/>
      <c r="Y2056" s="17" t="n">
        <v>1</v>
      </c>
      <c r="Z2056" s="13">
        <f>SUMPRODUCT(N2056:Y2056,$N$2:$Y$2)*$K2056*$L2056*$M2056</f>
        <v/>
      </c>
      <c r="AA2056" s="14">
        <f>SUM(N2056:Y2056)</f>
        <v/>
      </c>
      <c r="AB2056" s="14">
        <f>IFERROR(IF(UPPER($E2056)="L",SUMPRODUCT(N2056:Y2056,$N$3:$Y$3,$N$2:$Y$2),SUMPRODUCT(N2056:Y2056,$N$4:$Y$4,$N$2:$Y$2))/(Z2056/($K2056*$L2056*$M2056)),"")</f>
        <v/>
      </c>
      <c r="AC2056" s="18" t="n"/>
    </row>
    <row r="2057">
      <c r="A2057" s="9" t="n">
        <v>699115</v>
      </c>
      <c r="B2057" s="9" t="inlineStr">
        <is>
          <t>Carlos Jorge</t>
        </is>
      </c>
      <c r="C2057" s="9" t="inlineStr">
        <is>
          <t>CIN</t>
        </is>
      </c>
      <c r="D2057" s="9" t="n">
        <v>23</v>
      </c>
      <c r="E2057" s="16" t="inlineStr">
        <is>
          <t>L</t>
        </is>
      </c>
      <c r="F2057" s="16" t="inlineStr">
        <is>
          <t>CF</t>
        </is>
      </c>
      <c r="G2057" s="9" t="n">
        <v>50</v>
      </c>
      <c r="H2057" s="9" t="n">
        <v>50</v>
      </c>
      <c r="I2057" s="9" t="inlineStr">
        <is>
          <t>Strong Side Platoon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1" t="n">
        <v>1</v>
      </c>
      <c r="N2057" s="17" t="n">
        <v>0.4</v>
      </c>
      <c r="O2057" s="17" t="n"/>
      <c r="P2057" s="17" t="n">
        <v>0.6</v>
      </c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7" t="n"/>
      <c r="Z2057" s="13">
        <f>SUMPRODUCT(N2057:Y2057,$N$2:$Y$2)*$K2057*$L2057*$M2057</f>
        <v/>
      </c>
      <c r="AA2057" s="14">
        <f>SUM(N2057:Y2057)</f>
        <v/>
      </c>
      <c r="AB2057" s="14">
        <f>IFERROR(IF(UPPER($E2057)="L",SUMPRODUCT(N2057:Y2057,$N$3:$Y$3,$N$2:$Y$2),SUMPRODUCT(N2057:Y2057,$N$4:$Y$4,$N$2:$Y$2))/(Z2057/($K2057*$L2057*$M2057)),"")</f>
        <v/>
      </c>
      <c r="AC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1" t="n">
        <v>1</v>
      </c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/>
      <c r="Y2058" s="17" t="n">
        <v>1</v>
      </c>
      <c r="Z2058" s="13">
        <f>SUMPRODUCT(N2058:Y2058,$N$2:$Y$2)*$K2058*$L2058*$M2058</f>
        <v/>
      </c>
      <c r="AA2058" s="14">
        <f>SUM(N2058:Y2058)</f>
        <v/>
      </c>
      <c r="AB2058" s="14">
        <f>IFERROR(IF(UPPER($E2058)="L",SUMPRODUCT(N2058:Y2058,$N$3:$Y$3,$N$2:$Y$2),SUMPRODUCT(N2058:Y2058,$N$4:$Y$4,$N$2:$Y$2))/(Z2058/($K2058*$L2058*$M2058)),"")</f>
        <v/>
      </c>
      <c r="AC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1" t="n">
        <v>1</v>
      </c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/>
      <c r="Y2059" s="17" t="n">
        <v>1</v>
      </c>
      <c r="Z2059" s="13">
        <f>SUMPRODUCT(N2059:Y2059,$N$2:$Y$2)*$K2059*$L2059*$M2059</f>
        <v/>
      </c>
      <c r="AA2059" s="14">
        <f>SUM(N2059:Y2059)</f>
        <v/>
      </c>
      <c r="AB2059" s="14">
        <f>IFERROR(IF(UPPER($E2059)="L",SUMPRODUCT(N2059:Y2059,$N$3:$Y$3,$N$2:$Y$2),SUMPRODUCT(N2059:Y2059,$N$4:$Y$4,$N$2:$Y$2))/(Z2059/($K2059*$L2059*$M2059)),"")</f>
        <v/>
      </c>
      <c r="AC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1" t="n">
        <v>1</v>
      </c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/>
      <c r="Y2060" s="17" t="n">
        <v>1</v>
      </c>
      <c r="Z2060" s="13">
        <f>SUMPRODUCT(N2060:Y2060,$N$2:$Y$2)*$K2060*$L2060*$M2060</f>
        <v/>
      </c>
      <c r="AA2060" s="14">
        <f>SUM(N2060:Y2060)</f>
        <v/>
      </c>
      <c r="AB2060" s="14">
        <f>IFERROR(IF(UPPER($E2060)="L",SUMPRODUCT(N2060:Y2060,$N$3:$Y$3,$N$2:$Y$2),SUMPRODUCT(N2060:Y2060,$N$4:$Y$4,$N$2:$Y$2))/(Z2060/($K2060*$L2060*$M2060)),"")</f>
        <v/>
      </c>
      <c r="AC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1" t="n">
        <v>1</v>
      </c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/>
      <c r="Y2061" s="17" t="n">
        <v>1</v>
      </c>
      <c r="Z2061" s="13">
        <f>SUMPRODUCT(N2061:Y2061,$N$2:$Y$2)*$K2061*$L2061*$M2061</f>
        <v/>
      </c>
      <c r="AA2061" s="14">
        <f>SUM(N2061:Y2061)</f>
        <v/>
      </c>
      <c r="AB2061" s="14">
        <f>IFERROR(IF(UPPER($E2061)="L",SUMPRODUCT(N2061:Y2061,$N$3:$Y$3,$N$2:$Y$2),SUMPRODUCT(N2061:Y2061,$N$4:$Y$4,$N$2:$Y$2))/(Z2061/($K2061*$L2061*$M2061)),"")</f>
        <v/>
      </c>
      <c r="AC2061" s="18" t="n"/>
    </row>
    <row r="2062">
      <c r="A2062" s="9" t="n">
        <v>815074</v>
      </c>
      <c r="B2062" s="9" t="inlineStr">
        <is>
          <t>Derek Berg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78.41025641025642</v>
      </c>
      <c r="H2062" s="9" t="n">
        <v>78.41025641025642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1" t="n">
        <v>1</v>
      </c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/>
      <c r="Y2062" s="17" t="n">
        <v>1</v>
      </c>
      <c r="Z2062" s="13">
        <f>SUMPRODUCT(N2062:Y2062,$N$2:$Y$2)*$K2062*$L2062*$M2062</f>
        <v/>
      </c>
      <c r="AA2062" s="14">
        <f>SUM(N2062:Y2062)</f>
        <v/>
      </c>
      <c r="AB2062" s="14">
        <f>IFERROR(IF(UPPER($E2062)="L",SUMPRODUCT(N2062:Y2062,$N$3:$Y$3,$N$2:$Y$2),SUMPRODUCT(N2062:Y2062,$N$4:$Y$4,$N$2:$Y$2))/(Z2062/($K2062*$L2062*$M2062)),"")</f>
        <v/>
      </c>
      <c r="AC2062" s="18" t="n"/>
    </row>
    <row r="2063">
      <c r="A2063" s="9" t="n">
        <v>808004</v>
      </c>
      <c r="B2063" s="9" t="inlineStr">
        <is>
          <t>Anielson Buten</t>
        </is>
      </c>
      <c r="C2063" s="9" t="inlineStr">
        <is>
          <t>CIN</t>
        </is>
      </c>
      <c r="D2063" s="9" t="n">
        <v>25</v>
      </c>
      <c r="E2063" s="16" t="inlineStr">
        <is>
          <t>R</t>
        </is>
      </c>
      <c r="F2063" s="16" t="n"/>
      <c r="G2063" s="9" t="n">
        <v>29.29230769230769</v>
      </c>
      <c r="H2063" s="9" t="n">
        <v>29.29230769230769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1" t="n">
        <v>1</v>
      </c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/>
      <c r="Y2063" s="17" t="n">
        <v>1</v>
      </c>
      <c r="Z2063" s="13">
        <f>SUMPRODUCT(N2063:Y2063,$N$2:$Y$2)*$K2063*$L2063*$M2063</f>
        <v/>
      </c>
      <c r="AA2063" s="14">
        <f>SUM(N2063:Y2063)</f>
        <v/>
      </c>
      <c r="AB2063" s="14">
        <f>IFERROR(IF(UPPER($E2063)="L",SUMPRODUCT(N2063:Y2063,$N$3:$Y$3,$N$2:$Y$2),SUMPRODUCT(N2063:Y2063,$N$4:$Y$4,$N$2:$Y$2))/(Z2063/($K2063*$L2063*$M2063)),"")</f>
        <v/>
      </c>
      <c r="AC2063" s="18" t="n"/>
    </row>
    <row r="2064">
      <c r="A2064" s="9" t="n">
        <v>703200</v>
      </c>
      <c r="B2064" s="9" t="inlineStr">
        <is>
          <t>Yoffry Solano</t>
        </is>
      </c>
      <c r="C2064" s="9" t="inlineStr">
        <is>
          <t>MIA</t>
        </is>
      </c>
      <c r="D2064" s="9" t="n">
        <v>25</v>
      </c>
      <c r="E2064" s="16" t="inlineStr">
        <is>
          <t>S</t>
        </is>
      </c>
      <c r="F2064" s="16" t="n"/>
      <c r="G2064" s="9" t="n">
        <v>33.10769230769231</v>
      </c>
      <c r="H2064" s="9" t="n">
        <v>33.10769230769231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1" t="n">
        <v>1</v>
      </c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/>
      <c r="Y2064" s="17" t="n">
        <v>1</v>
      </c>
      <c r="Z2064" s="13">
        <f>SUMPRODUCT(N2064:Y2064,$N$2:$Y$2)*$K2064*$L2064*$M2064</f>
        <v/>
      </c>
      <c r="AA2064" s="14">
        <f>SUM(N2064:Y2064)</f>
        <v/>
      </c>
      <c r="AB2064" s="14">
        <f>IFERROR(IF(UPPER($E2064)="L",SUMPRODUCT(N2064:Y2064,$N$3:$Y$3,$N$2:$Y$2),SUMPRODUCT(N2064:Y2064,$N$4:$Y$4,$N$2:$Y$2))/(Z2064/($K2064*$L2064*$M2064)),"")</f>
        <v/>
      </c>
      <c r="AC2064" s="18" t="n"/>
    </row>
    <row r="2065">
      <c r="A2065" s="9" t="n">
        <v>685313</v>
      </c>
      <c r="B2065" s="9" t="inlineStr">
        <is>
          <t>Elijah Dunham</t>
        </is>
      </c>
      <c r="C2065" s="9" t="inlineStr">
        <is>
          <t>LAA</t>
        </is>
      </c>
      <c r="D2065" s="9" t="n">
        <v>25</v>
      </c>
      <c r="E2065" s="16" t="inlineStr">
        <is>
          <t>L</t>
        </is>
      </c>
      <c r="F2065" s="16" t="n"/>
      <c r="G2065" s="9" t="n">
        <v>47.74358974358974</v>
      </c>
      <c r="H2065" s="9" t="n">
        <v>47.74358974358974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1" t="n">
        <v>1</v>
      </c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/>
      <c r="Y2065" s="17" t="n">
        <v>1</v>
      </c>
      <c r="Z2065" s="13">
        <f>SUMPRODUCT(N2065:Y2065,$N$2:$Y$2)*$K2065*$L2065*$M2065</f>
        <v/>
      </c>
      <c r="AA2065" s="14">
        <f>SUM(N2065:Y2065)</f>
        <v/>
      </c>
      <c r="AB2065" s="14">
        <f>IFERROR(IF(UPPER($E2065)="L",SUMPRODUCT(N2065:Y2065,$N$3:$Y$3,$N$2:$Y$2),SUMPRODUCT(N2065:Y2065,$N$4:$Y$4,$N$2:$Y$2))/(Z2065/($K2065*$L2065*$M2065)),"")</f>
        <v/>
      </c>
      <c r="AC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1" t="n">
        <v>1</v>
      </c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/>
      <c r="Y2066" s="17" t="n">
        <v>1</v>
      </c>
      <c r="Z2066" s="13">
        <f>SUMPRODUCT(N2066:Y2066,$N$2:$Y$2)*$K2066*$L2066*$M2066</f>
        <v/>
      </c>
      <c r="AA2066" s="14">
        <f>SUM(N2066:Y2066)</f>
        <v/>
      </c>
      <c r="AB2066" s="14">
        <f>IFERROR(IF(UPPER($E2066)="L",SUMPRODUCT(N2066:Y2066,$N$3:$Y$3,$N$2:$Y$2),SUMPRODUCT(N2066:Y2066,$N$4:$Y$4,$N$2:$Y$2))/(Z2066/($K2066*$L2066*$M2066)),"")</f>
        <v/>
      </c>
      <c r="AC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1" t="n">
        <v>1</v>
      </c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/>
      <c r="Y2067" s="17" t="n">
        <v>1</v>
      </c>
      <c r="Z2067" s="13">
        <f>SUMPRODUCT(N2067:Y2067,$N$2:$Y$2)*$K2067*$L2067*$M2067</f>
        <v/>
      </c>
      <c r="AA2067" s="14">
        <f>SUM(N2067:Y2067)</f>
        <v/>
      </c>
      <c r="AB2067" s="14">
        <f>IFERROR(IF(UPPER($E2067)="L",SUMPRODUCT(N2067:Y2067,$N$3:$Y$3,$N$2:$Y$2),SUMPRODUCT(N2067:Y2067,$N$4:$Y$4,$N$2:$Y$2))/(Z2067/($K2067*$L2067*$M2067)),"")</f>
        <v/>
      </c>
      <c r="AC2067" s="18" t="n"/>
    </row>
    <row r="2068">
      <c r="A2068" s="9" t="n">
        <v>808516</v>
      </c>
      <c r="B2068" s="9" t="inlineStr">
        <is>
          <t>Andres Valor</t>
        </is>
      </c>
      <c r="C2068" s="9" t="inlineStr">
        <is>
          <t>MIA</t>
        </is>
      </c>
      <c r="D2068" s="9" t="n">
        <v>25</v>
      </c>
      <c r="E2068" s="16" t="inlineStr">
        <is>
          <t>R</t>
        </is>
      </c>
      <c r="F2068" s="16" t="n"/>
      <c r="G2068" s="9" t="n">
        <v>60.18461538461538</v>
      </c>
      <c r="H2068" s="9" t="n">
        <v>60.18461538461538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1" t="n">
        <v>1</v>
      </c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/>
      <c r="Y2068" s="17" t="n">
        <v>1</v>
      </c>
      <c r="Z2068" s="13">
        <f>SUMPRODUCT(N2068:Y2068,$N$2:$Y$2)*$K2068*$L2068*$M2068</f>
        <v/>
      </c>
      <c r="AA2068" s="14">
        <f>SUM(N2068:Y2068)</f>
        <v/>
      </c>
      <c r="AB2068" s="14">
        <f>IFERROR(IF(UPPER($E2068)="L",SUMPRODUCT(N2068:Y2068,$N$3:$Y$3,$N$2:$Y$2),SUMPRODUCT(N2068:Y2068,$N$4:$Y$4,$N$2:$Y$2))/(Z2068/($K2068*$L2068*$M2068)),"")</f>
        <v/>
      </c>
      <c r="AC2068" s="18" t="n"/>
    </row>
    <row r="2069">
      <c r="A2069" s="9" t="n">
        <v>803102</v>
      </c>
      <c r="B2069" s="9" t="inlineStr">
        <is>
          <t>Cooper McMurray</t>
        </is>
      </c>
      <c r="C2069" s="9" t="inlineStr">
        <is>
          <t>ATL</t>
        </is>
      </c>
      <c r="D2069" s="9" t="n">
        <v>25</v>
      </c>
      <c r="E2069" s="16" t="inlineStr">
        <is>
          <t>L</t>
        </is>
      </c>
      <c r="F2069" s="16" t="n"/>
      <c r="G2069" s="9" t="n">
        <v>53.41538461538462</v>
      </c>
      <c r="H2069" s="9" t="n">
        <v>53.41538461538462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1" t="n">
        <v>1</v>
      </c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/>
      <c r="Y2069" s="17" t="n">
        <v>1</v>
      </c>
      <c r="Z2069" s="13">
        <f>SUMPRODUCT(N2069:Y2069,$N$2:$Y$2)*$K2069*$L2069*$M2069</f>
        <v/>
      </c>
      <c r="AA2069" s="14">
        <f>SUM(N2069:Y2069)</f>
        <v/>
      </c>
      <c r="AB2069" s="14">
        <f>IFERROR(IF(UPPER($E2069)="L",SUMPRODUCT(N2069:Y2069,$N$3:$Y$3,$N$2:$Y$2),SUMPRODUCT(N2069:Y2069,$N$4:$Y$4,$N$2:$Y$2))/(Z2069/($K2069*$L2069*$M2069)),"")</f>
        <v/>
      </c>
      <c r="AC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1" t="n">
        <v>1</v>
      </c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/>
      <c r="Y2070" s="17" t="n">
        <v>1</v>
      </c>
      <c r="Z2070" s="13">
        <f>SUMPRODUCT(N2070:Y2070,$N$2:$Y$2)*$K2070*$L2070*$M2070</f>
        <v/>
      </c>
      <c r="AA2070" s="14">
        <f>SUM(N2070:Y2070)</f>
        <v/>
      </c>
      <c r="AB2070" s="14">
        <f>IFERROR(IF(UPPER($E2070)="L",SUMPRODUCT(N2070:Y2070,$N$3:$Y$3,$N$2:$Y$2),SUMPRODUCT(N2070:Y2070,$N$4:$Y$4,$N$2:$Y$2))/(Z2070/($K2070*$L2070*$M2070)),"")</f>
        <v/>
      </c>
      <c r="AC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1" t="n">
        <v>1</v>
      </c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/>
      <c r="Y2071" s="17" t="n">
        <v>1</v>
      </c>
      <c r="Z2071" s="13">
        <f>SUMPRODUCT(N2071:Y2071,$N$2:$Y$2)*$K2071*$L2071*$M2071</f>
        <v/>
      </c>
      <c r="AA2071" s="14">
        <f>SUM(N2071:Y2071)</f>
        <v/>
      </c>
      <c r="AB2071" s="14">
        <f>IFERROR(IF(UPPER($E2071)="L",SUMPRODUCT(N2071:Y2071,$N$3:$Y$3,$N$2:$Y$2),SUMPRODUCT(N2071:Y2071,$N$4:$Y$4,$N$2:$Y$2))/(Z2071/($K2071*$L2071*$M2071)),"")</f>
        <v/>
      </c>
      <c r="AC2071" s="18" t="n"/>
    </row>
    <row r="2072">
      <c r="A2072" s="9" t="n">
        <v>805260</v>
      </c>
      <c r="B2072" s="9" t="inlineStr">
        <is>
          <t>Ethan Hedges</t>
        </is>
      </c>
      <c r="C2072" s="9" t="inlineStr">
        <is>
          <t>COL</t>
        </is>
      </c>
      <c r="D2072" s="9" t="n">
        <v>25</v>
      </c>
      <c r="E2072" s="16" t="inlineStr">
        <is>
          <t>R</t>
        </is>
      </c>
      <c r="F2072" s="16" t="n"/>
      <c r="G2072" s="9" t="n">
        <v>103.1794871794872</v>
      </c>
      <c r="H2072" s="9" t="n">
        <v>103.1794871794872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1" t="n">
        <v>1</v>
      </c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/>
      <c r="Y2072" s="17" t="n">
        <v>1</v>
      </c>
      <c r="Z2072" s="13">
        <f>SUMPRODUCT(N2072:Y2072,$N$2:$Y$2)*$K2072*$L2072*$M2072</f>
        <v/>
      </c>
      <c r="AA2072" s="14">
        <f>SUM(N2072:Y2072)</f>
        <v/>
      </c>
      <c r="AB2072" s="14">
        <f>IFERROR(IF(UPPER($E2072)="L",SUMPRODUCT(N2072:Y2072,$N$3:$Y$3,$N$2:$Y$2),SUMPRODUCT(N2072:Y2072,$N$4:$Y$4,$N$2:$Y$2))/(Z2072/($K2072*$L2072*$M2072)),"")</f>
        <v/>
      </c>
      <c r="AC2072" s="18" t="n"/>
    </row>
    <row r="2073">
      <c r="A2073" s="9" t="n">
        <v>695289</v>
      </c>
      <c r="B2073" s="9" t="inlineStr">
        <is>
          <t>Dustin Crenshaw</t>
        </is>
      </c>
      <c r="C2073" s="9" t="inlineStr">
        <is>
          <t>SEA</t>
        </is>
      </c>
      <c r="D2073" s="9" t="n">
        <v>25</v>
      </c>
      <c r="E2073" s="16" t="inlineStr">
        <is>
          <t>L</t>
        </is>
      </c>
      <c r="F2073" s="16" t="n"/>
      <c r="G2073" s="9" t="n">
        <v>36.92307692307692</v>
      </c>
      <c r="H2073" s="9" t="n">
        <v>36.92307692307692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1" t="n">
        <v>1</v>
      </c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/>
      <c r="Y2073" s="17" t="n">
        <v>1</v>
      </c>
      <c r="Z2073" s="13">
        <f>SUMPRODUCT(N2073:Y2073,$N$2:$Y$2)*$K2073*$L2073*$M2073</f>
        <v/>
      </c>
      <c r="AA2073" s="14">
        <f>SUM(N2073:Y2073)</f>
        <v/>
      </c>
      <c r="AB2073" s="14">
        <f>IFERROR(IF(UPPER($E2073)="L",SUMPRODUCT(N2073:Y2073,$N$3:$Y$3,$N$2:$Y$2),SUMPRODUCT(N2073:Y2073,$N$4:$Y$4,$N$2:$Y$2))/(Z2073/($K2073*$L2073*$M2073)),"")</f>
        <v/>
      </c>
      <c r="AC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1" t="n">
        <v>1</v>
      </c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/>
      <c r="Y2074" s="17" t="n">
        <v>1</v>
      </c>
      <c r="Z2074" s="13">
        <f>SUMPRODUCT(N2074:Y2074,$N$2:$Y$2)*$K2074*$L2074*$M2074</f>
        <v/>
      </c>
      <c r="AA2074" s="14">
        <f>SUM(N2074:Y2074)</f>
        <v/>
      </c>
      <c r="AB2074" s="14">
        <f>IFERROR(IF(UPPER($E2074)="L",SUMPRODUCT(N2074:Y2074,$N$3:$Y$3,$N$2:$Y$2),SUMPRODUCT(N2074:Y2074,$N$4:$Y$4,$N$2:$Y$2))/(Z2074/($K2074*$L2074*$M2074)),"")</f>
        <v/>
      </c>
      <c r="AC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1" t="n">
        <v>1</v>
      </c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/>
      <c r="Y2075" s="17" t="n">
        <v>1</v>
      </c>
      <c r="Z2075" s="13">
        <f>SUMPRODUCT(N2075:Y2075,$N$2:$Y$2)*$K2075*$L2075*$M2075</f>
        <v/>
      </c>
      <c r="AA2075" s="14">
        <f>SUM(N2075:Y2075)</f>
        <v/>
      </c>
      <c r="AB2075" s="14">
        <f>IFERROR(IF(UPPER($E2075)="L",SUMPRODUCT(N2075:Y2075,$N$3:$Y$3,$N$2:$Y$2),SUMPRODUCT(N2075:Y2075,$N$4:$Y$4,$N$2:$Y$2))/(Z2075/($K2075*$L2075*$M2075)),"")</f>
        <v/>
      </c>
      <c r="AC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1" t="n">
        <v>1</v>
      </c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/>
      <c r="Y2076" s="17" t="n">
        <v>1</v>
      </c>
      <c r="Z2076" s="13">
        <f>SUMPRODUCT(N2076:Y2076,$N$2:$Y$2)*$K2076*$L2076*$M2076</f>
        <v/>
      </c>
      <c r="AA2076" s="14">
        <f>SUM(N2076:Y2076)</f>
        <v/>
      </c>
      <c r="AB2076" s="14">
        <f>IFERROR(IF(UPPER($E2076)="L",SUMPRODUCT(N2076:Y2076,$N$3:$Y$3,$N$2:$Y$2),SUMPRODUCT(N2076:Y2076,$N$4:$Y$4,$N$2:$Y$2))/(Z2076/($K2076*$L2076*$M2076)),"")</f>
        <v/>
      </c>
      <c r="AC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1" t="n">
        <v>1</v>
      </c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/>
      <c r="Y2077" s="17" t="n">
        <v>1</v>
      </c>
      <c r="Z2077" s="13">
        <f>SUMPRODUCT(N2077:Y2077,$N$2:$Y$2)*$K2077*$L2077*$M2077</f>
        <v/>
      </c>
      <c r="AA2077" s="14">
        <f>SUM(N2077:Y2077)</f>
        <v/>
      </c>
      <c r="AB2077" s="14">
        <f>IFERROR(IF(UPPER($E2077)="L",SUMPRODUCT(N2077:Y2077,$N$3:$Y$3,$N$2:$Y$2),SUMPRODUCT(N2077:Y2077,$N$4:$Y$4,$N$2:$Y$2))/(Z2077/($K2077*$L2077*$M2077)),"")</f>
        <v/>
      </c>
      <c r="AC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1" t="n">
        <v>1</v>
      </c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/>
      <c r="Y2078" s="17" t="n">
        <v>1</v>
      </c>
      <c r="Z2078" s="13">
        <f>SUMPRODUCT(N2078:Y2078,$N$2:$Y$2)*$K2078*$L2078*$M2078</f>
        <v/>
      </c>
      <c r="AA2078" s="14">
        <f>SUM(N2078:Y2078)</f>
        <v/>
      </c>
      <c r="AB2078" s="14">
        <f>IFERROR(IF(UPPER($E2078)="L",SUMPRODUCT(N2078:Y2078,$N$3:$Y$3,$N$2:$Y$2),SUMPRODUCT(N2078:Y2078,$N$4:$Y$4,$N$2:$Y$2))/(Z2078/($K2078*$L2078*$M2078)),"")</f>
        <v/>
      </c>
      <c r="AC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1" t="n">
        <v>1</v>
      </c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/>
      <c r="Y2079" s="17" t="n">
        <v>1</v>
      </c>
      <c r="Z2079" s="13">
        <f>SUMPRODUCT(N2079:Y2079,$N$2:$Y$2)*$K2079*$L2079*$M2079</f>
        <v/>
      </c>
      <c r="AA2079" s="14">
        <f>SUM(N2079:Y2079)</f>
        <v/>
      </c>
      <c r="AB2079" s="14">
        <f>IFERROR(IF(UPPER($E2079)="L",SUMPRODUCT(N2079:Y2079,$N$3:$Y$3,$N$2:$Y$2),SUMPRODUCT(N2079:Y2079,$N$4:$Y$4,$N$2:$Y$2))/(Z2079/($K2079*$L2079*$M2079)),"")</f>
        <v/>
      </c>
      <c r="AC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1" t="n">
        <v>1</v>
      </c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/>
      <c r="Y2080" s="17" t="n">
        <v>1</v>
      </c>
      <c r="Z2080" s="13">
        <f>SUMPRODUCT(N2080:Y2080,$N$2:$Y$2)*$K2080*$L2080*$M2080</f>
        <v/>
      </c>
      <c r="AA2080" s="14">
        <f>SUM(N2080:Y2080)</f>
        <v/>
      </c>
      <c r="AB2080" s="14">
        <f>IFERROR(IF(UPPER($E2080)="L",SUMPRODUCT(N2080:Y2080,$N$3:$Y$3,$N$2:$Y$2),SUMPRODUCT(N2080:Y2080,$N$4:$Y$4,$N$2:$Y$2))/(Z2080/($K2080*$L2080*$M2080)),"")</f>
        <v/>
      </c>
      <c r="AC2080" s="18" t="n"/>
    </row>
    <row r="2081">
      <c r="A2081" s="9" t="n">
        <v>808571</v>
      </c>
      <c r="B2081" s="9" t="inlineStr">
        <is>
          <t>D'Angelo Ortiz</t>
        </is>
      </c>
      <c r="C2081" s="9" t="inlineStr">
        <is>
          <t>BOS</t>
        </is>
      </c>
      <c r="D2081" s="9" t="n">
        <v>25</v>
      </c>
      <c r="E2081" s="16" t="inlineStr">
        <is>
          <t>R</t>
        </is>
      </c>
      <c r="F2081" s="16" t="n"/>
      <c r="G2081" s="9" t="n">
        <v>34.58461538461539</v>
      </c>
      <c r="H2081" s="9" t="n">
        <v>34.58461538461539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1" t="n">
        <v>1</v>
      </c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/>
      <c r="Y2081" s="17" t="n">
        <v>1</v>
      </c>
      <c r="Z2081" s="13">
        <f>SUMPRODUCT(N2081:Y2081,$N$2:$Y$2)*$K2081*$L2081*$M2081</f>
        <v/>
      </c>
      <c r="AA2081" s="14">
        <f>SUM(N2081:Y2081)</f>
        <v/>
      </c>
      <c r="AB2081" s="14">
        <f>IFERROR(IF(UPPER($E2081)="L",SUMPRODUCT(N2081:Y2081,$N$3:$Y$3,$N$2:$Y$2),SUMPRODUCT(N2081:Y2081,$N$4:$Y$4,$N$2:$Y$2))/(Z2081/($K2081*$L2081*$M2081)),"")</f>
        <v/>
      </c>
      <c r="AC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1" t="n">
        <v>1</v>
      </c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/>
      <c r="Y2082" s="17" t="n">
        <v>1</v>
      </c>
      <c r="Z2082" s="13">
        <f>SUMPRODUCT(N2082:Y2082,$N$2:$Y$2)*$K2082*$L2082*$M2082</f>
        <v/>
      </c>
      <c r="AA2082" s="14">
        <f>SUM(N2082:Y2082)</f>
        <v/>
      </c>
      <c r="AB2082" s="14">
        <f>IFERROR(IF(UPPER($E2082)="L",SUMPRODUCT(N2082:Y2082,$N$3:$Y$3,$N$2:$Y$2),SUMPRODUCT(N2082:Y2082,$N$4:$Y$4,$N$2:$Y$2))/(Z2082/($K2082*$L2082*$M2082)),"")</f>
        <v/>
      </c>
      <c r="AC2082" s="18" t="n"/>
    </row>
    <row r="2083">
      <c r="A2083" s="9" t="n">
        <v>668965</v>
      </c>
      <c r="B2083" s="9" t="inlineStr">
        <is>
          <t>Freddy Zamora</t>
        </is>
      </c>
      <c r="C2083" s="9" t="inlineStr">
        <is>
          <t>MIL</t>
        </is>
      </c>
      <c r="D2083" s="9" t="n">
        <v>25</v>
      </c>
      <c r="E2083" s="16" t="inlineStr">
        <is>
          <t>R</t>
        </is>
      </c>
      <c r="F2083" s="16" t="n"/>
      <c r="G2083" s="9" t="n">
        <v>81.79487179487181</v>
      </c>
      <c r="H2083" s="9" t="n">
        <v>81.79487179487181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1" t="n">
        <v>1</v>
      </c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/>
      <c r="Y2083" s="17" t="n">
        <v>1</v>
      </c>
      <c r="Z2083" s="13">
        <f>SUMPRODUCT(N2083:Y2083,$N$2:$Y$2)*$K2083*$L2083*$M2083</f>
        <v/>
      </c>
      <c r="AA2083" s="14">
        <f>SUM(N2083:Y2083)</f>
        <v/>
      </c>
      <c r="AB2083" s="14">
        <f>IFERROR(IF(UPPER($E2083)="L",SUMPRODUCT(N2083:Y2083,$N$3:$Y$3,$N$2:$Y$2),SUMPRODUCT(N2083:Y2083,$N$4:$Y$4,$N$2:$Y$2))/(Z2083/($K2083*$L2083*$M2083)),"")</f>
        <v/>
      </c>
      <c r="AC2083" s="18" t="n"/>
    </row>
    <row r="2084">
      <c r="A2084" s="9" t="n">
        <v>827672</v>
      </c>
      <c r="B2084" s="9" t="inlineStr">
        <is>
          <t>Jude Warwick</t>
        </is>
      </c>
      <c r="C2084" s="9" t="inlineStr">
        <is>
          <t>DET</t>
        </is>
      </c>
      <c r="D2084" s="9" t="n">
        <v>25</v>
      </c>
      <c r="E2084" s="16" t="inlineStr">
        <is>
          <t>L</t>
        </is>
      </c>
      <c r="F2084" s="16" t="n"/>
      <c r="G2084" s="9" t="n">
        <v>53.66153846153846</v>
      </c>
      <c r="H2084" s="9" t="n">
        <v>53.66153846153846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1" t="n">
        <v>1</v>
      </c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/>
      <c r="Y2084" s="17" t="n">
        <v>1</v>
      </c>
      <c r="Z2084" s="13">
        <f>SUMPRODUCT(N2084:Y2084,$N$2:$Y$2)*$K2084*$L2084*$M2084</f>
        <v/>
      </c>
      <c r="AA2084" s="14">
        <f>SUM(N2084:Y2084)</f>
        <v/>
      </c>
      <c r="AB2084" s="14">
        <f>IFERROR(IF(UPPER($E2084)="L",SUMPRODUCT(N2084:Y2084,$N$3:$Y$3,$N$2:$Y$2),SUMPRODUCT(N2084:Y2084,$N$4:$Y$4,$N$2:$Y$2))/(Z2084/($K2084*$L2084*$M2084)),"")</f>
        <v/>
      </c>
      <c r="AC2084" s="18" t="n"/>
    </row>
    <row r="2085">
      <c r="A2085" s="9" t="n">
        <v>815814</v>
      </c>
      <c r="B2085" s="9" t="inlineStr">
        <is>
          <t>Billy Carlson</t>
        </is>
      </c>
      <c r="C2085" s="9" t="inlineStr">
        <is>
          <t>CWS</t>
        </is>
      </c>
      <c r="D2085" s="9" t="n">
        <v>25</v>
      </c>
      <c r="E2085" s="16" t="inlineStr">
        <is>
          <t>R</t>
        </is>
      </c>
      <c r="F2085" s="16" t="n"/>
      <c r="G2085" s="9" t="n">
        <v>30.52307692307692</v>
      </c>
      <c r="H2085" s="9" t="n">
        <v>30.52307692307692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1" t="n">
        <v>1</v>
      </c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/>
      <c r="Y2085" s="17" t="n">
        <v>1</v>
      </c>
      <c r="Z2085" s="13">
        <f>SUMPRODUCT(N2085:Y2085,$N$2:$Y$2)*$K2085*$L2085*$M2085</f>
        <v/>
      </c>
      <c r="AA2085" s="14">
        <f>SUM(N2085:Y2085)</f>
        <v/>
      </c>
      <c r="AB2085" s="14">
        <f>IFERROR(IF(UPPER($E2085)="L",SUMPRODUCT(N2085:Y2085,$N$3:$Y$3,$N$2:$Y$2),SUMPRODUCT(N2085:Y2085,$N$4:$Y$4,$N$2:$Y$2))/(Z2085/($K2085*$L2085*$M2085)),"")</f>
        <v/>
      </c>
      <c r="AC2085" s="18" t="n"/>
    </row>
    <row r="2086">
      <c r="A2086" s="9" t="n">
        <v>702253</v>
      </c>
      <c r="B2086" s="9" t="inlineStr">
        <is>
          <t>Cam Collier</t>
        </is>
      </c>
      <c r="C2086" s="9" t="inlineStr">
        <is>
          <t>CIN</t>
        </is>
      </c>
      <c r="D2086" s="9" t="n">
        <v>25</v>
      </c>
      <c r="E2086" s="16" t="inlineStr">
        <is>
          <t>L</t>
        </is>
      </c>
      <c r="F2086" s="16" t="n"/>
      <c r="G2086" s="9" t="n">
        <v>201.7435897435897</v>
      </c>
      <c r="H2086" s="9" t="n">
        <v>201.7435897435897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1" t="n">
        <v>1</v>
      </c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/>
      <c r="Y2086" s="17" t="n">
        <v>1</v>
      </c>
      <c r="Z2086" s="13">
        <f>SUMPRODUCT(N2086:Y2086,$N$2:$Y$2)*$K2086*$L2086*$M2086</f>
        <v/>
      </c>
      <c r="AA2086" s="14">
        <f>SUM(N2086:Y2086)</f>
        <v/>
      </c>
      <c r="AB2086" s="14">
        <f>IFERROR(IF(UPPER($E2086)="L",SUMPRODUCT(N2086:Y2086,$N$3:$Y$3,$N$2:$Y$2),SUMPRODUCT(N2086:Y2086,$N$4:$Y$4,$N$2:$Y$2))/(Z2086/($K2086*$L2086*$M2086)),"")</f>
        <v/>
      </c>
      <c r="AC2086" s="18" t="n"/>
    </row>
    <row r="2087">
      <c r="A2087" s="9" t="n">
        <v>691600</v>
      </c>
      <c r="B2087" s="9" t="inlineStr">
        <is>
          <t>Blayberg Diaz</t>
        </is>
      </c>
      <c r="C2087" s="9" t="inlineStr">
        <is>
          <t>MIL</t>
        </is>
      </c>
      <c r="D2087" s="9" t="n">
        <v>25</v>
      </c>
      <c r="E2087" s="16" t="inlineStr">
        <is>
          <t>R</t>
        </is>
      </c>
      <c r="F2087" s="16" t="n"/>
      <c r="G2087" s="9" t="n">
        <v>31.38461538461539</v>
      </c>
      <c r="H2087" s="9" t="n">
        <v>31.38461538461539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1" t="n">
        <v>1</v>
      </c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/>
      <c r="Y2087" s="17" t="n">
        <v>1</v>
      </c>
      <c r="Z2087" s="13">
        <f>SUMPRODUCT(N2087:Y2087,$N$2:$Y$2)*$K2087*$L2087*$M2087</f>
        <v/>
      </c>
      <c r="AA2087" s="14">
        <f>SUM(N2087:Y2087)</f>
        <v/>
      </c>
      <c r="AB2087" s="14">
        <f>IFERROR(IF(UPPER($E2087)="L",SUMPRODUCT(N2087:Y2087,$N$3:$Y$3,$N$2:$Y$2),SUMPRODUCT(N2087:Y2087,$N$4:$Y$4,$N$2:$Y$2))/(Z2087/($K2087*$L2087*$M2087)),"")</f>
        <v/>
      </c>
      <c r="AC2087" s="18" t="n"/>
    </row>
    <row r="2088">
      <c r="A2088" s="9" t="n">
        <v>702526</v>
      </c>
      <c r="B2088" s="9" t="inlineStr">
        <is>
          <t>Eric Snow</t>
        </is>
      </c>
      <c r="C2088" s="9" t="inlineStr">
        <is>
          <t>TOR</t>
        </is>
      </c>
      <c r="D2088" s="9" t="n">
        <v>25</v>
      </c>
      <c r="E2088" s="16" t="inlineStr">
        <is>
          <t>R</t>
        </is>
      </c>
      <c r="F2088" s="16" t="n"/>
      <c r="G2088" s="9" t="n">
        <v>41.64102564102564</v>
      </c>
      <c r="H2088" s="9" t="n">
        <v>41.64102564102564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1" t="n">
        <v>1</v>
      </c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/>
      <c r="Y2088" s="17" t="n">
        <v>1</v>
      </c>
      <c r="Z2088" s="13">
        <f>SUMPRODUCT(N2088:Y2088,$N$2:$Y$2)*$K2088*$L2088*$M2088</f>
        <v/>
      </c>
      <c r="AA2088" s="14">
        <f>SUM(N2088:Y2088)</f>
        <v/>
      </c>
      <c r="AB2088" s="14">
        <f>IFERROR(IF(UPPER($E2088)="L",SUMPRODUCT(N2088:Y2088,$N$3:$Y$3,$N$2:$Y$2),SUMPRODUCT(N2088:Y2088,$N$4:$Y$4,$N$2:$Y$2))/(Z2088/($K2088*$L2088*$M2088)),"")</f>
        <v/>
      </c>
      <c r="AC2088" s="18" t="n"/>
    </row>
    <row r="2089">
      <c r="A2089" s="9" t="n">
        <v>681879</v>
      </c>
      <c r="B2089" s="9" t="inlineStr">
        <is>
          <t>Nick Lucky</t>
        </is>
      </c>
      <c r="C2089" s="9" t="inlineStr">
        <is>
          <t>NYM</t>
        </is>
      </c>
      <c r="D2089" s="9" t="n">
        <v>25</v>
      </c>
      <c r="E2089" s="16" t="inlineStr">
        <is>
          <t>L</t>
        </is>
      </c>
      <c r="F2089" s="16" t="n"/>
      <c r="G2089" s="9" t="n">
        <v>30.15384615384616</v>
      </c>
      <c r="H2089" s="9" t="n">
        <v>30.15384615384616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1" t="n">
        <v>1</v>
      </c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/>
      <c r="Y2089" s="17" t="n">
        <v>1</v>
      </c>
      <c r="Z2089" s="13">
        <f>SUMPRODUCT(N2089:Y2089,$N$2:$Y$2)*$K2089*$L2089*$M2089</f>
        <v/>
      </c>
      <c r="AA2089" s="14">
        <f>SUM(N2089:Y2089)</f>
        <v/>
      </c>
      <c r="AB2089" s="14">
        <f>IFERROR(IF(UPPER($E2089)="L",SUMPRODUCT(N2089:Y2089,$N$3:$Y$3,$N$2:$Y$2),SUMPRODUCT(N2089:Y2089,$N$4:$Y$4,$N$2:$Y$2))/(Z2089/($K2089*$L2089*$M2089)),"")</f>
        <v/>
      </c>
      <c r="AC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1" t="n">
        <v>1</v>
      </c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/>
      <c r="Y2090" s="17" t="n">
        <v>1</v>
      </c>
      <c r="Z2090" s="13">
        <f>SUMPRODUCT(N2090:Y2090,$N$2:$Y$2)*$K2090*$L2090*$M2090</f>
        <v/>
      </c>
      <c r="AA2090" s="14">
        <f>SUM(N2090:Y2090)</f>
        <v/>
      </c>
      <c r="AB2090" s="14">
        <f>IFERROR(IF(UPPER($E2090)="L",SUMPRODUCT(N2090:Y2090,$N$3:$Y$3,$N$2:$Y$2),SUMPRODUCT(N2090:Y2090,$N$4:$Y$4,$N$2:$Y$2))/(Z2090/($K2090*$L2090*$M2090)),"")</f>
        <v/>
      </c>
      <c r="AC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1" t="n">
        <v>1</v>
      </c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/>
      <c r="Y2091" s="17" t="n">
        <v>1</v>
      </c>
      <c r="Z2091" s="13">
        <f>SUMPRODUCT(N2091:Y2091,$N$2:$Y$2)*$K2091*$L2091*$M2091</f>
        <v/>
      </c>
      <c r="AA2091" s="14">
        <f>SUM(N2091:Y2091)</f>
        <v/>
      </c>
      <c r="AB2091" s="14">
        <f>IFERROR(IF(UPPER($E2091)="L",SUMPRODUCT(N2091:Y2091,$N$3:$Y$3,$N$2:$Y$2),SUMPRODUCT(N2091:Y2091,$N$4:$Y$4,$N$2:$Y$2))/(Z2091/($K2091*$L2091*$M2091)),"")</f>
        <v/>
      </c>
      <c r="AC2091" s="18" t="n"/>
    </row>
    <row r="2092">
      <c r="A2092" s="9" t="n">
        <v>703204</v>
      </c>
      <c r="B2092" s="9" t="inlineStr">
        <is>
          <t>Esmith Pineda</t>
        </is>
      </c>
      <c r="C2092" s="9" t="inlineStr">
        <is>
          <t>CIN</t>
        </is>
      </c>
      <c r="D2092" s="9" t="n">
        <v>25</v>
      </c>
      <c r="E2092" s="16" t="inlineStr">
        <is>
          <t>R</t>
        </is>
      </c>
      <c r="F2092" s="16" t="n"/>
      <c r="G2092" s="9" t="n">
        <v>43.69230769230769</v>
      </c>
      <c r="H2092" s="9" t="n">
        <v>43.69230769230769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1" t="n">
        <v>1</v>
      </c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/>
      <c r="Y2092" s="17" t="n">
        <v>1</v>
      </c>
      <c r="Z2092" s="13">
        <f>SUMPRODUCT(N2092:Y2092,$N$2:$Y$2)*$K2092*$L2092*$M2092</f>
        <v/>
      </c>
      <c r="AA2092" s="14">
        <f>SUM(N2092:Y2092)</f>
        <v/>
      </c>
      <c r="AB2092" s="14">
        <f>IFERROR(IF(UPPER($E2092)="L",SUMPRODUCT(N2092:Y2092,$N$3:$Y$3,$N$2:$Y$2),SUMPRODUCT(N2092:Y2092,$N$4:$Y$4,$N$2:$Y$2))/(Z2092/($K2092*$L2092*$M2092)),"")</f>
        <v/>
      </c>
      <c r="AC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1" t="n">
        <v>1</v>
      </c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/>
      <c r="Y2093" s="17" t="n">
        <v>1</v>
      </c>
      <c r="Z2093" s="13">
        <f>SUMPRODUCT(N2093:Y2093,$N$2:$Y$2)*$K2093*$L2093*$M2093</f>
        <v/>
      </c>
      <c r="AA2093" s="14">
        <f>SUM(N2093:Y2093)</f>
        <v/>
      </c>
      <c r="AB2093" s="14">
        <f>IFERROR(IF(UPPER($E2093)="L",SUMPRODUCT(N2093:Y2093,$N$3:$Y$3,$N$2:$Y$2),SUMPRODUCT(N2093:Y2093,$N$4:$Y$4,$N$2:$Y$2))/(Z2093/($K2093*$L2093*$M2093)),"")</f>
        <v/>
      </c>
      <c r="AC2093" s="18" t="n"/>
    </row>
    <row r="2094">
      <c r="A2094" s="9" t="n">
        <v>672275</v>
      </c>
      <c r="B2094" s="9" t="inlineStr">
        <is>
          <t>Patrick Bailey</t>
        </is>
      </c>
      <c r="C2094" s="9" t="inlineStr">
        <is>
          <t>CLE</t>
        </is>
      </c>
      <c r="D2094" s="9" t="n">
        <v>28</v>
      </c>
      <c r="E2094" s="16" t="inlineStr">
        <is>
          <t>S</t>
        </is>
      </c>
      <c r="F2094" s="16" t="inlineStr">
        <is>
          <t>C</t>
        </is>
      </c>
      <c r="G2094" s="9" t="n">
        <v>345</v>
      </c>
      <c r="H2094" s="9" t="n">
        <v>1598</v>
      </c>
      <c r="I2094" s="9" t="inlineStr">
        <is>
          <t>Strong Side Platoon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1" t="n">
        <v>1.023207907040737</v>
      </c>
      <c r="N2094" s="17" t="n"/>
      <c r="O2094" s="17" t="n"/>
      <c r="P2094" s="17" t="n">
        <v>0.6</v>
      </c>
      <c r="Q2094" s="17" t="n"/>
      <c r="R2094" s="17" t="n">
        <v>0.4</v>
      </c>
      <c r="S2094" s="17" t="n"/>
      <c r="T2094" s="17" t="n"/>
      <c r="U2094" s="17" t="n"/>
      <c r="V2094" s="17" t="n"/>
      <c r="W2094" s="17" t="n"/>
      <c r="X2094" s="17" t="n"/>
      <c r="Y2094" s="17" t="n"/>
      <c r="Z2094" s="13">
        <f>SUMPRODUCT(N2094:Y2094,$N$2:$Y$2)*$K2094*$L2094*$M2094</f>
        <v/>
      </c>
      <c r="AA2094" s="14">
        <f>SUM(N2094:Y2094)</f>
        <v/>
      </c>
      <c r="AB2094" s="14">
        <f>IFERROR(IF(UPPER($E2094)="L",SUMPRODUCT(N2094:Y2094,$N$3:$Y$3,$N$2:$Y$2),SUMPRODUCT(N2094:Y2094,$N$4:$Y$4,$N$2:$Y$2))/(Z2094/($K2094*$L2094*$M2094)),"")</f>
        <v/>
      </c>
      <c r="AC2094" s="18" t="n"/>
    </row>
    <row r="2095">
      <c r="A2095" s="9" t="n">
        <v>700939</v>
      </c>
      <c r="B2095" s="9" t="inlineStr">
        <is>
          <t>Bennett Lee</t>
        </is>
      </c>
      <c r="C2095" s="9" t="inlineStr">
        <is>
          <t>DET</t>
        </is>
      </c>
      <c r="D2095" s="9" t="n">
        <v>25</v>
      </c>
      <c r="E2095" s="16" t="inlineStr">
        <is>
          <t>R</t>
        </is>
      </c>
      <c r="F2095" s="16" t="n"/>
      <c r="G2095" s="9" t="n">
        <v>46.82051282051282</v>
      </c>
      <c r="H2095" s="9" t="n">
        <v>46.82051282051282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1" t="n">
        <v>1</v>
      </c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/>
      <c r="Y2095" s="17" t="n">
        <v>1</v>
      </c>
      <c r="Z2095" s="13">
        <f>SUMPRODUCT(N2095:Y2095,$N$2:$Y$2)*$K2095*$L2095*$M2095</f>
        <v/>
      </c>
      <c r="AA2095" s="14">
        <f>SUM(N2095:Y2095)</f>
        <v/>
      </c>
      <c r="AB2095" s="14">
        <f>IFERROR(IF(UPPER($E2095)="L",SUMPRODUCT(N2095:Y2095,$N$3:$Y$3,$N$2:$Y$2),SUMPRODUCT(N2095:Y2095,$N$4:$Y$4,$N$2:$Y$2))/(Z2095/($K2095*$L2095*$M2095)),"")</f>
        <v/>
      </c>
      <c r="AC2095" s="18" t="n"/>
    </row>
    <row r="2096">
      <c r="A2096" s="9" t="n">
        <v>806978</v>
      </c>
      <c r="B2096" s="9" t="inlineStr">
        <is>
          <t>Robert Calaz</t>
        </is>
      </c>
      <c r="C2096" s="9" t="inlineStr">
        <is>
          <t>COL</t>
        </is>
      </c>
      <c r="D2096" s="9" t="n">
        <v>25</v>
      </c>
      <c r="E2096" s="16" t="inlineStr">
        <is>
          <t>R</t>
        </is>
      </c>
      <c r="F2096" s="16" t="n"/>
      <c r="G2096" s="9" t="n">
        <v>84.71794871794873</v>
      </c>
      <c r="H2096" s="9" t="n">
        <v>84.71794871794873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1" t="n">
        <v>1</v>
      </c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/>
      <c r="Y2096" s="17" t="n">
        <v>1</v>
      </c>
      <c r="Z2096" s="13">
        <f>SUMPRODUCT(N2096:Y2096,$N$2:$Y$2)*$K2096*$L2096*$M2096</f>
        <v/>
      </c>
      <c r="AA2096" s="14">
        <f>SUM(N2096:Y2096)</f>
        <v/>
      </c>
      <c r="AB2096" s="14">
        <f>IFERROR(IF(UPPER($E2096)="L",SUMPRODUCT(N2096:Y2096,$N$3:$Y$3,$N$2:$Y$2),SUMPRODUCT(N2096:Y2096,$N$4:$Y$4,$N$2:$Y$2))/(Z2096/($K2096*$L2096*$M2096)),"")</f>
        <v/>
      </c>
      <c r="AC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1" t="n">
        <v>1</v>
      </c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/>
      <c r="Y2097" s="17" t="n">
        <v>1</v>
      </c>
      <c r="Z2097" s="13">
        <f>SUMPRODUCT(N2097:Y2097,$N$2:$Y$2)*$K2097*$L2097*$M2097</f>
        <v/>
      </c>
      <c r="AA2097" s="14">
        <f>SUM(N2097:Y2097)</f>
        <v/>
      </c>
      <c r="AB2097" s="14">
        <f>IFERROR(IF(UPPER($E2097)="L",SUMPRODUCT(N2097:Y2097,$N$3:$Y$3,$N$2:$Y$2),SUMPRODUCT(N2097:Y2097,$N$4:$Y$4,$N$2:$Y$2))/(Z2097/($K2097*$L2097*$M2097)),"")</f>
        <v/>
      </c>
      <c r="AC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inlineStr">
        <is>
          <t>2B</t>
        </is>
      </c>
      <c r="G2098" s="9" t="n">
        <v>19</v>
      </c>
      <c r="H2098" s="9" t="n">
        <v>1513</v>
      </c>
      <c r="I2098" s="9" t="inlineStr">
        <is>
          <t>Bench Bat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1" t="n">
        <v>0.7941101023692196</v>
      </c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/>
      <c r="W2098" s="17" t="n">
        <v>0.85</v>
      </c>
      <c r="X2098" s="17" t="n">
        <v>0.15</v>
      </c>
      <c r="Y2098" s="17" t="n"/>
      <c r="Z2098" s="13">
        <f>SUMPRODUCT(N2098:Y2098,$N$2:$Y$2)*$K2098*$L2098*$M2098</f>
        <v/>
      </c>
      <c r="AA2098" s="14">
        <f>SUM(N2098:Y2098)</f>
        <v/>
      </c>
      <c r="AB2098" s="14">
        <f>IFERROR(IF(UPPER($E2098)="L",SUMPRODUCT(N2098:Y2098,$N$3:$Y$3,$N$2:$Y$2),SUMPRODUCT(N2098:Y2098,$N$4:$Y$4,$N$2:$Y$2))/(Z2098/($K2098*$L2098*$M2098)),"")</f>
        <v/>
      </c>
      <c r="AC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1" t="n">
        <v>1</v>
      </c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/>
      <c r="Y2099" s="17" t="n">
        <v>1</v>
      </c>
      <c r="Z2099" s="13">
        <f>SUMPRODUCT(N2099:Y2099,$N$2:$Y$2)*$K2099*$L2099*$M2099</f>
        <v/>
      </c>
      <c r="AA2099" s="14">
        <f>SUM(N2099:Y2099)</f>
        <v/>
      </c>
      <c r="AB2099" s="14">
        <f>IFERROR(IF(UPPER($E2099)="L",SUMPRODUCT(N2099:Y2099,$N$3:$Y$3,$N$2:$Y$2),SUMPRODUCT(N2099:Y2099,$N$4:$Y$4,$N$2:$Y$2))/(Z2099/($K2099*$L2099*$M2099)),"")</f>
        <v/>
      </c>
      <c r="AC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1" t="n">
        <v>1</v>
      </c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/>
      <c r="Y2100" s="17" t="n">
        <v>1</v>
      </c>
      <c r="Z2100" s="13">
        <f>SUMPRODUCT(N2100:Y2100,$N$2:$Y$2)*$K2100*$L2100*$M2100</f>
        <v/>
      </c>
      <c r="AA2100" s="14">
        <f>SUM(N2100:Y2100)</f>
        <v/>
      </c>
      <c r="AB2100" s="14">
        <f>IFERROR(IF(UPPER($E2100)="L",SUMPRODUCT(N2100:Y2100,$N$3:$Y$3,$N$2:$Y$2),SUMPRODUCT(N2100:Y2100,$N$4:$Y$4,$N$2:$Y$2))/(Z2100/($K2100*$L2100*$M2100)),"")</f>
        <v/>
      </c>
      <c r="AC2100" s="18" t="n"/>
    </row>
    <row r="2101">
      <c r="A2101" s="9" t="n">
        <v>821112</v>
      </c>
      <c r="B2101" s="9" t="inlineStr">
        <is>
          <t>Anderson Fermin</t>
        </is>
      </c>
      <c r="C2101" s="9" t="inlineStr">
        <is>
          <t>BOS</t>
        </is>
      </c>
      <c r="D2101" s="9" t="n">
        <v>25</v>
      </c>
      <c r="E2101" s="16" t="inlineStr">
        <is>
          <t>S</t>
        </is>
      </c>
      <c r="F2101" s="16" t="n"/>
      <c r="G2101" s="9" t="n">
        <v>33.23076923076923</v>
      </c>
      <c r="H2101" s="9" t="n">
        <v>33.23076923076923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1" t="n">
        <v>1</v>
      </c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/>
      <c r="Y2101" s="17" t="n">
        <v>1</v>
      </c>
      <c r="Z2101" s="13">
        <f>SUMPRODUCT(N2101:Y2101,$N$2:$Y$2)*$K2101*$L2101*$M2101</f>
        <v/>
      </c>
      <c r="AA2101" s="14">
        <f>SUM(N2101:Y2101)</f>
        <v/>
      </c>
      <c r="AB2101" s="14">
        <f>IFERROR(IF(UPPER($E2101)="L",SUMPRODUCT(N2101:Y2101,$N$3:$Y$3,$N$2:$Y$2),SUMPRODUCT(N2101:Y2101,$N$4:$Y$4,$N$2:$Y$2))/(Z2101/($K2101*$L2101*$M2101)),"")</f>
        <v/>
      </c>
      <c r="AC2101" s="18" t="n"/>
    </row>
    <row r="2102">
      <c r="A2102" s="9" t="n">
        <v>692657</v>
      </c>
      <c r="B2102" s="9" t="inlineStr">
        <is>
          <t>Omar Alfonzo</t>
        </is>
      </c>
      <c r="C2102" s="9" t="inlineStr">
        <is>
          <t>NYY</t>
        </is>
      </c>
      <c r="D2102" s="9" t="n">
        <v>25</v>
      </c>
      <c r="E2102" s="16" t="inlineStr">
        <is>
          <t>L</t>
        </is>
      </c>
      <c r="F2102" s="16" t="n"/>
      <c r="G2102" s="9" t="n">
        <v>122.4102564102564</v>
      </c>
      <c r="H2102" s="9" t="n">
        <v>122.4102564102564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1" t="n">
        <v>1</v>
      </c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/>
      <c r="Y2102" s="17" t="n">
        <v>1</v>
      </c>
      <c r="Z2102" s="13">
        <f>SUMPRODUCT(N2102:Y2102,$N$2:$Y$2)*$K2102*$L2102*$M2102</f>
        <v/>
      </c>
      <c r="AA2102" s="14">
        <f>SUM(N2102:Y2102)</f>
        <v/>
      </c>
      <c r="AB2102" s="14">
        <f>IFERROR(IF(UPPER($E2102)="L",SUMPRODUCT(N2102:Y2102,$N$3:$Y$3,$N$2:$Y$2),SUMPRODUCT(N2102:Y2102,$N$4:$Y$4,$N$2:$Y$2))/(Z2102/($K2102*$L2102*$M2102)),"")</f>
        <v/>
      </c>
      <c r="AC2102" s="18" t="n"/>
    </row>
    <row r="2103">
      <c r="A2103" s="9" t="n">
        <v>825646</v>
      </c>
      <c r="B2103" s="9" t="inlineStr">
        <is>
          <t>Juan Sanchez</t>
        </is>
      </c>
      <c r="C2103" s="9" t="inlineStr">
        <is>
          <t>TOR</t>
        </is>
      </c>
      <c r="D2103" s="9" t="n">
        <v>25</v>
      </c>
      <c r="E2103" s="16" t="inlineStr">
        <is>
          <t>R</t>
        </is>
      </c>
      <c r="F2103" s="16" t="n"/>
      <c r="G2103" s="9" t="n">
        <v>48</v>
      </c>
      <c r="H2103" s="9" t="n">
        <v>48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1" t="n">
        <v>1</v>
      </c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/>
      <c r="Y2103" s="17" t="n">
        <v>1</v>
      </c>
      <c r="Z2103" s="13">
        <f>SUMPRODUCT(N2103:Y2103,$N$2:$Y$2)*$K2103*$L2103*$M2103</f>
        <v/>
      </c>
      <c r="AA2103" s="14">
        <f>SUM(N2103:Y2103)</f>
        <v/>
      </c>
      <c r="AB2103" s="14">
        <f>IFERROR(IF(UPPER($E2103)="L",SUMPRODUCT(N2103:Y2103,$N$3:$Y$3,$N$2:$Y$2),SUMPRODUCT(N2103:Y2103,$N$4:$Y$4,$N$2:$Y$2))/(Z2103/($K2103*$L2103*$M2103)),"")</f>
        <v/>
      </c>
      <c r="AC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1" t="n">
        <v>1</v>
      </c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/>
      <c r="Y2104" s="17" t="n">
        <v>1</v>
      </c>
      <c r="Z2104" s="13">
        <f>SUMPRODUCT(N2104:Y2104,$N$2:$Y$2)*$K2104*$L2104*$M2104</f>
        <v/>
      </c>
      <c r="AA2104" s="14">
        <f>SUM(N2104:Y2104)</f>
        <v/>
      </c>
      <c r="AB2104" s="14">
        <f>IFERROR(IF(UPPER($E2104)="L",SUMPRODUCT(N2104:Y2104,$N$3:$Y$3,$N$2:$Y$2),SUMPRODUCT(N2104:Y2104,$N$4:$Y$4,$N$2:$Y$2))/(Z2104/($K2104*$L2104*$M2104)),"")</f>
        <v/>
      </c>
      <c r="AC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1" t="n">
        <v>1</v>
      </c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/>
      <c r="Y2105" s="17" t="n">
        <v>1</v>
      </c>
      <c r="Z2105" s="13">
        <f>SUMPRODUCT(N2105:Y2105,$N$2:$Y$2)*$K2105*$L2105*$M2105</f>
        <v/>
      </c>
      <c r="AA2105" s="14">
        <f>SUM(N2105:Y2105)</f>
        <v/>
      </c>
      <c r="AB2105" s="14">
        <f>IFERROR(IF(UPPER($E2105)="L",SUMPRODUCT(N2105:Y2105,$N$3:$Y$3,$N$2:$Y$2),SUMPRODUCT(N2105:Y2105,$N$4:$Y$4,$N$2:$Y$2))/(Z2105/($K2105*$L2105*$M2105)),"")</f>
        <v/>
      </c>
      <c r="AC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1" t="n">
        <v>1</v>
      </c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/>
      <c r="Y2106" s="17" t="n">
        <v>1</v>
      </c>
      <c r="Z2106" s="13">
        <f>SUMPRODUCT(N2106:Y2106,$N$2:$Y$2)*$K2106*$L2106*$M2106</f>
        <v/>
      </c>
      <c r="AA2106" s="14">
        <f>SUM(N2106:Y2106)</f>
        <v/>
      </c>
      <c r="AB2106" s="14">
        <f>IFERROR(IF(UPPER($E2106)="L",SUMPRODUCT(N2106:Y2106,$N$3:$Y$3,$N$2:$Y$2),SUMPRODUCT(N2106:Y2106,$N$4:$Y$4,$N$2:$Y$2))/(Z2106/($K2106*$L2106*$M2106)),"")</f>
        <v/>
      </c>
      <c r="AC2106" s="18" t="n"/>
    </row>
    <row r="2107">
      <c r="A2107" s="9" t="n">
        <v>821236</v>
      </c>
      <c r="B2107" s="9" t="inlineStr">
        <is>
          <t>Efren Teran</t>
        </is>
      </c>
      <c r="C2107" s="9" t="inlineStr">
        <is>
          <t>CWS</t>
        </is>
      </c>
      <c r="D2107" s="9" t="n">
        <v>25</v>
      </c>
      <c r="E2107" s="16" t="inlineStr">
        <is>
          <t>S</t>
        </is>
      </c>
      <c r="F2107" s="16" t="n"/>
      <c r="G2107" s="9" t="n">
        <v>33.23076923076923</v>
      </c>
      <c r="H2107" s="9" t="n">
        <v>33.23076923076923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1" t="n">
        <v>1</v>
      </c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/>
      <c r="Y2107" s="17" t="n">
        <v>1</v>
      </c>
      <c r="Z2107" s="13">
        <f>SUMPRODUCT(N2107:Y2107,$N$2:$Y$2)*$K2107*$L2107*$M2107</f>
        <v/>
      </c>
      <c r="AA2107" s="14">
        <f>SUM(N2107:Y2107)</f>
        <v/>
      </c>
      <c r="AB2107" s="14">
        <f>IFERROR(IF(UPPER($E2107)="L",SUMPRODUCT(N2107:Y2107,$N$3:$Y$3,$N$2:$Y$2),SUMPRODUCT(N2107:Y2107,$N$4:$Y$4,$N$2:$Y$2))/(Z2107/($K2107*$L2107*$M2107)),"")</f>
        <v/>
      </c>
      <c r="AC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25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Mid Season (~July)</t>
        </is>
      </c>
      <c r="K2108" s="11">
        <f>IFERROR(INDEX(Roles!$B$17:$B$20,MATCH(J2108,Roles!$A$17:$A$20,0)),1)</f>
        <v/>
      </c>
      <c r="L2108" s="17" t="n">
        <v>1</v>
      </c>
      <c r="M2108" s="11" t="n">
        <v>1</v>
      </c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/>
      <c r="Y2108" s="17" t="n">
        <v>1</v>
      </c>
      <c r="Z2108" s="13">
        <f>SUMPRODUCT(N2108:Y2108,$N$2:$Y$2)*$K2108*$L2108*$M2108</f>
        <v/>
      </c>
      <c r="AA2108" s="14">
        <f>SUM(N2108:Y2108)</f>
        <v/>
      </c>
      <c r="AB2108" s="14">
        <f>IFERROR(IF(UPPER($E2108)="L",SUMPRODUCT(N2108:Y2108,$N$3:$Y$3,$N$2:$Y$2),SUMPRODUCT(N2108:Y2108,$N$4:$Y$4,$N$2:$Y$2))/(Z2108/($K2108*$L2108*$M2108)),"")</f>
        <v/>
      </c>
      <c r="AC2108" s="18" t="n"/>
    </row>
    <row r="2109">
      <c r="A2109" s="9" t="n">
        <v>642086</v>
      </c>
      <c r="B2109" s="9" t="inlineStr">
        <is>
          <t>Dominic Smith</t>
        </is>
      </c>
      <c r="C2109" s="9" t="inlineStr">
        <is>
          <t>ATL</t>
        </is>
      </c>
      <c r="D2109" s="9" t="n">
        <v>32</v>
      </c>
      <c r="E2109" s="16" t="inlineStr">
        <is>
          <t>L</t>
        </is>
      </c>
      <c r="F2109" s="16" t="inlineStr">
        <is>
          <t>1B</t>
        </is>
      </c>
      <c r="G2109" s="9" t="n">
        <v>300</v>
      </c>
      <c r="H2109" s="9" t="n">
        <v>1570</v>
      </c>
      <c r="I2109" s="9" t="inlineStr">
        <is>
          <t>Bench Bat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1" t="n">
        <v>1</v>
      </c>
      <c r="N2109" s="17" t="n"/>
      <c r="O2109" s="17" t="n"/>
      <c r="P2109" s="17" t="n"/>
      <c r="Q2109" s="17" t="n"/>
      <c r="R2109" s="17" t="n"/>
      <c r="S2109" s="17" t="n"/>
      <c r="T2109" s="17" t="n"/>
      <c r="U2109" s="17" t="n">
        <v>0.4</v>
      </c>
      <c r="V2109" s="17" t="n"/>
      <c r="W2109" s="17" t="n">
        <v>0.6</v>
      </c>
      <c r="X2109" s="17" t="n"/>
      <c r="Y2109" s="17" t="n"/>
      <c r="Z2109" s="13">
        <f>SUMPRODUCT(N2109:Y2109,$N$2:$Y$2)*$K2109*$L2109*$M2109</f>
        <v/>
      </c>
      <c r="AA2109" s="14">
        <f>SUM(N2109:Y2109)</f>
        <v/>
      </c>
      <c r="AB2109" s="14">
        <f>IFERROR(IF(UPPER($E2109)="L",SUMPRODUCT(N2109:Y2109,$N$3:$Y$3,$N$2:$Y$2),SUMPRODUCT(N2109:Y2109,$N$4:$Y$4,$N$2:$Y$2))/(Z2109/($K2109*$L2109*$M2109)),"")</f>
        <v/>
      </c>
      <c r="AC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1" t="n">
        <v>1</v>
      </c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/>
      <c r="Y2110" s="17" t="n">
        <v>1</v>
      </c>
      <c r="Z2110" s="13">
        <f>SUMPRODUCT(N2110:Y2110,$N$2:$Y$2)*$K2110*$L2110*$M2110</f>
        <v/>
      </c>
      <c r="AA2110" s="14">
        <f>SUM(N2110:Y2110)</f>
        <v/>
      </c>
      <c r="AB2110" s="14">
        <f>IFERROR(IF(UPPER($E2110)="L",SUMPRODUCT(N2110:Y2110,$N$3:$Y$3,$N$2:$Y$2),SUMPRODUCT(N2110:Y2110,$N$4:$Y$4,$N$2:$Y$2))/(Z2110/($K2110*$L2110*$M2110)),"")</f>
        <v/>
      </c>
      <c r="AC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1" t="n">
        <v>1</v>
      </c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/>
      <c r="Y2111" s="17" t="n">
        <v>1</v>
      </c>
      <c r="Z2111" s="13">
        <f>SUMPRODUCT(N2111:Y2111,$N$2:$Y$2)*$K2111*$L2111*$M2111</f>
        <v/>
      </c>
      <c r="AA2111" s="14">
        <f>SUM(N2111:Y2111)</f>
        <v/>
      </c>
      <c r="AB2111" s="14">
        <f>IFERROR(IF(UPPER($E2111)="L",SUMPRODUCT(N2111:Y2111,$N$3:$Y$3,$N$2:$Y$2),SUMPRODUCT(N2111:Y2111,$N$4:$Y$4,$N$2:$Y$2))/(Z2111/($K2111*$L2111*$M2111)),"")</f>
        <v/>
      </c>
      <c r="AC2111" s="18" t="n"/>
    </row>
    <row r="2112">
      <c r="A2112" s="9" t="n">
        <v>808805</v>
      </c>
      <c r="B2112" s="9" t="inlineStr">
        <is>
          <t>Tyler Pettorini</t>
        </is>
      </c>
      <c r="C2112" s="9" t="inlineStr">
        <is>
          <t>PHI</t>
        </is>
      </c>
      <c r="D2112" s="9" t="n">
        <v>25</v>
      </c>
      <c r="E2112" s="16" t="inlineStr">
        <is>
          <t>L</t>
        </is>
      </c>
      <c r="F2112" s="16" t="n"/>
      <c r="G2112" s="9" t="n">
        <v>46.56410256410257</v>
      </c>
      <c r="H2112" s="9" t="n">
        <v>46.56410256410257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1" t="n">
        <v>1</v>
      </c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/>
      <c r="Y2112" s="17" t="n">
        <v>1</v>
      </c>
      <c r="Z2112" s="13">
        <f>SUMPRODUCT(N2112:Y2112,$N$2:$Y$2)*$K2112*$L2112*$M2112</f>
        <v/>
      </c>
      <c r="AA2112" s="14">
        <f>SUM(N2112:Y2112)</f>
        <v/>
      </c>
      <c r="AB2112" s="14">
        <f>IFERROR(IF(UPPER($E2112)="L",SUMPRODUCT(N2112:Y2112,$N$3:$Y$3,$N$2:$Y$2),SUMPRODUCT(N2112:Y2112,$N$4:$Y$4,$N$2:$Y$2))/(Z2112/($K2112*$L2112*$M2112)),"")</f>
        <v/>
      </c>
      <c r="AC2112" s="18" t="n"/>
    </row>
    <row r="2113">
      <c r="A2113" s="9" t="n">
        <v>811716</v>
      </c>
      <c r="B2113" s="9" t="inlineStr">
        <is>
          <t>Landyn Vidourek</t>
        </is>
      </c>
      <c r="C2113" s="9" t="inlineStr">
        <is>
          <t>COL</t>
        </is>
      </c>
      <c r="D2113" s="9" t="n">
        <v>25</v>
      </c>
      <c r="E2113" s="16" t="inlineStr">
        <is>
          <t>L</t>
        </is>
      </c>
      <c r="F2113" s="16" t="n"/>
      <c r="G2113" s="9" t="n">
        <v>49.96923076923077</v>
      </c>
      <c r="H2113" s="9" t="n">
        <v>49.96923076923077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1" t="n">
        <v>1</v>
      </c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/>
      <c r="Y2113" s="17" t="n">
        <v>1</v>
      </c>
      <c r="Z2113" s="13">
        <f>SUMPRODUCT(N2113:Y2113,$N$2:$Y$2)*$K2113*$L2113*$M2113</f>
        <v/>
      </c>
      <c r="AA2113" s="14">
        <f>SUM(N2113:Y2113)</f>
        <v/>
      </c>
      <c r="AB2113" s="14">
        <f>IFERROR(IF(UPPER($E2113)="L",SUMPRODUCT(N2113:Y2113,$N$3:$Y$3,$N$2:$Y$2),SUMPRODUCT(N2113:Y2113,$N$4:$Y$4,$N$2:$Y$2))/(Z2113/($K2113*$L2113*$M2113)),"")</f>
        <v/>
      </c>
      <c r="AC2113" s="18" t="n"/>
    </row>
    <row r="2114">
      <c r="A2114" s="9" t="n">
        <v>688617</v>
      </c>
      <c r="B2114" s="9" t="inlineStr">
        <is>
          <t>Michael Snyder</t>
        </is>
      </c>
      <c r="C2114" s="9" t="inlineStr">
        <is>
          <t>MIA</t>
        </is>
      </c>
      <c r="D2114" s="9" t="n">
        <v>25</v>
      </c>
      <c r="E2114" s="16" t="inlineStr">
        <is>
          <t>R</t>
        </is>
      </c>
      <c r="F2114" s="16" t="n"/>
      <c r="G2114" s="9" t="n">
        <v>40.56410256410256</v>
      </c>
      <c r="H2114" s="9" t="n">
        <v>40.56410256410256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1" t="n">
        <v>1</v>
      </c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/>
      <c r="Y2114" s="17" t="n">
        <v>1</v>
      </c>
      <c r="Z2114" s="13">
        <f>SUMPRODUCT(N2114:Y2114,$N$2:$Y$2)*$K2114*$L2114*$M2114</f>
        <v/>
      </c>
      <c r="AA2114" s="14">
        <f>SUM(N2114:Y2114)</f>
        <v/>
      </c>
      <c r="AB2114" s="14">
        <f>IFERROR(IF(UPPER($E2114)="L",SUMPRODUCT(N2114:Y2114,$N$3:$Y$3,$N$2:$Y$2),SUMPRODUCT(N2114:Y2114,$N$4:$Y$4,$N$2:$Y$2))/(Z2114/($K2114*$L2114*$M2114)),"")</f>
        <v/>
      </c>
      <c r="AC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1" t="n">
        <v>1</v>
      </c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/>
      <c r="Y2115" s="17" t="n">
        <v>1</v>
      </c>
      <c r="Z2115" s="13">
        <f>SUMPRODUCT(N2115:Y2115,$N$2:$Y$2)*$K2115*$L2115*$M2115</f>
        <v/>
      </c>
      <c r="AA2115" s="14">
        <f>SUM(N2115:Y2115)</f>
        <v/>
      </c>
      <c r="AB2115" s="14">
        <f>IFERROR(IF(UPPER($E2115)="L",SUMPRODUCT(N2115:Y2115,$N$3:$Y$3,$N$2:$Y$2),SUMPRODUCT(N2115:Y2115,$N$4:$Y$4,$N$2:$Y$2))/(Z2115/($K2115*$L2115*$M2115)),"")</f>
        <v/>
      </c>
      <c r="AC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1" t="n">
        <v>1</v>
      </c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/>
      <c r="Y2116" s="17" t="n">
        <v>1</v>
      </c>
      <c r="Z2116" s="13">
        <f>SUMPRODUCT(N2116:Y2116,$N$2:$Y$2)*$K2116*$L2116*$M2116</f>
        <v/>
      </c>
      <c r="AA2116" s="14">
        <f>SUM(N2116:Y2116)</f>
        <v/>
      </c>
      <c r="AB2116" s="14">
        <f>IFERROR(IF(UPPER($E2116)="L",SUMPRODUCT(N2116:Y2116,$N$3:$Y$3,$N$2:$Y$2),SUMPRODUCT(N2116:Y2116,$N$4:$Y$4,$N$2:$Y$2))/(Z2116/($K2116*$L2116*$M2116)),"")</f>
        <v/>
      </c>
      <c r="AC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1" t="n">
        <v>1</v>
      </c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/>
      <c r="Y2117" s="17" t="n">
        <v>1</v>
      </c>
      <c r="Z2117" s="13">
        <f>SUMPRODUCT(N2117:Y2117,$N$2:$Y$2)*$K2117*$L2117*$M2117</f>
        <v/>
      </c>
      <c r="AA2117" s="14">
        <f>SUM(N2117:Y2117)</f>
        <v/>
      </c>
      <c r="AB2117" s="14">
        <f>IFERROR(IF(UPPER($E2117)="L",SUMPRODUCT(N2117:Y2117,$N$3:$Y$3,$N$2:$Y$2),SUMPRODUCT(N2117:Y2117,$N$4:$Y$4,$N$2:$Y$2))/(Z2117/($K2117*$L2117*$M2117)),"")</f>
        <v/>
      </c>
      <c r="AC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inlineStr">
        <is>
          <t>RF</t>
        </is>
      </c>
      <c r="G2118" s="9" t="n">
        <v>91</v>
      </c>
      <c r="H2118" s="9" t="n">
        <v>91</v>
      </c>
      <c r="I2118" s="9" t="inlineStr">
        <is>
          <t>Bench Bat</t>
        </is>
      </c>
      <c r="J2118" s="16" t="inlineStr">
        <is>
          <t>Mid Season (~July)</t>
        </is>
      </c>
      <c r="K2118" s="11">
        <f>IFERROR(INDEX(Roles!$B$17:$B$20,MATCH(J2118,Roles!$A$17:$A$20,0)),1)</f>
        <v/>
      </c>
      <c r="L2118" s="17" t="n">
        <v>1</v>
      </c>
      <c r="M2118" s="11" t="n">
        <v>1</v>
      </c>
      <c r="N2118" s="17" t="n"/>
      <c r="O2118" s="17" t="n"/>
      <c r="P2118" s="17" t="n">
        <v>0.3</v>
      </c>
      <c r="Q2118" s="17" t="n"/>
      <c r="R2118" s="17" t="n"/>
      <c r="S2118" s="17" t="n"/>
      <c r="T2118" s="17" t="n"/>
      <c r="U2118" s="17" t="n"/>
      <c r="V2118" s="17" t="n"/>
      <c r="W2118" s="17" t="n">
        <v>0.45</v>
      </c>
      <c r="X2118" s="17" t="n">
        <v>0.25</v>
      </c>
      <c r="Y2118" s="17" t="n"/>
      <c r="Z2118" s="13">
        <f>SUMPRODUCT(N2118:Y2118,$N$2:$Y$2)*$K2118*$L2118*$M2118</f>
        <v/>
      </c>
      <c r="AA2118" s="14">
        <f>SUM(N2118:Y2118)</f>
        <v/>
      </c>
      <c r="AB2118" s="14">
        <f>IFERROR(IF(UPPER($E2118)="L",SUMPRODUCT(N2118:Y2118,$N$3:$Y$3,$N$2:$Y$2),SUMPRODUCT(N2118:Y2118,$N$4:$Y$4,$N$2:$Y$2))/(Z2118/($K2118*$L2118*$M2118)),"")</f>
        <v/>
      </c>
      <c r="AC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25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Late Season (~Sept)</t>
        </is>
      </c>
      <c r="K2119" s="11">
        <f>IFERROR(INDEX(Roles!$B$17:$B$20,MATCH(J2119,Roles!$A$17:$A$20,0)),1)</f>
        <v/>
      </c>
      <c r="L2119" s="17" t="n">
        <v>1</v>
      </c>
      <c r="M2119" s="11" t="n">
        <v>1</v>
      </c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/>
      <c r="Y2119" s="17" t="n">
        <v>1</v>
      </c>
      <c r="Z2119" s="13">
        <f>SUMPRODUCT(N2119:Y2119,$N$2:$Y$2)*$K2119*$L2119*$M2119</f>
        <v/>
      </c>
      <c r="AA2119" s="14">
        <f>SUM(N2119:Y2119)</f>
        <v/>
      </c>
      <c r="AB2119" s="14">
        <f>IFERROR(IF(UPPER($E2119)="L",SUMPRODUCT(N2119:Y2119,$N$3:$Y$3,$N$2:$Y$2),SUMPRODUCT(N2119:Y2119,$N$4:$Y$4,$N$2:$Y$2))/(Z2119/($K2119*$L2119*$M2119)),"")</f>
        <v/>
      </c>
      <c r="AC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inlineStr">
        <is>
          <t>3B</t>
        </is>
      </c>
      <c r="G2120" s="9" t="n">
        <v>444</v>
      </c>
      <c r="H2120" s="9" t="n">
        <v>1760</v>
      </c>
      <c r="I2120" s="9" t="inlineStr">
        <is>
          <t>Bench Bat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1" t="n">
        <v>1.078551916876183</v>
      </c>
      <c r="N2120" s="17" t="n">
        <v>0.4</v>
      </c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>
        <v>0.6</v>
      </c>
      <c r="X2120" s="17" t="n"/>
      <c r="Y2120" s="17" t="n"/>
      <c r="Z2120" s="13">
        <f>SUMPRODUCT(N2120:Y2120,$N$2:$Y$2)*$K2120*$L2120*$M2120</f>
        <v/>
      </c>
      <c r="AA2120" s="14">
        <f>SUM(N2120:Y2120)</f>
        <v/>
      </c>
      <c r="AB2120" s="14">
        <f>IFERROR(IF(UPPER($E2120)="L",SUMPRODUCT(N2120:Y2120,$N$3:$Y$3,$N$2:$Y$2),SUMPRODUCT(N2120:Y2120,$N$4:$Y$4,$N$2:$Y$2))/(Z2120/($K2120*$L2120*$M2120)),"")</f>
        <v/>
      </c>
      <c r="AC2120" s="18" t="n"/>
    </row>
    <row r="2121">
      <c r="A2121" s="9" t="n">
        <v>663616</v>
      </c>
      <c r="B2121" s="9" t="inlineStr">
        <is>
          <t>Trevor Larnach</t>
        </is>
      </c>
      <c r="C2121" s="9" t="inlineStr">
        <is>
          <t>MIN</t>
        </is>
      </c>
      <c r="D2121" s="9" t="n">
        <v>30</v>
      </c>
      <c r="E2121" s="16" t="inlineStr">
        <is>
          <t>L</t>
        </is>
      </c>
      <c r="F2121" s="16" t="inlineStr">
        <is>
          <t>LF</t>
        </is>
      </c>
      <c r="G2121" s="9" t="n">
        <v>433</v>
      </c>
      <c r="H2121" s="9" t="n">
        <v>1792</v>
      </c>
      <c r="I2121" s="9" t="inlineStr">
        <is>
          <t>Full Time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1" t="n">
        <v>1.006948751943722</v>
      </c>
      <c r="N2121" s="17" t="n">
        <v>1</v>
      </c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7" t="n"/>
      <c r="Z2121" s="13">
        <f>SUMPRODUCT(N2121:Y2121,$N$2:$Y$2)*$K2121*$L2121*$M2121</f>
        <v/>
      </c>
      <c r="AA2121" s="14">
        <f>SUM(N2121:Y2121)</f>
        <v/>
      </c>
      <c r="AB2121" s="14">
        <f>IFERROR(IF(UPPER($E2121)="L",SUMPRODUCT(N2121:Y2121,$N$3:$Y$3,$N$2:$Y$2),SUMPRODUCT(N2121:Y2121,$N$4:$Y$4,$N$2:$Y$2))/(Z2121/($K2121*$L2121*$M2121)),"")</f>
        <v/>
      </c>
      <c r="AC2121" s="18" t="n"/>
    </row>
    <row r="2122">
      <c r="A2122" s="9" t="n">
        <v>669234</v>
      </c>
      <c r="B2122" s="9" t="inlineStr">
        <is>
          <t>Justyn-Henry Malloy</t>
        </is>
      </c>
      <c r="C2122" s="9" t="inlineStr">
        <is>
          <t>DET</t>
        </is>
      </c>
      <c r="D2122" s="9" t="n">
        <v>27</v>
      </c>
      <c r="E2122" s="16" t="inlineStr">
        <is>
          <t>R</t>
        </is>
      </c>
      <c r="F2122" s="16" t="inlineStr">
        <is>
          <t>RF</t>
        </is>
      </c>
      <c r="G2122" s="9" t="n">
        <v>127</v>
      </c>
      <c r="H2122" s="9" t="n">
        <v>357</v>
      </c>
      <c r="I2122" s="9" t="inlineStr">
        <is>
          <t>Bench Bat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1" t="n">
        <v>1</v>
      </c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/>
      <c r="W2122" s="17" t="n">
        <v>1</v>
      </c>
      <c r="X2122" s="17" t="n"/>
      <c r="Y2122" s="17" t="n"/>
      <c r="Z2122" s="13">
        <f>SUMPRODUCT(N2122:Y2122,$N$2:$Y$2)*$K2122*$L2122*$M2122</f>
        <v/>
      </c>
      <c r="AA2122" s="14">
        <f>SUM(N2122:Y2122)</f>
        <v/>
      </c>
      <c r="AB2122" s="14">
        <f>IFERROR(IF(UPPER($E2122)="L",SUMPRODUCT(N2122:Y2122,$N$3:$Y$3,$N$2:$Y$2),SUMPRODUCT(N2122:Y2122,$N$4:$Y$4,$N$2:$Y$2))/(Z2122/($K2122*$L2122*$M2122)),"")</f>
        <v/>
      </c>
      <c r="AC2122" s="18" t="n"/>
    </row>
    <row r="2123">
      <c r="A2123" s="9" t="n">
        <v>813429</v>
      </c>
      <c r="B2123" s="9" t="inlineStr">
        <is>
          <t>Lucas Ramirez</t>
        </is>
      </c>
      <c r="C2123" s="9" t="inlineStr">
        <is>
          <t>LAA</t>
        </is>
      </c>
      <c r="D2123" s="9" t="n">
        <v>25</v>
      </c>
      <c r="E2123" s="16" t="inlineStr">
        <is>
          <t>L</t>
        </is>
      </c>
      <c r="F2123" s="16" t="n"/>
      <c r="G2123" s="9" t="n">
        <v>52.06153846153846</v>
      </c>
      <c r="H2123" s="9" t="n">
        <v>52.06153846153846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1" t="n">
        <v>1</v>
      </c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/>
      <c r="Y2123" s="17" t="n">
        <v>1</v>
      </c>
      <c r="Z2123" s="13">
        <f>SUMPRODUCT(N2123:Y2123,$N$2:$Y$2)*$K2123*$L2123*$M2123</f>
        <v/>
      </c>
      <c r="AA2123" s="14">
        <f>SUM(N2123:Y2123)</f>
        <v/>
      </c>
      <c r="AB2123" s="14">
        <f>IFERROR(IF(UPPER($E2123)="L",SUMPRODUCT(N2123:Y2123,$N$3:$Y$3,$N$2:$Y$2),SUMPRODUCT(N2123:Y2123,$N$4:$Y$4,$N$2:$Y$2))/(Z2123/($K2123*$L2123*$M2123)),"")</f>
        <v/>
      </c>
      <c r="AC2123" s="18" t="n"/>
    </row>
    <row r="2124">
      <c r="A2124" s="9" t="n">
        <v>833458</v>
      </c>
      <c r="B2124" s="9" t="inlineStr">
        <is>
          <t>Justin Stransky</t>
        </is>
      </c>
      <c r="C2124" s="9" t="inlineStr">
        <is>
          <t>CHC</t>
        </is>
      </c>
      <c r="D2124" s="9" t="n">
        <v>25</v>
      </c>
      <c r="E2124" s="16" t="inlineStr">
        <is>
          <t>R</t>
        </is>
      </c>
      <c r="F2124" s="16" t="n"/>
      <c r="G2124" s="9" t="n">
        <v>61.53846153846154</v>
      </c>
      <c r="H2124" s="9" t="n">
        <v>61.53846153846154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1" t="n">
        <v>1</v>
      </c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/>
      <c r="Y2124" s="17" t="n">
        <v>1</v>
      </c>
      <c r="Z2124" s="13">
        <f>SUMPRODUCT(N2124:Y2124,$N$2:$Y$2)*$K2124*$L2124*$M2124</f>
        <v/>
      </c>
      <c r="AA2124" s="14">
        <f>SUM(N2124:Y2124)</f>
        <v/>
      </c>
      <c r="AB2124" s="14">
        <f>IFERROR(IF(UPPER($E2124)="L",SUMPRODUCT(N2124:Y2124,$N$3:$Y$3,$N$2:$Y$2),SUMPRODUCT(N2124:Y2124,$N$4:$Y$4,$N$2:$Y$2))/(Z2124/($K2124*$L2124*$M2124)),"")</f>
        <v/>
      </c>
      <c r="AC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inlineStr">
        <is>
          <t>2B</t>
        </is>
      </c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1" t="n">
        <v>1.15</v>
      </c>
      <c r="N2125" s="17" t="n">
        <v>1</v>
      </c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7" t="n"/>
      <c r="Z2125" s="13">
        <f>SUMPRODUCT(N2125:Y2125,$N$2:$Y$2)*$K2125*$L2125*$M2125</f>
        <v/>
      </c>
      <c r="AA2125" s="14">
        <f>SUM(N2125:Y2125)</f>
        <v/>
      </c>
      <c r="AB2125" s="14">
        <f>IFERROR(IF(UPPER($E2125)="L",SUMPRODUCT(N2125:Y2125,$N$3:$Y$3,$N$2:$Y$2),SUMPRODUCT(N2125:Y2125,$N$4:$Y$4,$N$2:$Y$2))/(Z2125/($K2125*$L2125*$M2125)),"")</f>
        <v/>
      </c>
      <c r="AC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25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Late Season (~Sept)</t>
        </is>
      </c>
      <c r="K2126" s="11">
        <f>IFERROR(INDEX(Roles!$B$17:$B$20,MATCH(J2126,Roles!$A$17:$A$20,0)),1)</f>
        <v/>
      </c>
      <c r="L2126" s="17" t="n">
        <v>1</v>
      </c>
      <c r="M2126" s="11" t="n">
        <v>1</v>
      </c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/>
      <c r="Y2126" s="17" t="n">
        <v>1</v>
      </c>
      <c r="Z2126" s="13">
        <f>SUMPRODUCT(N2126:Y2126,$N$2:$Y$2)*$K2126*$L2126*$M2126</f>
        <v/>
      </c>
      <c r="AA2126" s="14">
        <f>SUM(N2126:Y2126)</f>
        <v/>
      </c>
      <c r="AB2126" s="14">
        <f>IFERROR(IF(UPPER($E2126)="L",SUMPRODUCT(N2126:Y2126,$N$3:$Y$3,$N$2:$Y$2),SUMPRODUCT(N2126:Y2126,$N$4:$Y$4,$N$2:$Y$2))/(Z2126/($K2126*$L2126*$M2126)),"")</f>
        <v/>
      </c>
      <c r="AC2126" s="18" t="n"/>
    </row>
    <row r="2127">
      <c r="A2127" s="9" t="n">
        <v>814154</v>
      </c>
      <c r="B2127" s="9" t="inlineStr">
        <is>
          <t>Scott Bandura</t>
        </is>
      </c>
      <c r="C2127" s="9" t="inlineStr">
        <is>
          <t>SF</t>
        </is>
      </c>
      <c r="D2127" s="9" t="n">
        <v>25</v>
      </c>
      <c r="E2127" s="16" t="inlineStr">
        <is>
          <t>L</t>
        </is>
      </c>
      <c r="F2127" s="16" t="inlineStr">
        <is>
          <t>LF</t>
        </is>
      </c>
      <c r="G2127" s="9" t="n">
        <v>30</v>
      </c>
      <c r="H2127" s="9" t="n">
        <v>30</v>
      </c>
      <c r="I2127" s="9" t="inlineStr">
        <is>
          <t>Bench Bat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1" t="n">
        <v>1</v>
      </c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/>
      <c r="W2127" s="17" t="n">
        <v>0.85</v>
      </c>
      <c r="X2127" s="17" t="n">
        <v>0.15</v>
      </c>
      <c r="Y2127" s="17" t="n"/>
      <c r="Z2127" s="13">
        <f>SUMPRODUCT(N2127:Y2127,$N$2:$Y$2)*$K2127*$L2127*$M2127</f>
        <v/>
      </c>
      <c r="AA2127" s="14">
        <f>SUM(N2127:Y2127)</f>
        <v/>
      </c>
      <c r="AB2127" s="14">
        <f>IFERROR(IF(UPPER($E2127)="L",SUMPRODUCT(N2127:Y2127,$N$3:$Y$3,$N$2:$Y$2),SUMPRODUCT(N2127:Y2127,$N$4:$Y$4,$N$2:$Y$2))/(Z2127/($K2127*$L2127*$M2127)),"")</f>
        <v/>
      </c>
      <c r="AC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1" t="n">
        <v>1</v>
      </c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/>
      <c r="Y2128" s="17" t="n">
        <v>1</v>
      </c>
      <c r="Z2128" s="13">
        <f>SUMPRODUCT(N2128:Y2128,$N$2:$Y$2)*$K2128*$L2128*$M2128</f>
        <v/>
      </c>
      <c r="AA2128" s="14">
        <f>SUM(N2128:Y2128)</f>
        <v/>
      </c>
      <c r="AB2128" s="14">
        <f>IFERROR(IF(UPPER($E2128)="L",SUMPRODUCT(N2128:Y2128,$N$3:$Y$3,$N$2:$Y$2),SUMPRODUCT(N2128:Y2128,$N$4:$Y$4,$N$2:$Y$2))/(Z2128/($K2128*$L2128*$M2128)),"")</f>
        <v/>
      </c>
      <c r="AC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25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Early Season (~May)</t>
        </is>
      </c>
      <c r="K2129" s="11">
        <f>IFERROR(INDEX(Roles!$B$17:$B$20,MATCH(J2129,Roles!$A$17:$A$20,0)),1)</f>
        <v/>
      </c>
      <c r="L2129" s="17" t="n">
        <v>1</v>
      </c>
      <c r="M2129" s="11" t="n">
        <v>1</v>
      </c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/>
      <c r="Y2129" s="17" t="n">
        <v>1</v>
      </c>
      <c r="Z2129" s="13">
        <f>SUMPRODUCT(N2129:Y2129,$N$2:$Y$2)*$K2129*$L2129*$M2129</f>
        <v/>
      </c>
      <c r="AA2129" s="14">
        <f>SUM(N2129:Y2129)</f>
        <v/>
      </c>
      <c r="AB2129" s="14">
        <f>IFERROR(IF(UPPER($E2129)="L",SUMPRODUCT(N2129:Y2129,$N$3:$Y$3,$N$2:$Y$2),SUMPRODUCT(N2129:Y2129,$N$4:$Y$4,$N$2:$Y$2))/(Z2129/($K2129*$L2129*$M2129)),"")</f>
        <v/>
      </c>
      <c r="AC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1" t="n">
        <v>1</v>
      </c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/>
      <c r="Y2130" s="17" t="n">
        <v>1</v>
      </c>
      <c r="Z2130" s="13">
        <f>SUMPRODUCT(N2130:Y2130,$N$2:$Y$2)*$K2130*$L2130*$M2130</f>
        <v/>
      </c>
      <c r="AA2130" s="14">
        <f>SUM(N2130:Y2130)</f>
        <v/>
      </c>
      <c r="AB2130" s="14">
        <f>IFERROR(IF(UPPER($E2130)="L",SUMPRODUCT(N2130:Y2130,$N$3:$Y$3,$N$2:$Y$2),SUMPRODUCT(N2130:Y2130,$N$4:$Y$4,$N$2:$Y$2))/(Z2130/($K2130*$L2130*$M2130)),"")</f>
        <v/>
      </c>
      <c r="AC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inlineStr">
        <is>
          <t>3B</t>
        </is>
      </c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1" t="n">
        <v>1</v>
      </c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/>
      <c r="Y2131" s="17" t="n">
        <v>1</v>
      </c>
      <c r="Z2131" s="13">
        <f>SUMPRODUCT(N2131:Y2131,$N$2:$Y$2)*$K2131*$L2131*$M2131</f>
        <v/>
      </c>
      <c r="AA2131" s="14">
        <f>SUM(N2131:Y2131)</f>
        <v/>
      </c>
      <c r="AB2131" s="14">
        <f>IFERROR(IF(UPPER($E2131)="L",SUMPRODUCT(N2131:Y2131,$N$3:$Y$3,$N$2:$Y$2),SUMPRODUCT(N2131:Y2131,$N$4:$Y$4,$N$2:$Y$2))/(Z2131/($K2131*$L2131*$M2131)),"")</f>
        <v/>
      </c>
      <c r="AC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1" t="n">
        <v>1</v>
      </c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/>
      <c r="Y2132" s="17" t="n">
        <v>1</v>
      </c>
      <c r="Z2132" s="13">
        <f>SUMPRODUCT(N2132:Y2132,$N$2:$Y$2)*$K2132*$L2132*$M2132</f>
        <v/>
      </c>
      <c r="AA2132" s="14">
        <f>SUM(N2132:Y2132)</f>
        <v/>
      </c>
      <c r="AB2132" s="14">
        <f>IFERROR(IF(UPPER($E2132)="L",SUMPRODUCT(N2132:Y2132,$N$3:$Y$3,$N$2:$Y$2),SUMPRODUCT(N2132:Y2132,$N$4:$Y$4,$N$2:$Y$2))/(Z2132/($K2132*$L2132*$M2132)),"")</f>
        <v/>
      </c>
      <c r="AC2132" s="18" t="n"/>
    </row>
    <row r="2133">
      <c r="A2133" s="9" t="n">
        <v>815654</v>
      </c>
      <c r="B2133" s="9" t="inlineStr">
        <is>
          <t>Eli Lovich</t>
        </is>
      </c>
      <c r="C2133" s="9" t="inlineStr">
        <is>
          <t>CHC</t>
        </is>
      </c>
      <c r="D2133" s="9" t="n">
        <v>25</v>
      </c>
      <c r="E2133" s="16" t="inlineStr">
        <is>
          <t>L</t>
        </is>
      </c>
      <c r="F2133" s="16" t="n"/>
      <c r="G2133" s="9" t="n">
        <v>51.93846153846154</v>
      </c>
      <c r="H2133" s="9" t="n">
        <v>51.93846153846154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1" t="n">
        <v>1</v>
      </c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/>
      <c r="Y2133" s="17" t="n">
        <v>1</v>
      </c>
      <c r="Z2133" s="13">
        <f>SUMPRODUCT(N2133:Y2133,$N$2:$Y$2)*$K2133*$L2133*$M2133</f>
        <v/>
      </c>
      <c r="AA2133" s="14">
        <f>SUM(N2133:Y2133)</f>
        <v/>
      </c>
      <c r="AB2133" s="14">
        <f>IFERROR(IF(UPPER($E2133)="L",SUMPRODUCT(N2133:Y2133,$N$3:$Y$3,$N$2:$Y$2),SUMPRODUCT(N2133:Y2133,$N$4:$Y$4,$N$2:$Y$2))/(Z2133/($K2133*$L2133*$M2133)),"")</f>
        <v/>
      </c>
      <c r="AC2133" s="18" t="n"/>
    </row>
    <row r="2134">
      <c r="A2134" s="9" t="n">
        <v>506702</v>
      </c>
      <c r="B2134" s="9" t="inlineStr">
        <is>
          <t>Sandy León</t>
        </is>
      </c>
      <c r="C2134" s="9" t="inlineStr">
        <is>
          <t>ATL</t>
        </is>
      </c>
      <c r="D2134" s="9" t="n">
        <v>38</v>
      </c>
      <c r="E2134" s="16" t="inlineStr">
        <is>
          <t>S</t>
        </is>
      </c>
      <c r="F2134" s="16" t="inlineStr">
        <is>
          <t>C</t>
        </is>
      </c>
      <c r="G2134" s="9" t="n">
        <v>44</v>
      </c>
      <c r="H2134" s="9" t="n">
        <v>186</v>
      </c>
      <c r="I2134" s="9" t="inlineStr">
        <is>
          <t>Catcher - Backup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1" t="n">
        <v>1</v>
      </c>
      <c r="N2134" s="17" t="n"/>
      <c r="O2134" s="17" t="n"/>
      <c r="P2134" s="17" t="n"/>
      <c r="Q2134" s="17" t="n"/>
      <c r="R2134" s="17" t="n"/>
      <c r="S2134" s="17" t="n"/>
      <c r="T2134" s="17" t="n">
        <v>1</v>
      </c>
      <c r="U2134" s="17" t="n"/>
      <c r="V2134" s="17" t="n"/>
      <c r="W2134" s="17" t="n"/>
      <c r="X2134" s="17" t="n"/>
      <c r="Y2134" s="17" t="n"/>
      <c r="Z2134" s="13">
        <f>SUMPRODUCT(N2134:Y2134,$N$2:$Y$2)*$K2134*$L2134*$M2134</f>
        <v/>
      </c>
      <c r="AA2134" s="14">
        <f>SUM(N2134:Y2134)</f>
        <v/>
      </c>
      <c r="AB2134" s="14">
        <f>IFERROR(IF(UPPER($E2134)="L",SUMPRODUCT(N2134:Y2134,$N$3:$Y$3,$N$2:$Y$2),SUMPRODUCT(N2134:Y2134,$N$4:$Y$4,$N$2:$Y$2))/(Z2134/($K2134*$L2134*$M2134)),"")</f>
        <v/>
      </c>
      <c r="AC2134" s="18" t="n"/>
    </row>
    <row r="2135">
      <c r="A2135" s="9" t="n">
        <v>666182</v>
      </c>
      <c r="B2135" s="9" t="inlineStr">
        <is>
          <t>Bo Bichette</t>
        </is>
      </c>
      <c r="C2135" s="9" t="inlineStr">
        <is>
          <t>NYM</t>
        </is>
      </c>
      <c r="D2135" s="9" t="n">
        <v>29</v>
      </c>
      <c r="E2135" s="16" t="inlineStr">
        <is>
          <t>R</t>
        </is>
      </c>
      <c r="F2135" s="16" t="inlineStr">
        <is>
          <t>3B</t>
        </is>
      </c>
      <c r="G2135" s="9" t="n">
        <v>696</v>
      </c>
      <c r="H2135" s="9" t="n">
        <v>2958</v>
      </c>
      <c r="I2135" s="9" t="inlineStr">
        <is>
          <t>Full Time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1" t="n">
        <v>1.093644085162348</v>
      </c>
      <c r="N2135" s="17" t="n">
        <v>1</v>
      </c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7" t="n"/>
      <c r="Z2135" s="13">
        <f>SUMPRODUCT(N2135:Y2135,$N$2:$Y$2)*$K2135*$L2135*$M2135</f>
        <v/>
      </c>
      <c r="AA2135" s="14">
        <f>SUM(N2135:Y2135)</f>
        <v/>
      </c>
      <c r="AB2135" s="14">
        <f>IFERROR(IF(UPPER($E2135)="L",SUMPRODUCT(N2135:Y2135,$N$3:$Y$3,$N$2:$Y$2),SUMPRODUCT(N2135:Y2135,$N$4:$Y$4,$N$2:$Y$2))/(Z2135/($K2135*$L2135*$M2135)),"")</f>
        <v/>
      </c>
      <c r="AC2135" s="18" t="n"/>
    </row>
    <row r="2136">
      <c r="A2136" s="9" t="n">
        <v>668776</v>
      </c>
      <c r="B2136" s="9" t="inlineStr">
        <is>
          <t>Devin Ortiz</t>
        </is>
      </c>
      <c r="C2136" s="9" t="inlineStr">
        <is>
          <t>WSH</t>
        </is>
      </c>
      <c r="D2136" s="9" t="n">
        <v>25</v>
      </c>
      <c r="E2136" s="16" t="inlineStr">
        <is>
          <t>R</t>
        </is>
      </c>
      <c r="F2136" s="16" t="n"/>
      <c r="G2136" s="9" t="n">
        <v>80.05128205128204</v>
      </c>
      <c r="H2136" s="9" t="n">
        <v>80.05128205128204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1" t="n">
        <v>1</v>
      </c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/>
      <c r="Y2136" s="17" t="n">
        <v>1</v>
      </c>
      <c r="Z2136" s="13">
        <f>SUMPRODUCT(N2136:Y2136,$N$2:$Y$2)*$K2136*$L2136*$M2136</f>
        <v/>
      </c>
      <c r="AA2136" s="14">
        <f>SUM(N2136:Y2136)</f>
        <v/>
      </c>
      <c r="AB2136" s="14">
        <f>IFERROR(IF(UPPER($E2136)="L",SUMPRODUCT(N2136:Y2136,$N$3:$Y$3,$N$2:$Y$2),SUMPRODUCT(N2136:Y2136,$N$4:$Y$4,$N$2:$Y$2))/(Z2136/($K2136*$L2136*$M2136)),"")</f>
        <v/>
      </c>
      <c r="AC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1" t="n">
        <v>1</v>
      </c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/>
      <c r="Y2137" s="17" t="n">
        <v>1</v>
      </c>
      <c r="Z2137" s="13">
        <f>SUMPRODUCT(N2137:Y2137,$N$2:$Y$2)*$K2137*$L2137*$M2137</f>
        <v/>
      </c>
      <c r="AA2137" s="14">
        <f>SUM(N2137:Y2137)</f>
        <v/>
      </c>
      <c r="AB2137" s="14">
        <f>IFERROR(IF(UPPER($E2137)="L",SUMPRODUCT(N2137:Y2137,$N$3:$Y$3,$N$2:$Y$2),SUMPRODUCT(N2137:Y2137,$N$4:$Y$4,$N$2:$Y$2))/(Z2137/($K2137*$L2137*$M2137)),"")</f>
        <v/>
      </c>
      <c r="AC2137" s="18" t="n"/>
    </row>
    <row r="2138">
      <c r="A2138" s="9" t="n">
        <v>665120</v>
      </c>
      <c r="B2138" s="9" t="inlineStr">
        <is>
          <t>Jared Walsh</t>
        </is>
      </c>
      <c r="C2138" s="9" t="inlineStr">
        <is>
          <t>TEX</t>
        </is>
      </c>
      <c r="D2138" s="9" t="n">
        <v>33</v>
      </c>
      <c r="E2138" s="16" t="inlineStr">
        <is>
          <t>L</t>
        </is>
      </c>
      <c r="F2138" s="16" t="inlineStr">
        <is>
          <t>1B</t>
        </is>
      </c>
      <c r="G2138" s="9" t="n">
        <v>60</v>
      </c>
      <c r="H2138" s="9" t="n">
        <v>630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1" t="n">
        <v>1</v>
      </c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/>
      <c r="Y2138" s="17" t="n">
        <v>1</v>
      </c>
      <c r="Z2138" s="13">
        <f>SUMPRODUCT(N2138:Y2138,$N$2:$Y$2)*$K2138*$L2138*$M2138</f>
        <v/>
      </c>
      <c r="AA2138" s="14">
        <f>SUM(N2138:Y2138)</f>
        <v/>
      </c>
      <c r="AB2138" s="14">
        <f>IFERROR(IF(UPPER($E2138)="L",SUMPRODUCT(N2138:Y2138,$N$3:$Y$3,$N$2:$Y$2),SUMPRODUCT(N2138:Y2138,$N$4:$Y$4,$N$2:$Y$2))/(Z2138/($K2138*$L2138*$M2138)),"")</f>
        <v/>
      </c>
      <c r="AC2138" s="18" t="n"/>
    </row>
    <row r="2139">
      <c r="A2139" s="9" t="n">
        <v>828237</v>
      </c>
      <c r="B2139" s="9" t="inlineStr">
        <is>
          <t>Cooper Flemming</t>
        </is>
      </c>
      <c r="C2139" s="9" t="inlineStr">
        <is>
          <t>TB</t>
        </is>
      </c>
      <c r="D2139" s="9" t="n">
        <v>25</v>
      </c>
      <c r="E2139" s="16" t="inlineStr">
        <is>
          <t>L</t>
        </is>
      </c>
      <c r="F2139" s="16" t="n"/>
      <c r="G2139" s="9" t="n">
        <v>61.29230769230769</v>
      </c>
      <c r="H2139" s="9" t="n">
        <v>61.29230769230769</v>
      </c>
      <c r="I2139" s="9" t="inlineStr">
        <is>
          <t>Depth (no MLB PA)</t>
        </is>
      </c>
      <c r="J2139" s="16" t="inlineStr">
        <is>
          <t>Late Season (~Sept)</t>
        </is>
      </c>
      <c r="K2139" s="11">
        <f>IFERROR(INDEX(Roles!$B$17:$B$20,MATCH(J2139,Roles!$A$17:$A$20,0)),1)</f>
        <v/>
      </c>
      <c r="L2139" s="17" t="n">
        <v>1</v>
      </c>
      <c r="M2139" s="11" t="n">
        <v>1</v>
      </c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/>
      <c r="Y2139" s="17" t="n">
        <v>1</v>
      </c>
      <c r="Z2139" s="13">
        <f>SUMPRODUCT(N2139:Y2139,$N$2:$Y$2)*$K2139*$L2139*$M2139</f>
        <v/>
      </c>
      <c r="AA2139" s="14">
        <f>SUM(N2139:Y2139)</f>
        <v/>
      </c>
      <c r="AB2139" s="14">
        <f>IFERROR(IF(UPPER($E2139)="L",SUMPRODUCT(N2139:Y2139,$N$3:$Y$3,$N$2:$Y$2),SUMPRODUCT(N2139:Y2139,$N$4:$Y$4,$N$2:$Y$2))/(Z2139/($K2139*$L2139*$M2139)),"")</f>
        <v/>
      </c>
      <c r="AC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1" t="n">
        <v>1</v>
      </c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/>
      <c r="Y2140" s="17" t="n">
        <v>1</v>
      </c>
      <c r="Z2140" s="13">
        <f>SUMPRODUCT(N2140:Y2140,$N$2:$Y$2)*$K2140*$L2140*$M2140</f>
        <v/>
      </c>
      <c r="AA2140" s="14">
        <f>SUM(N2140:Y2140)</f>
        <v/>
      </c>
      <c r="AB2140" s="14">
        <f>IFERROR(IF(UPPER($E2140)="L",SUMPRODUCT(N2140:Y2140,$N$3:$Y$3,$N$2:$Y$2),SUMPRODUCT(N2140:Y2140,$N$4:$Y$4,$N$2:$Y$2))/(Z2140/($K2140*$L2140*$M2140)),"")</f>
        <v/>
      </c>
      <c r="AC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1" t="n">
        <v>1</v>
      </c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/>
      <c r="Y2141" s="17" t="n">
        <v>1</v>
      </c>
      <c r="Z2141" s="13">
        <f>SUMPRODUCT(N2141:Y2141,$N$2:$Y$2)*$K2141*$L2141*$M2141</f>
        <v/>
      </c>
      <c r="AA2141" s="14">
        <f>SUM(N2141:Y2141)</f>
        <v/>
      </c>
      <c r="AB2141" s="14">
        <f>IFERROR(IF(UPPER($E2141)="L",SUMPRODUCT(N2141:Y2141,$N$3:$Y$3,$N$2:$Y$2),SUMPRODUCT(N2141:Y2141,$N$4:$Y$4,$N$2:$Y$2))/(Z2141/($K2141*$L2141*$M2141)),"")</f>
        <v/>
      </c>
      <c r="AC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1" t="n">
        <v>1</v>
      </c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/>
      <c r="Y2142" s="17" t="n">
        <v>1</v>
      </c>
      <c r="Z2142" s="13">
        <f>SUMPRODUCT(N2142:Y2142,$N$2:$Y$2)*$K2142*$L2142*$M2142</f>
        <v/>
      </c>
      <c r="AA2142" s="14">
        <f>SUM(N2142:Y2142)</f>
        <v/>
      </c>
      <c r="AB2142" s="14">
        <f>IFERROR(IF(UPPER($E2142)="L",SUMPRODUCT(N2142:Y2142,$N$3:$Y$3,$N$2:$Y$2),SUMPRODUCT(N2142:Y2142,$N$4:$Y$4,$N$2:$Y$2))/(Z2142/($K2142*$L2142*$M2142)),"")</f>
        <v/>
      </c>
      <c r="AC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1" t="n">
        <v>1</v>
      </c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/>
      <c r="Y2143" s="17" t="n">
        <v>1</v>
      </c>
      <c r="Z2143" s="13">
        <f>SUMPRODUCT(N2143:Y2143,$N$2:$Y$2)*$K2143*$L2143*$M2143</f>
        <v/>
      </c>
      <c r="AA2143" s="14">
        <f>SUM(N2143:Y2143)</f>
        <v/>
      </c>
      <c r="AB2143" s="14">
        <f>IFERROR(IF(UPPER($E2143)="L",SUMPRODUCT(N2143:Y2143,$N$3:$Y$3,$N$2:$Y$2),SUMPRODUCT(N2143:Y2143,$N$4:$Y$4,$N$2:$Y$2))/(Z2143/($K2143*$L2143*$M2143)),"")</f>
        <v/>
      </c>
      <c r="AC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1" t="n">
        <v>1</v>
      </c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/>
      <c r="Y2144" s="17" t="n">
        <v>1</v>
      </c>
      <c r="Z2144" s="13">
        <f>SUMPRODUCT(N2144:Y2144,$N$2:$Y$2)*$K2144*$L2144*$M2144</f>
        <v/>
      </c>
      <c r="AA2144" s="14">
        <f>SUM(N2144:Y2144)</f>
        <v/>
      </c>
      <c r="AB2144" s="14">
        <f>IFERROR(IF(UPPER($E2144)="L",SUMPRODUCT(N2144:Y2144,$N$3:$Y$3,$N$2:$Y$2),SUMPRODUCT(N2144:Y2144,$N$4:$Y$4,$N$2:$Y$2))/(Z2144/($K2144*$L2144*$M2144)),"")</f>
        <v/>
      </c>
      <c r="AC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25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Mid Season (~July)</t>
        </is>
      </c>
      <c r="K2145" s="11">
        <f>IFERROR(INDEX(Roles!$B$17:$B$20,MATCH(J2145,Roles!$A$17:$A$20,0)),1)</f>
        <v/>
      </c>
      <c r="L2145" s="17" t="n">
        <v>1</v>
      </c>
      <c r="M2145" s="11" t="n">
        <v>1</v>
      </c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/>
      <c r="Y2145" s="17" t="n">
        <v>1</v>
      </c>
      <c r="Z2145" s="13">
        <f>SUMPRODUCT(N2145:Y2145,$N$2:$Y$2)*$K2145*$L2145*$M2145</f>
        <v/>
      </c>
      <c r="AA2145" s="14">
        <f>SUM(N2145:Y2145)</f>
        <v/>
      </c>
      <c r="AB2145" s="14">
        <f>IFERROR(IF(UPPER($E2145)="L",SUMPRODUCT(N2145:Y2145,$N$3:$Y$3,$N$2:$Y$2),SUMPRODUCT(N2145:Y2145,$N$4:$Y$4,$N$2:$Y$2))/(Z2145/($K2145*$L2145*$M2145)),"")</f>
        <v/>
      </c>
      <c r="AC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25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Late Season (~Sept)</t>
        </is>
      </c>
      <c r="K2146" s="11">
        <f>IFERROR(INDEX(Roles!$B$17:$B$20,MATCH(J2146,Roles!$A$17:$A$20,0)),1)</f>
        <v/>
      </c>
      <c r="L2146" s="17" t="n">
        <v>1</v>
      </c>
      <c r="M2146" s="11" t="n">
        <v>1</v>
      </c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/>
      <c r="Y2146" s="17" t="n">
        <v>1</v>
      </c>
      <c r="Z2146" s="13">
        <f>SUMPRODUCT(N2146:Y2146,$N$2:$Y$2)*$K2146*$L2146*$M2146</f>
        <v/>
      </c>
      <c r="AA2146" s="14">
        <f>SUM(N2146:Y2146)</f>
        <v/>
      </c>
      <c r="AB2146" s="14">
        <f>IFERROR(IF(UPPER($E2146)="L",SUMPRODUCT(N2146:Y2146,$N$3:$Y$3,$N$2:$Y$2),SUMPRODUCT(N2146:Y2146,$N$4:$Y$4,$N$2:$Y$2))/(Z2146/($K2146*$L2146*$M2146)),"")</f>
        <v/>
      </c>
      <c r="AC2146" s="18" t="n"/>
    </row>
    <row r="2147">
      <c r="A2147" s="9" t="n">
        <v>694541</v>
      </c>
      <c r="B2147" s="9" t="inlineStr">
        <is>
          <t>Alan Espinal</t>
        </is>
      </c>
      <c r="C2147" s="9" t="inlineStr">
        <is>
          <t>COL</t>
        </is>
      </c>
      <c r="D2147" s="9" t="n">
        <v>25</v>
      </c>
      <c r="E2147" s="16" t="inlineStr">
        <is>
          <t>R</t>
        </is>
      </c>
      <c r="F2147" s="16" t="n"/>
      <c r="G2147" s="9" t="n">
        <v>68.71794871794872</v>
      </c>
      <c r="H2147" s="9" t="n">
        <v>68.71794871794872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1" t="n">
        <v>1</v>
      </c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/>
      <c r="Y2147" s="17" t="n">
        <v>1</v>
      </c>
      <c r="Z2147" s="13">
        <f>SUMPRODUCT(N2147:Y2147,$N$2:$Y$2)*$K2147*$L2147*$M2147</f>
        <v/>
      </c>
      <c r="AA2147" s="14">
        <f>SUM(N2147:Y2147)</f>
        <v/>
      </c>
      <c r="AB2147" s="14">
        <f>IFERROR(IF(UPPER($E2147)="L",SUMPRODUCT(N2147:Y2147,$N$3:$Y$3,$N$2:$Y$2),SUMPRODUCT(N2147:Y2147,$N$4:$Y$4,$N$2:$Y$2))/(Z2147/($K2147*$L2147*$M2147)),"")</f>
        <v/>
      </c>
      <c r="AC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1" t="n">
        <v>1</v>
      </c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/>
      <c r="Y2148" s="17" t="n">
        <v>1</v>
      </c>
      <c r="Z2148" s="13">
        <f>SUMPRODUCT(N2148:Y2148,$N$2:$Y$2)*$K2148*$L2148*$M2148</f>
        <v/>
      </c>
      <c r="AA2148" s="14">
        <f>SUM(N2148:Y2148)</f>
        <v/>
      </c>
      <c r="AB2148" s="14">
        <f>IFERROR(IF(UPPER($E2148)="L",SUMPRODUCT(N2148:Y2148,$N$3:$Y$3,$N$2:$Y$2),SUMPRODUCT(N2148:Y2148,$N$4:$Y$4,$N$2:$Y$2))/(Z2148/($K2148*$L2148*$M2148)),"")</f>
        <v/>
      </c>
      <c r="AC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1" t="n">
        <v>1</v>
      </c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/>
      <c r="Y2149" s="17" t="n">
        <v>1</v>
      </c>
      <c r="Z2149" s="13">
        <f>SUMPRODUCT(N2149:Y2149,$N$2:$Y$2)*$K2149*$L2149*$M2149</f>
        <v/>
      </c>
      <c r="AA2149" s="14">
        <f>SUM(N2149:Y2149)</f>
        <v/>
      </c>
      <c r="AB2149" s="14">
        <f>IFERROR(IF(UPPER($E2149)="L",SUMPRODUCT(N2149:Y2149,$N$3:$Y$3,$N$2:$Y$2),SUMPRODUCT(N2149:Y2149,$N$4:$Y$4,$N$2:$Y$2))/(Z2149/($K2149*$L2149*$M2149)),"")</f>
        <v/>
      </c>
      <c r="AC2149" s="18" t="n"/>
    </row>
    <row r="2150">
      <c r="A2150" s="9" t="n">
        <v>692238</v>
      </c>
      <c r="B2150" s="9" t="inlineStr">
        <is>
          <t>Parks Harber</t>
        </is>
      </c>
      <c r="C2150" s="9" t="inlineStr">
        <is>
          <t>SF</t>
        </is>
      </c>
      <c r="D2150" s="9" t="n">
        <v>25</v>
      </c>
      <c r="E2150" s="16" t="inlineStr">
        <is>
          <t>R</t>
        </is>
      </c>
      <c r="F2150" s="16" t="n"/>
      <c r="G2150" s="9" t="n">
        <v>137.6410256410256</v>
      </c>
      <c r="H2150" s="9" t="n">
        <v>137.6410256410256</v>
      </c>
      <c r="I2150" s="9" t="inlineStr">
        <is>
          <t>Depth (no MLB PA)</t>
        </is>
      </c>
      <c r="J2150" s="16" t="inlineStr">
        <is>
          <t>Early Season (~May)</t>
        </is>
      </c>
      <c r="K2150" s="11">
        <f>IFERROR(INDEX(Roles!$B$17:$B$20,MATCH(J2150,Roles!$A$17:$A$20,0)),1)</f>
        <v/>
      </c>
      <c r="L2150" s="17" t="n">
        <v>1</v>
      </c>
      <c r="M2150" s="11" t="n">
        <v>1</v>
      </c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/>
      <c r="Y2150" s="17" t="n">
        <v>1</v>
      </c>
      <c r="Z2150" s="13">
        <f>SUMPRODUCT(N2150:Y2150,$N$2:$Y$2)*$K2150*$L2150*$M2150</f>
        <v/>
      </c>
      <c r="AA2150" s="14">
        <f>SUM(N2150:Y2150)</f>
        <v/>
      </c>
      <c r="AB2150" s="14">
        <f>IFERROR(IF(UPPER($E2150)="L",SUMPRODUCT(N2150:Y2150,$N$3:$Y$3,$N$2:$Y$2),SUMPRODUCT(N2150:Y2150,$N$4:$Y$4,$N$2:$Y$2))/(Z2150/($K2150*$L2150*$M2150)),"")</f>
        <v/>
      </c>
      <c r="AC2150" s="18" t="n"/>
    </row>
    <row r="2151">
      <c r="A2151" s="9" t="n">
        <v>703201</v>
      </c>
      <c r="B2151" s="9" t="inlineStr">
        <is>
          <t>Henry Ramos</t>
        </is>
      </c>
      <c r="C2151" s="9" t="inlineStr">
        <is>
          <t>KC</t>
        </is>
      </c>
      <c r="D2151" s="9" t="n">
        <v>25</v>
      </c>
      <c r="E2151" s="16" t="inlineStr">
        <is>
          <t>L</t>
        </is>
      </c>
      <c r="F2151" s="16" t="n"/>
      <c r="G2151" s="9" t="n">
        <v>51.32307692307692</v>
      </c>
      <c r="H2151" s="9" t="n">
        <v>51.32307692307692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1" t="n">
        <v>1</v>
      </c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/>
      <c r="Y2151" s="17" t="n">
        <v>1</v>
      </c>
      <c r="Z2151" s="13">
        <f>SUMPRODUCT(N2151:Y2151,$N$2:$Y$2)*$K2151*$L2151*$M2151</f>
        <v/>
      </c>
      <c r="AA2151" s="14">
        <f>SUM(N2151:Y2151)</f>
        <v/>
      </c>
      <c r="AB2151" s="14">
        <f>IFERROR(IF(UPPER($E2151)="L",SUMPRODUCT(N2151:Y2151,$N$3:$Y$3,$N$2:$Y$2),SUMPRODUCT(N2151:Y2151,$N$4:$Y$4,$N$2:$Y$2))/(Z2151/($K2151*$L2151*$M2151)),"")</f>
        <v/>
      </c>
      <c r="AC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1" t="n">
        <v>1</v>
      </c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/>
      <c r="Y2152" s="17" t="n">
        <v>1</v>
      </c>
      <c r="Z2152" s="13">
        <f>SUMPRODUCT(N2152:Y2152,$N$2:$Y$2)*$K2152*$L2152*$M2152</f>
        <v/>
      </c>
      <c r="AA2152" s="14">
        <f>SUM(N2152:Y2152)</f>
        <v/>
      </c>
      <c r="AB2152" s="14">
        <f>IFERROR(IF(UPPER($E2152)="L",SUMPRODUCT(N2152:Y2152,$N$3:$Y$3,$N$2:$Y$2),SUMPRODUCT(N2152:Y2152,$N$4:$Y$4,$N$2:$Y$2))/(Z2152/($K2152*$L2152*$M2152)),"")</f>
        <v/>
      </c>
      <c r="AC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25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Late Season (~Sept)</t>
        </is>
      </c>
      <c r="K2153" s="11">
        <f>IFERROR(INDEX(Roles!$B$17:$B$20,MATCH(J2153,Roles!$A$17:$A$20,0)),1)</f>
        <v/>
      </c>
      <c r="L2153" s="17" t="n">
        <v>1</v>
      </c>
      <c r="M2153" s="11" t="n">
        <v>1</v>
      </c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/>
      <c r="Y2153" s="17" t="n">
        <v>1</v>
      </c>
      <c r="Z2153" s="13">
        <f>SUMPRODUCT(N2153:Y2153,$N$2:$Y$2)*$K2153*$L2153*$M2153</f>
        <v/>
      </c>
      <c r="AA2153" s="14">
        <f>SUM(N2153:Y2153)</f>
        <v/>
      </c>
      <c r="AB2153" s="14">
        <f>IFERROR(IF(UPPER($E2153)="L",SUMPRODUCT(N2153:Y2153,$N$3:$Y$3,$N$2:$Y$2),SUMPRODUCT(N2153:Y2153,$N$4:$Y$4,$N$2:$Y$2))/(Z2153/($K2153*$L2153*$M2153)),"")</f>
        <v/>
      </c>
      <c r="AC2153" s="18" t="n"/>
    </row>
    <row r="2154">
      <c r="A2154" s="9" t="n">
        <v>807713</v>
      </c>
      <c r="B2154" s="9" t="inlineStr">
        <is>
          <t>Matt Shaw</t>
        </is>
      </c>
      <c r="C2154" s="9" t="inlineStr">
        <is>
          <t>CHC</t>
        </is>
      </c>
      <c r="D2154" s="9" t="n">
        <v>25</v>
      </c>
      <c r="E2154" s="16" t="inlineStr">
        <is>
          <t>R</t>
        </is>
      </c>
      <c r="F2154" s="16" t="inlineStr">
        <is>
          <t>RF</t>
        </is>
      </c>
      <c r="G2154" s="9" t="n">
        <v>202</v>
      </c>
      <c r="H2154" s="9" t="n">
        <v>639</v>
      </c>
      <c r="I2154" s="9" t="inlineStr">
        <is>
          <t>Utility IF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1" t="n">
        <v>1.014978348768028</v>
      </c>
      <c r="N2154" s="17" t="n"/>
      <c r="O2154" s="17" t="n"/>
      <c r="P2154" s="17" t="n"/>
      <c r="Q2154" s="17" t="n"/>
      <c r="R2154" s="17" t="n"/>
      <c r="S2154" s="17" t="n"/>
      <c r="T2154" s="17" t="n"/>
      <c r="U2154" s="17" t="n">
        <v>0.7</v>
      </c>
      <c r="V2154" s="17" t="n"/>
      <c r="W2154" s="17" t="n">
        <v>0.3</v>
      </c>
      <c r="X2154" s="17" t="n"/>
      <c r="Y2154" s="17" t="n"/>
      <c r="Z2154" s="13">
        <f>SUMPRODUCT(N2154:Y2154,$N$2:$Y$2)*$K2154*$L2154*$M2154</f>
        <v/>
      </c>
      <c r="AA2154" s="14">
        <f>SUM(N2154:Y2154)</f>
        <v/>
      </c>
      <c r="AB2154" s="14">
        <f>IFERROR(IF(UPPER($E2154)="L",SUMPRODUCT(N2154:Y2154,$N$3:$Y$3,$N$2:$Y$2),SUMPRODUCT(N2154:Y2154,$N$4:$Y$4,$N$2:$Y$2))/(Z2154/($K2154*$L2154*$M2154)),"")</f>
        <v/>
      </c>
      <c r="AC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1" t="n">
        <v>1</v>
      </c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/>
      <c r="Y2155" s="17" t="n">
        <v>1</v>
      </c>
      <c r="Z2155" s="13">
        <f>SUMPRODUCT(N2155:Y2155,$N$2:$Y$2)*$K2155*$L2155*$M2155</f>
        <v/>
      </c>
      <c r="AA2155" s="14">
        <f>SUM(N2155:Y2155)</f>
        <v/>
      </c>
      <c r="AB2155" s="14">
        <f>IFERROR(IF(UPPER($E2155)="L",SUMPRODUCT(N2155:Y2155,$N$3:$Y$3,$N$2:$Y$2),SUMPRODUCT(N2155:Y2155,$N$4:$Y$4,$N$2:$Y$2))/(Z2155/($K2155*$L2155*$M2155)),"")</f>
        <v/>
      </c>
      <c r="AC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1" t="n">
        <v>1</v>
      </c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/>
      <c r="Y2156" s="17" t="n">
        <v>1</v>
      </c>
      <c r="Z2156" s="13">
        <f>SUMPRODUCT(N2156:Y2156,$N$2:$Y$2)*$K2156*$L2156*$M2156</f>
        <v/>
      </c>
      <c r="AA2156" s="14">
        <f>SUM(N2156:Y2156)</f>
        <v/>
      </c>
      <c r="AB2156" s="14">
        <f>IFERROR(IF(UPPER($E2156)="L",SUMPRODUCT(N2156:Y2156,$N$3:$Y$3,$N$2:$Y$2),SUMPRODUCT(N2156:Y2156,$N$4:$Y$4,$N$2:$Y$2))/(Z2156/($K2156*$L2156*$M2156)),"")</f>
        <v/>
      </c>
      <c r="AC2156" s="18" t="n"/>
    </row>
    <row r="2157">
      <c r="A2157" s="9" t="n">
        <v>821136</v>
      </c>
      <c r="B2157" s="9" t="inlineStr">
        <is>
          <t>Handelfry Encarnacion</t>
        </is>
      </c>
      <c r="C2157" s="9" t="inlineStr">
        <is>
          <t>MIL</t>
        </is>
      </c>
      <c r="D2157" s="9" t="n">
        <v>25</v>
      </c>
      <c r="E2157" s="16" t="inlineStr">
        <is>
          <t>L</t>
        </is>
      </c>
      <c r="F2157" s="16" t="n"/>
      <c r="G2157" s="9" t="n">
        <v>63.75384615384615</v>
      </c>
      <c r="H2157" s="9" t="n">
        <v>63.75384615384615</v>
      </c>
      <c r="I2157" s="9" t="inlineStr">
        <is>
          <t>Depth (no MLB PA)</t>
        </is>
      </c>
      <c r="J2157" s="16" t="inlineStr">
        <is>
          <t>Late Season (~Sept)</t>
        </is>
      </c>
      <c r="K2157" s="11">
        <f>IFERROR(INDEX(Roles!$B$17:$B$20,MATCH(J2157,Roles!$A$17:$A$20,0)),1)</f>
        <v/>
      </c>
      <c r="L2157" s="17" t="n">
        <v>1</v>
      </c>
      <c r="M2157" s="11" t="n">
        <v>1</v>
      </c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/>
      <c r="Y2157" s="17" t="n">
        <v>1</v>
      </c>
      <c r="Z2157" s="13">
        <f>SUMPRODUCT(N2157:Y2157,$N$2:$Y$2)*$K2157*$L2157*$M2157</f>
        <v/>
      </c>
      <c r="AA2157" s="14">
        <f>SUM(N2157:Y2157)</f>
        <v/>
      </c>
      <c r="AB2157" s="14">
        <f>IFERROR(IF(UPPER($E2157)="L",SUMPRODUCT(N2157:Y2157,$N$3:$Y$3,$N$2:$Y$2),SUMPRODUCT(N2157:Y2157,$N$4:$Y$4,$N$2:$Y$2))/(Z2157/($K2157*$L2157*$M2157)),"")</f>
        <v/>
      </c>
      <c r="AC2157" s="18" t="n"/>
    </row>
    <row r="2158">
      <c r="A2158" s="9" t="n">
        <v>814297</v>
      </c>
      <c r="B2158" s="9" t="inlineStr">
        <is>
          <t>Edgleen Perez</t>
        </is>
      </c>
      <c r="C2158" s="9" t="inlineStr">
        <is>
          <t>PIT</t>
        </is>
      </c>
      <c r="D2158" s="9" t="n">
        <v>25</v>
      </c>
      <c r="E2158" s="16" t="inlineStr">
        <is>
          <t>R</t>
        </is>
      </c>
      <c r="F2158" s="16" t="n"/>
      <c r="G2158" s="9" t="n">
        <v>40.36923076923077</v>
      </c>
      <c r="H2158" s="9" t="n">
        <v>40.36923076923077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1" t="n">
        <v>1</v>
      </c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/>
      <c r="Y2158" s="17" t="n">
        <v>1</v>
      </c>
      <c r="Z2158" s="13">
        <f>SUMPRODUCT(N2158:Y2158,$N$2:$Y$2)*$K2158*$L2158*$M2158</f>
        <v/>
      </c>
      <c r="AA2158" s="14">
        <f>SUM(N2158:Y2158)</f>
        <v/>
      </c>
      <c r="AB2158" s="14">
        <f>IFERROR(IF(UPPER($E2158)="L",SUMPRODUCT(N2158:Y2158,$N$3:$Y$3,$N$2:$Y$2),SUMPRODUCT(N2158:Y2158,$N$4:$Y$4,$N$2:$Y$2))/(Z2158/($K2158*$L2158*$M2158)),"")</f>
        <v/>
      </c>
      <c r="AC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1" t="n">
        <v>1</v>
      </c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/>
      <c r="Y2159" s="17" t="n">
        <v>1</v>
      </c>
      <c r="Z2159" s="13">
        <f>SUMPRODUCT(N2159:Y2159,$N$2:$Y$2)*$K2159*$L2159*$M2159</f>
        <v/>
      </c>
      <c r="AA2159" s="14">
        <f>SUM(N2159:Y2159)</f>
        <v/>
      </c>
      <c r="AB2159" s="14">
        <f>IFERROR(IF(UPPER($E2159)="L",SUMPRODUCT(N2159:Y2159,$N$3:$Y$3,$N$2:$Y$2),SUMPRODUCT(N2159:Y2159,$N$4:$Y$4,$N$2:$Y$2))/(Z2159/($K2159*$L2159*$M2159)),"")</f>
        <v/>
      </c>
      <c r="AC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25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Bench Bat</t>
        </is>
      </c>
      <c r="J2160" s="16" t="inlineStr">
        <is>
          <t>Mid Season (~July)</t>
        </is>
      </c>
      <c r="K2160" s="11">
        <f>IFERROR(INDEX(Roles!$B$17:$B$20,MATCH(J2160,Roles!$A$17:$A$20,0)),1)</f>
        <v/>
      </c>
      <c r="L2160" s="17" t="n">
        <v>1</v>
      </c>
      <c r="M2160" s="11" t="n">
        <v>1</v>
      </c>
      <c r="N2160" s="17" t="n"/>
      <c r="O2160" s="17" t="n"/>
      <c r="P2160" s="17" t="n">
        <v>0.3</v>
      </c>
      <c r="Q2160" s="17" t="n"/>
      <c r="R2160" s="17" t="n"/>
      <c r="S2160" s="17" t="n"/>
      <c r="T2160" s="17" t="n"/>
      <c r="U2160" s="17" t="n"/>
      <c r="V2160" s="17" t="n"/>
      <c r="W2160" s="17" t="n">
        <v>0.45</v>
      </c>
      <c r="X2160" s="17" t="n">
        <v>0.25</v>
      </c>
      <c r="Y2160" s="17" t="n"/>
      <c r="Z2160" s="13">
        <f>SUMPRODUCT(N2160:Y2160,$N$2:$Y$2)*$K2160*$L2160*$M2160</f>
        <v/>
      </c>
      <c r="AA2160" s="14">
        <f>SUM(N2160:Y2160)</f>
        <v/>
      </c>
      <c r="AB2160" s="14">
        <f>IFERROR(IF(UPPER($E2160)="L",SUMPRODUCT(N2160:Y2160,$N$3:$Y$3,$N$2:$Y$2),SUMPRODUCT(N2160:Y2160,$N$4:$Y$4,$N$2:$Y$2))/(Z2160/($K2160*$L2160*$M2160)),"")</f>
        <v/>
      </c>
      <c r="AC2160" s="18" t="n"/>
    </row>
    <row r="2161">
      <c r="A2161" s="9" t="n">
        <v>808768</v>
      </c>
      <c r="B2161" s="9" t="inlineStr">
        <is>
          <t>Ben McLaughlin</t>
        </is>
      </c>
      <c r="C2161" s="9" t="inlineStr">
        <is>
          <t>ARI</t>
        </is>
      </c>
      <c r="D2161" s="9" t="n">
        <v>25</v>
      </c>
      <c r="E2161" s="16" t="inlineStr">
        <is>
          <t>L</t>
        </is>
      </c>
      <c r="F2161" s="16" t="n"/>
      <c r="G2161" s="9" t="n">
        <v>187.3846153846154</v>
      </c>
      <c r="H2161" s="9" t="n">
        <v>187.3846153846154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1" t="n">
        <v>1</v>
      </c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/>
      <c r="Y2161" s="17" t="n">
        <v>1</v>
      </c>
      <c r="Z2161" s="13">
        <f>SUMPRODUCT(N2161:Y2161,$N$2:$Y$2)*$K2161*$L2161*$M2161</f>
        <v/>
      </c>
      <c r="AA2161" s="14">
        <f>SUM(N2161:Y2161)</f>
        <v/>
      </c>
      <c r="AB2161" s="14">
        <f>IFERROR(IF(UPPER($E2161)="L",SUMPRODUCT(N2161:Y2161,$N$3:$Y$3,$N$2:$Y$2),SUMPRODUCT(N2161:Y2161,$N$4:$Y$4,$N$2:$Y$2))/(Z2161/($K2161*$L2161*$M2161)),"")</f>
        <v/>
      </c>
      <c r="AC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1" t="n">
        <v>1</v>
      </c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/>
      <c r="Y2162" s="17" t="n">
        <v>1</v>
      </c>
      <c r="Z2162" s="13">
        <f>SUMPRODUCT(N2162:Y2162,$N$2:$Y$2)*$K2162*$L2162*$M2162</f>
        <v/>
      </c>
      <c r="AA2162" s="14">
        <f>SUM(N2162:Y2162)</f>
        <v/>
      </c>
      <c r="AB2162" s="14">
        <f>IFERROR(IF(UPPER($E2162)="L",SUMPRODUCT(N2162:Y2162,$N$3:$Y$3,$N$2:$Y$2),SUMPRODUCT(N2162:Y2162,$N$4:$Y$4,$N$2:$Y$2))/(Z2162/($K2162*$L2162*$M2162)),"")</f>
        <v/>
      </c>
      <c r="AC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inlineStr">
        <is>
          <t>2B</t>
        </is>
      </c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1" t="n">
        <v>1</v>
      </c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/>
      <c r="Y2163" s="17" t="n">
        <v>1</v>
      </c>
      <c r="Z2163" s="13">
        <f>SUMPRODUCT(N2163:Y2163,$N$2:$Y$2)*$K2163*$L2163*$M2163</f>
        <v/>
      </c>
      <c r="AA2163" s="14">
        <f>SUM(N2163:Y2163)</f>
        <v/>
      </c>
      <c r="AB2163" s="14">
        <f>IFERROR(IF(UPPER($E2163)="L",SUMPRODUCT(N2163:Y2163,$N$3:$Y$3,$N$2:$Y$2),SUMPRODUCT(N2163:Y2163,$N$4:$Y$4,$N$2:$Y$2))/(Z2163/($K2163*$L2163*$M2163)),"")</f>
        <v/>
      </c>
      <c r="AC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1" t="n">
        <v>1</v>
      </c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/>
      <c r="Y2164" s="17" t="n">
        <v>1</v>
      </c>
      <c r="Z2164" s="13">
        <f>SUMPRODUCT(N2164:Y2164,$N$2:$Y$2)*$K2164*$L2164*$M2164</f>
        <v/>
      </c>
      <c r="AA2164" s="14">
        <f>SUM(N2164:Y2164)</f>
        <v/>
      </c>
      <c r="AB2164" s="14">
        <f>IFERROR(IF(UPPER($E2164)="L",SUMPRODUCT(N2164:Y2164,$N$3:$Y$3,$N$2:$Y$2),SUMPRODUCT(N2164:Y2164,$N$4:$Y$4,$N$2:$Y$2))/(Z2164/($K2164*$L2164*$M2164)),"")</f>
        <v/>
      </c>
      <c r="AC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1" t="n">
        <v>1</v>
      </c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/>
      <c r="Y2165" s="17" t="n">
        <v>1</v>
      </c>
      <c r="Z2165" s="13">
        <f>SUMPRODUCT(N2165:Y2165,$N$2:$Y$2)*$K2165*$L2165*$M2165</f>
        <v/>
      </c>
      <c r="AA2165" s="14">
        <f>SUM(N2165:Y2165)</f>
        <v/>
      </c>
      <c r="AB2165" s="14">
        <f>IFERROR(IF(UPPER($E2165)="L",SUMPRODUCT(N2165:Y2165,$N$3:$Y$3,$N$2:$Y$2),SUMPRODUCT(N2165:Y2165,$N$4:$Y$4,$N$2:$Y$2))/(Z2165/($K2165*$L2165*$M2165)),"")</f>
        <v/>
      </c>
      <c r="AC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inlineStr">
        <is>
          <t>RF</t>
        </is>
      </c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1" t="n">
        <v>1</v>
      </c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/>
      <c r="Y2166" s="17" t="n">
        <v>1</v>
      </c>
      <c r="Z2166" s="13">
        <f>SUMPRODUCT(N2166:Y2166,$N$2:$Y$2)*$K2166*$L2166*$M2166</f>
        <v/>
      </c>
      <c r="AA2166" s="14">
        <f>SUM(N2166:Y2166)</f>
        <v/>
      </c>
      <c r="AB2166" s="14">
        <f>IFERROR(IF(UPPER($E2166)="L",SUMPRODUCT(N2166:Y2166,$N$3:$Y$3,$N$2:$Y$2),SUMPRODUCT(N2166:Y2166,$N$4:$Y$4,$N$2:$Y$2))/(Z2166/($K2166*$L2166*$M2166)),"")</f>
        <v/>
      </c>
      <c r="AC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25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Late Season (~Sept)</t>
        </is>
      </c>
      <c r="K2167" s="11">
        <f>IFERROR(INDEX(Roles!$B$17:$B$20,MATCH(J2167,Roles!$A$17:$A$20,0)),1)</f>
        <v/>
      </c>
      <c r="L2167" s="17" t="n">
        <v>1</v>
      </c>
      <c r="M2167" s="11" t="n">
        <v>1</v>
      </c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/>
      <c r="Y2167" s="17" t="n">
        <v>1</v>
      </c>
      <c r="Z2167" s="13">
        <f>SUMPRODUCT(N2167:Y2167,$N$2:$Y$2)*$K2167*$L2167*$M2167</f>
        <v/>
      </c>
      <c r="AA2167" s="14">
        <f>SUM(N2167:Y2167)</f>
        <v/>
      </c>
      <c r="AB2167" s="14">
        <f>IFERROR(IF(UPPER($E2167)="L",SUMPRODUCT(N2167:Y2167,$N$3:$Y$3,$N$2:$Y$2),SUMPRODUCT(N2167:Y2167,$N$4:$Y$4,$N$2:$Y$2))/(Z2167/($K2167*$L2167*$M2167)),"")</f>
        <v/>
      </c>
      <c r="AC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1" t="n">
        <v>1</v>
      </c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/>
      <c r="Y2168" s="17" t="n">
        <v>1</v>
      </c>
      <c r="Z2168" s="13">
        <f>SUMPRODUCT(N2168:Y2168,$N$2:$Y$2)*$K2168*$L2168*$M2168</f>
        <v/>
      </c>
      <c r="AA2168" s="14">
        <f>SUM(N2168:Y2168)</f>
        <v/>
      </c>
      <c r="AB2168" s="14">
        <f>IFERROR(IF(UPPER($E2168)="L",SUMPRODUCT(N2168:Y2168,$N$3:$Y$3,$N$2:$Y$2),SUMPRODUCT(N2168:Y2168,$N$4:$Y$4,$N$2:$Y$2))/(Z2168/($K2168*$L2168*$M2168)),"")</f>
        <v/>
      </c>
      <c r="AC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1" t="n">
        <v>1</v>
      </c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/>
      <c r="Y2169" s="17" t="n">
        <v>1</v>
      </c>
      <c r="Z2169" s="13">
        <f>SUMPRODUCT(N2169:Y2169,$N$2:$Y$2)*$K2169*$L2169*$M2169</f>
        <v/>
      </c>
      <c r="AA2169" s="14">
        <f>SUM(N2169:Y2169)</f>
        <v/>
      </c>
      <c r="AB2169" s="14">
        <f>IFERROR(IF(UPPER($E2169)="L",SUMPRODUCT(N2169:Y2169,$N$3:$Y$3,$N$2:$Y$2),SUMPRODUCT(N2169:Y2169,$N$4:$Y$4,$N$2:$Y$2))/(Z2169/($K2169*$L2169*$M2169)),"")</f>
        <v/>
      </c>
      <c r="AC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1" t="n">
        <v>1</v>
      </c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/>
      <c r="Y2170" s="17" t="n">
        <v>1</v>
      </c>
      <c r="Z2170" s="13">
        <f>SUMPRODUCT(N2170:Y2170,$N$2:$Y$2)*$K2170*$L2170*$M2170</f>
        <v/>
      </c>
      <c r="AA2170" s="14">
        <f>SUM(N2170:Y2170)</f>
        <v/>
      </c>
      <c r="AB2170" s="14">
        <f>IFERROR(IF(UPPER($E2170)="L",SUMPRODUCT(N2170:Y2170,$N$3:$Y$3,$N$2:$Y$2),SUMPRODUCT(N2170:Y2170,$N$4:$Y$4,$N$2:$Y$2))/(Z2170/($K2170*$L2170*$M2170)),"")</f>
        <v/>
      </c>
      <c r="AC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inlineStr">
        <is>
          <t>LF</t>
        </is>
      </c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1" t="n">
        <v>1</v>
      </c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>
        <v>0.4</v>
      </c>
      <c r="W2171" s="17" t="n">
        <v>0.6</v>
      </c>
      <c r="X2171" s="17" t="n"/>
      <c r="Y2171" s="17" t="n"/>
      <c r="Z2171" s="13">
        <f>SUMPRODUCT(N2171:Y2171,$N$2:$Y$2)*$K2171*$L2171*$M2171</f>
        <v/>
      </c>
      <c r="AA2171" s="14">
        <f>SUM(N2171:Y2171)</f>
        <v/>
      </c>
      <c r="AB2171" s="14">
        <f>IFERROR(IF(UPPER($E2171)="L",SUMPRODUCT(N2171:Y2171,$N$3:$Y$3,$N$2:$Y$2),SUMPRODUCT(N2171:Y2171,$N$4:$Y$4,$N$2:$Y$2))/(Z2171/($K2171*$L2171*$M2171)),"")</f>
        <v/>
      </c>
      <c r="AC2171" s="18" t="n"/>
    </row>
    <row r="2172">
      <c r="A2172" s="9" t="n">
        <v>800285</v>
      </c>
      <c r="B2172" s="9" t="inlineStr">
        <is>
          <t>Enmanuel Tejeda</t>
        </is>
      </c>
      <c r="C2172" s="9" t="inlineStr">
        <is>
          <t>NYY</t>
        </is>
      </c>
      <c r="D2172" s="9" t="n">
        <v>25</v>
      </c>
      <c r="E2172" s="16" t="inlineStr">
        <is>
          <t>R</t>
        </is>
      </c>
      <c r="F2172" s="16" t="n"/>
      <c r="G2172" s="9" t="n">
        <v>69.12820512820512</v>
      </c>
      <c r="H2172" s="9" t="n">
        <v>69.12820512820512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1" t="n">
        <v>1</v>
      </c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/>
      <c r="Y2172" s="17" t="n">
        <v>1</v>
      </c>
      <c r="Z2172" s="13">
        <f>SUMPRODUCT(N2172:Y2172,$N$2:$Y$2)*$K2172*$L2172*$M2172</f>
        <v/>
      </c>
      <c r="AA2172" s="14">
        <f>SUM(N2172:Y2172)</f>
        <v/>
      </c>
      <c r="AB2172" s="14">
        <f>IFERROR(IF(UPPER($E2172)="L",SUMPRODUCT(N2172:Y2172,$N$3:$Y$3,$N$2:$Y$2),SUMPRODUCT(N2172:Y2172,$N$4:$Y$4,$N$2:$Y$2))/(Z2172/($K2172*$L2172*$M2172)),"")</f>
        <v/>
      </c>
      <c r="AC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1" t="n">
        <v>1</v>
      </c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/>
      <c r="Y2173" s="17" t="n">
        <v>1</v>
      </c>
      <c r="Z2173" s="13">
        <f>SUMPRODUCT(N2173:Y2173,$N$2:$Y$2)*$K2173*$L2173*$M2173</f>
        <v/>
      </c>
      <c r="AA2173" s="14">
        <f>SUM(N2173:Y2173)</f>
        <v/>
      </c>
      <c r="AB2173" s="14">
        <f>IFERROR(IF(UPPER($E2173)="L",SUMPRODUCT(N2173:Y2173,$N$3:$Y$3,$N$2:$Y$2),SUMPRODUCT(N2173:Y2173,$N$4:$Y$4,$N$2:$Y$2))/(Z2173/($K2173*$L2173*$M2173)),"")</f>
        <v/>
      </c>
      <c r="AC2173" s="18" t="n"/>
    </row>
    <row r="2174">
      <c r="A2174" s="9" t="n">
        <v>687714</v>
      </c>
      <c r="B2174" s="9" t="inlineStr">
        <is>
          <t>Jackson Cluff</t>
        </is>
      </c>
      <c r="C2174" s="9" t="inlineStr">
        <is>
          <t>CHC</t>
        </is>
      </c>
      <c r="D2174" s="9" t="n">
        <v>25</v>
      </c>
      <c r="E2174" s="16" t="inlineStr">
        <is>
          <t>L</t>
        </is>
      </c>
      <c r="F2174" s="16" t="n"/>
      <c r="G2174" s="9" t="n">
        <v>152.3076923076923</v>
      </c>
      <c r="H2174" s="9" t="n">
        <v>152.3076923076923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1" t="n">
        <v>1</v>
      </c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/>
      <c r="Y2174" s="17" t="n">
        <v>1</v>
      </c>
      <c r="Z2174" s="13">
        <f>SUMPRODUCT(N2174:Y2174,$N$2:$Y$2)*$K2174*$L2174*$M2174</f>
        <v/>
      </c>
      <c r="AA2174" s="14">
        <f>SUM(N2174:Y2174)</f>
        <v/>
      </c>
      <c r="AB2174" s="14">
        <f>IFERROR(IF(UPPER($E2174)="L",SUMPRODUCT(N2174:Y2174,$N$3:$Y$3,$N$2:$Y$2),SUMPRODUCT(N2174:Y2174,$N$4:$Y$4,$N$2:$Y$2))/(Z2174/($K2174*$L2174*$M2174)),"")</f>
        <v/>
      </c>
      <c r="AC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1" t="n">
        <v>1</v>
      </c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/>
      <c r="Y2175" s="17" t="n">
        <v>1</v>
      </c>
      <c r="Z2175" s="13">
        <f>SUMPRODUCT(N2175:Y2175,$N$2:$Y$2)*$K2175*$L2175*$M2175</f>
        <v/>
      </c>
      <c r="AA2175" s="14">
        <f>SUM(N2175:Y2175)</f>
        <v/>
      </c>
      <c r="AB2175" s="14">
        <f>IFERROR(IF(UPPER($E2175)="L",SUMPRODUCT(N2175:Y2175,$N$3:$Y$3,$N$2:$Y$2),SUMPRODUCT(N2175:Y2175,$N$4:$Y$4,$N$2:$Y$2))/(Z2175/($K2175*$L2175*$M2175)),"")</f>
        <v/>
      </c>
      <c r="AC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1" t="n">
        <v>1</v>
      </c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/>
      <c r="Y2176" s="17" t="n">
        <v>1</v>
      </c>
      <c r="Z2176" s="13">
        <f>SUMPRODUCT(N2176:Y2176,$N$2:$Y$2)*$K2176*$L2176*$M2176</f>
        <v/>
      </c>
      <c r="AA2176" s="14">
        <f>SUM(N2176:Y2176)</f>
        <v/>
      </c>
      <c r="AB2176" s="14">
        <f>IFERROR(IF(UPPER($E2176)="L",SUMPRODUCT(N2176:Y2176,$N$3:$Y$3,$N$2:$Y$2),SUMPRODUCT(N2176:Y2176,$N$4:$Y$4,$N$2:$Y$2))/(Z2176/($K2176*$L2176*$M2176)),"")</f>
        <v/>
      </c>
      <c r="AC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1" t="n">
        <v>1</v>
      </c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/>
      <c r="Y2177" s="17" t="n">
        <v>1</v>
      </c>
      <c r="Z2177" s="13">
        <f>SUMPRODUCT(N2177:Y2177,$N$2:$Y$2)*$K2177*$L2177*$M2177</f>
        <v/>
      </c>
      <c r="AA2177" s="14">
        <f>SUM(N2177:Y2177)</f>
        <v/>
      </c>
      <c r="AB2177" s="14">
        <f>IFERROR(IF(UPPER($E2177)="L",SUMPRODUCT(N2177:Y2177,$N$3:$Y$3,$N$2:$Y$2),SUMPRODUCT(N2177:Y2177,$N$4:$Y$4,$N$2:$Y$2))/(Z2177/($K2177*$L2177*$M2177)),"")</f>
        <v/>
      </c>
      <c r="AC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1" t="n">
        <v>1</v>
      </c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/>
      <c r="Y2178" s="17" t="n">
        <v>1</v>
      </c>
      <c r="Z2178" s="13">
        <f>SUMPRODUCT(N2178:Y2178,$N$2:$Y$2)*$K2178*$L2178*$M2178</f>
        <v/>
      </c>
      <c r="AA2178" s="14">
        <f>SUM(N2178:Y2178)</f>
        <v/>
      </c>
      <c r="AB2178" s="14">
        <f>IFERROR(IF(UPPER($E2178)="L",SUMPRODUCT(N2178:Y2178,$N$3:$Y$3,$N$2:$Y$2),SUMPRODUCT(N2178:Y2178,$N$4:$Y$4,$N$2:$Y$2))/(Z2178/($K2178*$L2178*$M2178)),"")</f>
        <v/>
      </c>
      <c r="AC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25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Depth (no MLB PA)</t>
        </is>
      </c>
      <c r="J2179" s="16" t="inlineStr">
        <is>
          <t>Mid Season (~July)</t>
        </is>
      </c>
      <c r="K2179" s="11">
        <f>IFERROR(INDEX(Roles!$B$17:$B$20,MATCH(J2179,Roles!$A$17:$A$20,0)),1)</f>
        <v/>
      </c>
      <c r="L2179" s="17" t="n">
        <v>1</v>
      </c>
      <c r="M2179" s="11" t="n">
        <v>1</v>
      </c>
      <c r="N2179" s="17" t="n"/>
      <c r="O2179" s="17" t="n"/>
      <c r="P2179" s="17" t="n"/>
      <c r="Q2179" s="17" t="n"/>
      <c r="R2179" s="17" t="n"/>
      <c r="S2179" s="17" t="n"/>
      <c r="T2179" s="17" t="n"/>
      <c r="U2179" s="17" t="n"/>
      <c r="V2179" s="17" t="n"/>
      <c r="W2179" s="17" t="n"/>
      <c r="X2179" s="17" t="n"/>
      <c r="Y2179" s="17" t="n">
        <v>1</v>
      </c>
      <c r="Z2179" s="13">
        <f>SUMPRODUCT(N2179:Y2179,$N$2:$Y$2)*$K2179*$L2179*$M2179</f>
        <v/>
      </c>
      <c r="AA2179" s="14">
        <f>SUM(N2179:Y2179)</f>
        <v/>
      </c>
      <c r="AB2179" s="14">
        <f>IFERROR(IF(UPPER($E2179)="L",SUMPRODUCT(N2179:Y2179,$N$3:$Y$3,$N$2:$Y$2),SUMPRODUCT(N2179:Y2179,$N$4:$Y$4,$N$2:$Y$2))/(Z2179/($K2179*$L2179*$M2179)),"")</f>
        <v/>
      </c>
      <c r="AC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1" t="n">
        <v>1</v>
      </c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/>
      <c r="Y2180" s="17" t="n">
        <v>1</v>
      </c>
      <c r="Z2180" s="13">
        <f>SUMPRODUCT(N2180:Y2180,$N$2:$Y$2)*$K2180*$L2180*$M2180</f>
        <v/>
      </c>
      <c r="AA2180" s="14">
        <f>SUM(N2180:Y2180)</f>
        <v/>
      </c>
      <c r="AB2180" s="14">
        <f>IFERROR(IF(UPPER($E2180)="L",SUMPRODUCT(N2180:Y2180,$N$3:$Y$3,$N$2:$Y$2),SUMPRODUCT(N2180:Y2180,$N$4:$Y$4,$N$2:$Y$2))/(Z2180/($K2180*$L2180*$M2180)),"")</f>
        <v/>
      </c>
      <c r="AC2180" s="18" t="n"/>
    </row>
    <row r="2181">
      <c r="A2181" s="9" t="n">
        <v>808696</v>
      </c>
      <c r="B2181" s="9" t="inlineStr">
        <is>
          <t>Stiven Flores</t>
        </is>
      </c>
      <c r="C2181" s="9" t="inlineStr">
        <is>
          <t>CWS</t>
        </is>
      </c>
      <c r="D2181" s="9" t="n">
        <v>25</v>
      </c>
      <c r="E2181" s="16" t="inlineStr">
        <is>
          <t>R</t>
        </is>
      </c>
      <c r="F2181" s="16" t="n"/>
      <c r="G2181" s="9" t="n">
        <v>46.15384615384615</v>
      </c>
      <c r="H2181" s="9" t="n">
        <v>46.15384615384615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1" t="n">
        <v>1</v>
      </c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/>
      <c r="Y2181" s="17" t="n">
        <v>1</v>
      </c>
      <c r="Z2181" s="13">
        <f>SUMPRODUCT(N2181:Y2181,$N$2:$Y$2)*$K2181*$L2181*$M2181</f>
        <v/>
      </c>
      <c r="AA2181" s="14">
        <f>SUM(N2181:Y2181)</f>
        <v/>
      </c>
      <c r="AB2181" s="14">
        <f>IFERROR(IF(UPPER($E2181)="L",SUMPRODUCT(N2181:Y2181,$N$3:$Y$3,$N$2:$Y$2),SUMPRODUCT(N2181:Y2181,$N$4:$Y$4,$N$2:$Y$2))/(Z2181/($K2181*$L2181*$M2181)),"")</f>
        <v/>
      </c>
      <c r="AC2181" s="18" t="n"/>
    </row>
    <row r="2182">
      <c r="A2182" s="9" t="n">
        <v>678225</v>
      </c>
      <c r="B2182" s="9" t="inlineStr">
        <is>
          <t>Jihwan Bae</t>
        </is>
      </c>
      <c r="C2182" s="9" t="inlineStr">
        <is>
          <t>PIT</t>
        </is>
      </c>
      <c r="D2182" s="9" t="n">
        <v>27</v>
      </c>
      <c r="E2182" s="16" t="inlineStr">
        <is>
          <t>L</t>
        </is>
      </c>
      <c r="F2182" s="16" t="inlineStr">
        <is>
          <t>2B</t>
        </is>
      </c>
      <c r="G2182" s="9" t="n">
        <v>4</v>
      </c>
      <c r="H2182" s="9" t="n">
        <v>518</v>
      </c>
      <c r="I2182" s="9" t="inlineStr">
        <is>
          <t>Bench Bat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1" t="n">
        <v>1</v>
      </c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/>
      <c r="W2182" s="17" t="n">
        <v>1</v>
      </c>
      <c r="X2182" s="17" t="n"/>
      <c r="Y2182" s="17" t="n"/>
      <c r="Z2182" s="13">
        <f>SUMPRODUCT(N2182:Y2182,$N$2:$Y$2)*$K2182*$L2182*$M2182</f>
        <v/>
      </c>
      <c r="AA2182" s="14">
        <f>SUM(N2182:Y2182)</f>
        <v/>
      </c>
      <c r="AB2182" s="14">
        <f>IFERROR(IF(UPPER($E2182)="L",SUMPRODUCT(N2182:Y2182,$N$3:$Y$3,$N$2:$Y$2),SUMPRODUCT(N2182:Y2182,$N$4:$Y$4,$N$2:$Y$2))/(Z2182/($K2182*$L2182*$M2182)),"")</f>
        <v/>
      </c>
      <c r="AC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25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Late Season (~Sept)</t>
        </is>
      </c>
      <c r="K2183" s="11">
        <f>IFERROR(INDEX(Roles!$B$17:$B$20,MATCH(J2183,Roles!$A$17:$A$20,0)),1)</f>
        <v/>
      </c>
      <c r="L2183" s="17" t="n">
        <v>1</v>
      </c>
      <c r="M2183" s="11" t="n">
        <v>1</v>
      </c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/>
      <c r="Y2183" s="17" t="n">
        <v>1</v>
      </c>
      <c r="Z2183" s="13">
        <f>SUMPRODUCT(N2183:Y2183,$N$2:$Y$2)*$K2183*$L2183*$M2183</f>
        <v/>
      </c>
      <c r="AA2183" s="14">
        <f>SUM(N2183:Y2183)</f>
        <v/>
      </c>
      <c r="AB2183" s="14">
        <f>IFERROR(IF(UPPER($E2183)="L",SUMPRODUCT(N2183:Y2183,$N$3:$Y$3,$N$2:$Y$2),SUMPRODUCT(N2183:Y2183,$N$4:$Y$4,$N$2:$Y$2))/(Z2183/($K2183*$L2183*$M2183)),"")</f>
        <v/>
      </c>
      <c r="AC2183" s="18" t="n"/>
    </row>
    <row r="2184">
      <c r="A2184" s="9" t="n">
        <v>800257</v>
      </c>
      <c r="B2184" s="9" t="inlineStr">
        <is>
          <t>Yonatan Henriquez</t>
        </is>
      </c>
      <c r="C2184" s="9" t="inlineStr">
        <is>
          <t>NYM</t>
        </is>
      </c>
      <c r="D2184" s="9" t="n">
        <v>25</v>
      </c>
      <c r="E2184" s="16" t="inlineStr">
        <is>
          <t>S</t>
        </is>
      </c>
      <c r="F2184" s="16" t="n"/>
      <c r="G2184" s="9" t="n">
        <v>87.58974358974359</v>
      </c>
      <c r="H2184" s="9" t="n">
        <v>87.58974358974359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1" t="n">
        <v>1</v>
      </c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/>
      <c r="Y2184" s="17" t="n">
        <v>1</v>
      </c>
      <c r="Z2184" s="13">
        <f>SUMPRODUCT(N2184:Y2184,$N$2:$Y$2)*$K2184*$L2184*$M2184</f>
        <v/>
      </c>
      <c r="AA2184" s="14">
        <f>SUM(N2184:Y2184)</f>
        <v/>
      </c>
      <c r="AB2184" s="14">
        <f>IFERROR(IF(UPPER($E2184)="L",SUMPRODUCT(N2184:Y2184,$N$3:$Y$3,$N$2:$Y$2),SUMPRODUCT(N2184:Y2184,$N$4:$Y$4,$N$2:$Y$2))/(Z2184/($K2184*$L2184*$M2184)),"")</f>
        <v/>
      </c>
      <c r="AC2184" s="18" t="n"/>
    </row>
    <row r="2185">
      <c r="A2185" s="9" t="n">
        <v>827281</v>
      </c>
      <c r="B2185" s="9" t="inlineStr">
        <is>
          <t>Carlos Renzullo</t>
        </is>
      </c>
      <c r="C2185" s="9" t="inlineStr">
        <is>
          <t>COL</t>
        </is>
      </c>
      <c r="D2185" s="9" t="n">
        <v>25</v>
      </c>
      <c r="E2185" s="16" t="inlineStr">
        <is>
          <t>S</t>
        </is>
      </c>
      <c r="F2185" s="16" t="n"/>
      <c r="G2185" s="9" t="n">
        <v>42.33846153846154</v>
      </c>
      <c r="H2185" s="9" t="n">
        <v>42.33846153846154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1" t="n">
        <v>1</v>
      </c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/>
      <c r="Y2185" s="17" t="n">
        <v>1</v>
      </c>
      <c r="Z2185" s="13">
        <f>SUMPRODUCT(N2185:Y2185,$N$2:$Y$2)*$K2185*$L2185*$M2185</f>
        <v/>
      </c>
      <c r="AA2185" s="14">
        <f>SUM(N2185:Y2185)</f>
        <v/>
      </c>
      <c r="AB2185" s="14">
        <f>IFERROR(IF(UPPER($E2185)="L",SUMPRODUCT(N2185:Y2185,$N$3:$Y$3,$N$2:$Y$2),SUMPRODUCT(N2185:Y2185,$N$4:$Y$4,$N$2:$Y$2))/(Z2185/($K2185*$L2185*$M2185)),"")</f>
        <v/>
      </c>
      <c r="AC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1" t="n">
        <v>1</v>
      </c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/>
      <c r="Y2186" s="17" t="n">
        <v>1</v>
      </c>
      <c r="Z2186" s="13">
        <f>SUMPRODUCT(N2186:Y2186,$N$2:$Y$2)*$K2186*$L2186*$M2186</f>
        <v/>
      </c>
      <c r="AA2186" s="14">
        <f>SUM(N2186:Y2186)</f>
        <v/>
      </c>
      <c r="AB2186" s="14">
        <f>IFERROR(IF(UPPER($E2186)="L",SUMPRODUCT(N2186:Y2186,$N$3:$Y$3,$N$2:$Y$2),SUMPRODUCT(N2186:Y2186,$N$4:$Y$4,$N$2:$Y$2))/(Z2186/($K2186*$L2186*$M2186)),"")</f>
        <v/>
      </c>
      <c r="AC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1" t="n">
        <v>1</v>
      </c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/>
      <c r="Y2187" s="17" t="n">
        <v>1</v>
      </c>
      <c r="Z2187" s="13">
        <f>SUMPRODUCT(N2187:Y2187,$N$2:$Y$2)*$K2187*$L2187*$M2187</f>
        <v/>
      </c>
      <c r="AA2187" s="14">
        <f>SUM(N2187:Y2187)</f>
        <v/>
      </c>
      <c r="AB2187" s="14">
        <f>IFERROR(IF(UPPER($E2187)="L",SUMPRODUCT(N2187:Y2187,$N$3:$Y$3,$N$2:$Y$2),SUMPRODUCT(N2187:Y2187,$N$4:$Y$4,$N$2:$Y$2))/(Z2187/($K2187*$L2187*$M2187)),"")</f>
        <v/>
      </c>
      <c r="AC2187" s="18" t="n"/>
    </row>
    <row r="2188">
      <c r="A2188" s="9" t="n">
        <v>663796</v>
      </c>
      <c r="B2188" s="9" t="inlineStr">
        <is>
          <t>Coco Montes</t>
        </is>
      </c>
      <c r="C2188" s="9" t="inlineStr">
        <is>
          <t>COL</t>
        </is>
      </c>
      <c r="D2188" s="9" t="n">
        <v>30</v>
      </c>
      <c r="E2188" s="16" t="inlineStr">
        <is>
          <t>R</t>
        </is>
      </c>
      <c r="F2188" s="16" t="inlineStr">
        <is>
          <t>2B</t>
        </is>
      </c>
      <c r="G2188" s="9" t="n">
        <v>10</v>
      </c>
      <c r="H2188" s="9" t="n">
        <v>51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1" t="n">
        <v>1</v>
      </c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/>
      <c r="Y2188" s="17" t="n">
        <v>1</v>
      </c>
      <c r="Z2188" s="13">
        <f>SUMPRODUCT(N2188:Y2188,$N$2:$Y$2)*$K2188*$L2188*$M2188</f>
        <v/>
      </c>
      <c r="AA2188" s="14">
        <f>SUM(N2188:Y2188)</f>
        <v/>
      </c>
      <c r="AB2188" s="14">
        <f>IFERROR(IF(UPPER($E2188)="L",SUMPRODUCT(N2188:Y2188,$N$3:$Y$3,$N$2:$Y$2),SUMPRODUCT(N2188:Y2188,$N$4:$Y$4,$N$2:$Y$2))/(Z2188/($K2188*$L2188*$M2188)),"")</f>
        <v/>
      </c>
      <c r="AC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inlineStr">
        <is>
          <t>C</t>
        </is>
      </c>
      <c r="G2189" s="9" t="n">
        <v>171</v>
      </c>
      <c r="H2189" s="9" t="n">
        <v>1015</v>
      </c>
      <c r="I2189" s="9" t="inlineStr">
        <is>
          <t>Catcher - Backup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1" t="n">
        <v>1</v>
      </c>
      <c r="N2189" s="17" t="n"/>
      <c r="O2189" s="17" t="n"/>
      <c r="P2189" s="17" t="n"/>
      <c r="Q2189" s="17" t="n"/>
      <c r="R2189" s="17" t="n"/>
      <c r="S2189" s="17" t="n"/>
      <c r="T2189" s="17" t="n">
        <v>0.7</v>
      </c>
      <c r="U2189" s="17" t="n"/>
      <c r="V2189" s="17" t="n"/>
      <c r="W2189" s="17" t="n">
        <v>0.3</v>
      </c>
      <c r="X2189" s="17" t="n"/>
      <c r="Y2189" s="17" t="n"/>
      <c r="Z2189" s="13">
        <f>SUMPRODUCT(N2189:Y2189,$N$2:$Y$2)*$K2189*$L2189*$M2189</f>
        <v/>
      </c>
      <c r="AA2189" s="14">
        <f>SUM(N2189:Y2189)</f>
        <v/>
      </c>
      <c r="AB2189" s="14">
        <f>IFERROR(IF(UPPER($E2189)="L",SUMPRODUCT(N2189:Y2189,$N$3:$Y$3,$N$2:$Y$2),SUMPRODUCT(N2189:Y2189,$N$4:$Y$4,$N$2:$Y$2))/(Z2189/($K2189*$L2189*$M2189)),"")</f>
        <v/>
      </c>
      <c r="AC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1" t="n">
        <v>1</v>
      </c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/>
      <c r="Y2190" s="17" t="n">
        <v>1</v>
      </c>
      <c r="Z2190" s="13">
        <f>SUMPRODUCT(N2190:Y2190,$N$2:$Y$2)*$K2190*$L2190*$M2190</f>
        <v/>
      </c>
      <c r="AA2190" s="14">
        <f>SUM(N2190:Y2190)</f>
        <v/>
      </c>
      <c r="AB2190" s="14">
        <f>IFERROR(IF(UPPER($E2190)="L",SUMPRODUCT(N2190:Y2190,$N$3:$Y$3,$N$2:$Y$2),SUMPRODUCT(N2190:Y2190,$N$4:$Y$4,$N$2:$Y$2))/(Z2190/($K2190*$L2190*$M2190)),"")</f>
        <v/>
      </c>
      <c r="AC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1" t="n">
        <v>1</v>
      </c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/>
      <c r="Y2191" s="17" t="n">
        <v>1</v>
      </c>
      <c r="Z2191" s="13">
        <f>SUMPRODUCT(N2191:Y2191,$N$2:$Y$2)*$K2191*$L2191*$M2191</f>
        <v/>
      </c>
      <c r="AA2191" s="14">
        <f>SUM(N2191:Y2191)</f>
        <v/>
      </c>
      <c r="AB2191" s="14">
        <f>IFERROR(IF(UPPER($E2191)="L",SUMPRODUCT(N2191:Y2191,$N$3:$Y$3,$N$2:$Y$2),SUMPRODUCT(N2191:Y2191,$N$4:$Y$4,$N$2:$Y$2))/(Z2191/($K2191*$L2191*$M2191)),"")</f>
        <v/>
      </c>
      <c r="AC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inlineStr">
        <is>
          <t>3B</t>
        </is>
      </c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1" t="n">
        <v>0.936402549422683</v>
      </c>
      <c r="N2192" s="17" t="n">
        <v>1</v>
      </c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7" t="n"/>
      <c r="Z2192" s="13">
        <f>SUMPRODUCT(N2192:Y2192,$N$2:$Y$2)*$K2192*$L2192*$M2192</f>
        <v/>
      </c>
      <c r="AA2192" s="14">
        <f>SUM(N2192:Y2192)</f>
        <v/>
      </c>
      <c r="AB2192" s="14">
        <f>IFERROR(IF(UPPER($E2192)="L",SUMPRODUCT(N2192:Y2192,$N$3:$Y$3,$N$2:$Y$2),SUMPRODUCT(N2192:Y2192,$N$4:$Y$4,$N$2:$Y$2))/(Z2192/($K2192*$L2192*$M2192)),"")</f>
        <v/>
      </c>
      <c r="AC2192" s="18" t="n"/>
    </row>
    <row r="2193">
      <c r="A2193" s="9" t="n">
        <v>700840</v>
      </c>
      <c r="B2193" s="9" t="inlineStr">
        <is>
          <t>Christian Olivo</t>
        </is>
      </c>
      <c r="C2193" s="9" t="inlineStr">
        <is>
          <t>CHC</t>
        </is>
      </c>
      <c r="D2193" s="9" t="n">
        <v>25</v>
      </c>
      <c r="E2193" s="16" t="inlineStr">
        <is>
          <t>R</t>
        </is>
      </c>
      <c r="F2193" s="16" t="n"/>
      <c r="G2193" s="9" t="n">
        <v>60.71794871794872</v>
      </c>
      <c r="H2193" s="9" t="n">
        <v>60.71794871794872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1" t="n">
        <v>1</v>
      </c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/>
      <c r="Y2193" s="17" t="n">
        <v>1</v>
      </c>
      <c r="Z2193" s="13">
        <f>SUMPRODUCT(N2193:Y2193,$N$2:$Y$2)*$K2193*$L2193*$M2193</f>
        <v/>
      </c>
      <c r="AA2193" s="14">
        <f>SUM(N2193:Y2193)</f>
        <v/>
      </c>
      <c r="AB2193" s="14">
        <f>IFERROR(IF(UPPER($E2193)="L",SUMPRODUCT(N2193:Y2193,$N$3:$Y$3,$N$2:$Y$2),SUMPRODUCT(N2193:Y2193,$N$4:$Y$4,$N$2:$Y$2))/(Z2193/($K2193*$L2193*$M2193)),"")</f>
        <v/>
      </c>
      <c r="AC2193" s="18" t="n"/>
    </row>
    <row r="2194">
      <c r="A2194" s="9" t="n">
        <v>813851</v>
      </c>
      <c r="B2194" s="9" t="inlineStr">
        <is>
          <t>Colton Becker</t>
        </is>
      </c>
      <c r="C2194" s="9" t="inlineStr">
        <is>
          <t>KC</t>
        </is>
      </c>
      <c r="D2194" s="9" t="n">
        <v>25</v>
      </c>
      <c r="E2194" s="16" t="inlineStr">
        <is>
          <t>R</t>
        </is>
      </c>
      <c r="F2194" s="16" t="n"/>
      <c r="G2194" s="9" t="n">
        <v>36.10256410256411</v>
      </c>
      <c r="H2194" s="9" t="n">
        <v>36.10256410256411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1" t="n">
        <v>1</v>
      </c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/>
      <c r="Y2194" s="17" t="n">
        <v>1</v>
      </c>
      <c r="Z2194" s="13">
        <f>SUMPRODUCT(N2194:Y2194,$N$2:$Y$2)*$K2194*$L2194*$M2194</f>
        <v/>
      </c>
      <c r="AA2194" s="14">
        <f>SUM(N2194:Y2194)</f>
        <v/>
      </c>
      <c r="AB2194" s="14">
        <f>IFERROR(IF(UPPER($E2194)="L",SUMPRODUCT(N2194:Y2194,$N$3:$Y$3,$N$2:$Y$2),SUMPRODUCT(N2194:Y2194,$N$4:$Y$4,$N$2:$Y$2))/(Z2194/($K2194*$L2194*$M2194)),"")</f>
        <v/>
      </c>
      <c r="AC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1" t="n">
        <v>1</v>
      </c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/>
      <c r="Y2195" s="17" t="n">
        <v>1</v>
      </c>
      <c r="Z2195" s="13">
        <f>SUMPRODUCT(N2195:Y2195,$N$2:$Y$2)*$K2195*$L2195*$M2195</f>
        <v/>
      </c>
      <c r="AA2195" s="14">
        <f>SUM(N2195:Y2195)</f>
        <v/>
      </c>
      <c r="AB2195" s="14">
        <f>IFERROR(IF(UPPER($E2195)="L",SUMPRODUCT(N2195:Y2195,$N$3:$Y$3,$N$2:$Y$2),SUMPRODUCT(N2195:Y2195,$N$4:$Y$4,$N$2:$Y$2))/(Z2195/($K2195*$L2195*$M2195)),"")</f>
        <v/>
      </c>
      <c r="AC2195" s="18" t="n"/>
    </row>
    <row r="2196">
      <c r="A2196" s="9" t="n">
        <v>802018</v>
      </c>
      <c r="B2196" s="9" t="inlineStr">
        <is>
          <t>Ryan Burrowes</t>
        </is>
      </c>
      <c r="C2196" s="9" t="inlineStr">
        <is>
          <t>CWS</t>
        </is>
      </c>
      <c r="D2196" s="9" t="n">
        <v>25</v>
      </c>
      <c r="E2196" s="16" t="inlineStr">
        <is>
          <t>R</t>
        </is>
      </c>
      <c r="F2196" s="16" t="n"/>
      <c r="G2196" s="9" t="n">
        <v>56.35897435897435</v>
      </c>
      <c r="H2196" s="9" t="n">
        <v>56.35897435897435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1" t="n">
        <v>1</v>
      </c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/>
      <c r="Y2196" s="17" t="n">
        <v>1</v>
      </c>
      <c r="Z2196" s="13">
        <f>SUMPRODUCT(N2196:Y2196,$N$2:$Y$2)*$K2196*$L2196*$M2196</f>
        <v/>
      </c>
      <c r="AA2196" s="14">
        <f>SUM(N2196:Y2196)</f>
        <v/>
      </c>
      <c r="AB2196" s="14">
        <f>IFERROR(IF(UPPER($E2196)="L",SUMPRODUCT(N2196:Y2196,$N$3:$Y$3,$N$2:$Y$2),SUMPRODUCT(N2196:Y2196,$N$4:$Y$4,$N$2:$Y$2))/(Z2196/($K2196*$L2196*$M2196)),"")</f>
        <v/>
      </c>
      <c r="AC2196" s="18" t="n"/>
    </row>
    <row r="2197">
      <c r="A2197" s="9" t="n">
        <v>687192</v>
      </c>
      <c r="B2197" s="9" t="inlineStr">
        <is>
          <t>Cade Hunter</t>
        </is>
      </c>
      <c r="C2197" s="9" t="inlineStr">
        <is>
          <t>CIN</t>
        </is>
      </c>
      <c r="D2197" s="9" t="n">
        <v>25</v>
      </c>
      <c r="E2197" s="16" t="inlineStr">
        <is>
          <t>L</t>
        </is>
      </c>
      <c r="F2197" s="16" t="n"/>
      <c r="G2197" s="9" t="n">
        <v>110.9230769230769</v>
      </c>
      <c r="H2197" s="9" t="n">
        <v>110.9230769230769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1" t="n">
        <v>1</v>
      </c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/>
      <c r="Y2197" s="17" t="n">
        <v>1</v>
      </c>
      <c r="Z2197" s="13">
        <f>SUMPRODUCT(N2197:Y2197,$N$2:$Y$2)*$K2197*$L2197*$M2197</f>
        <v/>
      </c>
      <c r="AA2197" s="14">
        <f>SUM(N2197:Y2197)</f>
        <v/>
      </c>
      <c r="AB2197" s="14">
        <f>IFERROR(IF(UPPER($E2197)="L",SUMPRODUCT(N2197:Y2197,$N$3:$Y$3,$N$2:$Y$2),SUMPRODUCT(N2197:Y2197,$N$4:$Y$4,$N$2:$Y$2))/(Z2197/($K2197*$L2197*$M2197)),"")</f>
        <v/>
      </c>
      <c r="AC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1" t="n">
        <v>1</v>
      </c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/>
      <c r="Y2198" s="17" t="n">
        <v>1</v>
      </c>
      <c r="Z2198" s="13">
        <f>SUMPRODUCT(N2198:Y2198,$N$2:$Y$2)*$K2198*$L2198*$M2198</f>
        <v/>
      </c>
      <c r="AA2198" s="14">
        <f>SUM(N2198:Y2198)</f>
        <v/>
      </c>
      <c r="AB2198" s="14">
        <f>IFERROR(IF(UPPER($E2198)="L",SUMPRODUCT(N2198:Y2198,$N$3:$Y$3,$N$2:$Y$2),SUMPRODUCT(N2198:Y2198,$N$4:$Y$4,$N$2:$Y$2))/(Z2198/($K2198*$L2198*$M2198)),"")</f>
        <v/>
      </c>
      <c r="AC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inlineStr">
        <is>
          <t>1B</t>
        </is>
      </c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1" t="n">
        <v>1</v>
      </c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/>
      <c r="W2199" s="17" t="n">
        <v>1</v>
      </c>
      <c r="X2199" s="17" t="n"/>
      <c r="Y2199" s="17" t="n"/>
      <c r="Z2199" s="13">
        <f>SUMPRODUCT(N2199:Y2199,$N$2:$Y$2)*$K2199*$L2199*$M2199</f>
        <v/>
      </c>
      <c r="AA2199" s="14">
        <f>SUM(N2199:Y2199)</f>
        <v/>
      </c>
      <c r="AB2199" s="14">
        <f>IFERROR(IF(UPPER($E2199)="L",SUMPRODUCT(N2199:Y2199,$N$3:$Y$3,$N$2:$Y$2),SUMPRODUCT(N2199:Y2199,$N$4:$Y$4,$N$2:$Y$2))/(Z2199/($K2199*$L2199*$M2199)),"")</f>
        <v/>
      </c>
      <c r="AC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1" t="n">
        <v>1</v>
      </c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/>
      <c r="Y2200" s="17" t="n">
        <v>1</v>
      </c>
      <c r="Z2200" s="13">
        <f>SUMPRODUCT(N2200:Y2200,$N$2:$Y$2)*$K2200*$L2200*$M2200</f>
        <v/>
      </c>
      <c r="AA2200" s="14">
        <f>SUM(N2200:Y2200)</f>
        <v/>
      </c>
      <c r="AB2200" s="14">
        <f>IFERROR(IF(UPPER($E2200)="L",SUMPRODUCT(N2200:Y2200,$N$3:$Y$3,$N$2:$Y$2),SUMPRODUCT(N2200:Y2200,$N$4:$Y$4,$N$2:$Y$2))/(Z2200/($K2200*$L2200*$M2200)),"")</f>
        <v/>
      </c>
      <c r="AC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1" t="n">
        <v>1</v>
      </c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/>
      <c r="Y2201" s="17" t="n">
        <v>1</v>
      </c>
      <c r="Z2201" s="13">
        <f>SUMPRODUCT(N2201:Y2201,$N$2:$Y$2)*$K2201*$L2201*$M2201</f>
        <v/>
      </c>
      <c r="AA2201" s="14">
        <f>SUM(N2201:Y2201)</f>
        <v/>
      </c>
      <c r="AB2201" s="14">
        <f>IFERROR(IF(UPPER($E2201)="L",SUMPRODUCT(N2201:Y2201,$N$3:$Y$3,$N$2:$Y$2),SUMPRODUCT(N2201:Y2201,$N$4:$Y$4,$N$2:$Y$2))/(Z2201/($K2201*$L2201*$M2201)),"")</f>
        <v/>
      </c>
      <c r="AC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1" t="n">
        <v>1</v>
      </c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/>
      <c r="Y2202" s="17" t="n">
        <v>1</v>
      </c>
      <c r="Z2202" s="13">
        <f>SUMPRODUCT(N2202:Y2202,$N$2:$Y$2)*$K2202*$L2202*$M2202</f>
        <v/>
      </c>
      <c r="AA2202" s="14">
        <f>SUM(N2202:Y2202)</f>
        <v/>
      </c>
      <c r="AB2202" s="14">
        <f>IFERROR(IF(UPPER($E2202)="L",SUMPRODUCT(N2202:Y2202,$N$3:$Y$3,$N$2:$Y$2),SUMPRODUCT(N2202:Y2202,$N$4:$Y$4,$N$2:$Y$2))/(Z2202/($K2202*$L2202*$M2202)),"")</f>
        <v/>
      </c>
      <c r="AC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1" t="n">
        <v>1</v>
      </c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/>
      <c r="Y2203" s="17" t="n">
        <v>1</v>
      </c>
      <c r="Z2203" s="13">
        <f>SUMPRODUCT(N2203:Y2203,$N$2:$Y$2)*$K2203*$L2203*$M2203</f>
        <v/>
      </c>
      <c r="AA2203" s="14">
        <f>SUM(N2203:Y2203)</f>
        <v/>
      </c>
      <c r="AB2203" s="14">
        <f>IFERROR(IF(UPPER($E2203)="L",SUMPRODUCT(N2203:Y2203,$N$3:$Y$3,$N$2:$Y$2),SUMPRODUCT(N2203:Y2203,$N$4:$Y$4,$N$2:$Y$2))/(Z2203/($K2203*$L2203*$M2203)),"")</f>
        <v/>
      </c>
      <c r="AC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inlineStr">
        <is>
          <t>RF</t>
        </is>
      </c>
      <c r="G2204" s="9" t="n">
        <v>41</v>
      </c>
      <c r="H2204" s="9" t="n">
        <v>712</v>
      </c>
      <c r="I2204" s="9" t="inlineStr">
        <is>
          <t>Injury Replacement / 26th Man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1" t="n">
        <v>1</v>
      </c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/>
      <c r="W2204" s="17" t="n">
        <v>0.15</v>
      </c>
      <c r="X2204" s="17" t="n">
        <v>0.85</v>
      </c>
      <c r="Y2204" s="17" t="n"/>
      <c r="Z2204" s="13">
        <f>SUMPRODUCT(N2204:Y2204,$N$2:$Y$2)*$K2204*$L2204*$M2204</f>
        <v/>
      </c>
      <c r="AA2204" s="14">
        <f>SUM(N2204:Y2204)</f>
        <v/>
      </c>
      <c r="AB2204" s="14">
        <f>IFERROR(IF(UPPER($E2204)="L",SUMPRODUCT(N2204:Y2204,$N$3:$Y$3,$N$2:$Y$2),SUMPRODUCT(N2204:Y2204,$N$4:$Y$4,$N$2:$Y$2))/(Z2204/($K2204*$L2204*$M2204)),"")</f>
        <v/>
      </c>
      <c r="AC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inlineStr">
        <is>
          <t>SS</t>
        </is>
      </c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1" t="n">
        <v>1</v>
      </c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/>
      <c r="Y2205" s="17" t="n">
        <v>1</v>
      </c>
      <c r="Z2205" s="13">
        <f>SUMPRODUCT(N2205:Y2205,$N$2:$Y$2)*$K2205*$L2205*$M2205</f>
        <v/>
      </c>
      <c r="AA2205" s="14">
        <f>SUM(N2205:Y2205)</f>
        <v/>
      </c>
      <c r="AB2205" s="14">
        <f>IFERROR(IF(UPPER($E2205)="L",SUMPRODUCT(N2205:Y2205,$N$3:$Y$3,$N$2:$Y$2),SUMPRODUCT(N2205:Y2205,$N$4:$Y$4,$N$2:$Y$2))/(Z2205/($K2205*$L2205*$M2205)),"")</f>
        <v/>
      </c>
      <c r="AC2205" s="18" t="n"/>
    </row>
    <row r="2206">
      <c r="A2206" s="9" t="n">
        <v>821149</v>
      </c>
      <c r="B2206" s="9" t="inlineStr">
        <is>
          <t>Frederi Montero</t>
        </is>
      </c>
      <c r="C2206" s="9" t="inlineStr">
        <is>
          <t>MIL</t>
        </is>
      </c>
      <c r="D2206" s="9" t="n">
        <v>25</v>
      </c>
      <c r="E2206" s="16" t="inlineStr">
        <is>
          <t>L</t>
        </is>
      </c>
      <c r="F2206" s="16" t="n"/>
      <c r="G2206" s="9" t="n">
        <v>55.26153846153846</v>
      </c>
      <c r="H2206" s="9" t="n">
        <v>55.26153846153846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1" t="n">
        <v>1</v>
      </c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/>
      <c r="Y2206" s="17" t="n">
        <v>1</v>
      </c>
      <c r="Z2206" s="13">
        <f>SUMPRODUCT(N2206:Y2206,$N$2:$Y$2)*$K2206*$L2206*$M2206</f>
        <v/>
      </c>
      <c r="AA2206" s="14">
        <f>SUM(N2206:Y2206)</f>
        <v/>
      </c>
      <c r="AB2206" s="14">
        <f>IFERROR(IF(UPPER($E2206)="L",SUMPRODUCT(N2206:Y2206,$N$3:$Y$3,$N$2:$Y$2),SUMPRODUCT(N2206:Y2206,$N$4:$Y$4,$N$2:$Y$2))/(Z2206/($K2206*$L2206*$M2206)),"")</f>
        <v/>
      </c>
      <c r="AC2206" s="18" t="n"/>
    </row>
    <row r="2207">
      <c r="A2207" s="9" t="n">
        <v>686766</v>
      </c>
      <c r="B2207" s="9" t="inlineStr">
        <is>
          <t>William Simoneit</t>
        </is>
      </c>
      <c r="C2207" s="9" t="inlineStr">
        <is>
          <t>TOR</t>
        </is>
      </c>
      <c r="D2207" s="9" t="n">
        <v>25</v>
      </c>
      <c r="E2207" s="16" t="inlineStr">
        <is>
          <t>R</t>
        </is>
      </c>
      <c r="F2207" s="16" t="n"/>
      <c r="G2207" s="9" t="n">
        <v>104.9230769230769</v>
      </c>
      <c r="H2207" s="9" t="n">
        <v>104.9230769230769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1" t="n">
        <v>1</v>
      </c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/>
      <c r="Y2207" s="17" t="n">
        <v>1</v>
      </c>
      <c r="Z2207" s="13">
        <f>SUMPRODUCT(N2207:Y2207,$N$2:$Y$2)*$K2207*$L2207*$M2207</f>
        <v/>
      </c>
      <c r="AA2207" s="14">
        <f>SUM(N2207:Y2207)</f>
        <v/>
      </c>
      <c r="AB2207" s="14">
        <f>IFERROR(IF(UPPER($E2207)="L",SUMPRODUCT(N2207:Y2207,$N$3:$Y$3,$N$2:$Y$2),SUMPRODUCT(N2207:Y2207,$N$4:$Y$4,$N$2:$Y$2))/(Z2207/($K2207*$L2207*$M2207)),"")</f>
        <v/>
      </c>
      <c r="AC2207" s="18" t="n"/>
    </row>
    <row r="2208">
      <c r="A2208" s="9" t="n">
        <v>676038</v>
      </c>
      <c r="B2208" s="9" t="inlineStr">
        <is>
          <t>Skyler Messinger</t>
        </is>
      </c>
      <c r="C2208" s="9" t="inlineStr">
        <is>
          <t>COL</t>
        </is>
      </c>
      <c r="D2208" s="9" t="n">
        <v>25</v>
      </c>
      <c r="E2208" s="16" t="inlineStr">
        <is>
          <t>R</t>
        </is>
      </c>
      <c r="F2208" s="16" t="n"/>
      <c r="G2208" s="9" t="n">
        <v>36.25641025641026</v>
      </c>
      <c r="H2208" s="9" t="n">
        <v>36.25641025641026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1" t="n">
        <v>1</v>
      </c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/>
      <c r="Y2208" s="17" t="n">
        <v>1</v>
      </c>
      <c r="Z2208" s="13">
        <f>SUMPRODUCT(N2208:Y2208,$N$2:$Y$2)*$K2208*$L2208*$M2208</f>
        <v/>
      </c>
      <c r="AA2208" s="14">
        <f>SUM(N2208:Y2208)</f>
        <v/>
      </c>
      <c r="AB2208" s="14">
        <f>IFERROR(IF(UPPER($E2208)="L",SUMPRODUCT(N2208:Y2208,$N$3:$Y$3,$N$2:$Y$2),SUMPRODUCT(N2208:Y2208,$N$4:$Y$4,$N$2:$Y$2))/(Z2208/($K2208*$L2208*$M2208)),"")</f>
        <v/>
      </c>
      <c r="AC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1" t="n">
        <v>1</v>
      </c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/>
      <c r="Y2209" s="17" t="n">
        <v>1</v>
      </c>
      <c r="Z2209" s="13">
        <f>SUMPRODUCT(N2209:Y2209,$N$2:$Y$2)*$K2209*$L2209*$M2209</f>
        <v/>
      </c>
      <c r="AA2209" s="14">
        <f>SUM(N2209:Y2209)</f>
        <v/>
      </c>
      <c r="AB2209" s="14">
        <f>IFERROR(IF(UPPER($E2209)="L",SUMPRODUCT(N2209:Y2209,$N$3:$Y$3,$N$2:$Y$2),SUMPRODUCT(N2209:Y2209,$N$4:$Y$4,$N$2:$Y$2))/(Z2209/($K2209*$L2209*$M2209)),"")</f>
        <v/>
      </c>
      <c r="AC2209" s="18" t="n"/>
    </row>
    <row r="2210">
      <c r="A2210" s="9" t="n">
        <v>681123</v>
      </c>
      <c r="B2210" s="9" t="inlineStr">
        <is>
          <t>Luca Tresh</t>
        </is>
      </c>
      <c r="C2210" s="9" t="inlineStr">
        <is>
          <t>KC</t>
        </is>
      </c>
      <c r="D2210" s="9" t="n">
        <v>25</v>
      </c>
      <c r="E2210" s="16" t="inlineStr">
        <is>
          <t>R</t>
        </is>
      </c>
      <c r="F2210" s="16" t="n"/>
      <c r="G2210" s="9" t="n">
        <v>212.6666666666667</v>
      </c>
      <c r="H2210" s="9" t="n">
        <v>212.6666666666667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1" t="n">
        <v>1</v>
      </c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/>
      <c r="Y2210" s="17" t="n">
        <v>1</v>
      </c>
      <c r="Z2210" s="13">
        <f>SUMPRODUCT(N2210:Y2210,$N$2:$Y$2)*$K2210*$L2210*$M2210</f>
        <v/>
      </c>
      <c r="AA2210" s="14">
        <f>SUM(N2210:Y2210)</f>
        <v/>
      </c>
      <c r="AB2210" s="14">
        <f>IFERROR(IF(UPPER($E2210)="L",SUMPRODUCT(N2210:Y2210,$N$3:$Y$3,$N$2:$Y$2),SUMPRODUCT(N2210:Y2210,$N$4:$Y$4,$N$2:$Y$2))/(Z2210/($K2210*$L2210*$M2210)),"")</f>
        <v/>
      </c>
      <c r="AC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1" t="n">
        <v>1</v>
      </c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/>
      <c r="Y2211" s="17" t="n">
        <v>1</v>
      </c>
      <c r="Z2211" s="13">
        <f>SUMPRODUCT(N2211:Y2211,$N$2:$Y$2)*$K2211*$L2211*$M2211</f>
        <v/>
      </c>
      <c r="AA2211" s="14">
        <f>SUM(N2211:Y2211)</f>
        <v/>
      </c>
      <c r="AB2211" s="14">
        <f>IFERROR(IF(UPPER($E2211)="L",SUMPRODUCT(N2211:Y2211,$N$3:$Y$3,$N$2:$Y$2),SUMPRODUCT(N2211:Y2211,$N$4:$Y$4,$N$2:$Y$2))/(Z2211/($K2211*$L2211*$M2211)),"")</f>
        <v/>
      </c>
      <c r="AC2211" s="18" t="n"/>
    </row>
    <row r="2212">
      <c r="A2212" s="9" t="n">
        <v>596129</v>
      </c>
      <c r="B2212" s="9" t="inlineStr">
        <is>
          <t>Daniel Vogelbach</t>
        </is>
      </c>
      <c r="C2212" s="9" t="inlineStr">
        <is>
          <t>TOR</t>
        </is>
      </c>
      <c r="D2212" s="9" t="n">
        <v>34</v>
      </c>
      <c r="E2212" s="16" t="inlineStr">
        <is>
          <t>L</t>
        </is>
      </c>
      <c r="F2212" s="16" t="inlineStr">
        <is>
          <t>1B</t>
        </is>
      </c>
      <c r="G2212" s="9" t="n">
        <v>79</v>
      </c>
      <c r="H2212" s="9" t="n">
        <v>859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1" t="n">
        <v>1</v>
      </c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/>
      <c r="Y2212" s="17" t="n">
        <v>1</v>
      </c>
      <c r="Z2212" s="13">
        <f>SUMPRODUCT(N2212:Y2212,$N$2:$Y$2)*$K2212*$L2212*$M2212</f>
        <v/>
      </c>
      <c r="AA2212" s="14">
        <f>SUM(N2212:Y2212)</f>
        <v/>
      </c>
      <c r="AB2212" s="14">
        <f>IFERROR(IF(UPPER($E2212)="L",SUMPRODUCT(N2212:Y2212,$N$3:$Y$3,$N$2:$Y$2),SUMPRODUCT(N2212:Y2212,$N$4:$Y$4,$N$2:$Y$2))/(Z2212/($K2212*$L2212*$M2212)),"")</f>
        <v/>
      </c>
      <c r="AC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inlineStr">
        <is>
          <t>C</t>
        </is>
      </c>
      <c r="G2213" s="9" t="n">
        <v>285</v>
      </c>
      <c r="H2213" s="9" t="n">
        <v>746</v>
      </c>
      <c r="I2213" s="9" t="inlineStr">
        <is>
          <t>Catcher - Primary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1" t="n">
        <v>0.8701524763358807</v>
      </c>
      <c r="N2213" s="17" t="n"/>
      <c r="O2213" s="17" t="n"/>
      <c r="P2213" s="17" t="n"/>
      <c r="Q2213" s="17" t="n"/>
      <c r="R2213" s="17" t="n">
        <v>1</v>
      </c>
      <c r="S2213" s="17" t="n"/>
      <c r="T2213" s="17" t="n"/>
      <c r="U2213" s="17" t="n"/>
      <c r="V2213" s="17" t="n"/>
      <c r="W2213" s="17" t="n"/>
      <c r="X2213" s="17" t="n"/>
      <c r="Y2213" s="17" t="n"/>
      <c r="Z2213" s="13">
        <f>SUMPRODUCT(N2213:Y2213,$N$2:$Y$2)*$K2213*$L2213*$M2213</f>
        <v/>
      </c>
      <c r="AA2213" s="14">
        <f>SUM(N2213:Y2213)</f>
        <v/>
      </c>
      <c r="AB2213" s="14">
        <f>IFERROR(IF(UPPER($E2213)="L",SUMPRODUCT(N2213:Y2213,$N$3:$Y$3,$N$2:$Y$2),SUMPRODUCT(N2213:Y2213,$N$4:$Y$4,$N$2:$Y$2))/(Z2213/($K2213*$L2213*$M2213)),"")</f>
        <v/>
      </c>
      <c r="AC2213" s="18" t="n"/>
    </row>
    <row r="2214">
      <c r="A2214" s="9" t="n">
        <v>821765</v>
      </c>
      <c r="B2214" s="9" t="inlineStr">
        <is>
          <t>Jesus Pinto</t>
        </is>
      </c>
      <c r="C2214" s="9" t="inlineStr">
        <is>
          <t>DET</t>
        </is>
      </c>
      <c r="D2214" s="9" t="n">
        <v>25</v>
      </c>
      <c r="E2214" s="16" t="inlineStr">
        <is>
          <t>R</t>
        </is>
      </c>
      <c r="F2214" s="16" t="n"/>
      <c r="G2214" s="9" t="n">
        <v>53.04615384615384</v>
      </c>
      <c r="H2214" s="9" t="n">
        <v>53.04615384615384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1" t="n">
        <v>1</v>
      </c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/>
      <c r="Y2214" s="17" t="n">
        <v>1</v>
      </c>
      <c r="Z2214" s="13">
        <f>SUMPRODUCT(N2214:Y2214,$N$2:$Y$2)*$K2214*$L2214*$M2214</f>
        <v/>
      </c>
      <c r="AA2214" s="14">
        <f>SUM(N2214:Y2214)</f>
        <v/>
      </c>
      <c r="AB2214" s="14">
        <f>IFERROR(IF(UPPER($E2214)="L",SUMPRODUCT(N2214:Y2214,$N$3:$Y$3,$N$2:$Y$2),SUMPRODUCT(N2214:Y2214,$N$4:$Y$4,$N$2:$Y$2))/(Z2214/($K2214*$L2214*$M2214)),"")</f>
        <v/>
      </c>
      <c r="AC2214" s="18" t="n"/>
    </row>
    <row r="2215">
      <c r="A2215" s="9" t="n">
        <v>800712</v>
      </c>
      <c r="B2215" s="9" t="inlineStr">
        <is>
          <t>Wallace Clark</t>
        </is>
      </c>
      <c r="C2215" s="9" t="inlineStr">
        <is>
          <t>ARI</t>
        </is>
      </c>
      <c r="D2215" s="9" t="n">
        <v>25</v>
      </c>
      <c r="E2215" s="16" t="inlineStr">
        <is>
          <t>S</t>
        </is>
      </c>
      <c r="F2215" s="16" t="n"/>
      <c r="G2215" s="9" t="n">
        <v>65.84615384615385</v>
      </c>
      <c r="H2215" s="9" t="n">
        <v>65.84615384615385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1" t="n">
        <v>1</v>
      </c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/>
      <c r="Y2215" s="17" t="n">
        <v>1</v>
      </c>
      <c r="Z2215" s="13">
        <f>SUMPRODUCT(N2215:Y2215,$N$2:$Y$2)*$K2215*$L2215*$M2215</f>
        <v/>
      </c>
      <c r="AA2215" s="14">
        <f>SUM(N2215:Y2215)</f>
        <v/>
      </c>
      <c r="AB2215" s="14">
        <f>IFERROR(IF(UPPER($E2215)="L",SUMPRODUCT(N2215:Y2215,$N$3:$Y$3,$N$2:$Y$2),SUMPRODUCT(N2215:Y2215,$N$4:$Y$4,$N$2:$Y$2))/(Z2215/($K2215*$L2215*$M2215)),"")</f>
        <v/>
      </c>
      <c r="AC2215" s="18" t="n"/>
    </row>
    <row r="2216">
      <c r="A2216" s="9" t="n">
        <v>701305</v>
      </c>
      <c r="B2216" s="9" t="inlineStr">
        <is>
          <t>Zach Dezenzo</t>
        </is>
      </c>
      <c r="C2216" s="9" t="inlineStr">
        <is>
          <t>HOU</t>
        </is>
      </c>
      <c r="D2216" s="9" t="n">
        <v>27</v>
      </c>
      <c r="E2216" s="16" t="inlineStr">
        <is>
          <t>R</t>
        </is>
      </c>
      <c r="F2216" s="16" t="inlineStr">
        <is>
          <t>LF</t>
        </is>
      </c>
      <c r="G2216" s="9" t="n">
        <v>82</v>
      </c>
      <c r="H2216" s="9" t="n">
        <v>256</v>
      </c>
      <c r="I2216" s="9" t="inlineStr">
        <is>
          <t>Bench Bat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1" t="n">
        <v>1</v>
      </c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/>
      <c r="W2216" s="17" t="n">
        <v>1</v>
      </c>
      <c r="X2216" s="17" t="n"/>
      <c r="Y2216" s="17" t="n"/>
      <c r="Z2216" s="13">
        <f>SUMPRODUCT(N2216:Y2216,$N$2:$Y$2)*$K2216*$L2216*$M2216</f>
        <v/>
      </c>
      <c r="AA2216" s="14">
        <f>SUM(N2216:Y2216)</f>
        <v/>
      </c>
      <c r="AB2216" s="14">
        <f>IFERROR(IF(UPPER($E2216)="L",SUMPRODUCT(N2216:Y2216,$N$3:$Y$3,$N$2:$Y$2),SUMPRODUCT(N2216:Y2216,$N$4:$Y$4,$N$2:$Y$2))/(Z2216/($K2216*$L2216*$M2216)),"")</f>
        <v/>
      </c>
      <c r="AC2216" s="18" t="n"/>
    </row>
    <row r="2217">
      <c r="A2217" s="9" t="n">
        <v>672386</v>
      </c>
      <c r="B2217" s="9" t="inlineStr">
        <is>
          <t>Alejandro Kirk</t>
        </is>
      </c>
      <c r="C2217" s="9" t="inlineStr">
        <is>
          <t>TOR</t>
        </is>
      </c>
      <c r="D2217" s="9" t="n">
        <v>28</v>
      </c>
      <c r="E2217" s="16" t="inlineStr">
        <is>
          <t>R</t>
        </is>
      </c>
      <c r="F2217" s="16" t="inlineStr">
        <is>
          <t>C</t>
        </is>
      </c>
      <c r="G2217" s="9" t="n">
        <v>313</v>
      </c>
      <c r="H2217" s="9" t="n">
        <v>2168</v>
      </c>
      <c r="I2217" s="9" t="inlineStr">
        <is>
          <t>Catcher - Primary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1" t="n">
        <v>0.919062412782646</v>
      </c>
      <c r="N2217" s="17" t="n"/>
      <c r="O2217" s="17" t="n"/>
      <c r="P2217" s="17" t="n"/>
      <c r="Q2217" s="17" t="n"/>
      <c r="R2217" s="17" t="n">
        <v>1</v>
      </c>
      <c r="S2217" s="17" t="n"/>
      <c r="T2217" s="17" t="n"/>
      <c r="U2217" s="17" t="n"/>
      <c r="V2217" s="17" t="n"/>
      <c r="W2217" s="17" t="n"/>
      <c r="X2217" s="17" t="n"/>
      <c r="Y2217" s="17" t="n"/>
      <c r="Z2217" s="13">
        <f>SUMPRODUCT(N2217:Y2217,$N$2:$Y$2)*$K2217*$L2217*$M2217</f>
        <v/>
      </c>
      <c r="AA2217" s="14">
        <f>SUM(N2217:Y2217)</f>
        <v/>
      </c>
      <c r="AB2217" s="14">
        <f>IFERROR(IF(UPPER($E2217)="L",SUMPRODUCT(N2217:Y2217,$N$3:$Y$3,$N$2:$Y$2),SUMPRODUCT(N2217:Y2217,$N$4:$Y$4,$N$2:$Y$2))/(Z2217/($K2217*$L2217*$M2217)),"")</f>
        <v/>
      </c>
      <c r="AC2217" s="18" t="n"/>
    </row>
    <row r="2218">
      <c r="A2218" s="9" t="n">
        <v>805782</v>
      </c>
      <c r="B2218" s="9" t="inlineStr">
        <is>
          <t>Ryan Lasko</t>
        </is>
      </c>
      <c r="C2218" s="9" t="inlineStr">
        <is>
          <t>OAK</t>
        </is>
      </c>
      <c r="D2218" s="9" t="n">
        <v>25</v>
      </c>
      <c r="E2218" s="16" t="inlineStr">
        <is>
          <t>R</t>
        </is>
      </c>
      <c r="F2218" s="16" t="n"/>
      <c r="G2218" s="9" t="n">
        <v>95.48717948717947</v>
      </c>
      <c r="H2218" s="9" t="n">
        <v>95.48717948717947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1" t="n">
        <v>1</v>
      </c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/>
      <c r="Y2218" s="17" t="n">
        <v>1</v>
      </c>
      <c r="Z2218" s="13">
        <f>SUMPRODUCT(N2218:Y2218,$N$2:$Y$2)*$K2218*$L2218*$M2218</f>
        <v/>
      </c>
      <c r="AA2218" s="14">
        <f>SUM(N2218:Y2218)</f>
        <v/>
      </c>
      <c r="AB2218" s="14">
        <f>IFERROR(IF(UPPER($E2218)="L",SUMPRODUCT(N2218:Y2218,$N$3:$Y$3,$N$2:$Y$2),SUMPRODUCT(N2218:Y2218,$N$4:$Y$4,$N$2:$Y$2))/(Z2218/($K2218*$L2218*$M2218)),"")</f>
        <v/>
      </c>
      <c r="AC2218" s="18" t="n"/>
    </row>
    <row r="2219">
      <c r="A2219" s="9" t="n">
        <v>807267</v>
      </c>
      <c r="B2219" s="9" t="inlineStr">
        <is>
          <t>JD Dix</t>
        </is>
      </c>
      <c r="C2219" s="9" t="inlineStr">
        <is>
          <t>ARI</t>
        </is>
      </c>
      <c r="D2219" s="9" t="n">
        <v>25</v>
      </c>
      <c r="E2219" s="16" t="inlineStr">
        <is>
          <t>S</t>
        </is>
      </c>
      <c r="F2219" s="16" t="n"/>
      <c r="G2219" s="9" t="n">
        <v>51.07692307692308</v>
      </c>
      <c r="H2219" s="9" t="n">
        <v>51.07692307692308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1" t="n">
        <v>1</v>
      </c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/>
      <c r="Y2219" s="17" t="n">
        <v>1</v>
      </c>
      <c r="Z2219" s="13">
        <f>SUMPRODUCT(N2219:Y2219,$N$2:$Y$2)*$K2219*$L2219*$M2219</f>
        <v/>
      </c>
      <c r="AA2219" s="14">
        <f>SUM(N2219:Y2219)</f>
        <v/>
      </c>
      <c r="AB2219" s="14">
        <f>IFERROR(IF(UPPER($E2219)="L",SUMPRODUCT(N2219:Y2219,$N$3:$Y$3,$N$2:$Y$2),SUMPRODUCT(N2219:Y2219,$N$4:$Y$4,$N$2:$Y$2))/(Z2219/($K2219*$L2219*$M2219)),"")</f>
        <v/>
      </c>
      <c r="AC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25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Bench Bat</t>
        </is>
      </c>
      <c r="J2220" s="16" t="inlineStr">
        <is>
          <t>Mid Season (~July)</t>
        </is>
      </c>
      <c r="K2220" s="11">
        <f>IFERROR(INDEX(Roles!$B$17:$B$20,MATCH(J2220,Roles!$A$17:$A$20,0)),1)</f>
        <v/>
      </c>
      <c r="L2220" s="17" t="n">
        <v>1</v>
      </c>
      <c r="M2220" s="11" t="n">
        <v>1</v>
      </c>
      <c r="N2220" s="17" t="n">
        <v>0.25</v>
      </c>
      <c r="O2220" s="17" t="n"/>
      <c r="P2220" s="17" t="n">
        <v>0.3</v>
      </c>
      <c r="Q2220" s="17" t="n"/>
      <c r="R2220" s="17" t="n"/>
      <c r="S2220" s="17" t="n"/>
      <c r="T2220" s="17" t="n"/>
      <c r="U2220" s="17" t="n"/>
      <c r="V2220" s="17" t="n"/>
      <c r="W2220" s="17" t="n">
        <v>0.45</v>
      </c>
      <c r="X2220" s="17" t="n"/>
      <c r="Y2220" s="17" t="n"/>
      <c r="Z2220" s="13">
        <f>SUMPRODUCT(N2220:Y2220,$N$2:$Y$2)*$K2220*$L2220*$M2220</f>
        <v/>
      </c>
      <c r="AA2220" s="14">
        <f>SUM(N2220:Y2220)</f>
        <v/>
      </c>
      <c r="AB2220" s="14">
        <f>IFERROR(IF(UPPER($E2220)="L",SUMPRODUCT(N2220:Y2220,$N$3:$Y$3,$N$2:$Y$2),SUMPRODUCT(N2220:Y2220,$N$4:$Y$4,$N$2:$Y$2))/(Z2220/($K2220*$L2220*$M2220)),"")</f>
        <v/>
      </c>
      <c r="AC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1" t="n">
        <v>1</v>
      </c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/>
      <c r="Y2221" s="17" t="n">
        <v>1</v>
      </c>
      <c r="Z2221" s="13">
        <f>SUMPRODUCT(N2221:Y2221,$N$2:$Y$2)*$K2221*$L2221*$M2221</f>
        <v/>
      </c>
      <c r="AA2221" s="14">
        <f>SUM(N2221:Y2221)</f>
        <v/>
      </c>
      <c r="AB2221" s="14">
        <f>IFERROR(IF(UPPER($E2221)="L",SUMPRODUCT(N2221:Y2221,$N$3:$Y$3,$N$2:$Y$2),SUMPRODUCT(N2221:Y2221,$N$4:$Y$4,$N$2:$Y$2))/(Z2221/($K2221*$L2221*$M2221)),"")</f>
        <v/>
      </c>
      <c r="AC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1" t="n">
        <v>1</v>
      </c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/>
      <c r="Y2222" s="17" t="n">
        <v>1</v>
      </c>
      <c r="Z2222" s="13">
        <f>SUMPRODUCT(N2222:Y2222,$N$2:$Y$2)*$K2222*$L2222*$M2222</f>
        <v/>
      </c>
      <c r="AA2222" s="14">
        <f>SUM(N2222:Y2222)</f>
        <v/>
      </c>
      <c r="AB2222" s="14">
        <f>IFERROR(IF(UPPER($E2222)="L",SUMPRODUCT(N2222:Y2222,$N$3:$Y$3,$N$2:$Y$2),SUMPRODUCT(N2222:Y2222,$N$4:$Y$4,$N$2:$Y$2))/(Z2222/($K2222*$L2222*$M2222)),"")</f>
        <v/>
      </c>
      <c r="AC2222" s="18" t="n"/>
    </row>
    <row r="2223">
      <c r="A2223" s="9" t="n">
        <v>815665</v>
      </c>
      <c r="B2223" s="9" t="inlineStr">
        <is>
          <t>Brendan Tunink</t>
        </is>
      </c>
      <c r="C2223" s="9" t="inlineStr">
        <is>
          <t>LAD</t>
        </is>
      </c>
      <c r="D2223" s="9" t="n">
        <v>25</v>
      </c>
      <c r="E2223" s="16" t="inlineStr">
        <is>
          <t>L</t>
        </is>
      </c>
      <c r="F2223" s="16" t="n"/>
      <c r="G2223" s="9" t="n">
        <v>42.46153846153846</v>
      </c>
      <c r="H2223" s="9" t="n">
        <v>42.46153846153846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1" t="n">
        <v>1</v>
      </c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/>
      <c r="Y2223" s="17" t="n">
        <v>1</v>
      </c>
      <c r="Z2223" s="13">
        <f>SUMPRODUCT(N2223:Y2223,$N$2:$Y$2)*$K2223*$L2223*$M2223</f>
        <v/>
      </c>
      <c r="AA2223" s="14">
        <f>SUM(N2223:Y2223)</f>
        <v/>
      </c>
      <c r="AB2223" s="14">
        <f>IFERROR(IF(UPPER($E2223)="L",SUMPRODUCT(N2223:Y2223,$N$3:$Y$3,$N$2:$Y$2),SUMPRODUCT(N2223:Y2223,$N$4:$Y$4,$N$2:$Y$2))/(Z2223/($K2223*$L2223*$M2223)),"")</f>
        <v/>
      </c>
      <c r="AC2223" s="18" t="n"/>
    </row>
    <row r="2224">
      <c r="A2224" s="9" t="n">
        <v>692633</v>
      </c>
      <c r="B2224" s="9" t="inlineStr">
        <is>
          <t>Manuel Palencia</t>
        </is>
      </c>
      <c r="C2224" s="9" t="inlineStr">
        <is>
          <t>NYY</t>
        </is>
      </c>
      <c r="D2224" s="9" t="n">
        <v>25</v>
      </c>
      <c r="E2224" s="16" t="inlineStr">
        <is>
          <t>R</t>
        </is>
      </c>
      <c r="F2224" s="16" t="n"/>
      <c r="G2224" s="9" t="n">
        <v>112</v>
      </c>
      <c r="H2224" s="9" t="n">
        <v>112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1" t="n">
        <v>1</v>
      </c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/>
      <c r="Y2224" s="17" t="n">
        <v>1</v>
      </c>
      <c r="Z2224" s="13">
        <f>SUMPRODUCT(N2224:Y2224,$N$2:$Y$2)*$K2224*$L2224*$M2224</f>
        <v/>
      </c>
      <c r="AA2224" s="14">
        <f>SUM(N2224:Y2224)</f>
        <v/>
      </c>
      <c r="AB2224" s="14">
        <f>IFERROR(IF(UPPER($E2224)="L",SUMPRODUCT(N2224:Y2224,$N$3:$Y$3,$N$2:$Y$2),SUMPRODUCT(N2224:Y2224,$N$4:$Y$4,$N$2:$Y$2))/(Z2224/($K2224*$L2224*$M2224)),"")</f>
        <v/>
      </c>
      <c r="AC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1" t="n">
        <v>1</v>
      </c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/>
      <c r="Y2225" s="17" t="n">
        <v>1</v>
      </c>
      <c r="Z2225" s="13">
        <f>SUMPRODUCT(N2225:Y2225,$N$2:$Y$2)*$K2225*$L2225*$M2225</f>
        <v/>
      </c>
      <c r="AA2225" s="14">
        <f>SUM(N2225:Y2225)</f>
        <v/>
      </c>
      <c r="AB2225" s="14">
        <f>IFERROR(IF(UPPER($E2225)="L",SUMPRODUCT(N2225:Y2225,$N$3:$Y$3,$N$2:$Y$2),SUMPRODUCT(N2225:Y2225,$N$4:$Y$4,$N$2:$Y$2))/(Z2225/($K2225*$L2225*$M2225)),"")</f>
        <v/>
      </c>
      <c r="AC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1" t="n">
        <v>1</v>
      </c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/>
      <c r="Y2226" s="17" t="n">
        <v>1</v>
      </c>
      <c r="Z2226" s="13">
        <f>SUMPRODUCT(N2226:Y2226,$N$2:$Y$2)*$K2226*$L2226*$M2226</f>
        <v/>
      </c>
      <c r="AA2226" s="14">
        <f>SUM(N2226:Y2226)</f>
        <v/>
      </c>
      <c r="AB2226" s="14">
        <f>IFERROR(IF(UPPER($E2226)="L",SUMPRODUCT(N2226:Y2226,$N$3:$Y$3,$N$2:$Y$2),SUMPRODUCT(N2226:Y2226,$N$4:$Y$4,$N$2:$Y$2))/(Z2226/($K2226*$L2226*$M2226)),"")</f>
        <v/>
      </c>
      <c r="AC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1" t="n">
        <v>1</v>
      </c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/>
      <c r="Y2227" s="17" t="n">
        <v>1</v>
      </c>
      <c r="Z2227" s="13">
        <f>SUMPRODUCT(N2227:Y2227,$N$2:$Y$2)*$K2227*$L2227*$M2227</f>
        <v/>
      </c>
      <c r="AA2227" s="14">
        <f>SUM(N2227:Y2227)</f>
        <v/>
      </c>
      <c r="AB2227" s="14">
        <f>IFERROR(IF(UPPER($E2227)="L",SUMPRODUCT(N2227:Y2227,$N$3:$Y$3,$N$2:$Y$2),SUMPRODUCT(N2227:Y2227,$N$4:$Y$4,$N$2:$Y$2))/(Z2227/($K2227*$L2227*$M2227)),"")</f>
        <v/>
      </c>
      <c r="AC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inlineStr">
        <is>
          <t>C</t>
        </is>
      </c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1" t="n">
        <v>1</v>
      </c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/>
      <c r="W2228" s="17" t="n">
        <v>0.85</v>
      </c>
      <c r="X2228" s="17" t="n">
        <v>0.15</v>
      </c>
      <c r="Y2228" s="17" t="n"/>
      <c r="Z2228" s="13">
        <f>SUMPRODUCT(N2228:Y2228,$N$2:$Y$2)*$K2228*$L2228*$M2228</f>
        <v/>
      </c>
      <c r="AA2228" s="14">
        <f>SUM(N2228:Y2228)</f>
        <v/>
      </c>
      <c r="AB2228" s="14">
        <f>IFERROR(IF(UPPER($E2228)="L",SUMPRODUCT(N2228:Y2228,$N$3:$Y$3,$N$2:$Y$2),SUMPRODUCT(N2228:Y2228,$N$4:$Y$4,$N$2:$Y$2))/(Z2228/($K2228*$L2228*$M2228)),"")</f>
        <v/>
      </c>
      <c r="AC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1" t="n">
        <v>1</v>
      </c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/>
      <c r="Y2229" s="17" t="n">
        <v>1</v>
      </c>
      <c r="Z2229" s="13">
        <f>SUMPRODUCT(N2229:Y2229,$N$2:$Y$2)*$K2229*$L2229*$M2229</f>
        <v/>
      </c>
      <c r="AA2229" s="14">
        <f>SUM(N2229:Y2229)</f>
        <v/>
      </c>
      <c r="AB2229" s="14">
        <f>IFERROR(IF(UPPER($E2229)="L",SUMPRODUCT(N2229:Y2229,$N$3:$Y$3,$N$2:$Y$2),SUMPRODUCT(N2229:Y2229,$N$4:$Y$4,$N$2:$Y$2))/(Z2229/($K2229*$L2229*$M2229)),"")</f>
        <v/>
      </c>
      <c r="AC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1" t="n">
        <v>1</v>
      </c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/>
      <c r="Y2230" s="17" t="n">
        <v>1</v>
      </c>
      <c r="Z2230" s="13">
        <f>SUMPRODUCT(N2230:Y2230,$N$2:$Y$2)*$K2230*$L2230*$M2230</f>
        <v/>
      </c>
      <c r="AA2230" s="14">
        <f>SUM(N2230:Y2230)</f>
        <v/>
      </c>
      <c r="AB2230" s="14">
        <f>IFERROR(IF(UPPER($E2230)="L",SUMPRODUCT(N2230:Y2230,$N$3:$Y$3,$N$2:$Y$2),SUMPRODUCT(N2230:Y2230,$N$4:$Y$4,$N$2:$Y$2))/(Z2230/($K2230*$L2230*$M2230)),"")</f>
        <v/>
      </c>
      <c r="AC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25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Early Season (~May)</t>
        </is>
      </c>
      <c r="K2231" s="11">
        <f>IFERROR(INDEX(Roles!$B$17:$B$20,MATCH(J2231,Roles!$A$17:$A$20,0)),1)</f>
        <v/>
      </c>
      <c r="L2231" s="17" t="n">
        <v>1</v>
      </c>
      <c r="M2231" s="11" t="n">
        <v>1</v>
      </c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/>
      <c r="Y2231" s="17" t="n">
        <v>1</v>
      </c>
      <c r="Z2231" s="13">
        <f>SUMPRODUCT(N2231:Y2231,$N$2:$Y$2)*$K2231*$L2231*$M2231</f>
        <v/>
      </c>
      <c r="AA2231" s="14">
        <f>SUM(N2231:Y2231)</f>
        <v/>
      </c>
      <c r="AB2231" s="14">
        <f>IFERROR(IF(UPPER($E2231)="L",SUMPRODUCT(N2231:Y2231,$N$3:$Y$3,$N$2:$Y$2),SUMPRODUCT(N2231:Y2231,$N$4:$Y$4,$N$2:$Y$2))/(Z2231/($K2231*$L2231*$M2231)),"")</f>
        <v/>
      </c>
      <c r="AC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1" t="n">
        <v>1</v>
      </c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/>
      <c r="Y2232" s="17" t="n">
        <v>1</v>
      </c>
      <c r="Z2232" s="13">
        <f>SUMPRODUCT(N2232:Y2232,$N$2:$Y$2)*$K2232*$L2232*$M2232</f>
        <v/>
      </c>
      <c r="AA2232" s="14">
        <f>SUM(N2232:Y2232)</f>
        <v/>
      </c>
      <c r="AB2232" s="14">
        <f>IFERROR(IF(UPPER($E2232)="L",SUMPRODUCT(N2232:Y2232,$N$3:$Y$3,$N$2:$Y$2),SUMPRODUCT(N2232:Y2232,$N$4:$Y$4,$N$2:$Y$2))/(Z2232/($K2232*$L2232*$M2232)),"")</f>
        <v/>
      </c>
      <c r="AC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1" t="n">
        <v>1</v>
      </c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/>
      <c r="Y2233" s="17" t="n">
        <v>1</v>
      </c>
      <c r="Z2233" s="13">
        <f>SUMPRODUCT(N2233:Y2233,$N$2:$Y$2)*$K2233*$L2233*$M2233</f>
        <v/>
      </c>
      <c r="AA2233" s="14">
        <f>SUM(N2233:Y2233)</f>
        <v/>
      </c>
      <c r="AB2233" s="14">
        <f>IFERROR(IF(UPPER($E2233)="L",SUMPRODUCT(N2233:Y2233,$N$3:$Y$3,$N$2:$Y$2),SUMPRODUCT(N2233:Y2233,$N$4:$Y$4,$N$2:$Y$2))/(Z2233/($K2233*$L2233*$M2233)),"")</f>
        <v/>
      </c>
      <c r="AC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inlineStr">
        <is>
          <t>C</t>
        </is>
      </c>
      <c r="G2234" s="9" t="n">
        <v>58</v>
      </c>
      <c r="H2234" s="9" t="n">
        <v>58</v>
      </c>
      <c r="I2234" s="9" t="inlineStr">
        <is>
          <t>Injury Replacement / 26th Man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1" t="n">
        <v>1</v>
      </c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/>
      <c r="X2234" s="17" t="n">
        <v>1</v>
      </c>
      <c r="Y2234" s="17" t="n"/>
      <c r="Z2234" s="13">
        <f>SUMPRODUCT(N2234:Y2234,$N$2:$Y$2)*$K2234*$L2234*$M2234</f>
        <v/>
      </c>
      <c r="AA2234" s="14">
        <f>SUM(N2234:Y2234)</f>
        <v/>
      </c>
      <c r="AB2234" s="14">
        <f>IFERROR(IF(UPPER($E2234)="L",SUMPRODUCT(N2234:Y2234,$N$3:$Y$3,$N$2:$Y$2),SUMPRODUCT(N2234:Y2234,$N$4:$Y$4,$N$2:$Y$2))/(Z2234/($K2234*$L2234*$M2234)),"")</f>
        <v/>
      </c>
      <c r="AC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1" t="n">
        <v>1</v>
      </c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/>
      <c r="Y2235" s="17" t="n">
        <v>1</v>
      </c>
      <c r="Z2235" s="13">
        <f>SUMPRODUCT(N2235:Y2235,$N$2:$Y$2)*$K2235*$L2235*$M2235</f>
        <v/>
      </c>
      <c r="AA2235" s="14">
        <f>SUM(N2235:Y2235)</f>
        <v/>
      </c>
      <c r="AB2235" s="14">
        <f>IFERROR(IF(UPPER($E2235)="L",SUMPRODUCT(N2235:Y2235,$N$3:$Y$3,$N$2:$Y$2),SUMPRODUCT(N2235:Y2235,$N$4:$Y$4,$N$2:$Y$2))/(Z2235/($K2235*$L2235*$M2235)),"")</f>
        <v/>
      </c>
      <c r="AC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inlineStr">
        <is>
          <t>2B</t>
        </is>
      </c>
      <c r="G2236" s="9" t="n">
        <v>143</v>
      </c>
      <c r="H2236" s="9" t="n">
        <v>237</v>
      </c>
      <c r="I2236" s="9" t="inlineStr">
        <is>
          <t>Weak Side Platoon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1" t="n">
        <v>1</v>
      </c>
      <c r="N2236" s="17" t="n"/>
      <c r="O2236" s="17" t="n"/>
      <c r="P2236" s="17" t="n"/>
      <c r="Q2236" s="17" t="n">
        <v>0.6</v>
      </c>
      <c r="R2236" s="17" t="n"/>
      <c r="S2236" s="17" t="n"/>
      <c r="T2236" s="17" t="n"/>
      <c r="U2236" s="17" t="n">
        <v>0.4</v>
      </c>
      <c r="V2236" s="17" t="n"/>
      <c r="W2236" s="17" t="n"/>
      <c r="X2236" s="17" t="n"/>
      <c r="Y2236" s="17" t="n"/>
      <c r="Z2236" s="13">
        <f>SUMPRODUCT(N2236:Y2236,$N$2:$Y$2)*$K2236*$L2236*$M2236</f>
        <v/>
      </c>
      <c r="AA2236" s="14">
        <f>SUM(N2236:Y2236)</f>
        <v/>
      </c>
      <c r="AB2236" s="14">
        <f>IFERROR(IF(UPPER($E2236)="L",SUMPRODUCT(N2236:Y2236,$N$3:$Y$3,$N$2:$Y$2),SUMPRODUCT(N2236:Y2236,$N$4:$Y$4,$N$2:$Y$2))/(Z2236/($K2236*$L2236*$M2236)),"")</f>
        <v/>
      </c>
      <c r="AC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1" t="n">
        <v>1</v>
      </c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/>
      <c r="Y2237" s="17" t="n">
        <v>1</v>
      </c>
      <c r="Z2237" s="13">
        <f>SUMPRODUCT(N2237:Y2237,$N$2:$Y$2)*$K2237*$L2237*$M2237</f>
        <v/>
      </c>
      <c r="AA2237" s="14">
        <f>SUM(N2237:Y2237)</f>
        <v/>
      </c>
      <c r="AB2237" s="14">
        <f>IFERROR(IF(UPPER($E2237)="L",SUMPRODUCT(N2237:Y2237,$N$3:$Y$3,$N$2:$Y$2),SUMPRODUCT(N2237:Y2237,$N$4:$Y$4,$N$2:$Y$2))/(Z2237/($K2237*$L2237*$M2237)),"")</f>
        <v/>
      </c>
      <c r="AC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25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Late Season (~Sept)</t>
        </is>
      </c>
      <c r="K2238" s="11">
        <f>IFERROR(INDEX(Roles!$B$17:$B$20,MATCH(J2238,Roles!$A$17:$A$20,0)),1)</f>
        <v/>
      </c>
      <c r="L2238" s="17" t="n">
        <v>1</v>
      </c>
      <c r="M2238" s="11" t="n">
        <v>1</v>
      </c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/>
      <c r="Y2238" s="17" t="n">
        <v>1</v>
      </c>
      <c r="Z2238" s="13">
        <f>SUMPRODUCT(N2238:Y2238,$N$2:$Y$2)*$K2238*$L2238*$M2238</f>
        <v/>
      </c>
      <c r="AA2238" s="14">
        <f>SUM(N2238:Y2238)</f>
        <v/>
      </c>
      <c r="AB2238" s="14">
        <f>IFERROR(IF(UPPER($E2238)="L",SUMPRODUCT(N2238:Y2238,$N$3:$Y$3,$N$2:$Y$2),SUMPRODUCT(N2238:Y2238,$N$4:$Y$4,$N$2:$Y$2))/(Z2238/($K2238*$L2238*$M2238)),"")</f>
        <v/>
      </c>
      <c r="AC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25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Late Season (~Sept)</t>
        </is>
      </c>
      <c r="K2239" s="11">
        <f>IFERROR(INDEX(Roles!$B$17:$B$20,MATCH(J2239,Roles!$A$17:$A$20,0)),1)</f>
        <v/>
      </c>
      <c r="L2239" s="17" t="n">
        <v>1</v>
      </c>
      <c r="M2239" s="11" t="n">
        <v>1</v>
      </c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/>
      <c r="Y2239" s="17" t="n">
        <v>1</v>
      </c>
      <c r="Z2239" s="13">
        <f>SUMPRODUCT(N2239:Y2239,$N$2:$Y$2)*$K2239*$L2239*$M2239</f>
        <v/>
      </c>
      <c r="AA2239" s="14">
        <f>SUM(N2239:Y2239)</f>
        <v/>
      </c>
      <c r="AB2239" s="14">
        <f>IFERROR(IF(UPPER($E2239)="L",SUMPRODUCT(N2239:Y2239,$N$3:$Y$3,$N$2:$Y$2),SUMPRODUCT(N2239:Y2239,$N$4:$Y$4,$N$2:$Y$2))/(Z2239/($K2239*$L2239*$M2239)),"")</f>
        <v/>
      </c>
      <c r="AC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1" t="n">
        <v>1</v>
      </c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/>
      <c r="Y2240" s="17" t="n">
        <v>1</v>
      </c>
      <c r="Z2240" s="13">
        <f>SUMPRODUCT(N2240:Y2240,$N$2:$Y$2)*$K2240*$L2240*$M2240</f>
        <v/>
      </c>
      <c r="AA2240" s="14">
        <f>SUM(N2240:Y2240)</f>
        <v/>
      </c>
      <c r="AB2240" s="14">
        <f>IFERROR(IF(UPPER($E2240)="L",SUMPRODUCT(N2240:Y2240,$N$3:$Y$3,$N$2:$Y$2),SUMPRODUCT(N2240:Y2240,$N$4:$Y$4,$N$2:$Y$2))/(Z2240/($K2240*$L2240*$M2240)),"")</f>
        <v/>
      </c>
      <c r="AC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1" t="n">
        <v>1</v>
      </c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/>
      <c r="Y2241" s="17" t="n">
        <v>1</v>
      </c>
      <c r="Z2241" s="13">
        <f>SUMPRODUCT(N2241:Y2241,$N$2:$Y$2)*$K2241*$L2241*$M2241</f>
        <v/>
      </c>
      <c r="AA2241" s="14">
        <f>SUM(N2241:Y2241)</f>
        <v/>
      </c>
      <c r="AB2241" s="14">
        <f>IFERROR(IF(UPPER($E2241)="L",SUMPRODUCT(N2241:Y2241,$N$3:$Y$3,$N$2:$Y$2),SUMPRODUCT(N2241:Y2241,$N$4:$Y$4,$N$2:$Y$2))/(Z2241/($K2241*$L2241*$M2241)),"")</f>
        <v/>
      </c>
      <c r="AC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inlineStr">
        <is>
          <t>2B</t>
        </is>
      </c>
      <c r="G2242" s="9" t="n">
        <v>59</v>
      </c>
      <c r="H2242" s="9" t="n">
        <v>1147</v>
      </c>
      <c r="I2242" s="9" t="inlineStr">
        <is>
          <t>Bench Bat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1" t="n">
        <v>1</v>
      </c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/>
      <c r="W2242" s="17" t="n">
        <v>0.85</v>
      </c>
      <c r="X2242" s="17" t="n">
        <v>0.15</v>
      </c>
      <c r="Y2242" s="17" t="n"/>
      <c r="Z2242" s="13">
        <f>SUMPRODUCT(N2242:Y2242,$N$2:$Y$2)*$K2242*$L2242*$M2242</f>
        <v/>
      </c>
      <c r="AA2242" s="14">
        <f>SUM(N2242:Y2242)</f>
        <v/>
      </c>
      <c r="AB2242" s="14">
        <f>IFERROR(IF(UPPER($E2242)="L",SUMPRODUCT(N2242:Y2242,$N$3:$Y$3,$N$2:$Y$2),SUMPRODUCT(N2242:Y2242,$N$4:$Y$4,$N$2:$Y$2))/(Z2242/($K2242*$L2242*$M2242)),"")</f>
        <v/>
      </c>
      <c r="AC2242" s="18" t="n"/>
    </row>
    <row r="2243">
      <c r="A2243" s="9" t="n">
        <v>694222</v>
      </c>
      <c r="B2243" s="9" t="inlineStr">
        <is>
          <t>Ambioris Tavarez</t>
        </is>
      </c>
      <c r="C2243" s="9" t="inlineStr">
        <is>
          <t>ATL</t>
        </is>
      </c>
      <c r="D2243" s="9" t="n">
        <v>25</v>
      </c>
      <c r="E2243" s="16" t="inlineStr">
        <is>
          <t>R</t>
        </is>
      </c>
      <c r="F2243" s="16" t="n"/>
      <c r="G2243" s="9" t="n">
        <v>103.025641025641</v>
      </c>
      <c r="H2243" s="9" t="n">
        <v>103.025641025641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1" t="n">
        <v>1</v>
      </c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/>
      <c r="Y2243" s="17" t="n">
        <v>1</v>
      </c>
      <c r="Z2243" s="13">
        <f>SUMPRODUCT(N2243:Y2243,$N$2:$Y$2)*$K2243*$L2243*$M2243</f>
        <v/>
      </c>
      <c r="AA2243" s="14">
        <f>SUM(N2243:Y2243)</f>
        <v/>
      </c>
      <c r="AB2243" s="14">
        <f>IFERROR(IF(UPPER($E2243)="L",SUMPRODUCT(N2243:Y2243,$N$3:$Y$3,$N$2:$Y$2),SUMPRODUCT(N2243:Y2243,$N$4:$Y$4,$N$2:$Y$2))/(Z2243/($K2243*$L2243*$M2243)),"")</f>
        <v/>
      </c>
      <c r="AC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1" t="n">
        <v>1</v>
      </c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/>
      <c r="Y2244" s="17" t="n">
        <v>1</v>
      </c>
      <c r="Z2244" s="13">
        <f>SUMPRODUCT(N2244:Y2244,$N$2:$Y$2)*$K2244*$L2244*$M2244</f>
        <v/>
      </c>
      <c r="AA2244" s="14">
        <f>SUM(N2244:Y2244)</f>
        <v/>
      </c>
      <c r="AB2244" s="14">
        <f>IFERROR(IF(UPPER($E2244)="L",SUMPRODUCT(N2244:Y2244,$N$3:$Y$3,$N$2:$Y$2),SUMPRODUCT(N2244:Y2244,$N$4:$Y$4,$N$2:$Y$2))/(Z2244/($K2244*$L2244*$M2244)),"")</f>
        <v/>
      </c>
      <c r="AC2244" s="18" t="n"/>
    </row>
    <row r="2245">
      <c r="A2245" s="9" t="n">
        <v>679754</v>
      </c>
      <c r="B2245" s="9" t="inlineStr">
        <is>
          <t>Alberto Rodriguez</t>
        </is>
      </c>
      <c r="C2245" s="9" t="inlineStr">
        <is>
          <t>KC</t>
        </is>
      </c>
      <c r="D2245" s="9" t="n">
        <v>25</v>
      </c>
      <c r="E2245" s="16" t="inlineStr">
        <is>
          <t>L</t>
        </is>
      </c>
      <c r="F2245" s="16" t="n"/>
      <c r="G2245" s="9" t="n">
        <v>67.12820512820512</v>
      </c>
      <c r="H2245" s="9" t="n">
        <v>67.12820512820512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1" t="n">
        <v>1</v>
      </c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/>
      <c r="Y2245" s="17" t="n">
        <v>1</v>
      </c>
      <c r="Z2245" s="13">
        <f>SUMPRODUCT(N2245:Y2245,$N$2:$Y$2)*$K2245*$L2245*$M2245</f>
        <v/>
      </c>
      <c r="AA2245" s="14">
        <f>SUM(N2245:Y2245)</f>
        <v/>
      </c>
      <c r="AB2245" s="14">
        <f>IFERROR(IF(UPPER($E2245)="L",SUMPRODUCT(N2245:Y2245,$N$3:$Y$3,$N$2:$Y$2),SUMPRODUCT(N2245:Y2245,$N$4:$Y$4,$N$2:$Y$2))/(Z2245/($K2245*$L2245*$M2245)),"")</f>
        <v/>
      </c>
      <c r="AC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inlineStr">
        <is>
          <t>1B</t>
        </is>
      </c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1" t="n">
        <v>1</v>
      </c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/>
      <c r="W2246" s="17" t="n">
        <v>1</v>
      </c>
      <c r="X2246" s="17" t="n"/>
      <c r="Y2246" s="17" t="n"/>
      <c r="Z2246" s="13">
        <f>SUMPRODUCT(N2246:Y2246,$N$2:$Y$2)*$K2246*$L2246*$M2246</f>
        <v/>
      </c>
      <c r="AA2246" s="14">
        <f>SUM(N2246:Y2246)</f>
        <v/>
      </c>
      <c r="AB2246" s="14">
        <f>IFERROR(IF(UPPER($E2246)="L",SUMPRODUCT(N2246:Y2246,$N$3:$Y$3,$N$2:$Y$2),SUMPRODUCT(N2246:Y2246,$N$4:$Y$4,$N$2:$Y$2))/(Z2246/($K2246*$L2246*$M2246)),"")</f>
        <v/>
      </c>
      <c r="AC2246" s="18" t="n"/>
    </row>
    <row r="2247">
      <c r="A2247" s="9" t="n">
        <v>800206</v>
      </c>
      <c r="B2247" s="9" t="inlineStr">
        <is>
          <t>Yerald Nin</t>
        </is>
      </c>
      <c r="C2247" s="9" t="inlineStr">
        <is>
          <t>ARI</t>
        </is>
      </c>
      <c r="D2247" s="9" t="n">
        <v>25</v>
      </c>
      <c r="E2247" s="16" t="inlineStr">
        <is>
          <t>L</t>
        </is>
      </c>
      <c r="F2247" s="16" t="n"/>
      <c r="G2247" s="9" t="n">
        <v>54.15384615384616</v>
      </c>
      <c r="H2247" s="9" t="n">
        <v>54.15384615384616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1" t="n">
        <v>1</v>
      </c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/>
      <c r="Y2247" s="17" t="n">
        <v>1</v>
      </c>
      <c r="Z2247" s="13">
        <f>SUMPRODUCT(N2247:Y2247,$N$2:$Y$2)*$K2247*$L2247*$M2247</f>
        <v/>
      </c>
      <c r="AA2247" s="14">
        <f>SUM(N2247:Y2247)</f>
        <v/>
      </c>
      <c r="AB2247" s="14">
        <f>IFERROR(IF(UPPER($E2247)="L",SUMPRODUCT(N2247:Y2247,$N$3:$Y$3,$N$2:$Y$2),SUMPRODUCT(N2247:Y2247,$N$4:$Y$4,$N$2:$Y$2))/(Z2247/($K2247*$L2247*$M2247)),"")</f>
        <v/>
      </c>
      <c r="AC2247" s="18" t="n"/>
    </row>
    <row r="2248">
      <c r="A2248" s="9" t="n">
        <v>828589</v>
      </c>
      <c r="B2248" s="9" t="inlineStr">
        <is>
          <t>Max Durrington</t>
        </is>
      </c>
      <c r="C2248" s="9" t="inlineStr">
        <is>
          <t>OAK</t>
        </is>
      </c>
      <c r="D2248" s="9" t="n">
        <v>25</v>
      </c>
      <c r="E2248" s="16" t="inlineStr">
        <is>
          <t>L</t>
        </is>
      </c>
      <c r="F2248" s="16" t="n"/>
      <c r="G2248" s="9" t="n">
        <v>49.6</v>
      </c>
      <c r="H2248" s="9" t="n">
        <v>49.6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1" t="n">
        <v>1</v>
      </c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/>
      <c r="Y2248" s="17" t="n">
        <v>1</v>
      </c>
      <c r="Z2248" s="13">
        <f>SUMPRODUCT(N2248:Y2248,$N$2:$Y$2)*$K2248*$L2248*$M2248</f>
        <v/>
      </c>
      <c r="AA2248" s="14">
        <f>SUM(N2248:Y2248)</f>
        <v/>
      </c>
      <c r="AB2248" s="14">
        <f>IFERROR(IF(UPPER($E2248)="L",SUMPRODUCT(N2248:Y2248,$N$3:$Y$3,$N$2:$Y$2),SUMPRODUCT(N2248:Y2248,$N$4:$Y$4,$N$2:$Y$2))/(Z2248/($K2248*$L2248*$M2248)),"")</f>
        <v/>
      </c>
      <c r="AC2248" s="18" t="n"/>
    </row>
    <row r="2249">
      <c r="A2249" s="9" t="n">
        <v>669003</v>
      </c>
      <c r="B2249" s="9" t="inlineStr">
        <is>
          <t>Garrett Mitchell</t>
        </is>
      </c>
      <c r="C2249" s="9" t="inlineStr">
        <is>
          <t>MIL</t>
        </is>
      </c>
      <c r="D2249" s="9" t="n">
        <v>28</v>
      </c>
      <c r="E2249" s="16" t="inlineStr">
        <is>
          <t>L</t>
        </is>
      </c>
      <c r="F2249" s="16" t="inlineStr">
        <is>
          <t>CF</t>
        </is>
      </c>
      <c r="G2249" s="9" t="n">
        <v>531</v>
      </c>
      <c r="H2249" s="9" t="n">
        <v>974</v>
      </c>
      <c r="I2249" s="9" t="inlineStr">
        <is>
          <t>Full Time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1" t="n">
        <v>0.8429075822261255</v>
      </c>
      <c r="N2249" s="17" t="n">
        <v>0.75</v>
      </c>
      <c r="O2249" s="17" t="n"/>
      <c r="P2249" s="17" t="n">
        <v>0.25</v>
      </c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7" t="n"/>
      <c r="Z2249" s="13">
        <f>SUMPRODUCT(N2249:Y2249,$N$2:$Y$2)*$K2249*$L2249*$M2249</f>
        <v/>
      </c>
      <c r="AA2249" s="14">
        <f>SUM(N2249:Y2249)</f>
        <v/>
      </c>
      <c r="AB2249" s="14">
        <f>IFERROR(IF(UPPER($E2249)="L",SUMPRODUCT(N2249:Y2249,$N$3:$Y$3,$N$2:$Y$2),SUMPRODUCT(N2249:Y2249,$N$4:$Y$4,$N$2:$Y$2))/(Z2249/($K2249*$L2249*$M2249)),"")</f>
        <v/>
      </c>
      <c r="AC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1" t="n">
        <v>1</v>
      </c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/>
      <c r="Y2250" s="17" t="n">
        <v>1</v>
      </c>
      <c r="Z2250" s="13">
        <f>SUMPRODUCT(N2250:Y2250,$N$2:$Y$2)*$K2250*$L2250*$M2250</f>
        <v/>
      </c>
      <c r="AA2250" s="14">
        <f>SUM(N2250:Y2250)</f>
        <v/>
      </c>
      <c r="AB2250" s="14">
        <f>IFERROR(IF(UPPER($E2250)="L",SUMPRODUCT(N2250:Y2250,$N$3:$Y$3,$N$2:$Y$2),SUMPRODUCT(N2250:Y2250,$N$4:$Y$4,$N$2:$Y$2))/(Z2250/($K2250*$L2250*$M2250)),"")</f>
        <v/>
      </c>
      <c r="AC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1" t="n">
        <v>1</v>
      </c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/>
      <c r="Y2251" s="17" t="n">
        <v>1</v>
      </c>
      <c r="Z2251" s="13">
        <f>SUMPRODUCT(N2251:Y2251,$N$2:$Y$2)*$K2251*$L2251*$M2251</f>
        <v/>
      </c>
      <c r="AA2251" s="14">
        <f>SUM(N2251:Y2251)</f>
        <v/>
      </c>
      <c r="AB2251" s="14">
        <f>IFERROR(IF(UPPER($E2251)="L",SUMPRODUCT(N2251:Y2251,$N$3:$Y$3,$N$2:$Y$2),SUMPRODUCT(N2251:Y2251,$N$4:$Y$4,$N$2:$Y$2))/(Z2251/($K2251*$L2251*$M2251)),"")</f>
        <v/>
      </c>
      <c r="AC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1" t="n">
        <v>1</v>
      </c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/>
      <c r="Y2252" s="17" t="n">
        <v>1</v>
      </c>
      <c r="Z2252" s="13">
        <f>SUMPRODUCT(N2252:Y2252,$N$2:$Y$2)*$K2252*$L2252*$M2252</f>
        <v/>
      </c>
      <c r="AA2252" s="14">
        <f>SUM(N2252:Y2252)</f>
        <v/>
      </c>
      <c r="AB2252" s="14">
        <f>IFERROR(IF(UPPER($E2252)="L",SUMPRODUCT(N2252:Y2252,$N$3:$Y$3,$N$2:$Y$2),SUMPRODUCT(N2252:Y2252,$N$4:$Y$4,$N$2:$Y$2))/(Z2252/($K2252*$L2252*$M2252)),"")</f>
        <v/>
      </c>
      <c r="AC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1" t="n">
        <v>1</v>
      </c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/>
      <c r="Y2253" s="17" t="n">
        <v>1</v>
      </c>
      <c r="Z2253" s="13">
        <f>SUMPRODUCT(N2253:Y2253,$N$2:$Y$2)*$K2253*$L2253*$M2253</f>
        <v/>
      </c>
      <c r="AA2253" s="14">
        <f>SUM(N2253:Y2253)</f>
        <v/>
      </c>
      <c r="AB2253" s="14">
        <f>IFERROR(IF(UPPER($E2253)="L",SUMPRODUCT(N2253:Y2253,$N$3:$Y$3,$N$2:$Y$2),SUMPRODUCT(N2253:Y2253,$N$4:$Y$4,$N$2:$Y$2))/(Z2253/($K2253*$L2253*$M2253)),"")</f>
        <v/>
      </c>
      <c r="AC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1" t="n">
        <v>1</v>
      </c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/>
      <c r="Y2254" s="17" t="n">
        <v>1</v>
      </c>
      <c r="Z2254" s="13">
        <f>SUMPRODUCT(N2254:Y2254,$N$2:$Y$2)*$K2254*$L2254*$M2254</f>
        <v/>
      </c>
      <c r="AA2254" s="14">
        <f>SUM(N2254:Y2254)</f>
        <v/>
      </c>
      <c r="AB2254" s="14">
        <f>IFERROR(IF(UPPER($E2254)="L",SUMPRODUCT(N2254:Y2254,$N$3:$Y$3,$N$2:$Y$2),SUMPRODUCT(N2254:Y2254,$N$4:$Y$4,$N$2:$Y$2))/(Z2254/($K2254*$L2254*$M2254)),"")</f>
        <v/>
      </c>
      <c r="AC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1" t="n">
        <v>1</v>
      </c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/>
      <c r="Y2255" s="17" t="n">
        <v>1</v>
      </c>
      <c r="Z2255" s="13">
        <f>SUMPRODUCT(N2255:Y2255,$N$2:$Y$2)*$K2255*$L2255*$M2255</f>
        <v/>
      </c>
      <c r="AA2255" s="14">
        <f>SUM(N2255:Y2255)</f>
        <v/>
      </c>
      <c r="AB2255" s="14">
        <f>IFERROR(IF(UPPER($E2255)="L",SUMPRODUCT(N2255:Y2255,$N$3:$Y$3,$N$2:$Y$2),SUMPRODUCT(N2255:Y2255,$N$4:$Y$4,$N$2:$Y$2))/(Z2255/($K2255*$L2255*$M2255)),"")</f>
        <v/>
      </c>
      <c r="AC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1" t="n">
        <v>1</v>
      </c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/>
      <c r="Y2256" s="17" t="n">
        <v>1</v>
      </c>
      <c r="Z2256" s="13">
        <f>SUMPRODUCT(N2256:Y2256,$N$2:$Y$2)*$K2256*$L2256*$M2256</f>
        <v/>
      </c>
      <c r="AA2256" s="14">
        <f>SUM(N2256:Y2256)</f>
        <v/>
      </c>
      <c r="AB2256" s="14">
        <f>IFERROR(IF(UPPER($E2256)="L",SUMPRODUCT(N2256:Y2256,$N$3:$Y$3,$N$2:$Y$2),SUMPRODUCT(N2256:Y2256,$N$4:$Y$4,$N$2:$Y$2))/(Z2256/($K2256*$L2256*$M2256)),"")</f>
        <v/>
      </c>
      <c r="AC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1" t="n">
        <v>1</v>
      </c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/>
      <c r="Y2257" s="17" t="n">
        <v>1</v>
      </c>
      <c r="Z2257" s="13">
        <f>SUMPRODUCT(N2257:Y2257,$N$2:$Y$2)*$K2257*$L2257*$M2257</f>
        <v/>
      </c>
      <c r="AA2257" s="14">
        <f>SUM(N2257:Y2257)</f>
        <v/>
      </c>
      <c r="AB2257" s="14">
        <f>IFERROR(IF(UPPER($E2257)="L",SUMPRODUCT(N2257:Y2257,$N$3:$Y$3,$N$2:$Y$2),SUMPRODUCT(N2257:Y2257,$N$4:$Y$4,$N$2:$Y$2))/(Z2257/($K2257*$L2257*$M2257)),"")</f>
        <v/>
      </c>
      <c r="AC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1" t="n">
        <v>1</v>
      </c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/>
      <c r="Y2258" s="17" t="n">
        <v>1</v>
      </c>
      <c r="Z2258" s="13">
        <f>SUMPRODUCT(N2258:Y2258,$N$2:$Y$2)*$K2258*$L2258*$M2258</f>
        <v/>
      </c>
      <c r="AA2258" s="14">
        <f>SUM(N2258:Y2258)</f>
        <v/>
      </c>
      <c r="AB2258" s="14">
        <f>IFERROR(IF(UPPER($E2258)="L",SUMPRODUCT(N2258:Y2258,$N$3:$Y$3,$N$2:$Y$2),SUMPRODUCT(N2258:Y2258,$N$4:$Y$4,$N$2:$Y$2))/(Z2258/($K2258*$L2258*$M2258)),"")</f>
        <v/>
      </c>
      <c r="AC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1" t="n">
        <v>1</v>
      </c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/>
      <c r="Y2259" s="17" t="n">
        <v>1</v>
      </c>
      <c r="Z2259" s="13">
        <f>SUMPRODUCT(N2259:Y2259,$N$2:$Y$2)*$K2259*$L2259*$M2259</f>
        <v/>
      </c>
      <c r="AA2259" s="14">
        <f>SUM(N2259:Y2259)</f>
        <v/>
      </c>
      <c r="AB2259" s="14">
        <f>IFERROR(IF(UPPER($E2259)="L",SUMPRODUCT(N2259:Y2259,$N$3:$Y$3,$N$2:$Y$2),SUMPRODUCT(N2259:Y2259,$N$4:$Y$4,$N$2:$Y$2))/(Z2259/($K2259*$L2259*$M2259)),"")</f>
        <v/>
      </c>
      <c r="AC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inlineStr">
        <is>
          <t>2B</t>
        </is>
      </c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1" t="n">
        <v>0.938458234722103</v>
      </c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/>
      <c r="W2260" s="17" t="n">
        <v>1</v>
      </c>
      <c r="X2260" s="17" t="n"/>
      <c r="Y2260" s="17" t="n"/>
      <c r="Z2260" s="13">
        <f>SUMPRODUCT(N2260:Y2260,$N$2:$Y$2)*$K2260*$L2260*$M2260</f>
        <v/>
      </c>
      <c r="AA2260" s="14">
        <f>SUM(N2260:Y2260)</f>
        <v/>
      </c>
      <c r="AB2260" s="14">
        <f>IFERROR(IF(UPPER($E2260)="L",SUMPRODUCT(N2260:Y2260,$N$3:$Y$3,$N$2:$Y$2),SUMPRODUCT(N2260:Y2260,$N$4:$Y$4,$N$2:$Y$2))/(Z2260/($K2260*$L2260*$M2260)),"")</f>
        <v/>
      </c>
      <c r="AC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inlineStr">
        <is>
          <t>C</t>
        </is>
      </c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1" t="n">
        <v>1</v>
      </c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/>
      <c r="Y2261" s="17" t="n">
        <v>1</v>
      </c>
      <c r="Z2261" s="13">
        <f>SUMPRODUCT(N2261:Y2261,$N$2:$Y$2)*$K2261*$L2261*$M2261</f>
        <v/>
      </c>
      <c r="AA2261" s="14">
        <f>SUM(N2261:Y2261)</f>
        <v/>
      </c>
      <c r="AB2261" s="14">
        <f>IFERROR(IF(UPPER($E2261)="L",SUMPRODUCT(N2261:Y2261,$N$3:$Y$3,$N$2:$Y$2),SUMPRODUCT(N2261:Y2261,$N$4:$Y$4,$N$2:$Y$2))/(Z2261/($K2261*$L2261*$M2261)),"")</f>
        <v/>
      </c>
      <c r="AC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1" t="n">
        <v>1</v>
      </c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/>
      <c r="Y2262" s="17" t="n">
        <v>1</v>
      </c>
      <c r="Z2262" s="13">
        <f>SUMPRODUCT(N2262:Y2262,$N$2:$Y$2)*$K2262*$L2262*$M2262</f>
        <v/>
      </c>
      <c r="AA2262" s="14">
        <f>SUM(N2262:Y2262)</f>
        <v/>
      </c>
      <c r="AB2262" s="14">
        <f>IFERROR(IF(UPPER($E2262)="L",SUMPRODUCT(N2262:Y2262,$N$3:$Y$3,$N$2:$Y$2),SUMPRODUCT(N2262:Y2262,$N$4:$Y$4,$N$2:$Y$2))/(Z2262/($K2262*$L2262*$M2262)),"")</f>
        <v/>
      </c>
      <c r="AC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inlineStr">
        <is>
          <t>CF</t>
        </is>
      </c>
      <c r="G2263" s="9" t="n">
        <v>223</v>
      </c>
      <c r="H2263" s="9" t="n">
        <v>1795</v>
      </c>
      <c r="I2263" s="9" t="inlineStr">
        <is>
          <t>Full Time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1" t="n">
        <v>0.9457520461423388</v>
      </c>
      <c r="N2263" s="17" t="n">
        <v>1</v>
      </c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7" t="n"/>
      <c r="Z2263" s="13">
        <f>SUMPRODUCT(N2263:Y2263,$N$2:$Y$2)*$K2263*$L2263*$M2263</f>
        <v/>
      </c>
      <c r="AA2263" s="14">
        <f>SUM(N2263:Y2263)</f>
        <v/>
      </c>
      <c r="AB2263" s="14">
        <f>IFERROR(IF(UPPER($E2263)="L",SUMPRODUCT(N2263:Y2263,$N$3:$Y$3,$N$2:$Y$2),SUMPRODUCT(N2263:Y2263,$N$4:$Y$4,$N$2:$Y$2))/(Z2263/($K2263*$L2263*$M2263)),"")</f>
        <v/>
      </c>
      <c r="AC2263" s="18" t="n"/>
    </row>
    <row r="2264">
      <c r="A2264" s="9" t="n">
        <v>802117</v>
      </c>
      <c r="B2264" s="9" t="inlineStr">
        <is>
          <t>Patrick Clohisy</t>
        </is>
      </c>
      <c r="C2264" s="9" t="inlineStr">
        <is>
          <t>ATL</t>
        </is>
      </c>
      <c r="D2264" s="9" t="n">
        <v>25</v>
      </c>
      <c r="E2264" s="16" t="inlineStr">
        <is>
          <t>L</t>
        </is>
      </c>
      <c r="F2264" s="16" t="n"/>
      <c r="G2264" s="9" t="n">
        <v>94.7692307692308</v>
      </c>
      <c r="H2264" s="9" t="n">
        <v>94.7692307692308</v>
      </c>
      <c r="I2264" s="9" t="inlineStr">
        <is>
          <t>Depth (no MLB PA)</t>
        </is>
      </c>
      <c r="J2264" s="16" t="inlineStr">
        <is>
          <t>Early Season (~May)</t>
        </is>
      </c>
      <c r="K2264" s="11">
        <f>IFERROR(INDEX(Roles!$B$17:$B$20,MATCH(J2264,Roles!$A$17:$A$20,0)),1)</f>
        <v/>
      </c>
      <c r="L2264" s="17" t="n">
        <v>1</v>
      </c>
      <c r="M2264" s="11" t="n">
        <v>1</v>
      </c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/>
      <c r="Y2264" s="17" t="n">
        <v>1</v>
      </c>
      <c r="Z2264" s="13">
        <f>SUMPRODUCT(N2264:Y2264,$N$2:$Y$2)*$K2264*$L2264*$M2264</f>
        <v/>
      </c>
      <c r="AA2264" s="14">
        <f>SUM(N2264:Y2264)</f>
        <v/>
      </c>
      <c r="AB2264" s="14">
        <f>IFERROR(IF(UPPER($E2264)="L",SUMPRODUCT(N2264:Y2264,$N$3:$Y$3,$N$2:$Y$2),SUMPRODUCT(N2264:Y2264,$N$4:$Y$4,$N$2:$Y$2))/(Z2264/($K2264*$L2264*$M2264)),"")</f>
        <v/>
      </c>
      <c r="AC2264" s="18" t="n"/>
    </row>
    <row r="2265">
      <c r="A2265" s="9" t="n">
        <v>647378</v>
      </c>
      <c r="B2265" s="9" t="inlineStr">
        <is>
          <t>Andy Yerzy</t>
        </is>
      </c>
      <c r="C2265" s="9" t="inlineStr">
        <is>
          <t>STL</t>
        </is>
      </c>
      <c r="D2265" s="9" t="n">
        <v>25</v>
      </c>
      <c r="E2265" s="16" t="inlineStr">
        <is>
          <t>L</t>
        </is>
      </c>
      <c r="F2265" s="16" t="n"/>
      <c r="G2265" s="9" t="n">
        <v>75.02564102564104</v>
      </c>
      <c r="H2265" s="9" t="n">
        <v>75.02564102564104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1" t="n">
        <v>1</v>
      </c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/>
      <c r="Y2265" s="17" t="n">
        <v>1</v>
      </c>
      <c r="Z2265" s="13">
        <f>SUMPRODUCT(N2265:Y2265,$N$2:$Y$2)*$K2265*$L2265*$M2265</f>
        <v/>
      </c>
      <c r="AA2265" s="14">
        <f>SUM(N2265:Y2265)</f>
        <v/>
      </c>
      <c r="AB2265" s="14">
        <f>IFERROR(IF(UPPER($E2265)="L",SUMPRODUCT(N2265:Y2265,$N$3:$Y$3,$N$2:$Y$2),SUMPRODUCT(N2265:Y2265,$N$4:$Y$4,$N$2:$Y$2))/(Z2265/($K2265*$L2265*$M2265)),"")</f>
        <v/>
      </c>
      <c r="AC2265" s="18" t="n"/>
    </row>
    <row r="2266">
      <c r="A2266" s="9" t="n">
        <v>689878</v>
      </c>
      <c r="B2266" s="9" t="inlineStr">
        <is>
          <t>Colin Burgess</t>
        </is>
      </c>
      <c r="C2266" s="9" t="inlineStr">
        <is>
          <t>ATL</t>
        </is>
      </c>
      <c r="D2266" s="9" t="n">
        <v>25</v>
      </c>
      <c r="E2266" s="16" t="inlineStr">
        <is>
          <t>R</t>
        </is>
      </c>
      <c r="F2266" s="16" t="n"/>
      <c r="G2266" s="9" t="n">
        <v>55.38461538461539</v>
      </c>
      <c r="H2266" s="9" t="n">
        <v>55.38461538461539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1" t="n">
        <v>1</v>
      </c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/>
      <c r="Y2266" s="17" t="n">
        <v>1</v>
      </c>
      <c r="Z2266" s="13">
        <f>SUMPRODUCT(N2266:Y2266,$N$2:$Y$2)*$K2266*$L2266*$M2266</f>
        <v/>
      </c>
      <c r="AA2266" s="14">
        <f>SUM(N2266:Y2266)</f>
        <v/>
      </c>
      <c r="AB2266" s="14">
        <f>IFERROR(IF(UPPER($E2266)="L",SUMPRODUCT(N2266:Y2266,$N$3:$Y$3,$N$2:$Y$2),SUMPRODUCT(N2266:Y2266,$N$4:$Y$4,$N$2:$Y$2))/(Z2266/($K2266*$L2266*$M2266)),"")</f>
        <v/>
      </c>
      <c r="AC2266" s="18" t="n"/>
    </row>
    <row r="2267">
      <c r="A2267" s="9" t="n">
        <v>821599</v>
      </c>
      <c r="B2267" s="9" t="inlineStr">
        <is>
          <t>Daniel Flames</t>
        </is>
      </c>
      <c r="C2267" s="9" t="inlineStr">
        <is>
          <t>TEX</t>
        </is>
      </c>
      <c r="D2267" s="9" t="n">
        <v>25</v>
      </c>
      <c r="E2267" s="16" t="inlineStr">
        <is>
          <t>S</t>
        </is>
      </c>
      <c r="F2267" s="16" t="n"/>
      <c r="G2267" s="9" t="n">
        <v>42.95384615384615</v>
      </c>
      <c r="H2267" s="9" t="n">
        <v>42.95384615384615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1" t="n">
        <v>1</v>
      </c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/>
      <c r="Y2267" s="17" t="n">
        <v>1</v>
      </c>
      <c r="Z2267" s="13">
        <f>SUMPRODUCT(N2267:Y2267,$N$2:$Y$2)*$K2267*$L2267*$M2267</f>
        <v/>
      </c>
      <c r="AA2267" s="14">
        <f>SUM(N2267:Y2267)</f>
        <v/>
      </c>
      <c r="AB2267" s="14">
        <f>IFERROR(IF(UPPER($E2267)="L",SUMPRODUCT(N2267:Y2267,$N$3:$Y$3,$N$2:$Y$2),SUMPRODUCT(N2267:Y2267,$N$4:$Y$4,$N$2:$Y$2))/(Z2267/($K2267*$L2267*$M2267)),"")</f>
        <v/>
      </c>
      <c r="AC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1" t="n">
        <v>1</v>
      </c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/>
      <c r="Y2268" s="17" t="n">
        <v>1</v>
      </c>
      <c r="Z2268" s="13">
        <f>SUMPRODUCT(N2268:Y2268,$N$2:$Y$2)*$K2268*$L2268*$M2268</f>
        <v/>
      </c>
      <c r="AA2268" s="14">
        <f>SUM(N2268:Y2268)</f>
        <v/>
      </c>
      <c r="AB2268" s="14">
        <f>IFERROR(IF(UPPER($E2268)="L",SUMPRODUCT(N2268:Y2268,$N$3:$Y$3,$N$2:$Y$2),SUMPRODUCT(N2268:Y2268,$N$4:$Y$4,$N$2:$Y$2))/(Z2268/($K2268*$L2268*$M2268)),"")</f>
        <v/>
      </c>
      <c r="AC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inlineStr">
        <is>
          <t>2B</t>
        </is>
      </c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1" t="n">
        <v>1.00816192555524</v>
      </c>
      <c r="N2269" s="17" t="n">
        <v>1</v>
      </c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7" t="n"/>
      <c r="Z2269" s="13">
        <f>SUMPRODUCT(N2269:Y2269,$N$2:$Y$2)*$K2269*$L2269*$M2269</f>
        <v/>
      </c>
      <c r="AA2269" s="14">
        <f>SUM(N2269:Y2269)</f>
        <v/>
      </c>
      <c r="AB2269" s="14">
        <f>IFERROR(IF(UPPER($E2269)="L",SUMPRODUCT(N2269:Y2269,$N$3:$Y$3,$N$2:$Y$2),SUMPRODUCT(N2269:Y2269,$N$4:$Y$4,$N$2:$Y$2))/(Z2269/($K2269*$L2269*$M2269)),"")</f>
        <v/>
      </c>
      <c r="AC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1" t="n">
        <v>1</v>
      </c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/>
      <c r="Y2270" s="17" t="n">
        <v>1</v>
      </c>
      <c r="Z2270" s="13">
        <f>SUMPRODUCT(N2270:Y2270,$N$2:$Y$2)*$K2270*$L2270*$M2270</f>
        <v/>
      </c>
      <c r="AA2270" s="14">
        <f>SUM(N2270:Y2270)</f>
        <v/>
      </c>
      <c r="AB2270" s="14">
        <f>IFERROR(IF(UPPER($E2270)="L",SUMPRODUCT(N2270:Y2270,$N$3:$Y$3,$N$2:$Y$2),SUMPRODUCT(N2270:Y2270,$N$4:$Y$4,$N$2:$Y$2))/(Z2270/($K2270*$L2270*$M2270)),"")</f>
        <v/>
      </c>
      <c r="AC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inlineStr">
        <is>
          <t>RF</t>
        </is>
      </c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1" t="n">
        <v>0.8825857354439496</v>
      </c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/>
      <c r="W2271" s="17" t="n">
        <v>1</v>
      </c>
      <c r="X2271" s="17" t="n"/>
      <c r="Y2271" s="17" t="n"/>
      <c r="Z2271" s="13">
        <f>SUMPRODUCT(N2271:Y2271,$N$2:$Y$2)*$K2271*$L2271*$M2271</f>
        <v/>
      </c>
      <c r="AA2271" s="14">
        <f>SUM(N2271:Y2271)</f>
        <v/>
      </c>
      <c r="AB2271" s="14">
        <f>IFERROR(IF(UPPER($E2271)="L",SUMPRODUCT(N2271:Y2271,$N$3:$Y$3,$N$2:$Y$2),SUMPRODUCT(N2271:Y2271,$N$4:$Y$4,$N$2:$Y$2))/(Z2271/($K2271*$L2271*$M2271)),"")</f>
        <v/>
      </c>
      <c r="AC2271" s="18" t="n"/>
    </row>
    <row r="2272">
      <c r="A2272" s="9" t="n">
        <v>675085</v>
      </c>
      <c r="B2272" s="9" t="inlineStr">
        <is>
          <t>Jonathon Long</t>
        </is>
      </c>
      <c r="C2272" s="9" t="inlineStr">
        <is>
          <t>MIA</t>
        </is>
      </c>
      <c r="D2272" s="9" t="n">
        <v>25</v>
      </c>
      <c r="E2272" s="16" t="inlineStr">
        <is>
          <t>R</t>
        </is>
      </c>
      <c r="F2272" s="16" t="n"/>
      <c r="G2272" s="9" t="n">
        <v>331.1282051282052</v>
      </c>
      <c r="H2272" s="9" t="n">
        <v>331.1282051282052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1" t="n">
        <v>1</v>
      </c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/>
      <c r="Y2272" s="17" t="n">
        <v>1</v>
      </c>
      <c r="Z2272" s="13">
        <f>SUMPRODUCT(N2272:Y2272,$N$2:$Y$2)*$K2272*$L2272*$M2272</f>
        <v/>
      </c>
      <c r="AA2272" s="14">
        <f>SUM(N2272:Y2272)</f>
        <v/>
      </c>
      <c r="AB2272" s="14">
        <f>IFERROR(IF(UPPER($E2272)="L",SUMPRODUCT(N2272:Y2272,$N$3:$Y$3,$N$2:$Y$2),SUMPRODUCT(N2272:Y2272,$N$4:$Y$4,$N$2:$Y$2))/(Z2272/($K2272*$L2272*$M2272)),"")</f>
        <v/>
      </c>
      <c r="AC2272" s="18" t="n"/>
    </row>
    <row r="2273">
      <c r="A2273" s="9" t="n">
        <v>685744</v>
      </c>
      <c r="B2273" s="9" t="inlineStr">
        <is>
          <t>Kenedy Corona</t>
        </is>
      </c>
      <c r="C2273" s="9" t="inlineStr">
        <is>
          <t>HOU</t>
        </is>
      </c>
      <c r="D2273" s="9" t="n">
        <v>27</v>
      </c>
      <c r="E2273" s="16" t="inlineStr">
        <is>
          <t>R</t>
        </is>
      </c>
      <c r="F2273" s="16" t="inlineStr">
        <is>
          <t>CF</t>
        </is>
      </c>
      <c r="G2273" s="9" t="n">
        <v>4</v>
      </c>
      <c r="H2273" s="9" t="n">
        <v>4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1" t="n">
        <v>1</v>
      </c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/>
      <c r="Y2273" s="17" t="n">
        <v>1</v>
      </c>
      <c r="Z2273" s="13">
        <f>SUMPRODUCT(N2273:Y2273,$N$2:$Y$2)*$K2273*$L2273*$M2273</f>
        <v/>
      </c>
      <c r="AA2273" s="14">
        <f>SUM(N2273:Y2273)</f>
        <v/>
      </c>
      <c r="AB2273" s="14">
        <f>IFERROR(IF(UPPER($E2273)="L",SUMPRODUCT(N2273:Y2273,$N$3:$Y$3,$N$2:$Y$2),SUMPRODUCT(N2273:Y2273,$N$4:$Y$4,$N$2:$Y$2))/(Z2273/($K2273*$L2273*$M2273)),"")</f>
        <v/>
      </c>
      <c r="AC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1" t="n">
        <v>1</v>
      </c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/>
      <c r="Y2274" s="17" t="n">
        <v>1</v>
      </c>
      <c r="Z2274" s="13">
        <f>SUMPRODUCT(N2274:Y2274,$N$2:$Y$2)*$K2274*$L2274*$M2274</f>
        <v/>
      </c>
      <c r="AA2274" s="14">
        <f>SUM(N2274:Y2274)</f>
        <v/>
      </c>
      <c r="AB2274" s="14">
        <f>IFERROR(IF(UPPER($E2274)="L",SUMPRODUCT(N2274:Y2274,$N$3:$Y$3,$N$2:$Y$2),SUMPRODUCT(N2274:Y2274,$N$4:$Y$4,$N$2:$Y$2))/(Z2274/($K2274*$L2274*$M2274)),"")</f>
        <v/>
      </c>
      <c r="AC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1" t="n">
        <v>1</v>
      </c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/>
      <c r="Y2275" s="17" t="n">
        <v>1</v>
      </c>
      <c r="Z2275" s="13">
        <f>SUMPRODUCT(N2275:Y2275,$N$2:$Y$2)*$K2275*$L2275*$M2275</f>
        <v/>
      </c>
      <c r="AA2275" s="14">
        <f>SUM(N2275:Y2275)</f>
        <v/>
      </c>
      <c r="AB2275" s="14">
        <f>IFERROR(IF(UPPER($E2275)="L",SUMPRODUCT(N2275:Y2275,$N$3:$Y$3,$N$2:$Y$2),SUMPRODUCT(N2275:Y2275,$N$4:$Y$4,$N$2:$Y$2))/(Z2275/($K2275*$L2275*$M2275)),"")</f>
        <v/>
      </c>
      <c r="AC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1" t="n">
        <v>1</v>
      </c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/>
      <c r="Y2276" s="17" t="n">
        <v>1</v>
      </c>
      <c r="Z2276" s="13">
        <f>SUMPRODUCT(N2276:Y2276,$N$2:$Y$2)*$K2276*$L2276*$M2276</f>
        <v/>
      </c>
      <c r="AA2276" s="14">
        <f>SUM(N2276:Y2276)</f>
        <v/>
      </c>
      <c r="AB2276" s="14">
        <f>IFERROR(IF(UPPER($E2276)="L",SUMPRODUCT(N2276:Y2276,$N$3:$Y$3,$N$2:$Y$2),SUMPRODUCT(N2276:Y2276,$N$4:$Y$4,$N$2:$Y$2))/(Z2276/($K2276*$L2276*$M2276)),"")</f>
        <v/>
      </c>
      <c r="AC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1" t="n">
        <v>1</v>
      </c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/>
      <c r="Y2277" s="17" t="n">
        <v>1</v>
      </c>
      <c r="Z2277" s="13">
        <f>SUMPRODUCT(N2277:Y2277,$N$2:$Y$2)*$K2277*$L2277*$M2277</f>
        <v/>
      </c>
      <c r="AA2277" s="14">
        <f>SUM(N2277:Y2277)</f>
        <v/>
      </c>
      <c r="AB2277" s="14">
        <f>IFERROR(IF(UPPER($E2277)="L",SUMPRODUCT(N2277:Y2277,$N$3:$Y$3,$N$2:$Y$2),SUMPRODUCT(N2277:Y2277,$N$4:$Y$4,$N$2:$Y$2))/(Z2277/($K2277*$L2277*$M2277)),"")</f>
        <v/>
      </c>
      <c r="AC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1" t="n">
        <v>1</v>
      </c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/>
      <c r="Y2278" s="17" t="n">
        <v>1</v>
      </c>
      <c r="Z2278" s="13">
        <f>SUMPRODUCT(N2278:Y2278,$N$2:$Y$2)*$K2278*$L2278*$M2278</f>
        <v/>
      </c>
      <c r="AA2278" s="14">
        <f>SUM(N2278:Y2278)</f>
        <v/>
      </c>
      <c r="AB2278" s="14">
        <f>IFERROR(IF(UPPER($E2278)="L",SUMPRODUCT(N2278:Y2278,$N$3:$Y$3,$N$2:$Y$2),SUMPRODUCT(N2278:Y2278,$N$4:$Y$4,$N$2:$Y$2))/(Z2278/($K2278*$L2278*$M2278)),"")</f>
        <v/>
      </c>
      <c r="AC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1" t="n">
        <v>1</v>
      </c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/>
      <c r="Y2279" s="17" t="n">
        <v>1</v>
      </c>
      <c r="Z2279" s="13">
        <f>SUMPRODUCT(N2279:Y2279,$N$2:$Y$2)*$K2279*$L2279*$M2279</f>
        <v/>
      </c>
      <c r="AA2279" s="14">
        <f>SUM(N2279:Y2279)</f>
        <v/>
      </c>
      <c r="AB2279" s="14">
        <f>IFERROR(IF(UPPER($E2279)="L",SUMPRODUCT(N2279:Y2279,$N$3:$Y$3,$N$2:$Y$2),SUMPRODUCT(N2279:Y2279,$N$4:$Y$4,$N$2:$Y$2))/(Z2279/($K2279*$L2279*$M2279)),"")</f>
        <v/>
      </c>
      <c r="AC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1" t="n">
        <v>1</v>
      </c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/>
      <c r="Y2280" s="17" t="n">
        <v>1</v>
      </c>
      <c r="Z2280" s="13">
        <f>SUMPRODUCT(N2280:Y2280,$N$2:$Y$2)*$K2280*$L2280*$M2280</f>
        <v/>
      </c>
      <c r="AA2280" s="14">
        <f>SUM(N2280:Y2280)</f>
        <v/>
      </c>
      <c r="AB2280" s="14">
        <f>IFERROR(IF(UPPER($E2280)="L",SUMPRODUCT(N2280:Y2280,$N$3:$Y$3,$N$2:$Y$2),SUMPRODUCT(N2280:Y2280,$N$4:$Y$4,$N$2:$Y$2))/(Z2280/($K2280*$L2280*$M2280)),"")</f>
        <v/>
      </c>
      <c r="AC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inlineStr">
        <is>
          <t>2B</t>
        </is>
      </c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1" t="n">
        <v>1</v>
      </c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/>
      <c r="Y2281" s="17" t="n">
        <v>1</v>
      </c>
      <c r="Z2281" s="13">
        <f>SUMPRODUCT(N2281:Y2281,$N$2:$Y$2)*$K2281*$L2281*$M2281</f>
        <v/>
      </c>
      <c r="AA2281" s="14">
        <f>SUM(N2281:Y2281)</f>
        <v/>
      </c>
      <c r="AB2281" s="14">
        <f>IFERROR(IF(UPPER($E2281)="L",SUMPRODUCT(N2281:Y2281,$N$3:$Y$3,$N$2:$Y$2),SUMPRODUCT(N2281:Y2281,$N$4:$Y$4,$N$2:$Y$2))/(Z2281/($K2281*$L2281*$M2281)),"")</f>
        <v/>
      </c>
      <c r="AC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inlineStr">
        <is>
          <t>1B</t>
        </is>
      </c>
      <c r="G2282" s="9" t="n">
        <v>136</v>
      </c>
      <c r="H2282" s="9" t="n">
        <v>136</v>
      </c>
      <c r="I2282" s="9" t="inlineStr">
        <is>
          <t>Strong Side Platoon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1" t="n">
        <v>1</v>
      </c>
      <c r="N2282" s="17" t="n">
        <v>0.4</v>
      </c>
      <c r="O2282" s="17" t="n"/>
      <c r="P2282" s="17" t="n">
        <v>0.6</v>
      </c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7" t="n"/>
      <c r="Z2282" s="13">
        <f>SUMPRODUCT(N2282:Y2282,$N$2:$Y$2)*$K2282*$L2282*$M2282</f>
        <v/>
      </c>
      <c r="AA2282" s="14">
        <f>SUM(N2282:Y2282)</f>
        <v/>
      </c>
      <c r="AB2282" s="14">
        <f>IFERROR(IF(UPPER($E2282)="L",SUMPRODUCT(N2282:Y2282,$N$3:$Y$3,$N$2:$Y$2),SUMPRODUCT(N2282:Y2282,$N$4:$Y$4,$N$2:$Y$2))/(Z2282/($K2282*$L2282*$M2282)),"")</f>
        <v/>
      </c>
      <c r="AC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inlineStr">
        <is>
          <t>SS</t>
        </is>
      </c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1" t="n">
        <v>1.114042987096142</v>
      </c>
      <c r="N2283" s="17" t="n">
        <v>1</v>
      </c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7" t="n"/>
      <c r="Z2283" s="13">
        <f>SUMPRODUCT(N2283:Y2283,$N$2:$Y$2)*$K2283*$L2283*$M2283</f>
        <v/>
      </c>
      <c r="AA2283" s="14">
        <f>SUM(N2283:Y2283)</f>
        <v/>
      </c>
      <c r="AB2283" s="14">
        <f>IFERROR(IF(UPPER($E2283)="L",SUMPRODUCT(N2283:Y2283,$N$3:$Y$3,$N$2:$Y$2),SUMPRODUCT(N2283:Y2283,$N$4:$Y$4,$N$2:$Y$2))/(Z2283/($K2283*$L2283*$M2283)),"")</f>
        <v/>
      </c>
      <c r="AC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1" t="n">
        <v>1</v>
      </c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/>
      <c r="Y2284" s="17" t="n">
        <v>1</v>
      </c>
      <c r="Z2284" s="13">
        <f>SUMPRODUCT(N2284:Y2284,$N$2:$Y$2)*$K2284*$L2284*$M2284</f>
        <v/>
      </c>
      <c r="AA2284" s="14">
        <f>SUM(N2284:Y2284)</f>
        <v/>
      </c>
      <c r="AB2284" s="14">
        <f>IFERROR(IF(UPPER($E2284)="L",SUMPRODUCT(N2284:Y2284,$N$3:$Y$3,$N$2:$Y$2),SUMPRODUCT(N2284:Y2284,$N$4:$Y$4,$N$2:$Y$2))/(Z2284/($K2284*$L2284*$M2284)),"")</f>
        <v/>
      </c>
      <c r="AC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1" t="n">
        <v>1</v>
      </c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/>
      <c r="Y2285" s="17" t="n">
        <v>1</v>
      </c>
      <c r="Z2285" s="13">
        <f>SUMPRODUCT(N2285:Y2285,$N$2:$Y$2)*$K2285*$L2285*$M2285</f>
        <v/>
      </c>
      <c r="AA2285" s="14">
        <f>SUM(N2285:Y2285)</f>
        <v/>
      </c>
      <c r="AB2285" s="14">
        <f>IFERROR(IF(UPPER($E2285)="L",SUMPRODUCT(N2285:Y2285,$N$3:$Y$3,$N$2:$Y$2),SUMPRODUCT(N2285:Y2285,$N$4:$Y$4,$N$2:$Y$2))/(Z2285/($K2285*$L2285*$M2285)),"")</f>
        <v/>
      </c>
      <c r="AC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1" t="n">
        <v>1</v>
      </c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/>
      <c r="Y2286" s="17" t="n">
        <v>1</v>
      </c>
      <c r="Z2286" s="13">
        <f>SUMPRODUCT(N2286:Y2286,$N$2:$Y$2)*$K2286*$L2286*$M2286</f>
        <v/>
      </c>
      <c r="AA2286" s="14">
        <f>SUM(N2286:Y2286)</f>
        <v/>
      </c>
      <c r="AB2286" s="14">
        <f>IFERROR(IF(UPPER($E2286)="L",SUMPRODUCT(N2286:Y2286,$N$3:$Y$3,$N$2:$Y$2),SUMPRODUCT(N2286:Y2286,$N$4:$Y$4,$N$2:$Y$2))/(Z2286/($K2286*$L2286*$M2286)),"")</f>
        <v/>
      </c>
      <c r="AC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1" t="n">
        <v>1</v>
      </c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/>
      <c r="Y2287" s="17" t="n">
        <v>1</v>
      </c>
      <c r="Z2287" s="13">
        <f>SUMPRODUCT(N2287:Y2287,$N$2:$Y$2)*$K2287*$L2287*$M2287</f>
        <v/>
      </c>
      <c r="AA2287" s="14">
        <f>SUM(N2287:Y2287)</f>
        <v/>
      </c>
      <c r="AB2287" s="14">
        <f>IFERROR(IF(UPPER($E2287)="L",SUMPRODUCT(N2287:Y2287,$N$3:$Y$3,$N$2:$Y$2),SUMPRODUCT(N2287:Y2287,$N$4:$Y$4,$N$2:$Y$2))/(Z2287/($K2287*$L2287*$M2287)),"")</f>
        <v/>
      </c>
      <c r="AC2287" s="18" t="n"/>
    </row>
    <row r="2288">
      <c r="A2288" s="9" t="n">
        <v>667240</v>
      </c>
      <c r="B2288" s="9" t="inlineStr">
        <is>
          <t>Jason Matthews</t>
        </is>
      </c>
      <c r="C2288" s="9" t="inlineStr">
        <is>
          <t>CWS</t>
        </is>
      </c>
      <c r="D2288" s="9" t="n">
        <v>25</v>
      </c>
      <c r="E2288" s="16" t="inlineStr">
        <is>
          <t>R</t>
        </is>
      </c>
      <c r="F2288" s="16" t="n"/>
      <c r="G2288" s="9" t="n">
        <v>92.51282051282053</v>
      </c>
      <c r="H2288" s="9" t="n">
        <v>92.51282051282053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1" t="n">
        <v>1</v>
      </c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/>
      <c r="Y2288" s="17" t="n">
        <v>1</v>
      </c>
      <c r="Z2288" s="13">
        <f>SUMPRODUCT(N2288:Y2288,$N$2:$Y$2)*$K2288*$L2288*$M2288</f>
        <v/>
      </c>
      <c r="AA2288" s="14">
        <f>SUM(N2288:Y2288)</f>
        <v/>
      </c>
      <c r="AB2288" s="14">
        <f>IFERROR(IF(UPPER($E2288)="L",SUMPRODUCT(N2288:Y2288,$N$3:$Y$3,$N$2:$Y$2),SUMPRODUCT(N2288:Y2288,$N$4:$Y$4,$N$2:$Y$2))/(Z2288/($K2288*$L2288*$M2288)),"")</f>
        <v/>
      </c>
      <c r="AC2288" s="18" t="n"/>
    </row>
    <row r="2289">
      <c r="A2289" s="9" t="n">
        <v>694848</v>
      </c>
      <c r="B2289" s="9" t="inlineStr">
        <is>
          <t>Sam Brown</t>
        </is>
      </c>
      <c r="C2289" s="9" t="inlineStr">
        <is>
          <t>WSH</t>
        </is>
      </c>
      <c r="D2289" s="9" t="n">
        <v>25</v>
      </c>
      <c r="E2289" s="16" t="inlineStr">
        <is>
          <t>L</t>
        </is>
      </c>
      <c r="F2289" s="16" t="n"/>
      <c r="G2289" s="9" t="n">
        <v>131.3846153846154</v>
      </c>
      <c r="H2289" s="9" t="n">
        <v>131.3846153846154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1" t="n">
        <v>1</v>
      </c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/>
      <c r="Y2289" s="17" t="n">
        <v>1</v>
      </c>
      <c r="Z2289" s="13">
        <f>SUMPRODUCT(N2289:Y2289,$N$2:$Y$2)*$K2289*$L2289*$M2289</f>
        <v/>
      </c>
      <c r="AA2289" s="14">
        <f>SUM(N2289:Y2289)</f>
        <v/>
      </c>
      <c r="AB2289" s="14">
        <f>IFERROR(IF(UPPER($E2289)="L",SUMPRODUCT(N2289:Y2289,$N$3:$Y$3,$N$2:$Y$2),SUMPRODUCT(N2289:Y2289,$N$4:$Y$4,$N$2:$Y$2))/(Z2289/($K2289*$L2289*$M2289)),"")</f>
        <v/>
      </c>
      <c r="AC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inlineStr">
        <is>
          <t>2B</t>
        </is>
      </c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1" t="n">
        <v>1</v>
      </c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/>
      <c r="Y2290" s="17" t="n">
        <v>1</v>
      </c>
      <c r="Z2290" s="13">
        <f>SUMPRODUCT(N2290:Y2290,$N$2:$Y$2)*$K2290*$L2290*$M2290</f>
        <v/>
      </c>
      <c r="AA2290" s="14">
        <f>SUM(N2290:Y2290)</f>
        <v/>
      </c>
      <c r="AB2290" s="14">
        <f>IFERROR(IF(UPPER($E2290)="L",SUMPRODUCT(N2290:Y2290,$N$3:$Y$3,$N$2:$Y$2),SUMPRODUCT(N2290:Y2290,$N$4:$Y$4,$N$2:$Y$2))/(Z2290/($K2290*$L2290*$M2290)),"")</f>
        <v/>
      </c>
      <c r="AC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1" t="n">
        <v>1</v>
      </c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/>
      <c r="Y2291" s="17" t="n">
        <v>1</v>
      </c>
      <c r="Z2291" s="13">
        <f>SUMPRODUCT(N2291:Y2291,$N$2:$Y$2)*$K2291*$L2291*$M2291</f>
        <v/>
      </c>
      <c r="AA2291" s="14">
        <f>SUM(N2291:Y2291)</f>
        <v/>
      </c>
      <c r="AB2291" s="14">
        <f>IFERROR(IF(UPPER($E2291)="L",SUMPRODUCT(N2291:Y2291,$N$3:$Y$3,$N$2:$Y$2),SUMPRODUCT(N2291:Y2291,$N$4:$Y$4,$N$2:$Y$2))/(Z2291/($K2291*$L2291*$M2291)),"")</f>
        <v/>
      </c>
      <c r="AC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1" t="n">
        <v>1</v>
      </c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/>
      <c r="Y2292" s="17" t="n">
        <v>1</v>
      </c>
      <c r="Z2292" s="13">
        <f>SUMPRODUCT(N2292:Y2292,$N$2:$Y$2)*$K2292*$L2292*$M2292</f>
        <v/>
      </c>
      <c r="AA2292" s="14">
        <f>SUM(N2292:Y2292)</f>
        <v/>
      </c>
      <c r="AB2292" s="14">
        <f>IFERROR(IF(UPPER($E2292)="L",SUMPRODUCT(N2292:Y2292,$N$3:$Y$3,$N$2:$Y$2),SUMPRODUCT(N2292:Y2292,$N$4:$Y$4,$N$2:$Y$2))/(Z2292/($K2292*$L2292*$M2292)),"")</f>
        <v/>
      </c>
      <c r="AC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1" t="n">
        <v>1</v>
      </c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/>
      <c r="Y2293" s="17" t="n">
        <v>1</v>
      </c>
      <c r="Z2293" s="13">
        <f>SUMPRODUCT(N2293:Y2293,$N$2:$Y$2)*$K2293*$L2293*$M2293</f>
        <v/>
      </c>
      <c r="AA2293" s="14">
        <f>SUM(N2293:Y2293)</f>
        <v/>
      </c>
      <c r="AB2293" s="14">
        <f>IFERROR(IF(UPPER($E2293)="L",SUMPRODUCT(N2293:Y2293,$N$3:$Y$3,$N$2:$Y$2),SUMPRODUCT(N2293:Y2293,$N$4:$Y$4,$N$2:$Y$2))/(Z2293/($K2293*$L2293*$M2293)),"")</f>
        <v/>
      </c>
      <c r="AC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1" t="n">
        <v>1</v>
      </c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/>
      <c r="Y2294" s="17" t="n">
        <v>1</v>
      </c>
      <c r="Z2294" s="13">
        <f>SUMPRODUCT(N2294:Y2294,$N$2:$Y$2)*$K2294*$L2294*$M2294</f>
        <v/>
      </c>
      <c r="AA2294" s="14">
        <f>SUM(N2294:Y2294)</f>
        <v/>
      </c>
      <c r="AB2294" s="14">
        <f>IFERROR(IF(UPPER($E2294)="L",SUMPRODUCT(N2294:Y2294,$N$3:$Y$3,$N$2:$Y$2),SUMPRODUCT(N2294:Y2294,$N$4:$Y$4,$N$2:$Y$2))/(Z2294/($K2294*$L2294*$M2294)),"")</f>
        <v/>
      </c>
      <c r="AC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1" t="n">
        <v>1</v>
      </c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/>
      <c r="Y2295" s="17" t="n">
        <v>1</v>
      </c>
      <c r="Z2295" s="13">
        <f>SUMPRODUCT(N2295:Y2295,$N$2:$Y$2)*$K2295*$L2295*$M2295</f>
        <v/>
      </c>
      <c r="AA2295" s="14">
        <f>SUM(N2295:Y2295)</f>
        <v/>
      </c>
      <c r="AB2295" s="14">
        <f>IFERROR(IF(UPPER($E2295)="L",SUMPRODUCT(N2295:Y2295,$N$3:$Y$3,$N$2:$Y$2),SUMPRODUCT(N2295:Y2295,$N$4:$Y$4,$N$2:$Y$2))/(Z2295/($K2295*$L2295*$M2295)),"")</f>
        <v/>
      </c>
      <c r="AC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inlineStr">
        <is>
          <t>C</t>
        </is>
      </c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1" t="n">
        <v>1</v>
      </c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/>
      <c r="Y2296" s="17" t="n">
        <v>1</v>
      </c>
      <c r="Z2296" s="13">
        <f>SUMPRODUCT(N2296:Y2296,$N$2:$Y$2)*$K2296*$L2296*$M2296</f>
        <v/>
      </c>
      <c r="AA2296" s="14">
        <f>SUM(N2296:Y2296)</f>
        <v/>
      </c>
      <c r="AB2296" s="14">
        <f>IFERROR(IF(UPPER($E2296)="L",SUMPRODUCT(N2296:Y2296,$N$3:$Y$3,$N$2:$Y$2),SUMPRODUCT(N2296:Y2296,$N$4:$Y$4,$N$2:$Y$2))/(Z2296/($K2296*$L2296*$M2296)),"")</f>
        <v/>
      </c>
      <c r="AC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25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Late Season (~Sept)</t>
        </is>
      </c>
      <c r="K2297" s="11">
        <f>IFERROR(INDEX(Roles!$B$17:$B$20,MATCH(J2297,Roles!$A$17:$A$20,0)),1)</f>
        <v/>
      </c>
      <c r="L2297" s="17" t="n">
        <v>1</v>
      </c>
      <c r="M2297" s="11" t="n">
        <v>1</v>
      </c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/>
      <c r="Y2297" s="17" t="n">
        <v>1</v>
      </c>
      <c r="Z2297" s="13">
        <f>SUMPRODUCT(N2297:Y2297,$N$2:$Y$2)*$K2297*$L2297*$M2297</f>
        <v/>
      </c>
      <c r="AA2297" s="14">
        <f>SUM(N2297:Y2297)</f>
        <v/>
      </c>
      <c r="AB2297" s="14">
        <f>IFERROR(IF(UPPER($E2297)="L",SUMPRODUCT(N2297:Y2297,$N$3:$Y$3,$N$2:$Y$2),SUMPRODUCT(N2297:Y2297,$N$4:$Y$4,$N$2:$Y$2))/(Z2297/($K2297*$L2297*$M2297)),"")</f>
        <v/>
      </c>
      <c r="AC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1" t="n">
        <v>1</v>
      </c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/>
      <c r="Y2298" s="17" t="n">
        <v>1</v>
      </c>
      <c r="Z2298" s="13">
        <f>SUMPRODUCT(N2298:Y2298,$N$2:$Y$2)*$K2298*$L2298*$M2298</f>
        <v/>
      </c>
      <c r="AA2298" s="14">
        <f>SUM(N2298:Y2298)</f>
        <v/>
      </c>
      <c r="AB2298" s="14">
        <f>IFERROR(IF(UPPER($E2298)="L",SUMPRODUCT(N2298:Y2298,$N$3:$Y$3,$N$2:$Y$2),SUMPRODUCT(N2298:Y2298,$N$4:$Y$4,$N$2:$Y$2))/(Z2298/($K2298*$L2298*$M2298)),"")</f>
        <v/>
      </c>
      <c r="AC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1" t="n">
        <v>1</v>
      </c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/>
      <c r="Y2299" s="17" t="n">
        <v>1</v>
      </c>
      <c r="Z2299" s="13">
        <f>SUMPRODUCT(N2299:Y2299,$N$2:$Y$2)*$K2299*$L2299*$M2299</f>
        <v/>
      </c>
      <c r="AA2299" s="14">
        <f>SUM(N2299:Y2299)</f>
        <v/>
      </c>
      <c r="AB2299" s="14">
        <f>IFERROR(IF(UPPER($E2299)="L",SUMPRODUCT(N2299:Y2299,$N$3:$Y$3,$N$2:$Y$2),SUMPRODUCT(N2299:Y2299,$N$4:$Y$4,$N$2:$Y$2))/(Z2299/($K2299*$L2299*$M2299)),"")</f>
        <v/>
      </c>
      <c r="AC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1" t="n">
        <v>1</v>
      </c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/>
      <c r="Y2300" s="17" t="n">
        <v>1</v>
      </c>
      <c r="Z2300" s="13">
        <f>SUMPRODUCT(N2300:Y2300,$N$2:$Y$2)*$K2300*$L2300*$M2300</f>
        <v/>
      </c>
      <c r="AA2300" s="14">
        <f>SUM(N2300:Y2300)</f>
        <v/>
      </c>
      <c r="AB2300" s="14">
        <f>IFERROR(IF(UPPER($E2300)="L",SUMPRODUCT(N2300:Y2300,$N$3:$Y$3,$N$2:$Y$2),SUMPRODUCT(N2300:Y2300,$N$4:$Y$4,$N$2:$Y$2))/(Z2300/($K2300*$L2300*$M2300)),"")</f>
        <v/>
      </c>
      <c r="AC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1" t="n">
        <v>1</v>
      </c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/>
      <c r="Y2301" s="17" t="n">
        <v>1</v>
      </c>
      <c r="Z2301" s="13">
        <f>SUMPRODUCT(N2301:Y2301,$N$2:$Y$2)*$K2301*$L2301*$M2301</f>
        <v/>
      </c>
      <c r="AA2301" s="14">
        <f>SUM(N2301:Y2301)</f>
        <v/>
      </c>
      <c r="AB2301" s="14">
        <f>IFERROR(IF(UPPER($E2301)="L",SUMPRODUCT(N2301:Y2301,$N$3:$Y$3,$N$2:$Y$2),SUMPRODUCT(N2301:Y2301,$N$4:$Y$4,$N$2:$Y$2))/(Z2301/($K2301*$L2301*$M2301)),"")</f>
        <v/>
      </c>
      <c r="AC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1" t="n">
        <v>1</v>
      </c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/>
      <c r="Y2302" s="17" t="n">
        <v>1</v>
      </c>
      <c r="Z2302" s="13">
        <f>SUMPRODUCT(N2302:Y2302,$N$2:$Y$2)*$K2302*$L2302*$M2302</f>
        <v/>
      </c>
      <c r="AA2302" s="14">
        <f>SUM(N2302:Y2302)</f>
        <v/>
      </c>
      <c r="AB2302" s="14">
        <f>IFERROR(IF(UPPER($E2302)="L",SUMPRODUCT(N2302:Y2302,$N$3:$Y$3,$N$2:$Y$2),SUMPRODUCT(N2302:Y2302,$N$4:$Y$4,$N$2:$Y$2))/(Z2302/($K2302*$L2302*$M2302)),"")</f>
        <v/>
      </c>
      <c r="AC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inlineStr">
        <is>
          <t>2B</t>
        </is>
      </c>
      <c r="G2303" s="9" t="n">
        <v>276</v>
      </c>
      <c r="H2303" s="9" t="n">
        <v>1193</v>
      </c>
      <c r="I2303" s="9" t="inlineStr">
        <is>
          <t>Strong Side Platoon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1" t="n">
        <v>1</v>
      </c>
      <c r="N2303" s="17" t="n"/>
      <c r="O2303" s="17" t="n"/>
      <c r="P2303" s="17" t="n">
        <v>1</v>
      </c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7" t="n"/>
      <c r="Z2303" s="13">
        <f>SUMPRODUCT(N2303:Y2303,$N$2:$Y$2)*$K2303*$L2303*$M2303</f>
        <v/>
      </c>
      <c r="AA2303" s="14">
        <f>SUM(N2303:Y2303)</f>
        <v/>
      </c>
      <c r="AB2303" s="14">
        <f>IFERROR(IF(UPPER($E2303)="L",SUMPRODUCT(N2303:Y2303,$N$3:$Y$3,$N$2:$Y$2),SUMPRODUCT(N2303:Y2303,$N$4:$Y$4,$N$2:$Y$2))/(Z2303/($K2303*$L2303*$M2303)),"")</f>
        <v/>
      </c>
      <c r="AC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1" t="n">
        <v>1</v>
      </c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/>
      <c r="Y2304" s="17" t="n">
        <v>1</v>
      </c>
      <c r="Z2304" s="13">
        <f>SUMPRODUCT(N2304:Y2304,$N$2:$Y$2)*$K2304*$L2304*$M2304</f>
        <v/>
      </c>
      <c r="AA2304" s="14">
        <f>SUM(N2304:Y2304)</f>
        <v/>
      </c>
      <c r="AB2304" s="14">
        <f>IFERROR(IF(UPPER($E2304)="L",SUMPRODUCT(N2304:Y2304,$N$3:$Y$3,$N$2:$Y$2),SUMPRODUCT(N2304:Y2304,$N$4:$Y$4,$N$2:$Y$2))/(Z2304/($K2304*$L2304*$M2304)),"")</f>
        <v/>
      </c>
      <c r="AC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1" t="n">
        <v>1</v>
      </c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/>
      <c r="Y2305" s="17" t="n">
        <v>1</v>
      </c>
      <c r="Z2305" s="13">
        <f>SUMPRODUCT(N2305:Y2305,$N$2:$Y$2)*$K2305*$L2305*$M2305</f>
        <v/>
      </c>
      <c r="AA2305" s="14">
        <f>SUM(N2305:Y2305)</f>
        <v/>
      </c>
      <c r="AB2305" s="14">
        <f>IFERROR(IF(UPPER($E2305)="L",SUMPRODUCT(N2305:Y2305,$N$3:$Y$3,$N$2:$Y$2),SUMPRODUCT(N2305:Y2305,$N$4:$Y$4,$N$2:$Y$2))/(Z2305/($K2305*$L2305*$M2305)),"")</f>
        <v/>
      </c>
      <c r="AC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inlineStr">
        <is>
          <t>C</t>
        </is>
      </c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1" t="n">
        <v>1</v>
      </c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/>
      <c r="W2306" s="17" t="n">
        <v>0.85</v>
      </c>
      <c r="X2306" s="17" t="n">
        <v>0.15</v>
      </c>
      <c r="Y2306" s="17" t="n"/>
      <c r="Z2306" s="13">
        <f>SUMPRODUCT(N2306:Y2306,$N$2:$Y$2)*$K2306*$L2306*$M2306</f>
        <v/>
      </c>
      <c r="AA2306" s="14">
        <f>SUM(N2306:Y2306)</f>
        <v/>
      </c>
      <c r="AB2306" s="14">
        <f>IFERROR(IF(UPPER($E2306)="L",SUMPRODUCT(N2306:Y2306,$N$3:$Y$3,$N$2:$Y$2),SUMPRODUCT(N2306:Y2306,$N$4:$Y$4,$N$2:$Y$2))/(Z2306/($K2306*$L2306*$M2306)),"")</f>
        <v/>
      </c>
      <c r="AC2306" s="18" t="n"/>
    </row>
    <row r="2307">
      <c r="A2307" s="9" t="n">
        <v>815299</v>
      </c>
      <c r="B2307" s="9" t="inlineStr">
        <is>
          <t>Will Verdung</t>
        </is>
      </c>
      <c r="C2307" s="9" t="inlineStr">
        <is>
          <t>ATL</t>
        </is>
      </c>
      <c r="D2307" s="9" t="n">
        <v>25</v>
      </c>
      <c r="E2307" s="16" t="inlineStr">
        <is>
          <t>R</t>
        </is>
      </c>
      <c r="F2307" s="16" t="n"/>
      <c r="G2307" s="9" t="n">
        <v>64.97435897435896</v>
      </c>
      <c r="H2307" s="9" t="n">
        <v>64.97435897435896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1" t="n">
        <v>1</v>
      </c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/>
      <c r="Y2307" s="17" t="n">
        <v>1</v>
      </c>
      <c r="Z2307" s="13">
        <f>SUMPRODUCT(N2307:Y2307,$N$2:$Y$2)*$K2307*$L2307*$M2307</f>
        <v/>
      </c>
      <c r="AA2307" s="14">
        <f>SUM(N2307:Y2307)</f>
        <v/>
      </c>
      <c r="AB2307" s="14">
        <f>IFERROR(IF(UPPER($E2307)="L",SUMPRODUCT(N2307:Y2307,$N$3:$Y$3,$N$2:$Y$2),SUMPRODUCT(N2307:Y2307,$N$4:$Y$4,$N$2:$Y$2))/(Z2307/($K2307*$L2307*$M2307)),"")</f>
        <v/>
      </c>
      <c r="AC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1" t="n">
        <v>1</v>
      </c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/>
      <c r="Y2308" s="17" t="n">
        <v>1</v>
      </c>
      <c r="Z2308" s="13">
        <f>SUMPRODUCT(N2308:Y2308,$N$2:$Y$2)*$K2308*$L2308*$M2308</f>
        <v/>
      </c>
      <c r="AA2308" s="14">
        <f>SUM(N2308:Y2308)</f>
        <v/>
      </c>
      <c r="AB2308" s="14">
        <f>IFERROR(IF(UPPER($E2308)="L",SUMPRODUCT(N2308:Y2308,$N$3:$Y$3,$N$2:$Y$2),SUMPRODUCT(N2308:Y2308,$N$4:$Y$4,$N$2:$Y$2))/(Z2308/($K2308*$L2308*$M2308)),"")</f>
        <v/>
      </c>
      <c r="AC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25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Mid Season (~July)</t>
        </is>
      </c>
      <c r="K2309" s="11">
        <f>IFERROR(INDEX(Roles!$B$17:$B$20,MATCH(J2309,Roles!$A$17:$A$20,0)),1)</f>
        <v/>
      </c>
      <c r="L2309" s="17" t="n">
        <v>1</v>
      </c>
      <c r="M2309" s="11" t="n">
        <v>1</v>
      </c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/>
      <c r="Y2309" s="17" t="n">
        <v>1</v>
      </c>
      <c r="Z2309" s="13">
        <f>SUMPRODUCT(N2309:Y2309,$N$2:$Y$2)*$K2309*$L2309*$M2309</f>
        <v/>
      </c>
      <c r="AA2309" s="14">
        <f>SUM(N2309:Y2309)</f>
        <v/>
      </c>
      <c r="AB2309" s="14">
        <f>IFERROR(IF(UPPER($E2309)="L",SUMPRODUCT(N2309:Y2309,$N$3:$Y$3,$N$2:$Y$2),SUMPRODUCT(N2309:Y2309,$N$4:$Y$4,$N$2:$Y$2))/(Z2309/($K2309*$L2309*$M2309)),"")</f>
        <v/>
      </c>
      <c r="AC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inlineStr">
        <is>
          <t>SS</t>
        </is>
      </c>
      <c r="G2310" s="9" t="n">
        <v>326</v>
      </c>
      <c r="H2310" s="9" t="n">
        <v>445</v>
      </c>
      <c r="I2310" s="9" t="inlineStr">
        <is>
          <t>Bench Bat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1" t="n">
        <v>1.001103158155184</v>
      </c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/>
      <c r="W2310" s="17" t="n">
        <v>0.85</v>
      </c>
      <c r="X2310" s="17" t="n">
        <v>0.15</v>
      </c>
      <c r="Y2310" s="17" t="n"/>
      <c r="Z2310" s="13">
        <f>SUMPRODUCT(N2310:Y2310,$N$2:$Y$2)*$K2310*$L2310*$M2310</f>
        <v/>
      </c>
      <c r="AA2310" s="14">
        <f>SUM(N2310:Y2310)</f>
        <v/>
      </c>
      <c r="AB2310" s="14">
        <f>IFERROR(IF(UPPER($E2310)="L",SUMPRODUCT(N2310:Y2310,$N$3:$Y$3,$N$2:$Y$2),SUMPRODUCT(N2310:Y2310,$N$4:$Y$4,$N$2:$Y$2))/(Z2310/($K2310*$L2310*$M2310)),"")</f>
        <v/>
      </c>
      <c r="AC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25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Late Season (~Sept)</t>
        </is>
      </c>
      <c r="K2311" s="11">
        <f>IFERROR(INDEX(Roles!$B$17:$B$20,MATCH(J2311,Roles!$A$17:$A$20,0)),1)</f>
        <v/>
      </c>
      <c r="L2311" s="17" t="n">
        <v>1</v>
      </c>
      <c r="M2311" s="11" t="n">
        <v>1</v>
      </c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/>
      <c r="Y2311" s="17" t="n">
        <v>1</v>
      </c>
      <c r="Z2311" s="13">
        <f>SUMPRODUCT(N2311:Y2311,$N$2:$Y$2)*$K2311*$L2311*$M2311</f>
        <v/>
      </c>
      <c r="AA2311" s="14">
        <f>SUM(N2311:Y2311)</f>
        <v/>
      </c>
      <c r="AB2311" s="14">
        <f>IFERROR(IF(UPPER($E2311)="L",SUMPRODUCT(N2311:Y2311,$N$3:$Y$3,$N$2:$Y$2),SUMPRODUCT(N2311:Y2311,$N$4:$Y$4,$N$2:$Y$2))/(Z2311/($K2311*$L2311*$M2311)),"")</f>
        <v/>
      </c>
      <c r="AC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1" t="n">
        <v>1</v>
      </c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/>
      <c r="Y2312" s="17" t="n">
        <v>1</v>
      </c>
      <c r="Z2312" s="13">
        <f>SUMPRODUCT(N2312:Y2312,$N$2:$Y$2)*$K2312*$L2312*$M2312</f>
        <v/>
      </c>
      <c r="AA2312" s="14">
        <f>SUM(N2312:Y2312)</f>
        <v/>
      </c>
      <c r="AB2312" s="14">
        <f>IFERROR(IF(UPPER($E2312)="L",SUMPRODUCT(N2312:Y2312,$N$3:$Y$3,$N$2:$Y$2),SUMPRODUCT(N2312:Y2312,$N$4:$Y$4,$N$2:$Y$2))/(Z2312/($K2312*$L2312*$M2312)),"")</f>
        <v/>
      </c>
      <c r="AC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1" t="n">
        <v>1</v>
      </c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/>
      <c r="Y2313" s="17" t="n">
        <v>1</v>
      </c>
      <c r="Z2313" s="13">
        <f>SUMPRODUCT(N2313:Y2313,$N$2:$Y$2)*$K2313*$L2313*$M2313</f>
        <v/>
      </c>
      <c r="AA2313" s="14">
        <f>SUM(N2313:Y2313)</f>
        <v/>
      </c>
      <c r="AB2313" s="14">
        <f>IFERROR(IF(UPPER($E2313)="L",SUMPRODUCT(N2313:Y2313,$N$3:$Y$3,$N$2:$Y$2),SUMPRODUCT(N2313:Y2313,$N$4:$Y$4,$N$2:$Y$2))/(Z2313/($K2313*$L2313*$M2313)),"")</f>
        <v/>
      </c>
      <c r="AC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inlineStr">
        <is>
          <t>2B</t>
        </is>
      </c>
      <c r="G2314" s="9" t="n">
        <v>517</v>
      </c>
      <c r="H2314" s="9" t="n">
        <v>517</v>
      </c>
      <c r="I2314" s="9" t="inlineStr">
        <is>
          <t>Strong Side Platoon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1" t="n">
        <v>1.024818209131351</v>
      </c>
      <c r="N2314" s="17" t="n">
        <v>0.4</v>
      </c>
      <c r="O2314" s="17" t="n"/>
      <c r="P2314" s="17" t="n">
        <v>0.6</v>
      </c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7" t="n"/>
      <c r="Z2314" s="13">
        <f>SUMPRODUCT(N2314:Y2314,$N$2:$Y$2)*$K2314*$L2314*$M2314</f>
        <v/>
      </c>
      <c r="AA2314" s="14">
        <f>SUM(N2314:Y2314)</f>
        <v/>
      </c>
      <c r="AB2314" s="14">
        <f>IFERROR(IF(UPPER($E2314)="L",SUMPRODUCT(N2314:Y2314,$N$3:$Y$3,$N$2:$Y$2),SUMPRODUCT(N2314:Y2314,$N$4:$Y$4,$N$2:$Y$2))/(Z2314/($K2314*$L2314*$M2314)),"")</f>
        <v/>
      </c>
      <c r="AC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inlineStr">
        <is>
          <t>SS</t>
        </is>
      </c>
      <c r="G2315" s="9" t="n">
        <v>21</v>
      </c>
      <c r="H2315" s="9" t="n">
        <v>21</v>
      </c>
      <c r="I2315" s="9" t="inlineStr">
        <is>
          <t>Bench Bat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1" t="n">
        <v>1</v>
      </c>
      <c r="N2315" s="17" t="n"/>
      <c r="O2315" s="17" t="n"/>
      <c r="P2315" s="17" t="n"/>
      <c r="Q2315" s="17" t="n"/>
      <c r="R2315" s="17" t="n"/>
      <c r="S2315" s="17" t="n"/>
      <c r="T2315" s="17" t="n"/>
      <c r="U2315" s="17" t="n">
        <v>0.4</v>
      </c>
      <c r="V2315" s="17" t="n"/>
      <c r="W2315" s="17" t="n">
        <v>0.6</v>
      </c>
      <c r="X2315" s="17" t="n"/>
      <c r="Y2315" s="17" t="n"/>
      <c r="Z2315" s="13">
        <f>SUMPRODUCT(N2315:Y2315,$N$2:$Y$2)*$K2315*$L2315*$M2315</f>
        <v/>
      </c>
      <c r="AA2315" s="14">
        <f>SUM(N2315:Y2315)</f>
        <v/>
      </c>
      <c r="AB2315" s="14">
        <f>IFERROR(IF(UPPER($E2315)="L",SUMPRODUCT(N2315:Y2315,$N$3:$Y$3,$N$2:$Y$2),SUMPRODUCT(N2315:Y2315,$N$4:$Y$4,$N$2:$Y$2))/(Z2315/($K2315*$L2315*$M2315)),"")</f>
        <v/>
      </c>
      <c r="AC2315" s="18" t="n"/>
    </row>
    <row r="2316">
      <c r="A2316" s="9" t="n">
        <v>801561</v>
      </c>
      <c r="B2316" s="9" t="inlineStr">
        <is>
          <t>Matt Halbach</t>
        </is>
      </c>
      <c r="C2316" s="9" t="inlineStr">
        <is>
          <t>CHC</t>
        </is>
      </c>
      <c r="D2316" s="9" t="n">
        <v>25</v>
      </c>
      <c r="E2316" s="16" t="inlineStr">
        <is>
          <t>R</t>
        </is>
      </c>
      <c r="F2316" s="16" t="n"/>
      <c r="G2316" s="9" t="n">
        <v>96.20512820512822</v>
      </c>
      <c r="H2316" s="9" t="n">
        <v>96.20512820512822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1" t="n">
        <v>1</v>
      </c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/>
      <c r="Y2316" s="17" t="n">
        <v>1</v>
      </c>
      <c r="Z2316" s="13">
        <f>SUMPRODUCT(N2316:Y2316,$N$2:$Y$2)*$K2316*$L2316*$M2316</f>
        <v/>
      </c>
      <c r="AA2316" s="14">
        <f>SUM(N2316:Y2316)</f>
        <v/>
      </c>
      <c r="AB2316" s="14">
        <f>IFERROR(IF(UPPER($E2316)="L",SUMPRODUCT(N2316:Y2316,$N$3:$Y$3,$N$2:$Y$2),SUMPRODUCT(N2316:Y2316,$N$4:$Y$4,$N$2:$Y$2))/(Z2316/($K2316*$L2316*$M2316)),"")</f>
        <v/>
      </c>
      <c r="AC2316" s="18" t="n"/>
    </row>
    <row r="2317">
      <c r="A2317" s="9" t="n">
        <v>687551</v>
      </c>
      <c r="B2317" s="9" t="inlineStr">
        <is>
          <t>Drew Gilbert</t>
        </is>
      </c>
      <c r="C2317" s="9" t="inlineStr">
        <is>
          <t>SF</t>
        </is>
      </c>
      <c r="D2317" s="9" t="n">
        <v>26</v>
      </c>
      <c r="E2317" s="16" t="inlineStr">
        <is>
          <t>L</t>
        </is>
      </c>
      <c r="F2317" s="16" t="inlineStr">
        <is>
          <t>CF</t>
        </is>
      </c>
      <c r="G2317" s="9" t="n">
        <v>393</v>
      </c>
      <c r="H2317" s="9" t="n">
        <v>502</v>
      </c>
      <c r="I2317" s="9" t="inlineStr">
        <is>
          <t>Strong Side Platoon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1" t="n">
        <v>0.945134972021573</v>
      </c>
      <c r="N2317" s="17" t="n">
        <v>0.4</v>
      </c>
      <c r="O2317" s="17" t="n"/>
      <c r="P2317" s="17" t="n">
        <v>0.6</v>
      </c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7" t="n"/>
      <c r="Z2317" s="13">
        <f>SUMPRODUCT(N2317:Y2317,$N$2:$Y$2)*$K2317*$L2317*$M2317</f>
        <v/>
      </c>
      <c r="AA2317" s="14">
        <f>SUM(N2317:Y2317)</f>
        <v/>
      </c>
      <c r="AB2317" s="14">
        <f>IFERROR(IF(UPPER($E2317)="L",SUMPRODUCT(N2317:Y2317,$N$3:$Y$3,$N$2:$Y$2),SUMPRODUCT(N2317:Y2317,$N$4:$Y$4,$N$2:$Y$2))/(Z2317/($K2317*$L2317*$M2317)),"")</f>
        <v/>
      </c>
      <c r="AC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1" t="n">
        <v>1</v>
      </c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/>
      <c r="Y2318" s="17" t="n">
        <v>1</v>
      </c>
      <c r="Z2318" s="13">
        <f>SUMPRODUCT(N2318:Y2318,$N$2:$Y$2)*$K2318*$L2318*$M2318</f>
        <v/>
      </c>
      <c r="AA2318" s="14">
        <f>SUM(N2318:Y2318)</f>
        <v/>
      </c>
      <c r="AB2318" s="14">
        <f>IFERROR(IF(UPPER($E2318)="L",SUMPRODUCT(N2318:Y2318,$N$3:$Y$3,$N$2:$Y$2),SUMPRODUCT(N2318:Y2318,$N$4:$Y$4,$N$2:$Y$2))/(Z2318/($K2318*$L2318*$M2318)),"")</f>
        <v/>
      </c>
      <c r="AC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1" t="n">
        <v>1</v>
      </c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/>
      <c r="Y2319" s="17" t="n">
        <v>1</v>
      </c>
      <c r="Z2319" s="13">
        <f>SUMPRODUCT(N2319:Y2319,$N$2:$Y$2)*$K2319*$L2319*$M2319</f>
        <v/>
      </c>
      <c r="AA2319" s="14">
        <f>SUM(N2319:Y2319)</f>
        <v/>
      </c>
      <c r="AB2319" s="14">
        <f>IFERROR(IF(UPPER($E2319)="L",SUMPRODUCT(N2319:Y2319,$N$3:$Y$3,$N$2:$Y$2),SUMPRODUCT(N2319:Y2319,$N$4:$Y$4,$N$2:$Y$2))/(Z2319/($K2319*$L2319*$M2319)),"")</f>
        <v/>
      </c>
      <c r="AC2319" s="18" t="n"/>
    </row>
    <row r="2320">
      <c r="A2320" s="9" t="n">
        <v>666165</v>
      </c>
      <c r="B2320" s="9" t="inlineStr">
        <is>
          <t>Blake Sabol</t>
        </is>
      </c>
      <c r="C2320" s="9" t="inlineStr">
        <is>
          <t>SF</t>
        </is>
      </c>
      <c r="D2320" s="9" t="n">
        <v>29</v>
      </c>
      <c r="E2320" s="16" t="inlineStr">
        <is>
          <t>L</t>
        </is>
      </c>
      <c r="F2320" s="16" t="inlineStr">
        <is>
          <t>C</t>
        </is>
      </c>
      <c r="G2320" s="9" t="n">
        <v>18</v>
      </c>
      <c r="H2320" s="9" t="n">
        <v>400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1" t="n">
        <v>1</v>
      </c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/>
      <c r="Y2320" s="17" t="n">
        <v>1</v>
      </c>
      <c r="Z2320" s="13">
        <f>SUMPRODUCT(N2320:Y2320,$N$2:$Y$2)*$K2320*$L2320*$M2320</f>
        <v/>
      </c>
      <c r="AA2320" s="14">
        <f>SUM(N2320:Y2320)</f>
        <v/>
      </c>
      <c r="AB2320" s="14">
        <f>IFERROR(IF(UPPER($E2320)="L",SUMPRODUCT(N2320:Y2320,$N$3:$Y$3,$N$2:$Y$2),SUMPRODUCT(N2320:Y2320,$N$4:$Y$4,$N$2:$Y$2))/(Z2320/($K2320*$L2320*$M2320)),"")</f>
        <v/>
      </c>
      <c r="AC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25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Late Season (~Sept)</t>
        </is>
      </c>
      <c r="K2321" s="11">
        <f>IFERROR(INDEX(Roles!$B$17:$B$20,MATCH(J2321,Roles!$A$17:$A$20,0)),1)</f>
        <v/>
      </c>
      <c r="L2321" s="17" t="n">
        <v>1</v>
      </c>
      <c r="M2321" s="11" t="n">
        <v>1</v>
      </c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/>
      <c r="Y2321" s="17" t="n">
        <v>1</v>
      </c>
      <c r="Z2321" s="13">
        <f>SUMPRODUCT(N2321:Y2321,$N$2:$Y$2)*$K2321*$L2321*$M2321</f>
        <v/>
      </c>
      <c r="AA2321" s="14">
        <f>SUM(N2321:Y2321)</f>
        <v/>
      </c>
      <c r="AB2321" s="14">
        <f>IFERROR(IF(UPPER($E2321)="L",SUMPRODUCT(N2321:Y2321,$N$3:$Y$3,$N$2:$Y$2),SUMPRODUCT(N2321:Y2321,$N$4:$Y$4,$N$2:$Y$2))/(Z2321/($K2321*$L2321*$M2321)),"")</f>
        <v/>
      </c>
      <c r="AC2321" s="18" t="n"/>
    </row>
    <row r="2322">
      <c r="A2322" s="9" t="n">
        <v>694304</v>
      </c>
      <c r="B2322" s="9" t="inlineStr">
        <is>
          <t>Cole Fontenelle</t>
        </is>
      </c>
      <c r="C2322" s="9" t="inlineStr">
        <is>
          <t>LAA</t>
        </is>
      </c>
      <c r="D2322" s="9" t="n">
        <v>25</v>
      </c>
      <c r="E2322" s="16" t="inlineStr">
        <is>
          <t>S</t>
        </is>
      </c>
      <c r="F2322" s="16" t="n"/>
      <c r="G2322" s="9" t="n">
        <v>102.3076923076923</v>
      </c>
      <c r="H2322" s="9" t="n">
        <v>102.3076923076923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1" t="n">
        <v>1</v>
      </c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/>
      <c r="Y2322" s="17" t="n">
        <v>1</v>
      </c>
      <c r="Z2322" s="13">
        <f>SUMPRODUCT(N2322:Y2322,$N$2:$Y$2)*$K2322*$L2322*$M2322</f>
        <v/>
      </c>
      <c r="AA2322" s="14">
        <f>SUM(N2322:Y2322)</f>
        <v/>
      </c>
      <c r="AB2322" s="14">
        <f>IFERROR(IF(UPPER($E2322)="L",SUMPRODUCT(N2322:Y2322,$N$3:$Y$3,$N$2:$Y$2),SUMPRODUCT(N2322:Y2322,$N$4:$Y$4,$N$2:$Y$2))/(Z2322/($K2322*$L2322*$M2322)),"")</f>
        <v/>
      </c>
      <c r="AC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1" t="n">
        <v>1</v>
      </c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/>
      <c r="Y2323" s="17" t="n">
        <v>1</v>
      </c>
      <c r="Z2323" s="13">
        <f>SUMPRODUCT(N2323:Y2323,$N$2:$Y$2)*$K2323*$L2323*$M2323</f>
        <v/>
      </c>
      <c r="AA2323" s="14">
        <f>SUM(N2323:Y2323)</f>
        <v/>
      </c>
      <c r="AB2323" s="14">
        <f>IFERROR(IF(UPPER($E2323)="L",SUMPRODUCT(N2323:Y2323,$N$3:$Y$3,$N$2:$Y$2),SUMPRODUCT(N2323:Y2323,$N$4:$Y$4,$N$2:$Y$2))/(Z2323/($K2323*$L2323*$M2323)),"")</f>
        <v/>
      </c>
      <c r="AC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1" t="n">
        <v>1</v>
      </c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/>
      <c r="Y2324" s="17" t="n">
        <v>1</v>
      </c>
      <c r="Z2324" s="13">
        <f>SUMPRODUCT(N2324:Y2324,$N$2:$Y$2)*$K2324*$L2324*$M2324</f>
        <v/>
      </c>
      <c r="AA2324" s="14">
        <f>SUM(N2324:Y2324)</f>
        <v/>
      </c>
      <c r="AB2324" s="14">
        <f>IFERROR(IF(UPPER($E2324)="L",SUMPRODUCT(N2324:Y2324,$N$3:$Y$3,$N$2:$Y$2),SUMPRODUCT(N2324:Y2324,$N$4:$Y$4,$N$2:$Y$2))/(Z2324/($K2324*$L2324*$M2324)),"")</f>
        <v/>
      </c>
      <c r="AC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1" t="n">
        <v>1</v>
      </c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/>
      <c r="Y2325" s="17" t="n">
        <v>1</v>
      </c>
      <c r="Z2325" s="13">
        <f>SUMPRODUCT(N2325:Y2325,$N$2:$Y$2)*$K2325*$L2325*$M2325</f>
        <v/>
      </c>
      <c r="AA2325" s="14">
        <f>SUM(N2325:Y2325)</f>
        <v/>
      </c>
      <c r="AB2325" s="14">
        <f>IFERROR(IF(UPPER($E2325)="L",SUMPRODUCT(N2325:Y2325,$N$3:$Y$3,$N$2:$Y$2),SUMPRODUCT(N2325:Y2325,$N$4:$Y$4,$N$2:$Y$2))/(Z2325/($K2325*$L2325*$M2325)),"")</f>
        <v/>
      </c>
      <c r="AC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1" t="n">
        <v>1</v>
      </c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/>
      <c r="Y2326" s="17" t="n">
        <v>1</v>
      </c>
      <c r="Z2326" s="13">
        <f>SUMPRODUCT(N2326:Y2326,$N$2:$Y$2)*$K2326*$L2326*$M2326</f>
        <v/>
      </c>
      <c r="AA2326" s="14">
        <f>SUM(N2326:Y2326)</f>
        <v/>
      </c>
      <c r="AB2326" s="14">
        <f>IFERROR(IF(UPPER($E2326)="L",SUMPRODUCT(N2326:Y2326,$N$3:$Y$3,$N$2:$Y$2),SUMPRODUCT(N2326:Y2326,$N$4:$Y$4,$N$2:$Y$2))/(Z2326/($K2326*$L2326*$M2326)),"")</f>
        <v/>
      </c>
      <c r="AC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1" t="n">
        <v>1</v>
      </c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/>
      <c r="Y2327" s="17" t="n">
        <v>1</v>
      </c>
      <c r="Z2327" s="13">
        <f>SUMPRODUCT(N2327:Y2327,$N$2:$Y$2)*$K2327*$L2327*$M2327</f>
        <v/>
      </c>
      <c r="AA2327" s="14">
        <f>SUM(N2327:Y2327)</f>
        <v/>
      </c>
      <c r="AB2327" s="14">
        <f>IFERROR(IF(UPPER($E2327)="L",SUMPRODUCT(N2327:Y2327,$N$3:$Y$3,$N$2:$Y$2),SUMPRODUCT(N2327:Y2327,$N$4:$Y$4,$N$2:$Y$2))/(Z2327/($K2327*$L2327*$M2327)),"")</f>
        <v/>
      </c>
      <c r="AC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25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Bench Bat</t>
        </is>
      </c>
      <c r="J2328" s="16" t="inlineStr">
        <is>
          <t>Mid Season (~July)</t>
        </is>
      </c>
      <c r="K2328" s="11">
        <f>IFERROR(INDEX(Roles!$B$17:$B$20,MATCH(J2328,Roles!$A$17:$A$20,0)),1)</f>
        <v/>
      </c>
      <c r="L2328" s="17" t="n">
        <v>1</v>
      </c>
      <c r="M2328" s="11" t="n">
        <v>1</v>
      </c>
      <c r="N2328" s="17" t="n">
        <v>0.25</v>
      </c>
      <c r="O2328" s="17" t="n"/>
      <c r="P2328" s="17" t="n">
        <v>0.3</v>
      </c>
      <c r="Q2328" s="17" t="n"/>
      <c r="R2328" s="17" t="n"/>
      <c r="S2328" s="17" t="n"/>
      <c r="T2328" s="17" t="n"/>
      <c r="U2328" s="17" t="n"/>
      <c r="V2328" s="17" t="n"/>
      <c r="W2328" s="17" t="n">
        <v>0.45</v>
      </c>
      <c r="X2328" s="17" t="n"/>
      <c r="Y2328" s="17" t="n"/>
      <c r="Z2328" s="13">
        <f>SUMPRODUCT(N2328:Y2328,$N$2:$Y$2)*$K2328*$L2328*$M2328</f>
        <v/>
      </c>
      <c r="AA2328" s="14">
        <f>SUM(N2328:Y2328)</f>
        <v/>
      </c>
      <c r="AB2328" s="14">
        <f>IFERROR(IF(UPPER($E2328)="L",SUMPRODUCT(N2328:Y2328,$N$3:$Y$3,$N$2:$Y$2),SUMPRODUCT(N2328:Y2328,$N$4:$Y$4,$N$2:$Y$2))/(Z2328/($K2328*$L2328*$M2328)),"")</f>
        <v/>
      </c>
      <c r="AC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inlineStr">
        <is>
          <t>2B</t>
        </is>
      </c>
      <c r="G2329" s="9" t="n">
        <v>399</v>
      </c>
      <c r="H2329" s="9" t="n">
        <v>988</v>
      </c>
      <c r="I2329" s="9" t="inlineStr">
        <is>
          <t>Strong Side Platoon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1" t="n">
        <v>0.8350968085482339</v>
      </c>
      <c r="N2329" s="17" t="n">
        <v>0.4</v>
      </c>
      <c r="O2329" s="17" t="n"/>
      <c r="P2329" s="17" t="n">
        <v>0.6</v>
      </c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7" t="n"/>
      <c r="Z2329" s="13">
        <f>SUMPRODUCT(N2329:Y2329,$N$2:$Y$2)*$K2329*$L2329*$M2329</f>
        <v/>
      </c>
      <c r="AA2329" s="14">
        <f>SUM(N2329:Y2329)</f>
        <v/>
      </c>
      <c r="AB2329" s="14">
        <f>IFERROR(IF(UPPER($E2329)="L",SUMPRODUCT(N2329:Y2329,$N$3:$Y$3,$N$2:$Y$2),SUMPRODUCT(N2329:Y2329,$N$4:$Y$4,$N$2:$Y$2))/(Z2329/($K2329*$L2329*$M2329)),"")</f>
        <v/>
      </c>
      <c r="AC2329" s="18" t="n"/>
    </row>
    <row r="2330">
      <c r="A2330" s="9" t="n">
        <v>663697</v>
      </c>
      <c r="B2330" s="9" t="inlineStr">
        <is>
          <t>Jonathan India</t>
        </is>
      </c>
      <c r="C2330" s="9" t="inlineStr">
        <is>
          <t>KC</t>
        </is>
      </c>
      <c r="D2330" s="9" t="n">
        <v>30</v>
      </c>
      <c r="E2330" s="16" t="inlineStr">
        <is>
          <t>R</t>
        </is>
      </c>
      <c r="F2330" s="16" t="inlineStr">
        <is>
          <t>2B</t>
        </is>
      </c>
      <c r="G2330" s="9" t="n">
        <v>58</v>
      </c>
      <c r="H2330" s="9" t="n">
        <v>2222</v>
      </c>
      <c r="I2330" s="9" t="inlineStr">
        <is>
          <t>Full Time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1" t="n">
        <v>0.7919103273916395</v>
      </c>
      <c r="N2330" s="17" t="n">
        <v>1</v>
      </c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7" t="n"/>
      <c r="Z2330" s="13">
        <f>SUMPRODUCT(N2330:Y2330,$N$2:$Y$2)*$K2330*$L2330*$M2330</f>
        <v/>
      </c>
      <c r="AA2330" s="14">
        <f>SUM(N2330:Y2330)</f>
        <v/>
      </c>
      <c r="AB2330" s="14">
        <f>IFERROR(IF(UPPER($E2330)="L",SUMPRODUCT(N2330:Y2330,$N$3:$Y$3,$N$2:$Y$2),SUMPRODUCT(N2330:Y2330,$N$4:$Y$4,$N$2:$Y$2))/(Z2330/($K2330*$L2330*$M2330)),"")</f>
        <v/>
      </c>
      <c r="AC2330" s="18" t="n"/>
    </row>
    <row r="2331">
      <c r="A2331" s="9" t="n">
        <v>828489</v>
      </c>
      <c r="B2331" s="9" t="inlineStr">
        <is>
          <t>Andy Polanco</t>
        </is>
      </c>
      <c r="C2331" s="9" t="inlineStr">
        <is>
          <t>SF</t>
        </is>
      </c>
      <c r="D2331" s="9" t="n">
        <v>25</v>
      </c>
      <c r="E2331" s="16" t="inlineStr">
        <is>
          <t>R</t>
        </is>
      </c>
      <c r="F2331" s="16" t="n"/>
      <c r="G2331" s="9" t="n">
        <v>47.13846153846153</v>
      </c>
      <c r="H2331" s="9" t="n">
        <v>47.13846153846153</v>
      </c>
      <c r="I2331" s="9" t="inlineStr">
        <is>
          <t>Depth (no MLB PA)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1" t="n">
        <v>1</v>
      </c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/>
      <c r="Y2331" s="17" t="n">
        <v>1</v>
      </c>
      <c r="Z2331" s="13">
        <f>SUMPRODUCT(N2331:Y2331,$N$2:$Y$2)*$K2331*$L2331*$M2331</f>
        <v/>
      </c>
      <c r="AA2331" s="14">
        <f>SUM(N2331:Y2331)</f>
        <v/>
      </c>
      <c r="AB2331" s="14">
        <f>IFERROR(IF(UPPER($E2331)="L",SUMPRODUCT(N2331:Y2331,$N$3:$Y$3,$N$2:$Y$2),SUMPRODUCT(N2331:Y2331,$N$4:$Y$4,$N$2:$Y$2))/(Z2331/($K2331*$L2331*$M2331)),"")</f>
        <v/>
      </c>
      <c r="AC2331" s="18" t="n"/>
    </row>
    <row r="2332">
      <c r="A2332" s="9" t="n">
        <v>695462</v>
      </c>
      <c r="B2332" s="9" t="inlineStr">
        <is>
          <t>Cal Conley</t>
        </is>
      </c>
      <c r="C2332" s="9" t="inlineStr">
        <is>
          <t>ATL</t>
        </is>
      </c>
      <c r="D2332" s="9" t="n">
        <v>25</v>
      </c>
      <c r="E2332" s="16" t="inlineStr">
        <is>
          <t>S</t>
        </is>
      </c>
      <c r="F2332" s="16" t="n"/>
      <c r="G2332" s="9" t="n">
        <v>120.7179487179487</v>
      </c>
      <c r="H2332" s="9" t="n">
        <v>120.7179487179487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1" t="n">
        <v>1</v>
      </c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/>
      <c r="Y2332" s="17" t="n">
        <v>1</v>
      </c>
      <c r="Z2332" s="13">
        <f>SUMPRODUCT(N2332:Y2332,$N$2:$Y$2)*$K2332*$L2332*$M2332</f>
        <v/>
      </c>
      <c r="AA2332" s="14">
        <f>SUM(N2332:Y2332)</f>
        <v/>
      </c>
      <c r="AB2332" s="14">
        <f>IFERROR(IF(UPPER($E2332)="L",SUMPRODUCT(N2332:Y2332,$N$3:$Y$3,$N$2:$Y$2),SUMPRODUCT(N2332:Y2332,$N$4:$Y$4,$N$2:$Y$2))/(Z2332/($K2332*$L2332*$M2332)),"")</f>
        <v/>
      </c>
      <c r="AC2332" s="18" t="n"/>
    </row>
    <row r="2333">
      <c r="A2333" s="9" t="n">
        <v>690448</v>
      </c>
      <c r="B2333" s="9" t="inlineStr">
        <is>
          <t>Mike Jarvis</t>
        </is>
      </c>
      <c r="C2333" s="9" t="inlineStr">
        <is>
          <t>PIT</t>
        </is>
      </c>
      <c r="D2333" s="9" t="n">
        <v>25</v>
      </c>
      <c r="E2333" s="16" t="inlineStr">
        <is>
          <t>R</t>
        </is>
      </c>
      <c r="F2333" s="16" t="n"/>
      <c r="G2333" s="9" t="n">
        <v>62.05128205128206</v>
      </c>
      <c r="H2333" s="9" t="n">
        <v>62.05128205128206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1" t="n">
        <v>1</v>
      </c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/>
      <c r="Y2333" s="17" t="n">
        <v>1</v>
      </c>
      <c r="Z2333" s="13">
        <f>SUMPRODUCT(N2333:Y2333,$N$2:$Y$2)*$K2333*$L2333*$M2333</f>
        <v/>
      </c>
      <c r="AA2333" s="14">
        <f>SUM(N2333:Y2333)</f>
        <v/>
      </c>
      <c r="AB2333" s="14">
        <f>IFERROR(IF(UPPER($E2333)="L",SUMPRODUCT(N2333:Y2333,$N$3:$Y$3,$N$2:$Y$2),SUMPRODUCT(N2333:Y2333,$N$4:$Y$4,$N$2:$Y$2))/(Z2333/($K2333*$L2333*$M2333)),"")</f>
        <v/>
      </c>
      <c r="AC2333" s="18" t="n"/>
    </row>
    <row r="2334">
      <c r="A2334" s="9" t="n">
        <v>701481</v>
      </c>
      <c r="B2334" s="9" t="inlineStr">
        <is>
          <t>Ryan Campos</t>
        </is>
      </c>
      <c r="C2334" s="9" t="inlineStr">
        <is>
          <t>STL</t>
        </is>
      </c>
      <c r="D2334" s="9" t="n">
        <v>25</v>
      </c>
      <c r="E2334" s="16" t="inlineStr">
        <is>
          <t>L</t>
        </is>
      </c>
      <c r="F2334" s="16" t="n"/>
      <c r="G2334" s="9" t="n">
        <v>166.2051282051282</v>
      </c>
      <c r="H2334" s="9" t="n">
        <v>166.2051282051282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1" t="n">
        <v>1</v>
      </c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/>
      <c r="Y2334" s="17" t="n">
        <v>1</v>
      </c>
      <c r="Z2334" s="13">
        <f>SUMPRODUCT(N2334:Y2334,$N$2:$Y$2)*$K2334*$L2334*$M2334</f>
        <v/>
      </c>
      <c r="AA2334" s="14">
        <f>SUM(N2334:Y2334)</f>
        <v/>
      </c>
      <c r="AB2334" s="14">
        <f>IFERROR(IF(UPPER($E2334)="L",SUMPRODUCT(N2334:Y2334,$N$3:$Y$3,$N$2:$Y$2),SUMPRODUCT(N2334:Y2334,$N$4:$Y$4,$N$2:$Y$2))/(Z2334/($K2334*$L2334*$M2334)),"")</f>
        <v/>
      </c>
      <c r="AC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inlineStr">
        <is>
          <t>SS</t>
        </is>
      </c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1" t="n">
        <v>1</v>
      </c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/>
      <c r="W2335" s="17" t="n">
        <v>1</v>
      </c>
      <c r="X2335" s="17" t="n"/>
      <c r="Y2335" s="17" t="n"/>
      <c r="Z2335" s="13">
        <f>SUMPRODUCT(N2335:Y2335,$N$2:$Y$2)*$K2335*$L2335*$M2335</f>
        <v/>
      </c>
      <c r="AA2335" s="14">
        <f>SUM(N2335:Y2335)</f>
        <v/>
      </c>
      <c r="AB2335" s="14">
        <f>IFERROR(IF(UPPER($E2335)="L",SUMPRODUCT(N2335:Y2335,$N$3:$Y$3,$N$2:$Y$2),SUMPRODUCT(N2335:Y2335,$N$4:$Y$4,$N$2:$Y$2))/(Z2335/($K2335*$L2335*$M2335)),"")</f>
        <v/>
      </c>
      <c r="AC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1" t="n">
        <v>1</v>
      </c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/>
      <c r="Y2336" s="17" t="n">
        <v>1</v>
      </c>
      <c r="Z2336" s="13">
        <f>SUMPRODUCT(N2336:Y2336,$N$2:$Y$2)*$K2336*$L2336*$M2336</f>
        <v/>
      </c>
      <c r="AA2336" s="14">
        <f>SUM(N2336:Y2336)</f>
        <v/>
      </c>
      <c r="AB2336" s="14">
        <f>IFERROR(IF(UPPER($E2336)="L",SUMPRODUCT(N2336:Y2336,$N$3:$Y$3,$N$2:$Y$2),SUMPRODUCT(N2336:Y2336,$N$4:$Y$4,$N$2:$Y$2))/(Z2336/($K2336*$L2336*$M2336)),"")</f>
        <v/>
      </c>
      <c r="AC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1" t="n">
        <v>1</v>
      </c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/>
      <c r="Y2337" s="17" t="n">
        <v>1</v>
      </c>
      <c r="Z2337" s="13">
        <f>SUMPRODUCT(N2337:Y2337,$N$2:$Y$2)*$K2337*$L2337*$M2337</f>
        <v/>
      </c>
      <c r="AA2337" s="14">
        <f>SUM(N2337:Y2337)</f>
        <v/>
      </c>
      <c r="AB2337" s="14">
        <f>IFERROR(IF(UPPER($E2337)="L",SUMPRODUCT(N2337:Y2337,$N$3:$Y$3,$N$2:$Y$2),SUMPRODUCT(N2337:Y2337,$N$4:$Y$4,$N$2:$Y$2))/(Z2337/($K2337*$L2337*$M2337)),"")</f>
        <v/>
      </c>
      <c r="AC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inlineStr">
        <is>
          <t>2B</t>
        </is>
      </c>
      <c r="G2338" s="9" t="n">
        <v>6</v>
      </c>
      <c r="H2338" s="9" t="n">
        <v>360</v>
      </c>
      <c r="I2338" s="9" t="inlineStr">
        <is>
          <t>Weak Side Platoon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1" t="n">
        <v>1</v>
      </c>
      <c r="N2338" s="17" t="n"/>
      <c r="O2338" s="17" t="n"/>
      <c r="P2338" s="17" t="n"/>
      <c r="Q2338" s="17" t="n">
        <v>0.6</v>
      </c>
      <c r="R2338" s="17" t="n"/>
      <c r="S2338" s="17" t="n"/>
      <c r="T2338" s="17" t="n"/>
      <c r="U2338" s="17" t="n">
        <v>0.4</v>
      </c>
      <c r="V2338" s="17" t="n"/>
      <c r="W2338" s="17" t="n"/>
      <c r="X2338" s="17" t="n"/>
      <c r="Y2338" s="17" t="n"/>
      <c r="Z2338" s="13">
        <f>SUMPRODUCT(N2338:Y2338,$N$2:$Y$2)*$K2338*$L2338*$M2338</f>
        <v/>
      </c>
      <c r="AA2338" s="14">
        <f>SUM(N2338:Y2338)</f>
        <v/>
      </c>
      <c r="AB2338" s="14">
        <f>IFERROR(IF(UPPER($E2338)="L",SUMPRODUCT(N2338:Y2338,$N$3:$Y$3,$N$2:$Y$2),SUMPRODUCT(N2338:Y2338,$N$4:$Y$4,$N$2:$Y$2))/(Z2338/($K2338*$L2338*$M2338)),"")</f>
        <v/>
      </c>
      <c r="AC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1" t="n">
        <v>1</v>
      </c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/>
      <c r="Y2339" s="17" t="n">
        <v>1</v>
      </c>
      <c r="Z2339" s="13">
        <f>SUMPRODUCT(N2339:Y2339,$N$2:$Y$2)*$K2339*$L2339*$M2339</f>
        <v/>
      </c>
      <c r="AA2339" s="14">
        <f>SUM(N2339:Y2339)</f>
        <v/>
      </c>
      <c r="AB2339" s="14">
        <f>IFERROR(IF(UPPER($E2339)="L",SUMPRODUCT(N2339:Y2339,$N$3:$Y$3,$N$2:$Y$2),SUMPRODUCT(N2339:Y2339,$N$4:$Y$4,$N$2:$Y$2))/(Z2339/($K2339*$L2339*$M2339)),"")</f>
        <v/>
      </c>
      <c r="AC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1" t="n">
        <v>1</v>
      </c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/>
      <c r="Y2340" s="17" t="n">
        <v>1</v>
      </c>
      <c r="Z2340" s="13">
        <f>SUMPRODUCT(N2340:Y2340,$N$2:$Y$2)*$K2340*$L2340*$M2340</f>
        <v/>
      </c>
      <c r="AA2340" s="14">
        <f>SUM(N2340:Y2340)</f>
        <v/>
      </c>
      <c r="AB2340" s="14">
        <f>IFERROR(IF(UPPER($E2340)="L",SUMPRODUCT(N2340:Y2340,$N$3:$Y$3,$N$2:$Y$2),SUMPRODUCT(N2340:Y2340,$N$4:$Y$4,$N$2:$Y$2))/(Z2340/($K2340*$L2340*$M2340)),"")</f>
        <v/>
      </c>
      <c r="AC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1" t="n">
        <v>1</v>
      </c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/>
      <c r="Y2341" s="17" t="n">
        <v>1</v>
      </c>
      <c r="Z2341" s="13">
        <f>SUMPRODUCT(N2341:Y2341,$N$2:$Y$2)*$K2341*$L2341*$M2341</f>
        <v/>
      </c>
      <c r="AA2341" s="14">
        <f>SUM(N2341:Y2341)</f>
        <v/>
      </c>
      <c r="AB2341" s="14">
        <f>IFERROR(IF(UPPER($E2341)="L",SUMPRODUCT(N2341:Y2341,$N$3:$Y$3,$N$2:$Y$2),SUMPRODUCT(N2341:Y2341,$N$4:$Y$4,$N$2:$Y$2))/(Z2341/($K2341*$L2341*$M2341)),"")</f>
        <v/>
      </c>
      <c r="AC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inlineStr">
        <is>
          <t>C</t>
        </is>
      </c>
      <c r="G2342" s="9" t="n">
        <v>211</v>
      </c>
      <c r="H2342" s="9" t="n">
        <v>818</v>
      </c>
      <c r="I2342" s="9" t="inlineStr">
        <is>
          <t>Bench Bat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1" t="n">
        <v>0.9993145542635288</v>
      </c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/>
      <c r="W2342" s="17" t="n">
        <v>0.85</v>
      </c>
      <c r="X2342" s="17" t="n">
        <v>0.15</v>
      </c>
      <c r="Y2342" s="17" t="n"/>
      <c r="Z2342" s="13">
        <f>SUMPRODUCT(N2342:Y2342,$N$2:$Y$2)*$K2342*$L2342*$M2342</f>
        <v/>
      </c>
      <c r="AA2342" s="14">
        <f>SUM(N2342:Y2342)</f>
        <v/>
      </c>
      <c r="AB2342" s="14">
        <f>IFERROR(IF(UPPER($E2342)="L",SUMPRODUCT(N2342:Y2342,$N$3:$Y$3,$N$2:$Y$2),SUMPRODUCT(N2342:Y2342,$N$4:$Y$4,$N$2:$Y$2))/(Z2342/($K2342*$L2342*$M2342)),"")</f>
        <v/>
      </c>
      <c r="AC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1" t="n">
        <v>1</v>
      </c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/>
      <c r="Y2343" s="17" t="n">
        <v>1</v>
      </c>
      <c r="Z2343" s="13">
        <f>SUMPRODUCT(N2343:Y2343,$N$2:$Y$2)*$K2343*$L2343*$M2343</f>
        <v/>
      </c>
      <c r="AA2343" s="14">
        <f>SUM(N2343:Y2343)</f>
        <v/>
      </c>
      <c r="AB2343" s="14">
        <f>IFERROR(IF(UPPER($E2343)="L",SUMPRODUCT(N2343:Y2343,$N$3:$Y$3,$N$2:$Y$2),SUMPRODUCT(N2343:Y2343,$N$4:$Y$4,$N$2:$Y$2))/(Z2343/($K2343*$L2343*$M2343)),"")</f>
        <v/>
      </c>
      <c r="AC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1" t="n">
        <v>1</v>
      </c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/>
      <c r="Y2344" s="17" t="n">
        <v>1</v>
      </c>
      <c r="Z2344" s="13">
        <f>SUMPRODUCT(N2344:Y2344,$N$2:$Y$2)*$K2344*$L2344*$M2344</f>
        <v/>
      </c>
      <c r="AA2344" s="14">
        <f>SUM(N2344:Y2344)</f>
        <v/>
      </c>
      <c r="AB2344" s="14">
        <f>IFERROR(IF(UPPER($E2344)="L",SUMPRODUCT(N2344:Y2344,$N$3:$Y$3,$N$2:$Y$2),SUMPRODUCT(N2344:Y2344,$N$4:$Y$4,$N$2:$Y$2))/(Z2344/($K2344*$L2344*$M2344)),"")</f>
        <v/>
      </c>
      <c r="AC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1" t="n">
        <v>1</v>
      </c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/>
      <c r="Y2345" s="17" t="n">
        <v>1</v>
      </c>
      <c r="Z2345" s="13">
        <f>SUMPRODUCT(N2345:Y2345,$N$2:$Y$2)*$K2345*$L2345*$M2345</f>
        <v/>
      </c>
      <c r="AA2345" s="14">
        <f>SUM(N2345:Y2345)</f>
        <v/>
      </c>
      <c r="AB2345" s="14">
        <f>IFERROR(IF(UPPER($E2345)="L",SUMPRODUCT(N2345:Y2345,$N$3:$Y$3,$N$2:$Y$2),SUMPRODUCT(N2345:Y2345,$N$4:$Y$4,$N$2:$Y$2))/(Z2345/($K2345*$L2345*$M2345)),"")</f>
        <v/>
      </c>
      <c r="AC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1" t="n">
        <v>1</v>
      </c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/>
      <c r="Y2346" s="17" t="n">
        <v>1</v>
      </c>
      <c r="Z2346" s="13">
        <f>SUMPRODUCT(N2346:Y2346,$N$2:$Y$2)*$K2346*$L2346*$M2346</f>
        <v/>
      </c>
      <c r="AA2346" s="14">
        <f>SUM(N2346:Y2346)</f>
        <v/>
      </c>
      <c r="AB2346" s="14">
        <f>IFERROR(IF(UPPER($E2346)="L",SUMPRODUCT(N2346:Y2346,$N$3:$Y$3,$N$2:$Y$2),SUMPRODUCT(N2346:Y2346,$N$4:$Y$4,$N$2:$Y$2))/(Z2346/($K2346*$L2346*$M2346)),"")</f>
        <v/>
      </c>
      <c r="AC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1" t="n">
        <v>1</v>
      </c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/>
      <c r="Y2347" s="17" t="n">
        <v>1</v>
      </c>
      <c r="Z2347" s="13">
        <f>SUMPRODUCT(N2347:Y2347,$N$2:$Y$2)*$K2347*$L2347*$M2347</f>
        <v/>
      </c>
      <c r="AA2347" s="14">
        <f>SUM(N2347:Y2347)</f>
        <v/>
      </c>
      <c r="AB2347" s="14">
        <f>IFERROR(IF(UPPER($E2347)="L",SUMPRODUCT(N2347:Y2347,$N$3:$Y$3,$N$2:$Y$2),SUMPRODUCT(N2347:Y2347,$N$4:$Y$4,$N$2:$Y$2))/(Z2347/($K2347*$L2347*$M2347)),"")</f>
        <v/>
      </c>
      <c r="AC2347" s="18" t="n"/>
    </row>
    <row r="2348">
      <c r="A2348" s="9" t="n">
        <v>803745</v>
      </c>
      <c r="B2348" s="9" t="inlineStr">
        <is>
          <t>Adrian Santana</t>
        </is>
      </c>
      <c r="C2348" s="9" t="inlineStr">
        <is>
          <t>MIA</t>
        </is>
      </c>
      <c r="D2348" s="9" t="n">
        <v>25</v>
      </c>
      <c r="E2348" s="16" t="inlineStr">
        <is>
          <t>S</t>
        </is>
      </c>
      <c r="F2348" s="16" t="n"/>
      <c r="G2348" s="9" t="n">
        <v>50.25641025641026</v>
      </c>
      <c r="H2348" s="9" t="n">
        <v>50.25641025641026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1" t="n">
        <v>1</v>
      </c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/>
      <c r="Y2348" s="17" t="n">
        <v>1</v>
      </c>
      <c r="Z2348" s="13">
        <f>SUMPRODUCT(N2348:Y2348,$N$2:$Y$2)*$K2348*$L2348*$M2348</f>
        <v/>
      </c>
      <c r="AA2348" s="14">
        <f>SUM(N2348:Y2348)</f>
        <v/>
      </c>
      <c r="AB2348" s="14">
        <f>IFERROR(IF(UPPER($E2348)="L",SUMPRODUCT(N2348:Y2348,$N$3:$Y$3,$N$2:$Y$2),SUMPRODUCT(N2348:Y2348,$N$4:$Y$4,$N$2:$Y$2))/(Z2348/($K2348*$L2348*$M2348)),"")</f>
        <v/>
      </c>
      <c r="AC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1" t="n">
        <v>1</v>
      </c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/>
      <c r="Y2349" s="17" t="n">
        <v>1</v>
      </c>
      <c r="Z2349" s="13">
        <f>SUMPRODUCT(N2349:Y2349,$N$2:$Y$2)*$K2349*$L2349*$M2349</f>
        <v/>
      </c>
      <c r="AA2349" s="14">
        <f>SUM(N2349:Y2349)</f>
        <v/>
      </c>
      <c r="AB2349" s="14">
        <f>IFERROR(IF(UPPER($E2349)="L",SUMPRODUCT(N2349:Y2349,$N$3:$Y$3,$N$2:$Y$2),SUMPRODUCT(N2349:Y2349,$N$4:$Y$4,$N$2:$Y$2))/(Z2349/($K2349*$L2349*$M2349)),"")</f>
        <v/>
      </c>
      <c r="AC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inlineStr">
        <is>
          <t>1B</t>
        </is>
      </c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1" t="n">
        <v>1</v>
      </c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/>
      <c r="Y2350" s="17" t="n">
        <v>1</v>
      </c>
      <c r="Z2350" s="13">
        <f>SUMPRODUCT(N2350:Y2350,$N$2:$Y$2)*$K2350*$L2350*$M2350</f>
        <v/>
      </c>
      <c r="AA2350" s="14">
        <f>SUM(N2350:Y2350)</f>
        <v/>
      </c>
      <c r="AB2350" s="14">
        <f>IFERROR(IF(UPPER($E2350)="L",SUMPRODUCT(N2350:Y2350,$N$3:$Y$3,$N$2:$Y$2),SUMPRODUCT(N2350:Y2350,$N$4:$Y$4,$N$2:$Y$2))/(Z2350/($K2350*$L2350*$M2350)),"")</f>
        <v/>
      </c>
      <c r="AC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1" t="n">
        <v>1</v>
      </c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/>
      <c r="Y2351" s="17" t="n">
        <v>1</v>
      </c>
      <c r="Z2351" s="13">
        <f>SUMPRODUCT(N2351:Y2351,$N$2:$Y$2)*$K2351*$L2351*$M2351</f>
        <v/>
      </c>
      <c r="AA2351" s="14">
        <f>SUM(N2351:Y2351)</f>
        <v/>
      </c>
      <c r="AB2351" s="14">
        <f>IFERROR(IF(UPPER($E2351)="L",SUMPRODUCT(N2351:Y2351,$N$3:$Y$3,$N$2:$Y$2),SUMPRODUCT(N2351:Y2351,$N$4:$Y$4,$N$2:$Y$2))/(Z2351/($K2351*$L2351*$M2351)),"")</f>
        <v/>
      </c>
      <c r="AC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inlineStr">
        <is>
          <t>3B</t>
        </is>
      </c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1" t="n">
        <v>1</v>
      </c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/>
      <c r="Y2352" s="17" t="n">
        <v>1</v>
      </c>
      <c r="Z2352" s="13">
        <f>SUMPRODUCT(N2352:Y2352,$N$2:$Y$2)*$K2352*$L2352*$M2352</f>
        <v/>
      </c>
      <c r="AA2352" s="14">
        <f>SUM(N2352:Y2352)</f>
        <v/>
      </c>
      <c r="AB2352" s="14">
        <f>IFERROR(IF(UPPER($E2352)="L",SUMPRODUCT(N2352:Y2352,$N$3:$Y$3,$N$2:$Y$2),SUMPRODUCT(N2352:Y2352,$N$4:$Y$4,$N$2:$Y$2))/(Z2352/($K2352*$L2352*$M2352)),"")</f>
        <v/>
      </c>
      <c r="AC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1" t="n">
        <v>1</v>
      </c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/>
      <c r="Y2353" s="17" t="n">
        <v>1</v>
      </c>
      <c r="Z2353" s="13">
        <f>SUMPRODUCT(N2353:Y2353,$N$2:$Y$2)*$K2353*$L2353*$M2353</f>
        <v/>
      </c>
      <c r="AA2353" s="14">
        <f>SUM(N2353:Y2353)</f>
        <v/>
      </c>
      <c r="AB2353" s="14">
        <f>IFERROR(IF(UPPER($E2353)="L",SUMPRODUCT(N2353:Y2353,$N$3:$Y$3,$N$2:$Y$2),SUMPRODUCT(N2353:Y2353,$N$4:$Y$4,$N$2:$Y$2))/(Z2353/($K2353*$L2353*$M2353)),"")</f>
        <v/>
      </c>
      <c r="AC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1" t="n">
        <v>1</v>
      </c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/>
      <c r="Y2354" s="17" t="n">
        <v>1</v>
      </c>
      <c r="Z2354" s="13">
        <f>SUMPRODUCT(N2354:Y2354,$N$2:$Y$2)*$K2354*$L2354*$M2354</f>
        <v/>
      </c>
      <c r="AA2354" s="14">
        <f>SUM(N2354:Y2354)</f>
        <v/>
      </c>
      <c r="AB2354" s="14">
        <f>IFERROR(IF(UPPER($E2354)="L",SUMPRODUCT(N2354:Y2354,$N$3:$Y$3,$N$2:$Y$2),SUMPRODUCT(N2354:Y2354,$N$4:$Y$4,$N$2:$Y$2))/(Z2354/($K2354*$L2354*$M2354)),"")</f>
        <v/>
      </c>
      <c r="AC2354" s="18" t="n"/>
    </row>
    <row r="2355">
      <c r="A2355" s="9" t="n">
        <v>690985</v>
      </c>
      <c r="B2355" s="9" t="inlineStr">
        <is>
          <t>Colby Halter</t>
        </is>
      </c>
      <c r="C2355" s="9" t="inlineStr">
        <is>
          <t>OAK</t>
        </is>
      </c>
      <c r="D2355" s="9" t="n">
        <v>25</v>
      </c>
      <c r="E2355" s="16" t="inlineStr">
        <is>
          <t>L</t>
        </is>
      </c>
      <c r="F2355" s="16" t="n"/>
      <c r="G2355" s="9" t="n">
        <v>116.2051282051282</v>
      </c>
      <c r="H2355" s="9" t="n">
        <v>116.2051282051282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1" t="n">
        <v>1</v>
      </c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/>
      <c r="Y2355" s="17" t="n">
        <v>1</v>
      </c>
      <c r="Z2355" s="13">
        <f>SUMPRODUCT(N2355:Y2355,$N$2:$Y$2)*$K2355*$L2355*$M2355</f>
        <v/>
      </c>
      <c r="AA2355" s="14">
        <f>SUM(N2355:Y2355)</f>
        <v/>
      </c>
      <c r="AB2355" s="14">
        <f>IFERROR(IF(UPPER($E2355)="L",SUMPRODUCT(N2355:Y2355,$N$3:$Y$3,$N$2:$Y$2),SUMPRODUCT(N2355:Y2355,$N$4:$Y$4,$N$2:$Y$2))/(Z2355/($K2355*$L2355*$M2355)),"")</f>
        <v/>
      </c>
      <c r="AC2355" s="18" t="n"/>
    </row>
    <row r="2356">
      <c r="A2356" s="9" t="n">
        <v>687093</v>
      </c>
      <c r="B2356" s="9" t="inlineStr">
        <is>
          <t>Vaughn Grissom</t>
        </is>
      </c>
      <c r="C2356" s="9" t="inlineStr">
        <is>
          <t>LAA</t>
        </is>
      </c>
      <c r="D2356" s="9" t="n">
        <v>26</v>
      </c>
      <c r="E2356" s="16" t="inlineStr">
        <is>
          <t>R</t>
        </is>
      </c>
      <c r="F2356" s="16" t="inlineStr">
        <is>
          <t>1B</t>
        </is>
      </c>
      <c r="G2356" s="9" t="n">
        <v>474</v>
      </c>
      <c r="H2356" s="9" t="n">
        <v>824</v>
      </c>
      <c r="I2356" s="9" t="inlineStr">
        <is>
          <t>Full Time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1" t="n">
        <v>0.900642713279199</v>
      </c>
      <c r="N2356" s="17" t="n">
        <v>0.7</v>
      </c>
      <c r="O2356" s="17" t="n"/>
      <c r="P2356" s="17" t="n">
        <v>0.3</v>
      </c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7" t="n"/>
      <c r="Z2356" s="13">
        <f>SUMPRODUCT(N2356:Y2356,$N$2:$Y$2)*$K2356*$L2356*$M2356</f>
        <v/>
      </c>
      <c r="AA2356" s="14">
        <f>SUM(N2356:Y2356)</f>
        <v/>
      </c>
      <c r="AB2356" s="14">
        <f>IFERROR(IF(UPPER($E2356)="L",SUMPRODUCT(N2356:Y2356,$N$3:$Y$3,$N$2:$Y$2),SUMPRODUCT(N2356:Y2356,$N$4:$Y$4,$N$2:$Y$2))/(Z2356/($K2356*$L2356*$M2356)),"")</f>
        <v/>
      </c>
      <c r="AC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1" t="n">
        <v>1</v>
      </c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/>
      <c r="Y2357" s="17" t="n">
        <v>1</v>
      </c>
      <c r="Z2357" s="13">
        <f>SUMPRODUCT(N2357:Y2357,$N$2:$Y$2)*$K2357*$L2357*$M2357</f>
        <v/>
      </c>
      <c r="AA2357" s="14">
        <f>SUM(N2357:Y2357)</f>
        <v/>
      </c>
      <c r="AB2357" s="14">
        <f>IFERROR(IF(UPPER($E2357)="L",SUMPRODUCT(N2357:Y2357,$N$3:$Y$3,$N$2:$Y$2),SUMPRODUCT(N2357:Y2357,$N$4:$Y$4,$N$2:$Y$2))/(Z2357/($K2357*$L2357*$M2357)),"")</f>
        <v/>
      </c>
      <c r="AC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1" t="n">
        <v>1</v>
      </c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/>
      <c r="Y2358" s="17" t="n">
        <v>1</v>
      </c>
      <c r="Z2358" s="13">
        <f>SUMPRODUCT(N2358:Y2358,$N$2:$Y$2)*$K2358*$L2358*$M2358</f>
        <v/>
      </c>
      <c r="AA2358" s="14">
        <f>SUM(N2358:Y2358)</f>
        <v/>
      </c>
      <c r="AB2358" s="14">
        <f>IFERROR(IF(UPPER($E2358)="L",SUMPRODUCT(N2358:Y2358,$N$3:$Y$3,$N$2:$Y$2),SUMPRODUCT(N2358:Y2358,$N$4:$Y$4,$N$2:$Y$2))/(Z2358/($K2358*$L2358*$M2358)),"")</f>
        <v/>
      </c>
      <c r="AC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inlineStr">
        <is>
          <t>3B</t>
        </is>
      </c>
      <c r="G2359" s="9" t="n">
        <v>355</v>
      </c>
      <c r="H2359" s="9" t="n">
        <v>629</v>
      </c>
      <c r="I2359" s="9" t="inlineStr">
        <is>
          <t>Full Time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1" t="n">
        <v>1</v>
      </c>
      <c r="N2359" s="17" t="n">
        <v>0.8</v>
      </c>
      <c r="O2359" s="17" t="n"/>
      <c r="P2359" s="17" t="n">
        <v>0.2</v>
      </c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7" t="n"/>
      <c r="Z2359" s="13">
        <f>SUMPRODUCT(N2359:Y2359,$N$2:$Y$2)*$K2359*$L2359*$M2359</f>
        <v/>
      </c>
      <c r="AA2359" s="14">
        <f>SUM(N2359:Y2359)</f>
        <v/>
      </c>
      <c r="AB2359" s="14">
        <f>IFERROR(IF(UPPER($E2359)="L",SUMPRODUCT(N2359:Y2359,$N$3:$Y$3,$N$2:$Y$2),SUMPRODUCT(N2359:Y2359,$N$4:$Y$4,$N$2:$Y$2))/(Z2359/($K2359*$L2359*$M2359)),"")</f>
        <v/>
      </c>
      <c r="AC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1" t="n">
        <v>1</v>
      </c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/>
      <c r="Y2360" s="17" t="n">
        <v>1</v>
      </c>
      <c r="Z2360" s="13">
        <f>SUMPRODUCT(N2360:Y2360,$N$2:$Y$2)*$K2360*$L2360*$M2360</f>
        <v/>
      </c>
      <c r="AA2360" s="14">
        <f>SUM(N2360:Y2360)</f>
        <v/>
      </c>
      <c r="AB2360" s="14">
        <f>IFERROR(IF(UPPER($E2360)="L",SUMPRODUCT(N2360:Y2360,$N$3:$Y$3,$N$2:$Y$2),SUMPRODUCT(N2360:Y2360,$N$4:$Y$4,$N$2:$Y$2))/(Z2360/($K2360*$L2360*$M2360)),"")</f>
        <v/>
      </c>
      <c r="AC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1" t="n">
        <v>1</v>
      </c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/>
      <c r="Y2361" s="17" t="n">
        <v>1</v>
      </c>
      <c r="Z2361" s="13">
        <f>SUMPRODUCT(N2361:Y2361,$N$2:$Y$2)*$K2361*$L2361*$M2361</f>
        <v/>
      </c>
      <c r="AA2361" s="14">
        <f>SUM(N2361:Y2361)</f>
        <v/>
      </c>
      <c r="AB2361" s="14">
        <f>IFERROR(IF(UPPER($E2361)="L",SUMPRODUCT(N2361:Y2361,$N$3:$Y$3,$N$2:$Y$2),SUMPRODUCT(N2361:Y2361,$N$4:$Y$4,$N$2:$Y$2))/(Z2361/($K2361*$L2361*$M2361)),"")</f>
        <v/>
      </c>
      <c r="AC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1" t="n">
        <v>1</v>
      </c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/>
      <c r="Y2362" s="17" t="n">
        <v>1</v>
      </c>
      <c r="Z2362" s="13">
        <f>SUMPRODUCT(N2362:Y2362,$N$2:$Y$2)*$K2362*$L2362*$M2362</f>
        <v/>
      </c>
      <c r="AA2362" s="14">
        <f>SUM(N2362:Y2362)</f>
        <v/>
      </c>
      <c r="AB2362" s="14">
        <f>IFERROR(IF(UPPER($E2362)="L",SUMPRODUCT(N2362:Y2362,$N$3:$Y$3,$N$2:$Y$2),SUMPRODUCT(N2362:Y2362,$N$4:$Y$4,$N$2:$Y$2))/(Z2362/($K2362*$L2362*$M2362)),"")</f>
        <v/>
      </c>
      <c r="AC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1" t="n">
        <v>1</v>
      </c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/>
      <c r="Y2363" s="17" t="n">
        <v>1</v>
      </c>
      <c r="Z2363" s="13">
        <f>SUMPRODUCT(N2363:Y2363,$N$2:$Y$2)*$K2363*$L2363*$M2363</f>
        <v/>
      </c>
      <c r="AA2363" s="14">
        <f>SUM(N2363:Y2363)</f>
        <v/>
      </c>
      <c r="AB2363" s="14">
        <f>IFERROR(IF(UPPER($E2363)="L",SUMPRODUCT(N2363:Y2363,$N$3:$Y$3,$N$2:$Y$2),SUMPRODUCT(N2363:Y2363,$N$4:$Y$4,$N$2:$Y$2))/(Z2363/($K2363*$L2363*$M2363)),"")</f>
        <v/>
      </c>
      <c r="AC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1" t="n">
        <v>1</v>
      </c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/>
      <c r="Y2364" s="17" t="n">
        <v>1</v>
      </c>
      <c r="Z2364" s="13">
        <f>SUMPRODUCT(N2364:Y2364,$N$2:$Y$2)*$K2364*$L2364*$M2364</f>
        <v/>
      </c>
      <c r="AA2364" s="14">
        <f>SUM(N2364:Y2364)</f>
        <v/>
      </c>
      <c r="AB2364" s="14">
        <f>IFERROR(IF(UPPER($E2364)="L",SUMPRODUCT(N2364:Y2364,$N$3:$Y$3,$N$2:$Y$2),SUMPRODUCT(N2364:Y2364,$N$4:$Y$4,$N$2:$Y$2))/(Z2364/($K2364*$L2364*$M2364)),"")</f>
        <v/>
      </c>
      <c r="AC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1" t="n">
        <v>1</v>
      </c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/>
      <c r="Y2365" s="17" t="n">
        <v>1</v>
      </c>
      <c r="Z2365" s="13">
        <f>SUMPRODUCT(N2365:Y2365,$N$2:$Y$2)*$K2365*$L2365*$M2365</f>
        <v/>
      </c>
      <c r="AA2365" s="14">
        <f>SUM(N2365:Y2365)</f>
        <v/>
      </c>
      <c r="AB2365" s="14">
        <f>IFERROR(IF(UPPER($E2365)="L",SUMPRODUCT(N2365:Y2365,$N$3:$Y$3,$N$2:$Y$2),SUMPRODUCT(N2365:Y2365,$N$4:$Y$4,$N$2:$Y$2))/(Z2365/($K2365*$L2365*$M2365)),"")</f>
        <v/>
      </c>
      <c r="AC2365" s="18" t="n"/>
    </row>
    <row r="2366">
      <c r="A2366" s="9" t="n">
        <v>669256</v>
      </c>
      <c r="B2366" s="9" t="inlineStr">
        <is>
          <t>Nick Solak</t>
        </is>
      </c>
      <c r="C2366" s="9" t="inlineStr">
        <is>
          <t>TEX</t>
        </is>
      </c>
      <c r="D2366" s="9" t="n">
        <v>32</v>
      </c>
      <c r="E2366" s="16" t="inlineStr">
        <is>
          <t>R</t>
        </is>
      </c>
      <c r="F2366" s="16" t="inlineStr">
        <is>
          <t>1B</t>
        </is>
      </c>
      <c r="G2366" s="9" t="n">
        <v>10</v>
      </c>
      <c r="H2366" s="9" t="n">
        <v>116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1" t="n">
        <v>1</v>
      </c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/>
      <c r="Y2366" s="17" t="n">
        <v>1</v>
      </c>
      <c r="Z2366" s="13">
        <f>SUMPRODUCT(N2366:Y2366,$N$2:$Y$2)*$K2366*$L2366*$M2366</f>
        <v/>
      </c>
      <c r="AA2366" s="14">
        <f>SUM(N2366:Y2366)</f>
        <v/>
      </c>
      <c r="AB2366" s="14">
        <f>IFERROR(IF(UPPER($E2366)="L",SUMPRODUCT(N2366:Y2366,$N$3:$Y$3,$N$2:$Y$2),SUMPRODUCT(N2366:Y2366,$N$4:$Y$4,$N$2:$Y$2))/(Z2366/($K2366*$L2366*$M2366)),"")</f>
        <v/>
      </c>
      <c r="AC2366" s="18" t="n"/>
    </row>
    <row r="2367">
      <c r="A2367" s="9" t="n">
        <v>641779</v>
      </c>
      <c r="B2367" s="9" t="inlineStr">
        <is>
          <t>Charles Leblanc</t>
        </is>
      </c>
      <c r="C2367" s="9" t="inlineStr">
        <is>
          <t>LAA</t>
        </is>
      </c>
      <c r="D2367" s="9" t="n">
        <v>31</v>
      </c>
      <c r="E2367" s="16" t="inlineStr">
        <is>
          <t>R</t>
        </is>
      </c>
      <c r="F2367" s="16" t="inlineStr">
        <is>
          <t>3B</t>
        </is>
      </c>
      <c r="G2367" s="9" t="n">
        <v>28</v>
      </c>
      <c r="H2367" s="9" t="n">
        <v>197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1" t="n">
        <v>1</v>
      </c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/>
      <c r="Y2367" s="17" t="n">
        <v>1</v>
      </c>
      <c r="Z2367" s="13">
        <f>SUMPRODUCT(N2367:Y2367,$N$2:$Y$2)*$K2367*$L2367*$M2367</f>
        <v/>
      </c>
      <c r="AA2367" s="14">
        <f>SUM(N2367:Y2367)</f>
        <v/>
      </c>
      <c r="AB2367" s="14">
        <f>IFERROR(IF(UPPER($E2367)="L",SUMPRODUCT(N2367:Y2367,$N$3:$Y$3,$N$2:$Y$2),SUMPRODUCT(N2367:Y2367,$N$4:$Y$4,$N$2:$Y$2))/(Z2367/($K2367*$L2367*$M2367)),"")</f>
        <v/>
      </c>
      <c r="AC2367" s="18" t="n"/>
    </row>
    <row r="2368">
      <c r="A2368" s="9" t="n">
        <v>696264</v>
      </c>
      <c r="B2368" s="9" t="inlineStr">
        <is>
          <t>Tyler Whitaker</t>
        </is>
      </c>
      <c r="C2368" s="9" t="inlineStr">
        <is>
          <t>HOU</t>
        </is>
      </c>
      <c r="D2368" s="9" t="n">
        <v>25</v>
      </c>
      <c r="E2368" s="16" t="inlineStr">
        <is>
          <t>R</t>
        </is>
      </c>
      <c r="F2368" s="16" t="n"/>
      <c r="G2368" s="9" t="n">
        <v>147.5384615384615</v>
      </c>
      <c r="H2368" s="9" t="n">
        <v>147.5384615384615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1" t="n">
        <v>1</v>
      </c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/>
      <c r="Y2368" s="17" t="n">
        <v>1</v>
      </c>
      <c r="Z2368" s="13">
        <f>SUMPRODUCT(N2368:Y2368,$N$2:$Y$2)*$K2368*$L2368*$M2368</f>
        <v/>
      </c>
      <c r="AA2368" s="14">
        <f>SUM(N2368:Y2368)</f>
        <v/>
      </c>
      <c r="AB2368" s="14">
        <f>IFERROR(IF(UPPER($E2368)="L",SUMPRODUCT(N2368:Y2368,$N$3:$Y$3,$N$2:$Y$2),SUMPRODUCT(N2368:Y2368,$N$4:$Y$4,$N$2:$Y$2))/(Z2368/($K2368*$L2368*$M2368)),"")</f>
        <v/>
      </c>
      <c r="AC2368" s="18" t="n"/>
    </row>
    <row r="2369">
      <c r="A2369" s="9" t="n">
        <v>691728</v>
      </c>
      <c r="B2369" s="9" t="inlineStr">
        <is>
          <t>Zac Veen</t>
        </is>
      </c>
      <c r="C2369" s="9" t="inlineStr">
        <is>
          <t>COL</t>
        </is>
      </c>
      <c r="D2369" s="9" t="n">
        <v>25</v>
      </c>
      <c r="E2369" s="16" t="inlineStr">
        <is>
          <t>L</t>
        </is>
      </c>
      <c r="F2369" s="16" t="inlineStr">
        <is>
          <t>LF</t>
        </is>
      </c>
      <c r="G2369" s="9" t="n">
        <v>79</v>
      </c>
      <c r="H2369" s="9" t="n">
        <v>116</v>
      </c>
      <c r="I2369" s="9" t="inlineStr">
        <is>
          <t>Bench Bat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1" t="n">
        <v>1</v>
      </c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>
        <v>0.4</v>
      </c>
      <c r="W2369" s="17" t="n">
        <v>0.6</v>
      </c>
      <c r="X2369" s="17" t="n"/>
      <c r="Y2369" s="17" t="n"/>
      <c r="Z2369" s="13">
        <f>SUMPRODUCT(N2369:Y2369,$N$2:$Y$2)*$K2369*$L2369*$M2369</f>
        <v/>
      </c>
      <c r="AA2369" s="14">
        <f>SUM(N2369:Y2369)</f>
        <v/>
      </c>
      <c r="AB2369" s="14">
        <f>IFERROR(IF(UPPER($E2369)="L",SUMPRODUCT(N2369:Y2369,$N$3:$Y$3,$N$2:$Y$2),SUMPRODUCT(N2369:Y2369,$N$4:$Y$4,$N$2:$Y$2))/(Z2369/($K2369*$L2369*$M2369)),"")</f>
        <v/>
      </c>
      <c r="AC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1" t="n">
        <v>1</v>
      </c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/>
      <c r="Y2370" s="17" t="n">
        <v>1</v>
      </c>
      <c r="Z2370" s="13">
        <f>SUMPRODUCT(N2370:Y2370,$N$2:$Y$2)*$K2370*$L2370*$M2370</f>
        <v/>
      </c>
      <c r="AA2370" s="14">
        <f>SUM(N2370:Y2370)</f>
        <v/>
      </c>
      <c r="AB2370" s="14">
        <f>IFERROR(IF(UPPER($E2370)="L",SUMPRODUCT(N2370:Y2370,$N$3:$Y$3,$N$2:$Y$2),SUMPRODUCT(N2370:Y2370,$N$4:$Y$4,$N$2:$Y$2))/(Z2370/($K2370*$L2370*$M2370)),"")</f>
        <v/>
      </c>
      <c r="AC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inlineStr">
        <is>
          <t>C</t>
        </is>
      </c>
      <c r="G2371" s="9" t="n">
        <v>61</v>
      </c>
      <c r="H2371" s="9" t="n">
        <v>76</v>
      </c>
      <c r="I2371" s="9" t="inlineStr">
        <is>
          <t>Weak Side Platoon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1" t="n">
        <v>1</v>
      </c>
      <c r="N2371" s="17" t="n"/>
      <c r="O2371" s="17" t="n"/>
      <c r="P2371" s="17" t="n"/>
      <c r="Q2371" s="17" t="n">
        <v>0.6</v>
      </c>
      <c r="R2371" s="17" t="n"/>
      <c r="S2371" s="17" t="n"/>
      <c r="T2371" s="17" t="n"/>
      <c r="U2371" s="17" t="n"/>
      <c r="V2371" s="17" t="n"/>
      <c r="W2371" s="17" t="n">
        <v>0.4</v>
      </c>
      <c r="X2371" s="17" t="n"/>
      <c r="Y2371" s="17" t="n"/>
      <c r="Z2371" s="13">
        <f>SUMPRODUCT(N2371:Y2371,$N$2:$Y$2)*$K2371*$L2371*$M2371</f>
        <v/>
      </c>
      <c r="AA2371" s="14">
        <f>SUM(N2371:Y2371)</f>
        <v/>
      </c>
      <c r="AB2371" s="14">
        <f>IFERROR(IF(UPPER($E2371)="L",SUMPRODUCT(N2371:Y2371,$N$3:$Y$3,$N$2:$Y$2),SUMPRODUCT(N2371:Y2371,$N$4:$Y$4,$N$2:$Y$2))/(Z2371/($K2371*$L2371*$M2371)),"")</f>
        <v/>
      </c>
      <c r="AC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1" t="n">
        <v>1</v>
      </c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/>
      <c r="Y2372" s="17" t="n">
        <v>1</v>
      </c>
      <c r="Z2372" s="13">
        <f>SUMPRODUCT(N2372:Y2372,$N$2:$Y$2)*$K2372*$L2372*$M2372</f>
        <v/>
      </c>
      <c r="AA2372" s="14">
        <f>SUM(N2372:Y2372)</f>
        <v/>
      </c>
      <c r="AB2372" s="14">
        <f>IFERROR(IF(UPPER($E2372)="L",SUMPRODUCT(N2372:Y2372,$N$3:$Y$3,$N$2:$Y$2),SUMPRODUCT(N2372:Y2372,$N$4:$Y$4,$N$2:$Y$2))/(Z2372/($K2372*$L2372*$M2372)),"")</f>
        <v/>
      </c>
      <c r="AC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inlineStr">
        <is>
          <t>LF</t>
        </is>
      </c>
      <c r="G2373" s="9" t="n">
        <v>25</v>
      </c>
      <c r="H2373" s="9" t="n">
        <v>323</v>
      </c>
      <c r="I2373" s="9" t="inlineStr">
        <is>
          <t>Weak Side Platoon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1" t="n">
        <v>1</v>
      </c>
      <c r="N2373" s="17" t="n"/>
      <c r="O2373" s="17" t="n"/>
      <c r="P2373" s="17" t="n"/>
      <c r="Q2373" s="17" t="n">
        <v>1</v>
      </c>
      <c r="R2373" s="17" t="n"/>
      <c r="S2373" s="17" t="n"/>
      <c r="T2373" s="17" t="n"/>
      <c r="U2373" s="17" t="n"/>
      <c r="V2373" s="17" t="n"/>
      <c r="W2373" s="17" t="n"/>
      <c r="X2373" s="17" t="n"/>
      <c r="Y2373" s="17" t="n"/>
      <c r="Z2373" s="13">
        <f>SUMPRODUCT(N2373:Y2373,$N$2:$Y$2)*$K2373*$L2373*$M2373</f>
        <v/>
      </c>
      <c r="AA2373" s="14">
        <f>SUM(N2373:Y2373)</f>
        <v/>
      </c>
      <c r="AB2373" s="14">
        <f>IFERROR(IF(UPPER($E2373)="L",SUMPRODUCT(N2373:Y2373,$N$3:$Y$3,$N$2:$Y$2),SUMPRODUCT(N2373:Y2373,$N$4:$Y$4,$N$2:$Y$2))/(Z2373/($K2373*$L2373*$M2373)),"")</f>
        <v/>
      </c>
      <c r="AC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1" t="n">
        <v>1</v>
      </c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/>
      <c r="Y2374" s="17" t="n">
        <v>1</v>
      </c>
      <c r="Z2374" s="13">
        <f>SUMPRODUCT(N2374:Y2374,$N$2:$Y$2)*$K2374*$L2374*$M2374</f>
        <v/>
      </c>
      <c r="AA2374" s="14">
        <f>SUM(N2374:Y2374)</f>
        <v/>
      </c>
      <c r="AB2374" s="14">
        <f>IFERROR(IF(UPPER($E2374)="L",SUMPRODUCT(N2374:Y2374,$N$3:$Y$3,$N$2:$Y$2),SUMPRODUCT(N2374:Y2374,$N$4:$Y$4,$N$2:$Y$2))/(Z2374/($K2374*$L2374*$M2374)),"")</f>
        <v/>
      </c>
      <c r="AC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1" t="n">
        <v>1</v>
      </c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/>
      <c r="Y2375" s="17" t="n">
        <v>1</v>
      </c>
      <c r="Z2375" s="13">
        <f>SUMPRODUCT(N2375:Y2375,$N$2:$Y$2)*$K2375*$L2375*$M2375</f>
        <v/>
      </c>
      <c r="AA2375" s="14">
        <f>SUM(N2375:Y2375)</f>
        <v/>
      </c>
      <c r="AB2375" s="14">
        <f>IFERROR(IF(UPPER($E2375)="L",SUMPRODUCT(N2375:Y2375,$N$3:$Y$3,$N$2:$Y$2),SUMPRODUCT(N2375:Y2375,$N$4:$Y$4,$N$2:$Y$2))/(Z2375/($K2375*$L2375*$M2375)),"")</f>
        <v/>
      </c>
      <c r="AC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1" t="n">
        <v>1</v>
      </c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/>
      <c r="Y2376" s="17" t="n">
        <v>1</v>
      </c>
      <c r="Z2376" s="13">
        <f>SUMPRODUCT(N2376:Y2376,$N$2:$Y$2)*$K2376*$L2376*$M2376</f>
        <v/>
      </c>
      <c r="AA2376" s="14">
        <f>SUM(N2376:Y2376)</f>
        <v/>
      </c>
      <c r="AB2376" s="14">
        <f>IFERROR(IF(UPPER($E2376)="L",SUMPRODUCT(N2376:Y2376,$N$3:$Y$3,$N$2:$Y$2),SUMPRODUCT(N2376:Y2376,$N$4:$Y$4,$N$2:$Y$2))/(Z2376/($K2376*$L2376*$M2376)),"")</f>
        <v/>
      </c>
      <c r="AC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1" t="n">
        <v>1</v>
      </c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/>
      <c r="Y2377" s="17" t="n">
        <v>1</v>
      </c>
      <c r="Z2377" s="13">
        <f>SUMPRODUCT(N2377:Y2377,$N$2:$Y$2)*$K2377*$L2377*$M2377</f>
        <v/>
      </c>
      <c r="AA2377" s="14">
        <f>SUM(N2377:Y2377)</f>
        <v/>
      </c>
      <c r="AB2377" s="14">
        <f>IFERROR(IF(UPPER($E2377)="L",SUMPRODUCT(N2377:Y2377,$N$3:$Y$3,$N$2:$Y$2),SUMPRODUCT(N2377:Y2377,$N$4:$Y$4,$N$2:$Y$2))/(Z2377/($K2377*$L2377*$M2377)),"")</f>
        <v/>
      </c>
      <c r="AC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1" t="n">
        <v>1</v>
      </c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/>
      <c r="Y2378" s="17" t="n">
        <v>1</v>
      </c>
      <c r="Z2378" s="13">
        <f>SUMPRODUCT(N2378:Y2378,$N$2:$Y$2)*$K2378*$L2378*$M2378</f>
        <v/>
      </c>
      <c r="AA2378" s="14">
        <f>SUM(N2378:Y2378)</f>
        <v/>
      </c>
      <c r="AB2378" s="14">
        <f>IFERROR(IF(UPPER($E2378)="L",SUMPRODUCT(N2378:Y2378,$N$3:$Y$3,$N$2:$Y$2),SUMPRODUCT(N2378:Y2378,$N$4:$Y$4,$N$2:$Y$2))/(Z2378/($K2378*$L2378*$M2378)),"")</f>
        <v/>
      </c>
      <c r="AC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1" t="n">
        <v>1</v>
      </c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/>
      <c r="Y2379" s="17" t="n">
        <v>1</v>
      </c>
      <c r="Z2379" s="13">
        <f>SUMPRODUCT(N2379:Y2379,$N$2:$Y$2)*$K2379*$L2379*$M2379</f>
        <v/>
      </c>
      <c r="AA2379" s="14">
        <f>SUM(N2379:Y2379)</f>
        <v/>
      </c>
      <c r="AB2379" s="14">
        <f>IFERROR(IF(UPPER($E2379)="L",SUMPRODUCT(N2379:Y2379,$N$3:$Y$3,$N$2:$Y$2),SUMPRODUCT(N2379:Y2379,$N$4:$Y$4,$N$2:$Y$2))/(Z2379/($K2379*$L2379*$M2379)),"")</f>
        <v/>
      </c>
      <c r="AC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inlineStr">
        <is>
          <t>CF</t>
        </is>
      </c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1" t="n">
        <v>1</v>
      </c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/>
      <c r="Y2380" s="17" t="n">
        <v>1</v>
      </c>
      <c r="Z2380" s="13">
        <f>SUMPRODUCT(N2380:Y2380,$N$2:$Y$2)*$K2380*$L2380*$M2380</f>
        <v/>
      </c>
      <c r="AA2380" s="14">
        <f>SUM(N2380:Y2380)</f>
        <v/>
      </c>
      <c r="AB2380" s="14">
        <f>IFERROR(IF(UPPER($E2380)="L",SUMPRODUCT(N2380:Y2380,$N$3:$Y$3,$N$2:$Y$2),SUMPRODUCT(N2380:Y2380,$N$4:$Y$4,$N$2:$Y$2))/(Z2380/($K2380*$L2380*$M2380)),"")</f>
        <v/>
      </c>
      <c r="AC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1" t="n">
        <v>1</v>
      </c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/>
      <c r="Y2381" s="17" t="n">
        <v>1</v>
      </c>
      <c r="Z2381" s="13">
        <f>SUMPRODUCT(N2381:Y2381,$N$2:$Y$2)*$K2381*$L2381*$M2381</f>
        <v/>
      </c>
      <c r="AA2381" s="14">
        <f>SUM(N2381:Y2381)</f>
        <v/>
      </c>
      <c r="AB2381" s="14">
        <f>IFERROR(IF(UPPER($E2381)="L",SUMPRODUCT(N2381:Y2381,$N$3:$Y$3,$N$2:$Y$2),SUMPRODUCT(N2381:Y2381,$N$4:$Y$4,$N$2:$Y$2))/(Z2381/($K2381*$L2381*$M2381)),"")</f>
        <v/>
      </c>
      <c r="AC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inlineStr">
        <is>
          <t>RF</t>
        </is>
      </c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1" t="n">
        <v>0.830158268517504</v>
      </c>
      <c r="N2382" s="17" t="n">
        <v>1</v>
      </c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7" t="n"/>
      <c r="Z2382" s="13">
        <f>SUMPRODUCT(N2382:Y2382,$N$2:$Y$2)*$K2382*$L2382*$M2382</f>
        <v/>
      </c>
      <c r="AA2382" s="14">
        <f>SUM(N2382:Y2382)</f>
        <v/>
      </c>
      <c r="AB2382" s="14">
        <f>IFERROR(IF(UPPER($E2382)="L",SUMPRODUCT(N2382:Y2382,$N$3:$Y$3,$N$2:$Y$2),SUMPRODUCT(N2382:Y2382,$N$4:$Y$4,$N$2:$Y$2))/(Z2382/($K2382*$L2382*$M2382)),"")</f>
        <v/>
      </c>
      <c r="AC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1" t="n">
        <v>1</v>
      </c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/>
      <c r="Y2383" s="17" t="n">
        <v>1</v>
      </c>
      <c r="Z2383" s="13">
        <f>SUMPRODUCT(N2383:Y2383,$N$2:$Y$2)*$K2383*$L2383*$M2383</f>
        <v/>
      </c>
      <c r="AA2383" s="14">
        <f>SUM(N2383:Y2383)</f>
        <v/>
      </c>
      <c r="AB2383" s="14">
        <f>IFERROR(IF(UPPER($E2383)="L",SUMPRODUCT(N2383:Y2383,$N$3:$Y$3,$N$2:$Y$2),SUMPRODUCT(N2383:Y2383,$N$4:$Y$4,$N$2:$Y$2))/(Z2383/($K2383*$L2383*$M2383)),"")</f>
        <v/>
      </c>
      <c r="AC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1" t="n">
        <v>1</v>
      </c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/>
      <c r="Y2384" s="17" t="n">
        <v>1</v>
      </c>
      <c r="Z2384" s="13">
        <f>SUMPRODUCT(N2384:Y2384,$N$2:$Y$2)*$K2384*$L2384*$M2384</f>
        <v/>
      </c>
      <c r="AA2384" s="14">
        <f>SUM(N2384:Y2384)</f>
        <v/>
      </c>
      <c r="AB2384" s="14">
        <f>IFERROR(IF(UPPER($E2384)="L",SUMPRODUCT(N2384:Y2384,$N$3:$Y$3,$N$2:$Y$2),SUMPRODUCT(N2384:Y2384,$N$4:$Y$4,$N$2:$Y$2))/(Z2384/($K2384*$L2384*$M2384)),"")</f>
        <v/>
      </c>
      <c r="AC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1" t="n">
        <v>1</v>
      </c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/>
      <c r="Y2385" s="17" t="n">
        <v>1</v>
      </c>
      <c r="Z2385" s="13">
        <f>SUMPRODUCT(N2385:Y2385,$N$2:$Y$2)*$K2385*$L2385*$M2385</f>
        <v/>
      </c>
      <c r="AA2385" s="14">
        <f>SUM(N2385:Y2385)</f>
        <v/>
      </c>
      <c r="AB2385" s="14">
        <f>IFERROR(IF(UPPER($E2385)="L",SUMPRODUCT(N2385:Y2385,$N$3:$Y$3,$N$2:$Y$2),SUMPRODUCT(N2385:Y2385,$N$4:$Y$4,$N$2:$Y$2))/(Z2385/($K2385*$L2385*$M2385)),"")</f>
        <v/>
      </c>
      <c r="AC2385" s="18" t="n"/>
    </row>
    <row r="2386">
      <c r="A2386" s="9" t="n">
        <v>679788</v>
      </c>
      <c r="B2386" s="9" t="inlineStr">
        <is>
          <t>Jack Rogers</t>
        </is>
      </c>
      <c r="C2386" s="9" t="inlineStr">
        <is>
          <t>WSH</t>
        </is>
      </c>
      <c r="D2386" s="9" t="n">
        <v>25</v>
      </c>
      <c r="E2386" s="16" t="inlineStr">
        <is>
          <t>L</t>
        </is>
      </c>
      <c r="F2386" s="16" t="n"/>
      <c r="G2386" s="9" t="n">
        <v>47.74358974358974</v>
      </c>
      <c r="H2386" s="9" t="n">
        <v>47.74358974358974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1" t="n">
        <v>1</v>
      </c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/>
      <c r="Y2386" s="17" t="n">
        <v>1</v>
      </c>
      <c r="Z2386" s="13">
        <f>SUMPRODUCT(N2386:Y2386,$N$2:$Y$2)*$K2386*$L2386*$M2386</f>
        <v/>
      </c>
      <c r="AA2386" s="14">
        <f>SUM(N2386:Y2386)</f>
        <v/>
      </c>
      <c r="AB2386" s="14">
        <f>IFERROR(IF(UPPER($E2386)="L",SUMPRODUCT(N2386:Y2386,$N$3:$Y$3,$N$2:$Y$2),SUMPRODUCT(N2386:Y2386,$N$4:$Y$4,$N$2:$Y$2))/(Z2386/($K2386*$L2386*$M2386)),"")</f>
        <v/>
      </c>
      <c r="AC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inlineStr">
        <is>
          <t>2B</t>
        </is>
      </c>
      <c r="G2387" s="9" t="n">
        <v>331</v>
      </c>
      <c r="H2387" s="9" t="n">
        <v>2019</v>
      </c>
      <c r="I2387" s="9" t="inlineStr">
        <is>
          <t>Full Time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1" t="n">
        <v>0.830158268517504</v>
      </c>
      <c r="N2387" s="17" t="n">
        <v>0.7</v>
      </c>
      <c r="O2387" s="17" t="n"/>
      <c r="P2387" s="17" t="n">
        <v>0.3</v>
      </c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7" t="n"/>
      <c r="Z2387" s="13">
        <f>SUMPRODUCT(N2387:Y2387,$N$2:$Y$2)*$K2387*$L2387*$M2387</f>
        <v/>
      </c>
      <c r="AA2387" s="14">
        <f>SUM(N2387:Y2387)</f>
        <v/>
      </c>
      <c r="AB2387" s="14">
        <f>IFERROR(IF(UPPER($E2387)="L",SUMPRODUCT(N2387:Y2387,$N$3:$Y$3,$N$2:$Y$2),SUMPRODUCT(N2387:Y2387,$N$4:$Y$4,$N$2:$Y$2))/(Z2387/($K2387*$L2387*$M2387)),"")</f>
        <v/>
      </c>
      <c r="AC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1" t="n">
        <v>1</v>
      </c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/>
      <c r="Y2388" s="17" t="n">
        <v>1</v>
      </c>
      <c r="Z2388" s="13">
        <f>SUMPRODUCT(N2388:Y2388,$N$2:$Y$2)*$K2388*$L2388*$M2388</f>
        <v/>
      </c>
      <c r="AA2388" s="14">
        <f>SUM(N2388:Y2388)</f>
        <v/>
      </c>
      <c r="AB2388" s="14">
        <f>IFERROR(IF(UPPER($E2388)="L",SUMPRODUCT(N2388:Y2388,$N$3:$Y$3,$N$2:$Y$2),SUMPRODUCT(N2388:Y2388,$N$4:$Y$4,$N$2:$Y$2))/(Z2388/($K2388*$L2388*$M2388)),"")</f>
        <v/>
      </c>
      <c r="AC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1" t="n">
        <v>1</v>
      </c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/>
      <c r="Y2389" s="17" t="n">
        <v>1</v>
      </c>
      <c r="Z2389" s="13">
        <f>SUMPRODUCT(N2389:Y2389,$N$2:$Y$2)*$K2389*$L2389*$M2389</f>
        <v/>
      </c>
      <c r="AA2389" s="14">
        <f>SUM(N2389:Y2389)</f>
        <v/>
      </c>
      <c r="AB2389" s="14">
        <f>IFERROR(IF(UPPER($E2389)="L",SUMPRODUCT(N2389:Y2389,$N$3:$Y$3,$N$2:$Y$2),SUMPRODUCT(N2389:Y2389,$N$4:$Y$4,$N$2:$Y$2))/(Z2389/($K2389*$L2389*$M2389)),"")</f>
        <v/>
      </c>
      <c r="AC2389" s="18" t="n"/>
    </row>
    <row r="2390">
      <c r="A2390" s="9" t="n">
        <v>669701</v>
      </c>
      <c r="B2390" s="9" t="inlineStr">
        <is>
          <t>Josh Smith</t>
        </is>
      </c>
      <c r="C2390" s="9" t="inlineStr">
        <is>
          <t>TOR</t>
        </is>
      </c>
      <c r="D2390" s="9" t="n">
        <v>29</v>
      </c>
      <c r="E2390" s="16" t="inlineStr">
        <is>
          <t>L</t>
        </is>
      </c>
      <c r="F2390" s="16" t="inlineStr">
        <is>
          <t>2B</t>
        </is>
      </c>
      <c r="G2390" s="9" t="n">
        <v>243</v>
      </c>
      <c r="H2390" s="9" t="n">
        <v>1883</v>
      </c>
      <c r="I2390" s="9" t="inlineStr">
        <is>
          <t>Strong Side Platoon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1" t="n">
        <v>1.019641819865523</v>
      </c>
      <c r="N2390" s="17" t="n">
        <v>0.4</v>
      </c>
      <c r="O2390" s="17" t="n"/>
      <c r="P2390" s="17" t="n">
        <v>0.6</v>
      </c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7" t="n"/>
      <c r="Z2390" s="13">
        <f>SUMPRODUCT(N2390:Y2390,$N$2:$Y$2)*$K2390*$L2390*$M2390</f>
        <v/>
      </c>
      <c r="AA2390" s="14">
        <f>SUM(N2390:Y2390)</f>
        <v/>
      </c>
      <c r="AB2390" s="14">
        <f>IFERROR(IF(UPPER($E2390)="L",SUMPRODUCT(N2390:Y2390,$N$3:$Y$3,$N$2:$Y$2),SUMPRODUCT(N2390:Y2390,$N$4:$Y$4,$N$2:$Y$2))/(Z2390/($K2390*$L2390*$M2390)),"")</f>
        <v/>
      </c>
      <c r="AC2390" s="18" t="n"/>
    </row>
    <row r="2391">
      <c r="A2391" s="9" t="n">
        <v>692222</v>
      </c>
      <c r="B2391" s="9" t="inlineStr">
        <is>
          <t>Jose Izarra</t>
        </is>
      </c>
      <c r="C2391" s="9" t="inlineStr">
        <is>
          <t>LAD</t>
        </is>
      </c>
      <c r="D2391" s="9" t="n">
        <v>25</v>
      </c>
      <c r="E2391" s="16" t="inlineStr">
        <is>
          <t>R</t>
        </is>
      </c>
      <c r="F2391" s="16" t="n"/>
      <c r="G2391" s="9" t="n">
        <v>62.46153846153845</v>
      </c>
      <c r="H2391" s="9" t="n">
        <v>62.46153846153845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1" t="n">
        <v>1</v>
      </c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/>
      <c r="Y2391" s="17" t="n">
        <v>1</v>
      </c>
      <c r="Z2391" s="13">
        <f>SUMPRODUCT(N2391:Y2391,$N$2:$Y$2)*$K2391*$L2391*$M2391</f>
        <v/>
      </c>
      <c r="AA2391" s="14">
        <f>SUM(N2391:Y2391)</f>
        <v/>
      </c>
      <c r="AB2391" s="14">
        <f>IFERROR(IF(UPPER($E2391)="L",SUMPRODUCT(N2391:Y2391,$N$3:$Y$3,$N$2:$Y$2),SUMPRODUCT(N2391:Y2391,$N$4:$Y$4,$N$2:$Y$2))/(Z2391/($K2391*$L2391*$M2391)),"")</f>
        <v/>
      </c>
      <c r="AC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inlineStr">
        <is>
          <t>RF</t>
        </is>
      </c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1" t="n">
        <v>1</v>
      </c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/>
      <c r="Y2392" s="17" t="n">
        <v>1</v>
      </c>
      <c r="Z2392" s="13">
        <f>SUMPRODUCT(N2392:Y2392,$N$2:$Y$2)*$K2392*$L2392*$M2392</f>
        <v/>
      </c>
      <c r="AA2392" s="14">
        <f>SUM(N2392:Y2392)</f>
        <v/>
      </c>
      <c r="AB2392" s="14">
        <f>IFERROR(IF(UPPER($E2392)="L",SUMPRODUCT(N2392:Y2392,$N$3:$Y$3,$N$2:$Y$2),SUMPRODUCT(N2392:Y2392,$N$4:$Y$4,$N$2:$Y$2))/(Z2392/($K2392*$L2392*$M2392)),"")</f>
        <v/>
      </c>
      <c r="AC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1" t="n">
        <v>1</v>
      </c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/>
      <c r="Y2393" s="17" t="n">
        <v>1</v>
      </c>
      <c r="Z2393" s="13">
        <f>SUMPRODUCT(N2393:Y2393,$N$2:$Y$2)*$K2393*$L2393*$M2393</f>
        <v/>
      </c>
      <c r="AA2393" s="14">
        <f>SUM(N2393:Y2393)</f>
        <v/>
      </c>
      <c r="AB2393" s="14">
        <f>IFERROR(IF(UPPER($E2393)="L",SUMPRODUCT(N2393:Y2393,$N$3:$Y$3,$N$2:$Y$2),SUMPRODUCT(N2393:Y2393,$N$4:$Y$4,$N$2:$Y$2))/(Z2393/($K2393*$L2393*$M2393)),"")</f>
        <v/>
      </c>
      <c r="AC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1" t="n">
        <v>1</v>
      </c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/>
      <c r="Y2394" s="17" t="n">
        <v>1</v>
      </c>
      <c r="Z2394" s="13">
        <f>SUMPRODUCT(N2394:Y2394,$N$2:$Y$2)*$K2394*$L2394*$M2394</f>
        <v/>
      </c>
      <c r="AA2394" s="14">
        <f>SUM(N2394:Y2394)</f>
        <v/>
      </c>
      <c r="AB2394" s="14">
        <f>IFERROR(IF(UPPER($E2394)="L",SUMPRODUCT(N2394:Y2394,$N$3:$Y$3,$N$2:$Y$2),SUMPRODUCT(N2394:Y2394,$N$4:$Y$4,$N$2:$Y$2))/(Z2394/($K2394*$L2394*$M2394)),"")</f>
        <v/>
      </c>
      <c r="AC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1" t="n">
        <v>1</v>
      </c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/>
      <c r="Y2395" s="17" t="n">
        <v>1</v>
      </c>
      <c r="Z2395" s="13">
        <f>SUMPRODUCT(N2395:Y2395,$N$2:$Y$2)*$K2395*$L2395*$M2395</f>
        <v/>
      </c>
      <c r="AA2395" s="14">
        <f>SUM(N2395:Y2395)</f>
        <v/>
      </c>
      <c r="AB2395" s="14">
        <f>IFERROR(IF(UPPER($E2395)="L",SUMPRODUCT(N2395:Y2395,$N$3:$Y$3,$N$2:$Y$2),SUMPRODUCT(N2395:Y2395,$N$4:$Y$4,$N$2:$Y$2))/(Z2395/($K2395*$L2395*$M2395)),"")</f>
        <v/>
      </c>
      <c r="AC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inlineStr">
        <is>
          <t>2B</t>
        </is>
      </c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1" t="n">
        <v>0.94065232065889</v>
      </c>
      <c r="N2396" s="17" t="n">
        <v>1</v>
      </c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7" t="n"/>
      <c r="Z2396" s="13">
        <f>SUMPRODUCT(N2396:Y2396,$N$2:$Y$2)*$K2396*$L2396*$M2396</f>
        <v/>
      </c>
      <c r="AA2396" s="14">
        <f>SUM(N2396:Y2396)</f>
        <v/>
      </c>
      <c r="AB2396" s="14">
        <f>IFERROR(IF(UPPER($E2396)="L",SUMPRODUCT(N2396:Y2396,$N$3:$Y$3,$N$2:$Y$2),SUMPRODUCT(N2396:Y2396,$N$4:$Y$4,$N$2:$Y$2))/(Z2396/($K2396*$L2396*$M2396)),"")</f>
        <v/>
      </c>
      <c r="AC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1" t="n">
        <v>1</v>
      </c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/>
      <c r="Y2397" s="17" t="n">
        <v>1</v>
      </c>
      <c r="Z2397" s="13">
        <f>SUMPRODUCT(N2397:Y2397,$N$2:$Y$2)*$K2397*$L2397*$M2397</f>
        <v/>
      </c>
      <c r="AA2397" s="14">
        <f>SUM(N2397:Y2397)</f>
        <v/>
      </c>
      <c r="AB2397" s="14">
        <f>IFERROR(IF(UPPER($E2397)="L",SUMPRODUCT(N2397:Y2397,$N$3:$Y$3,$N$2:$Y$2),SUMPRODUCT(N2397:Y2397,$N$4:$Y$4,$N$2:$Y$2))/(Z2397/($K2397*$L2397*$M2397)),"")</f>
        <v/>
      </c>
      <c r="AC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1" t="n">
        <v>1</v>
      </c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/>
      <c r="Y2398" s="17" t="n">
        <v>1</v>
      </c>
      <c r="Z2398" s="13">
        <f>SUMPRODUCT(N2398:Y2398,$N$2:$Y$2)*$K2398*$L2398*$M2398</f>
        <v/>
      </c>
      <c r="AA2398" s="14">
        <f>SUM(N2398:Y2398)</f>
        <v/>
      </c>
      <c r="AB2398" s="14">
        <f>IFERROR(IF(UPPER($E2398)="L",SUMPRODUCT(N2398:Y2398,$N$3:$Y$3,$N$2:$Y$2),SUMPRODUCT(N2398:Y2398,$N$4:$Y$4,$N$2:$Y$2))/(Z2398/($K2398*$L2398*$M2398)),"")</f>
        <v/>
      </c>
      <c r="AC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25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Bench Bat</t>
        </is>
      </c>
      <c r="J2399" s="16" t="inlineStr">
        <is>
          <t>Mid Season (~July)</t>
        </is>
      </c>
      <c r="K2399" s="11">
        <f>IFERROR(INDEX(Roles!$B$17:$B$20,MATCH(J2399,Roles!$A$17:$A$20,0)),1)</f>
        <v/>
      </c>
      <c r="L2399" s="17" t="n">
        <v>1</v>
      </c>
      <c r="M2399" s="11" t="n">
        <v>1</v>
      </c>
      <c r="N2399" s="17" t="n"/>
      <c r="O2399" s="17" t="n"/>
      <c r="P2399" s="17" t="n">
        <v>0.3</v>
      </c>
      <c r="Q2399" s="17" t="n"/>
      <c r="R2399" s="17" t="n"/>
      <c r="S2399" s="17" t="n"/>
      <c r="T2399" s="17" t="n"/>
      <c r="U2399" s="17" t="n"/>
      <c r="V2399" s="17" t="n"/>
      <c r="W2399" s="17" t="n">
        <v>0.45</v>
      </c>
      <c r="X2399" s="17" t="n">
        <v>0.25</v>
      </c>
      <c r="Y2399" s="17" t="n"/>
      <c r="Z2399" s="13">
        <f>SUMPRODUCT(N2399:Y2399,$N$2:$Y$2)*$K2399*$L2399*$M2399</f>
        <v/>
      </c>
      <c r="AA2399" s="14">
        <f>SUM(N2399:Y2399)</f>
        <v/>
      </c>
      <c r="AB2399" s="14">
        <f>IFERROR(IF(UPPER($E2399)="L",SUMPRODUCT(N2399:Y2399,$N$3:$Y$3,$N$2:$Y$2),SUMPRODUCT(N2399:Y2399,$N$4:$Y$4,$N$2:$Y$2))/(Z2399/($K2399*$L2399*$M2399)),"")</f>
        <v/>
      </c>
      <c r="AC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1" t="n">
        <v>1</v>
      </c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/>
      <c r="Y2400" s="17" t="n">
        <v>1</v>
      </c>
      <c r="Z2400" s="13">
        <f>SUMPRODUCT(N2400:Y2400,$N$2:$Y$2)*$K2400*$L2400*$M2400</f>
        <v/>
      </c>
      <c r="AA2400" s="14">
        <f>SUM(N2400:Y2400)</f>
        <v/>
      </c>
      <c r="AB2400" s="14">
        <f>IFERROR(IF(UPPER($E2400)="L",SUMPRODUCT(N2400:Y2400,$N$3:$Y$3,$N$2:$Y$2),SUMPRODUCT(N2400:Y2400,$N$4:$Y$4,$N$2:$Y$2))/(Z2400/($K2400*$L2400*$M2400)),"")</f>
        <v/>
      </c>
      <c r="AC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1" t="n">
        <v>1</v>
      </c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/>
      <c r="Y2401" s="17" t="n">
        <v>1</v>
      </c>
      <c r="Z2401" s="13">
        <f>SUMPRODUCT(N2401:Y2401,$N$2:$Y$2)*$K2401*$L2401*$M2401</f>
        <v/>
      </c>
      <c r="AA2401" s="14">
        <f>SUM(N2401:Y2401)</f>
        <v/>
      </c>
      <c r="AB2401" s="14">
        <f>IFERROR(IF(UPPER($E2401)="L",SUMPRODUCT(N2401:Y2401,$N$3:$Y$3,$N$2:$Y$2),SUMPRODUCT(N2401:Y2401,$N$4:$Y$4,$N$2:$Y$2))/(Z2401/($K2401*$L2401*$M2401)),"")</f>
        <v/>
      </c>
      <c r="AC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inlineStr">
        <is>
          <t>1B</t>
        </is>
      </c>
      <c r="G2402" s="9" t="n">
        <v>52</v>
      </c>
      <c r="H2402" s="9" t="n">
        <v>640</v>
      </c>
      <c r="I2402" s="9" t="inlineStr">
        <is>
          <t>Everyday DH / 1B-DH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1" t="n">
        <v>0.706667342583142</v>
      </c>
      <c r="N2402" s="17" t="n"/>
      <c r="O2402" s="17" t="n">
        <v>1</v>
      </c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7" t="n"/>
      <c r="Z2402" s="13">
        <f>SUMPRODUCT(N2402:Y2402,$N$2:$Y$2)*$K2402*$L2402*$M2402</f>
        <v/>
      </c>
      <c r="AA2402" s="14">
        <f>SUM(N2402:Y2402)</f>
        <v/>
      </c>
      <c r="AB2402" s="14">
        <f>IFERROR(IF(UPPER($E2402)="L",SUMPRODUCT(N2402:Y2402,$N$3:$Y$3,$N$2:$Y$2),SUMPRODUCT(N2402:Y2402,$N$4:$Y$4,$N$2:$Y$2))/(Z2402/($K2402*$L2402*$M2402)),"")</f>
        <v/>
      </c>
      <c r="AC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1" t="n">
        <v>1</v>
      </c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/>
      <c r="Y2403" s="17" t="n">
        <v>1</v>
      </c>
      <c r="Z2403" s="13">
        <f>SUMPRODUCT(N2403:Y2403,$N$2:$Y$2)*$K2403*$L2403*$M2403</f>
        <v/>
      </c>
      <c r="AA2403" s="14">
        <f>SUM(N2403:Y2403)</f>
        <v/>
      </c>
      <c r="AB2403" s="14">
        <f>IFERROR(IF(UPPER($E2403)="L",SUMPRODUCT(N2403:Y2403,$N$3:$Y$3,$N$2:$Y$2),SUMPRODUCT(N2403:Y2403,$N$4:$Y$4,$N$2:$Y$2))/(Z2403/($K2403*$L2403*$M2403)),"")</f>
        <v/>
      </c>
      <c r="AC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1" t="n">
        <v>1</v>
      </c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/>
      <c r="Y2404" s="17" t="n">
        <v>1</v>
      </c>
      <c r="Z2404" s="13">
        <f>SUMPRODUCT(N2404:Y2404,$N$2:$Y$2)*$K2404*$L2404*$M2404</f>
        <v/>
      </c>
      <c r="AA2404" s="14">
        <f>SUM(N2404:Y2404)</f>
        <v/>
      </c>
      <c r="AB2404" s="14">
        <f>IFERROR(IF(UPPER($E2404)="L",SUMPRODUCT(N2404:Y2404,$N$3:$Y$3,$N$2:$Y$2),SUMPRODUCT(N2404:Y2404,$N$4:$Y$4,$N$2:$Y$2))/(Z2404/($K2404*$L2404*$M2404)),"")</f>
        <v/>
      </c>
      <c r="AC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inlineStr">
        <is>
          <t>SS</t>
        </is>
      </c>
      <c r="G2405" s="9" t="n">
        <v>221</v>
      </c>
      <c r="H2405" s="9" t="n">
        <v>1395</v>
      </c>
      <c r="I2405" s="9" t="inlineStr">
        <is>
          <t>Weak Side Platoon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1" t="n">
        <v>1</v>
      </c>
      <c r="N2405" s="17" t="n"/>
      <c r="O2405" s="17" t="n"/>
      <c r="P2405" s="17" t="n"/>
      <c r="Q2405" s="17" t="n">
        <v>0.6</v>
      </c>
      <c r="R2405" s="17" t="n"/>
      <c r="S2405" s="17" t="n"/>
      <c r="T2405" s="17" t="n"/>
      <c r="U2405" s="17" t="n">
        <v>0.4</v>
      </c>
      <c r="V2405" s="17" t="n"/>
      <c r="W2405" s="17" t="n"/>
      <c r="X2405" s="17" t="n"/>
      <c r="Y2405" s="17" t="n"/>
      <c r="Z2405" s="13">
        <f>SUMPRODUCT(N2405:Y2405,$N$2:$Y$2)*$K2405*$L2405*$M2405</f>
        <v/>
      </c>
      <c r="AA2405" s="14">
        <f>SUM(N2405:Y2405)</f>
        <v/>
      </c>
      <c r="AB2405" s="14">
        <f>IFERROR(IF(UPPER($E2405)="L",SUMPRODUCT(N2405:Y2405,$N$3:$Y$3,$N$2:$Y$2),SUMPRODUCT(N2405:Y2405,$N$4:$Y$4,$N$2:$Y$2))/(Z2405/($K2405*$L2405*$M2405)),"")</f>
        <v/>
      </c>
      <c r="AC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1" t="n">
        <v>1</v>
      </c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/>
      <c r="Y2406" s="17" t="n">
        <v>1</v>
      </c>
      <c r="Z2406" s="13">
        <f>SUMPRODUCT(N2406:Y2406,$N$2:$Y$2)*$K2406*$L2406*$M2406</f>
        <v/>
      </c>
      <c r="AA2406" s="14">
        <f>SUM(N2406:Y2406)</f>
        <v/>
      </c>
      <c r="AB2406" s="14">
        <f>IFERROR(IF(UPPER($E2406)="L",SUMPRODUCT(N2406:Y2406,$N$3:$Y$3,$N$2:$Y$2),SUMPRODUCT(N2406:Y2406,$N$4:$Y$4,$N$2:$Y$2))/(Z2406/($K2406*$L2406*$M2406)),"")</f>
        <v/>
      </c>
      <c r="AC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inlineStr">
        <is>
          <t>LF</t>
        </is>
      </c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1" t="n">
        <v>1</v>
      </c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/>
      <c r="W2407" s="17" t="n">
        <v>1</v>
      </c>
      <c r="X2407" s="17" t="n"/>
      <c r="Y2407" s="17" t="n"/>
      <c r="Z2407" s="13">
        <f>SUMPRODUCT(N2407:Y2407,$N$2:$Y$2)*$K2407*$L2407*$M2407</f>
        <v/>
      </c>
      <c r="AA2407" s="14">
        <f>SUM(N2407:Y2407)</f>
        <v/>
      </c>
      <c r="AB2407" s="14">
        <f>IFERROR(IF(UPPER($E2407)="L",SUMPRODUCT(N2407:Y2407,$N$3:$Y$3,$N$2:$Y$2),SUMPRODUCT(N2407:Y2407,$N$4:$Y$4,$N$2:$Y$2))/(Z2407/($K2407*$L2407*$M2407)),"")</f>
        <v/>
      </c>
      <c r="AC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inlineStr">
        <is>
          <t>1B</t>
        </is>
      </c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1" t="n">
        <v>1</v>
      </c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/>
      <c r="W2408" s="17" t="n">
        <v>1</v>
      </c>
      <c r="X2408" s="17" t="n"/>
      <c r="Y2408" s="17" t="n"/>
      <c r="Z2408" s="13">
        <f>SUMPRODUCT(N2408:Y2408,$N$2:$Y$2)*$K2408*$L2408*$M2408</f>
        <v/>
      </c>
      <c r="AA2408" s="14">
        <f>SUM(N2408:Y2408)</f>
        <v/>
      </c>
      <c r="AB2408" s="14">
        <f>IFERROR(IF(UPPER($E2408)="L",SUMPRODUCT(N2408:Y2408,$N$3:$Y$3,$N$2:$Y$2),SUMPRODUCT(N2408:Y2408,$N$4:$Y$4,$N$2:$Y$2))/(Z2408/($K2408*$L2408*$M2408)),"")</f>
        <v/>
      </c>
      <c r="AC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1" t="n">
        <v>1</v>
      </c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/>
      <c r="Y2409" s="17" t="n">
        <v>1</v>
      </c>
      <c r="Z2409" s="13">
        <f>SUMPRODUCT(N2409:Y2409,$N$2:$Y$2)*$K2409*$L2409*$M2409</f>
        <v/>
      </c>
      <c r="AA2409" s="14">
        <f>SUM(N2409:Y2409)</f>
        <v/>
      </c>
      <c r="AB2409" s="14">
        <f>IFERROR(IF(UPPER($E2409)="L",SUMPRODUCT(N2409:Y2409,$N$3:$Y$3,$N$2:$Y$2),SUMPRODUCT(N2409:Y2409,$N$4:$Y$4,$N$2:$Y$2))/(Z2409/($K2409*$L2409*$M2409)),"")</f>
        <v/>
      </c>
      <c r="AC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inlineStr">
        <is>
          <t>C</t>
        </is>
      </c>
      <c r="G2410" s="9" t="n">
        <v>156</v>
      </c>
      <c r="H2410" s="9" t="n">
        <v>1213</v>
      </c>
      <c r="I2410" s="9" t="inlineStr">
        <is>
          <t>Weak Side Platoon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1" t="n">
        <v>1</v>
      </c>
      <c r="N2410" s="17" t="n"/>
      <c r="O2410" s="17" t="n"/>
      <c r="P2410" s="17" t="n"/>
      <c r="Q2410" s="17" t="n">
        <v>0.6</v>
      </c>
      <c r="R2410" s="17" t="n"/>
      <c r="S2410" s="17" t="n"/>
      <c r="T2410" s="17" t="n">
        <v>0.4</v>
      </c>
      <c r="U2410" s="17" t="n"/>
      <c r="V2410" s="17" t="n"/>
      <c r="W2410" s="17" t="n"/>
      <c r="X2410" s="17" t="n"/>
      <c r="Y2410" s="17" t="n"/>
      <c r="Z2410" s="13">
        <f>SUMPRODUCT(N2410:Y2410,$N$2:$Y$2)*$K2410*$L2410*$M2410</f>
        <v/>
      </c>
      <c r="AA2410" s="14">
        <f>SUM(N2410:Y2410)</f>
        <v/>
      </c>
      <c r="AB2410" s="14">
        <f>IFERROR(IF(UPPER($E2410)="L",SUMPRODUCT(N2410:Y2410,$N$3:$Y$3,$N$2:$Y$2),SUMPRODUCT(N2410:Y2410,$N$4:$Y$4,$N$2:$Y$2))/(Z2410/($K2410*$L2410*$M2410)),"")</f>
        <v/>
      </c>
      <c r="AC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inlineStr">
        <is>
          <t>C</t>
        </is>
      </c>
      <c r="G2411" s="9" t="n">
        <v>281</v>
      </c>
      <c r="H2411" s="9" t="n">
        <v>890</v>
      </c>
      <c r="I2411" s="9" t="inlineStr">
        <is>
          <t>Catcher - Backup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1" t="n">
        <v>1</v>
      </c>
      <c r="N2411" s="17" t="n"/>
      <c r="O2411" s="17" t="n"/>
      <c r="P2411" s="17" t="n"/>
      <c r="Q2411" s="17" t="n"/>
      <c r="R2411" s="17" t="n"/>
      <c r="S2411" s="17" t="n"/>
      <c r="T2411" s="17" t="n">
        <v>0.7</v>
      </c>
      <c r="U2411" s="17" t="n"/>
      <c r="V2411" s="17" t="n"/>
      <c r="W2411" s="17" t="n">
        <v>0.3</v>
      </c>
      <c r="X2411" s="17" t="n"/>
      <c r="Y2411" s="17" t="n"/>
      <c r="Z2411" s="13">
        <f>SUMPRODUCT(N2411:Y2411,$N$2:$Y$2)*$K2411*$L2411*$M2411</f>
        <v/>
      </c>
      <c r="AA2411" s="14">
        <f>SUM(N2411:Y2411)</f>
        <v/>
      </c>
      <c r="AB2411" s="14">
        <f>IFERROR(IF(UPPER($E2411)="L",SUMPRODUCT(N2411:Y2411,$N$3:$Y$3,$N$2:$Y$2),SUMPRODUCT(N2411:Y2411,$N$4:$Y$4,$N$2:$Y$2))/(Z2411/($K2411*$L2411*$M2411)),"")</f>
        <v/>
      </c>
      <c r="AC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1" t="n">
        <v>1</v>
      </c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/>
      <c r="Y2412" s="17" t="n">
        <v>1</v>
      </c>
      <c r="Z2412" s="13">
        <f>SUMPRODUCT(N2412:Y2412,$N$2:$Y$2)*$K2412*$L2412*$M2412</f>
        <v/>
      </c>
      <c r="AA2412" s="14">
        <f>SUM(N2412:Y2412)</f>
        <v/>
      </c>
      <c r="AB2412" s="14">
        <f>IFERROR(IF(UPPER($E2412)="L",SUMPRODUCT(N2412:Y2412,$N$3:$Y$3,$N$2:$Y$2),SUMPRODUCT(N2412:Y2412,$N$4:$Y$4,$N$2:$Y$2))/(Z2412/($K2412*$L2412*$M2412)),"")</f>
        <v/>
      </c>
      <c r="AC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1" t="n">
        <v>1</v>
      </c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/>
      <c r="Y2413" s="17" t="n">
        <v>1</v>
      </c>
      <c r="Z2413" s="13">
        <f>SUMPRODUCT(N2413:Y2413,$N$2:$Y$2)*$K2413*$L2413*$M2413</f>
        <v/>
      </c>
      <c r="AA2413" s="14">
        <f>SUM(N2413:Y2413)</f>
        <v/>
      </c>
      <c r="AB2413" s="14">
        <f>IFERROR(IF(UPPER($E2413)="L",SUMPRODUCT(N2413:Y2413,$N$3:$Y$3,$N$2:$Y$2),SUMPRODUCT(N2413:Y2413,$N$4:$Y$4,$N$2:$Y$2))/(Z2413/($K2413*$L2413*$M2413)),"")</f>
        <v/>
      </c>
      <c r="AC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1" t="n">
        <v>1</v>
      </c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/>
      <c r="Y2414" s="17" t="n">
        <v>1</v>
      </c>
      <c r="Z2414" s="13">
        <f>SUMPRODUCT(N2414:Y2414,$N$2:$Y$2)*$K2414*$L2414*$M2414</f>
        <v/>
      </c>
      <c r="AA2414" s="14">
        <f>SUM(N2414:Y2414)</f>
        <v/>
      </c>
      <c r="AB2414" s="14">
        <f>IFERROR(IF(UPPER($E2414)="L",SUMPRODUCT(N2414:Y2414,$N$3:$Y$3,$N$2:$Y$2),SUMPRODUCT(N2414:Y2414,$N$4:$Y$4,$N$2:$Y$2))/(Z2414/($K2414*$L2414*$M2414)),"")</f>
        <v/>
      </c>
      <c r="AC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1" t="n">
        <v>1</v>
      </c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/>
      <c r="Y2415" s="17" t="n">
        <v>1</v>
      </c>
      <c r="Z2415" s="13">
        <f>SUMPRODUCT(N2415:Y2415,$N$2:$Y$2)*$K2415*$L2415*$M2415</f>
        <v/>
      </c>
      <c r="AA2415" s="14">
        <f>SUM(N2415:Y2415)</f>
        <v/>
      </c>
      <c r="AB2415" s="14">
        <f>IFERROR(IF(UPPER($E2415)="L",SUMPRODUCT(N2415:Y2415,$N$3:$Y$3,$N$2:$Y$2),SUMPRODUCT(N2415:Y2415,$N$4:$Y$4,$N$2:$Y$2))/(Z2415/($K2415*$L2415*$M2415)),"")</f>
        <v/>
      </c>
      <c r="AC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1" t="n">
        <v>1</v>
      </c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/>
      <c r="Y2416" s="17" t="n">
        <v>1</v>
      </c>
      <c r="Z2416" s="13">
        <f>SUMPRODUCT(N2416:Y2416,$N$2:$Y$2)*$K2416*$L2416*$M2416</f>
        <v/>
      </c>
      <c r="AA2416" s="14">
        <f>SUM(N2416:Y2416)</f>
        <v/>
      </c>
      <c r="AB2416" s="14">
        <f>IFERROR(IF(UPPER($E2416)="L",SUMPRODUCT(N2416:Y2416,$N$3:$Y$3,$N$2:$Y$2),SUMPRODUCT(N2416:Y2416,$N$4:$Y$4,$N$2:$Y$2))/(Z2416/($K2416*$L2416*$M2416)),"")</f>
        <v/>
      </c>
      <c r="AC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1" t="n">
        <v>1</v>
      </c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/>
      <c r="Y2417" s="17" t="n">
        <v>1</v>
      </c>
      <c r="Z2417" s="13">
        <f>SUMPRODUCT(N2417:Y2417,$N$2:$Y$2)*$K2417*$L2417*$M2417</f>
        <v/>
      </c>
      <c r="AA2417" s="14">
        <f>SUM(N2417:Y2417)</f>
        <v/>
      </c>
      <c r="AB2417" s="14">
        <f>IFERROR(IF(UPPER($E2417)="L",SUMPRODUCT(N2417:Y2417,$N$3:$Y$3,$N$2:$Y$2),SUMPRODUCT(N2417:Y2417,$N$4:$Y$4,$N$2:$Y$2))/(Z2417/($K2417*$L2417*$M2417)),"")</f>
        <v/>
      </c>
      <c r="AC2417" s="18" t="n"/>
    </row>
    <row r="2418">
      <c r="A2418" s="9" t="n">
        <v>822966</v>
      </c>
      <c r="B2418" s="9" t="inlineStr">
        <is>
          <t>John Taylor</t>
        </is>
      </c>
      <c r="C2418" s="9" t="inlineStr">
        <is>
          <t>TEX</t>
        </is>
      </c>
      <c r="D2418" s="9" t="n">
        <v>25</v>
      </c>
      <c r="E2418" s="16" t="inlineStr">
        <is>
          <t>L</t>
        </is>
      </c>
      <c r="F2418" s="16" t="n"/>
      <c r="G2418" s="9" t="n">
        <v>207.0256410256411</v>
      </c>
      <c r="H2418" s="9" t="n">
        <v>207.0256410256411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1" t="n">
        <v>1</v>
      </c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/>
      <c r="Y2418" s="17" t="n">
        <v>1</v>
      </c>
      <c r="Z2418" s="13">
        <f>SUMPRODUCT(N2418:Y2418,$N$2:$Y$2)*$K2418*$L2418*$M2418</f>
        <v/>
      </c>
      <c r="AA2418" s="14">
        <f>SUM(N2418:Y2418)</f>
        <v/>
      </c>
      <c r="AB2418" s="14">
        <f>IFERROR(IF(UPPER($E2418)="L",SUMPRODUCT(N2418:Y2418,$N$3:$Y$3,$N$2:$Y$2),SUMPRODUCT(N2418:Y2418,$N$4:$Y$4,$N$2:$Y$2))/(Z2418/($K2418*$L2418*$M2418)),"")</f>
        <v/>
      </c>
      <c r="AC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inlineStr">
        <is>
          <t>C</t>
        </is>
      </c>
      <c r="G2419" s="9" t="n">
        <v>554</v>
      </c>
      <c r="H2419" s="9" t="n">
        <v>944</v>
      </c>
      <c r="I2419" s="9" t="inlineStr">
        <is>
          <t>Strong Side Platoon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1" t="n">
        <v>1.08332085006109</v>
      </c>
      <c r="N2419" s="17" t="n"/>
      <c r="O2419" s="17" t="n"/>
      <c r="P2419" s="17" t="n">
        <v>0.6</v>
      </c>
      <c r="Q2419" s="17" t="n"/>
      <c r="R2419" s="17" t="n">
        <v>0.4</v>
      </c>
      <c r="S2419" s="17" t="n"/>
      <c r="T2419" s="17" t="n"/>
      <c r="U2419" s="17" t="n"/>
      <c r="V2419" s="17" t="n"/>
      <c r="W2419" s="17" t="n"/>
      <c r="X2419" s="17" t="n"/>
      <c r="Y2419" s="17" t="n"/>
      <c r="Z2419" s="13">
        <f>SUMPRODUCT(N2419:Y2419,$N$2:$Y$2)*$K2419*$L2419*$M2419</f>
        <v/>
      </c>
      <c r="AA2419" s="14">
        <f>SUM(N2419:Y2419)</f>
        <v/>
      </c>
      <c r="AB2419" s="14">
        <f>IFERROR(IF(UPPER($E2419)="L",SUMPRODUCT(N2419:Y2419,$N$3:$Y$3,$N$2:$Y$2),SUMPRODUCT(N2419:Y2419,$N$4:$Y$4,$N$2:$Y$2))/(Z2419/($K2419*$L2419*$M2419)),"")</f>
        <v/>
      </c>
      <c r="AC2419" s="18" t="n"/>
    </row>
    <row r="2420">
      <c r="A2420" s="9" t="n">
        <v>700032</v>
      </c>
      <c r="B2420" s="9" t="inlineStr">
        <is>
          <t>Victor Labrada</t>
        </is>
      </c>
      <c r="C2420" s="9" t="inlineStr">
        <is>
          <t>SEA</t>
        </is>
      </c>
      <c r="D2420" s="9" t="n">
        <v>25</v>
      </c>
      <c r="E2420" s="16" t="inlineStr">
        <is>
          <t>L</t>
        </is>
      </c>
      <c r="F2420" s="16" t="n"/>
      <c r="G2420" s="9" t="n">
        <v>269.0769230769231</v>
      </c>
      <c r="H2420" s="9" t="n">
        <v>269.0769230769231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1" t="n">
        <v>1</v>
      </c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/>
      <c r="Y2420" s="17" t="n">
        <v>1</v>
      </c>
      <c r="Z2420" s="13">
        <f>SUMPRODUCT(N2420:Y2420,$N$2:$Y$2)*$K2420*$L2420*$M2420</f>
        <v/>
      </c>
      <c r="AA2420" s="14">
        <f>SUM(N2420:Y2420)</f>
        <v/>
      </c>
      <c r="AB2420" s="14">
        <f>IFERROR(IF(UPPER($E2420)="L",SUMPRODUCT(N2420:Y2420,$N$3:$Y$3,$N$2:$Y$2),SUMPRODUCT(N2420:Y2420,$N$4:$Y$4,$N$2:$Y$2))/(Z2420/($K2420*$L2420*$M2420)),"")</f>
        <v/>
      </c>
      <c r="AC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1" t="n">
        <v>1</v>
      </c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/>
      <c r="Y2421" s="17" t="n">
        <v>1</v>
      </c>
      <c r="Z2421" s="13">
        <f>SUMPRODUCT(N2421:Y2421,$N$2:$Y$2)*$K2421*$L2421*$M2421</f>
        <v/>
      </c>
      <c r="AA2421" s="14">
        <f>SUM(N2421:Y2421)</f>
        <v/>
      </c>
      <c r="AB2421" s="14">
        <f>IFERROR(IF(UPPER($E2421)="L",SUMPRODUCT(N2421:Y2421,$N$3:$Y$3,$N$2:$Y$2),SUMPRODUCT(N2421:Y2421,$N$4:$Y$4,$N$2:$Y$2))/(Z2421/($K2421*$L2421*$M2421)),"")</f>
        <v/>
      </c>
      <c r="AC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1" t="n">
        <v>1</v>
      </c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/>
      <c r="Y2422" s="17" t="n">
        <v>1</v>
      </c>
      <c r="Z2422" s="13">
        <f>SUMPRODUCT(N2422:Y2422,$N$2:$Y$2)*$K2422*$L2422*$M2422</f>
        <v/>
      </c>
      <c r="AA2422" s="14">
        <f>SUM(N2422:Y2422)</f>
        <v/>
      </c>
      <c r="AB2422" s="14">
        <f>IFERROR(IF(UPPER($E2422)="L",SUMPRODUCT(N2422:Y2422,$N$3:$Y$3,$N$2:$Y$2),SUMPRODUCT(N2422:Y2422,$N$4:$Y$4,$N$2:$Y$2))/(Z2422/($K2422*$L2422*$M2422)),"")</f>
        <v/>
      </c>
      <c r="AC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inlineStr">
        <is>
          <t>RF</t>
        </is>
      </c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1" t="n">
        <v>1</v>
      </c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/>
      <c r="Y2423" s="17" t="n">
        <v>1</v>
      </c>
      <c r="Z2423" s="13">
        <f>SUMPRODUCT(N2423:Y2423,$N$2:$Y$2)*$K2423*$L2423*$M2423</f>
        <v/>
      </c>
      <c r="AA2423" s="14">
        <f>SUM(N2423:Y2423)</f>
        <v/>
      </c>
      <c r="AB2423" s="14">
        <f>IFERROR(IF(UPPER($E2423)="L",SUMPRODUCT(N2423:Y2423,$N$3:$Y$3,$N$2:$Y$2),SUMPRODUCT(N2423:Y2423,$N$4:$Y$4,$N$2:$Y$2))/(Z2423/($K2423*$L2423*$M2423)),"")</f>
        <v/>
      </c>
      <c r="AC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inlineStr">
        <is>
          <t>C</t>
        </is>
      </c>
      <c r="G2424" s="9" t="n">
        <v>40</v>
      </c>
      <c r="H2424" s="9" t="n">
        <v>530</v>
      </c>
      <c r="I2424" s="9" t="inlineStr">
        <is>
          <t>Catcher - Backup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1" t="n">
        <v>1.041753903212299</v>
      </c>
      <c r="N2424" s="17" t="n"/>
      <c r="O2424" s="17" t="n"/>
      <c r="P2424" s="17" t="n"/>
      <c r="Q2424" s="17" t="n"/>
      <c r="R2424" s="17" t="n"/>
      <c r="S2424" s="17" t="n"/>
      <c r="T2424" s="17" t="n">
        <v>1</v>
      </c>
      <c r="U2424" s="17" t="n"/>
      <c r="V2424" s="17" t="n"/>
      <c r="W2424" s="17" t="n"/>
      <c r="X2424" s="17" t="n"/>
      <c r="Y2424" s="17" t="n"/>
      <c r="Z2424" s="13">
        <f>SUMPRODUCT(N2424:Y2424,$N$2:$Y$2)*$K2424*$L2424*$M2424</f>
        <v/>
      </c>
      <c r="AA2424" s="14">
        <f>SUM(N2424:Y2424)</f>
        <v/>
      </c>
      <c r="AB2424" s="14">
        <f>IFERROR(IF(UPPER($E2424)="L",SUMPRODUCT(N2424:Y2424,$N$3:$Y$3,$N$2:$Y$2),SUMPRODUCT(N2424:Y2424,$N$4:$Y$4,$N$2:$Y$2))/(Z2424/($K2424*$L2424*$M2424)),"")</f>
        <v/>
      </c>
      <c r="AC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1" t="n">
        <v>1</v>
      </c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/>
      <c r="Y2425" s="17" t="n">
        <v>1</v>
      </c>
      <c r="Z2425" s="13">
        <f>SUMPRODUCT(N2425:Y2425,$N$2:$Y$2)*$K2425*$L2425*$M2425</f>
        <v/>
      </c>
      <c r="AA2425" s="14">
        <f>SUM(N2425:Y2425)</f>
        <v/>
      </c>
      <c r="AB2425" s="14">
        <f>IFERROR(IF(UPPER($E2425)="L",SUMPRODUCT(N2425:Y2425,$N$3:$Y$3,$N$2:$Y$2),SUMPRODUCT(N2425:Y2425,$N$4:$Y$4,$N$2:$Y$2))/(Z2425/($K2425*$L2425*$M2425)),"")</f>
        <v/>
      </c>
      <c r="AC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25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Late Season (~Sept)</t>
        </is>
      </c>
      <c r="K2426" s="11">
        <f>IFERROR(INDEX(Roles!$B$17:$B$20,MATCH(J2426,Roles!$A$17:$A$20,0)),1)</f>
        <v/>
      </c>
      <c r="L2426" s="17" t="n">
        <v>1</v>
      </c>
      <c r="M2426" s="11" t="n">
        <v>1</v>
      </c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/>
      <c r="Y2426" s="17" t="n">
        <v>1</v>
      </c>
      <c r="Z2426" s="13">
        <f>SUMPRODUCT(N2426:Y2426,$N$2:$Y$2)*$K2426*$L2426*$M2426</f>
        <v/>
      </c>
      <c r="AA2426" s="14">
        <f>SUM(N2426:Y2426)</f>
        <v/>
      </c>
      <c r="AB2426" s="14">
        <f>IFERROR(IF(UPPER($E2426)="L",SUMPRODUCT(N2426:Y2426,$N$3:$Y$3,$N$2:$Y$2),SUMPRODUCT(N2426:Y2426,$N$4:$Y$4,$N$2:$Y$2))/(Z2426/($K2426*$L2426*$M2426)),"")</f>
        <v/>
      </c>
      <c r="AC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inlineStr">
        <is>
          <t>1B</t>
        </is>
      </c>
      <c r="G2427" s="9" t="n">
        <v>284</v>
      </c>
      <c r="H2427" s="9" t="n">
        <v>1021</v>
      </c>
      <c r="I2427" s="9" t="inlineStr">
        <is>
          <t>Utility IF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1" t="n">
        <v>1</v>
      </c>
      <c r="N2427" s="17" t="n"/>
      <c r="O2427" s="17" t="n"/>
      <c r="P2427" s="17" t="n"/>
      <c r="Q2427" s="17" t="n"/>
      <c r="R2427" s="17" t="n"/>
      <c r="S2427" s="17" t="n"/>
      <c r="T2427" s="17" t="n"/>
      <c r="U2427" s="17" t="n">
        <v>1</v>
      </c>
      <c r="V2427" s="17" t="n"/>
      <c r="W2427" s="17" t="n"/>
      <c r="X2427" s="17" t="n"/>
      <c r="Y2427" s="17" t="n"/>
      <c r="Z2427" s="13">
        <f>SUMPRODUCT(N2427:Y2427,$N$2:$Y$2)*$K2427*$L2427*$M2427</f>
        <v/>
      </c>
      <c r="AA2427" s="14">
        <f>SUM(N2427:Y2427)</f>
        <v/>
      </c>
      <c r="AB2427" s="14">
        <f>IFERROR(IF(UPPER($E2427)="L",SUMPRODUCT(N2427:Y2427,$N$3:$Y$3,$N$2:$Y$2),SUMPRODUCT(N2427:Y2427,$N$4:$Y$4,$N$2:$Y$2))/(Z2427/($K2427*$L2427*$M2427)),"")</f>
        <v/>
      </c>
      <c r="AC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1" t="n">
        <v>1</v>
      </c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/>
      <c r="Y2428" s="17" t="n">
        <v>1</v>
      </c>
      <c r="Z2428" s="13">
        <f>SUMPRODUCT(N2428:Y2428,$N$2:$Y$2)*$K2428*$L2428*$M2428</f>
        <v/>
      </c>
      <c r="AA2428" s="14">
        <f>SUM(N2428:Y2428)</f>
        <v/>
      </c>
      <c r="AB2428" s="14">
        <f>IFERROR(IF(UPPER($E2428)="L",SUMPRODUCT(N2428:Y2428,$N$3:$Y$3,$N$2:$Y$2),SUMPRODUCT(N2428:Y2428,$N$4:$Y$4,$N$2:$Y$2))/(Z2428/($K2428*$L2428*$M2428)),"")</f>
        <v/>
      </c>
      <c r="AC2428" s="18" t="n"/>
    </row>
    <row r="2429">
      <c r="A2429" s="9" t="n">
        <v>809143</v>
      </c>
      <c r="B2429" s="9" t="inlineStr">
        <is>
          <t>Kyle Walker</t>
        </is>
      </c>
      <c r="C2429" s="9" t="inlineStr">
        <is>
          <t>HOU</t>
        </is>
      </c>
      <c r="D2429" s="9" t="n">
        <v>25</v>
      </c>
      <c r="E2429" s="16" t="inlineStr">
        <is>
          <t>R</t>
        </is>
      </c>
      <c r="F2429" s="16" t="n"/>
      <c r="G2429" s="9" t="n">
        <v>84.30769230769232</v>
      </c>
      <c r="H2429" s="9" t="n">
        <v>84.30769230769232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1" t="n">
        <v>1</v>
      </c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/>
      <c r="Y2429" s="17" t="n">
        <v>1</v>
      </c>
      <c r="Z2429" s="13">
        <f>SUMPRODUCT(N2429:Y2429,$N$2:$Y$2)*$K2429*$L2429*$M2429</f>
        <v/>
      </c>
      <c r="AA2429" s="14">
        <f>SUM(N2429:Y2429)</f>
        <v/>
      </c>
      <c r="AB2429" s="14">
        <f>IFERROR(IF(UPPER($E2429)="L",SUMPRODUCT(N2429:Y2429,$N$3:$Y$3,$N$2:$Y$2),SUMPRODUCT(N2429:Y2429,$N$4:$Y$4,$N$2:$Y$2))/(Z2429/($K2429*$L2429*$M2429)),"")</f>
        <v/>
      </c>
      <c r="AC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1" t="n">
        <v>1</v>
      </c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/>
      <c r="Y2430" s="17" t="n">
        <v>1</v>
      </c>
      <c r="Z2430" s="13">
        <f>SUMPRODUCT(N2430:Y2430,$N$2:$Y$2)*$K2430*$L2430*$M2430</f>
        <v/>
      </c>
      <c r="AA2430" s="14">
        <f>SUM(N2430:Y2430)</f>
        <v/>
      </c>
      <c r="AB2430" s="14">
        <f>IFERROR(IF(UPPER($E2430)="L",SUMPRODUCT(N2430:Y2430,$N$3:$Y$3,$N$2:$Y$2),SUMPRODUCT(N2430:Y2430,$N$4:$Y$4,$N$2:$Y$2))/(Z2430/($K2430*$L2430*$M2430)),"")</f>
        <v/>
      </c>
      <c r="AC2430" s="18" t="n"/>
    </row>
    <row r="2431">
      <c r="A2431" s="9" t="n">
        <v>686793</v>
      </c>
      <c r="B2431" s="9" t="inlineStr">
        <is>
          <t>J.T. Arruda</t>
        </is>
      </c>
      <c r="C2431" s="9" t="inlineStr">
        <is>
          <t>TB</t>
        </is>
      </c>
      <c r="D2431" s="9" t="n">
        <v>25</v>
      </c>
      <c r="E2431" s="16" t="inlineStr">
        <is>
          <t>S</t>
        </is>
      </c>
      <c r="F2431" s="16" t="n"/>
      <c r="G2431" s="9" t="n">
        <v>117.3846153846154</v>
      </c>
      <c r="H2431" s="9" t="n">
        <v>117.3846153846154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1" t="n">
        <v>1</v>
      </c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/>
      <c r="Y2431" s="17" t="n">
        <v>1</v>
      </c>
      <c r="Z2431" s="13">
        <f>SUMPRODUCT(N2431:Y2431,$N$2:$Y$2)*$K2431*$L2431*$M2431</f>
        <v/>
      </c>
      <c r="AA2431" s="14">
        <f>SUM(N2431:Y2431)</f>
        <v/>
      </c>
      <c r="AB2431" s="14">
        <f>IFERROR(IF(UPPER($E2431)="L",SUMPRODUCT(N2431:Y2431,$N$3:$Y$3,$N$2:$Y$2),SUMPRODUCT(N2431:Y2431,$N$4:$Y$4,$N$2:$Y$2))/(Z2431/($K2431*$L2431*$M2431)),"")</f>
        <v/>
      </c>
      <c r="AC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1" t="n">
        <v>1</v>
      </c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/>
      <c r="Y2432" s="17" t="n">
        <v>1</v>
      </c>
      <c r="Z2432" s="13">
        <f>SUMPRODUCT(N2432:Y2432,$N$2:$Y$2)*$K2432*$L2432*$M2432</f>
        <v/>
      </c>
      <c r="AA2432" s="14">
        <f>SUM(N2432:Y2432)</f>
        <v/>
      </c>
      <c r="AB2432" s="14">
        <f>IFERROR(IF(UPPER($E2432)="L",SUMPRODUCT(N2432:Y2432,$N$3:$Y$3,$N$2:$Y$2),SUMPRODUCT(N2432:Y2432,$N$4:$Y$4,$N$2:$Y$2))/(Z2432/($K2432*$L2432*$M2432)),"")</f>
        <v/>
      </c>
      <c r="AC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1" t="n">
        <v>1</v>
      </c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/>
      <c r="Y2433" s="17" t="n">
        <v>1</v>
      </c>
      <c r="Z2433" s="13">
        <f>SUMPRODUCT(N2433:Y2433,$N$2:$Y$2)*$K2433*$L2433*$M2433</f>
        <v/>
      </c>
      <c r="AA2433" s="14">
        <f>SUM(N2433:Y2433)</f>
        <v/>
      </c>
      <c r="AB2433" s="14">
        <f>IFERROR(IF(UPPER($E2433)="L",SUMPRODUCT(N2433:Y2433,$N$3:$Y$3,$N$2:$Y$2),SUMPRODUCT(N2433:Y2433,$N$4:$Y$4,$N$2:$Y$2))/(Z2433/($K2433*$L2433*$M2433)),"")</f>
        <v/>
      </c>
      <c r="AC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inlineStr">
        <is>
          <t>3B</t>
        </is>
      </c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1" t="n">
        <v>1</v>
      </c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/>
      <c r="W2434" s="17" t="n">
        <v>1</v>
      </c>
      <c r="X2434" s="17" t="n"/>
      <c r="Y2434" s="17" t="n"/>
      <c r="Z2434" s="13">
        <f>SUMPRODUCT(N2434:Y2434,$N$2:$Y$2)*$K2434*$L2434*$M2434</f>
        <v/>
      </c>
      <c r="AA2434" s="14">
        <f>SUM(N2434:Y2434)</f>
        <v/>
      </c>
      <c r="AB2434" s="14">
        <f>IFERROR(IF(UPPER($E2434)="L",SUMPRODUCT(N2434:Y2434,$N$3:$Y$3,$N$2:$Y$2),SUMPRODUCT(N2434:Y2434,$N$4:$Y$4,$N$2:$Y$2))/(Z2434/($K2434*$L2434*$M2434)),"")</f>
        <v/>
      </c>
      <c r="AC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inlineStr">
        <is>
          <t>SS</t>
        </is>
      </c>
      <c r="G2435" s="9" t="n">
        <v>241</v>
      </c>
      <c r="H2435" s="9" t="n">
        <v>241</v>
      </c>
      <c r="I2435" s="9" t="inlineStr">
        <is>
          <t>Bench Bat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1" t="n">
        <v>1</v>
      </c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/>
      <c r="W2435" s="17" t="n">
        <v>0.85</v>
      </c>
      <c r="X2435" s="17" t="n">
        <v>0.15</v>
      </c>
      <c r="Y2435" s="17" t="n"/>
      <c r="Z2435" s="13">
        <f>SUMPRODUCT(N2435:Y2435,$N$2:$Y$2)*$K2435*$L2435*$M2435</f>
        <v/>
      </c>
      <c r="AA2435" s="14">
        <f>SUM(N2435:Y2435)</f>
        <v/>
      </c>
      <c r="AB2435" s="14">
        <f>IFERROR(IF(UPPER($E2435)="L",SUMPRODUCT(N2435:Y2435,$N$3:$Y$3,$N$2:$Y$2),SUMPRODUCT(N2435:Y2435,$N$4:$Y$4,$N$2:$Y$2))/(Z2435/($K2435*$L2435*$M2435)),"")</f>
        <v/>
      </c>
      <c r="AC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25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Bench Bat</t>
        </is>
      </c>
      <c r="J2436" s="16" t="inlineStr">
        <is>
          <t>Mid Season (~July)</t>
        </is>
      </c>
      <c r="K2436" s="11">
        <f>IFERROR(INDEX(Roles!$B$17:$B$20,MATCH(J2436,Roles!$A$17:$A$20,0)),1)</f>
        <v/>
      </c>
      <c r="L2436" s="17" t="n">
        <v>1</v>
      </c>
      <c r="M2436" s="11" t="n">
        <v>1</v>
      </c>
      <c r="N2436" s="17" t="n">
        <v>0.25</v>
      </c>
      <c r="O2436" s="17" t="n"/>
      <c r="P2436" s="17" t="n">
        <v>0.3</v>
      </c>
      <c r="Q2436" s="17" t="n"/>
      <c r="R2436" s="17" t="n"/>
      <c r="S2436" s="17" t="n"/>
      <c r="T2436" s="17" t="n"/>
      <c r="U2436" s="17" t="n"/>
      <c r="V2436" s="17" t="n"/>
      <c r="W2436" s="17" t="n">
        <v>0.45</v>
      </c>
      <c r="X2436" s="17" t="n"/>
      <c r="Y2436" s="17" t="n"/>
      <c r="Z2436" s="13">
        <f>SUMPRODUCT(N2436:Y2436,$N$2:$Y$2)*$K2436*$L2436*$M2436</f>
        <v/>
      </c>
      <c r="AA2436" s="14">
        <f>SUM(N2436:Y2436)</f>
        <v/>
      </c>
      <c r="AB2436" s="14">
        <f>IFERROR(IF(UPPER($E2436)="L",SUMPRODUCT(N2436:Y2436,$N$3:$Y$3,$N$2:$Y$2),SUMPRODUCT(N2436:Y2436,$N$4:$Y$4,$N$2:$Y$2))/(Z2436/($K2436*$L2436*$M2436)),"")</f>
        <v/>
      </c>
      <c r="AC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1" t="n">
        <v>1</v>
      </c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/>
      <c r="Y2437" s="17" t="n">
        <v>1</v>
      </c>
      <c r="Z2437" s="13">
        <f>SUMPRODUCT(N2437:Y2437,$N$2:$Y$2)*$K2437*$L2437*$M2437</f>
        <v/>
      </c>
      <c r="AA2437" s="14">
        <f>SUM(N2437:Y2437)</f>
        <v/>
      </c>
      <c r="AB2437" s="14">
        <f>IFERROR(IF(UPPER($E2437)="L",SUMPRODUCT(N2437:Y2437,$N$3:$Y$3,$N$2:$Y$2),SUMPRODUCT(N2437:Y2437,$N$4:$Y$4,$N$2:$Y$2))/(Z2437/($K2437*$L2437*$M2437)),"")</f>
        <v/>
      </c>
      <c r="AC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1" t="n">
        <v>1</v>
      </c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/>
      <c r="Y2438" s="17" t="n">
        <v>1</v>
      </c>
      <c r="Z2438" s="13">
        <f>SUMPRODUCT(N2438:Y2438,$N$2:$Y$2)*$K2438*$L2438*$M2438</f>
        <v/>
      </c>
      <c r="AA2438" s="14">
        <f>SUM(N2438:Y2438)</f>
        <v/>
      </c>
      <c r="AB2438" s="14">
        <f>IFERROR(IF(UPPER($E2438)="L",SUMPRODUCT(N2438:Y2438,$N$3:$Y$3,$N$2:$Y$2),SUMPRODUCT(N2438:Y2438,$N$4:$Y$4,$N$2:$Y$2))/(Z2438/($K2438*$L2438*$M2438)),"")</f>
        <v/>
      </c>
      <c r="AC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inlineStr">
        <is>
          <t>3B</t>
        </is>
      </c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1" t="n">
        <v>1</v>
      </c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/>
      <c r="Y2439" s="17" t="n">
        <v>1</v>
      </c>
      <c r="Z2439" s="13">
        <f>SUMPRODUCT(N2439:Y2439,$N$2:$Y$2)*$K2439*$L2439*$M2439</f>
        <v/>
      </c>
      <c r="AA2439" s="14">
        <f>SUM(N2439:Y2439)</f>
        <v/>
      </c>
      <c r="AB2439" s="14">
        <f>IFERROR(IF(UPPER($E2439)="L",SUMPRODUCT(N2439:Y2439,$N$3:$Y$3,$N$2:$Y$2),SUMPRODUCT(N2439:Y2439,$N$4:$Y$4,$N$2:$Y$2))/(Z2439/($K2439*$L2439*$M2439)),"")</f>
        <v/>
      </c>
      <c r="AC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25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Early Season (~May)</t>
        </is>
      </c>
      <c r="K2440" s="11">
        <f>IFERROR(INDEX(Roles!$B$17:$B$20,MATCH(J2440,Roles!$A$17:$A$20,0)),1)</f>
        <v/>
      </c>
      <c r="L2440" s="17" t="n">
        <v>1</v>
      </c>
      <c r="M2440" s="11" t="n">
        <v>1</v>
      </c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/>
      <c r="Y2440" s="17" t="n">
        <v>1</v>
      </c>
      <c r="Z2440" s="13">
        <f>SUMPRODUCT(N2440:Y2440,$N$2:$Y$2)*$K2440*$L2440*$M2440</f>
        <v/>
      </c>
      <c r="AA2440" s="14">
        <f>SUM(N2440:Y2440)</f>
        <v/>
      </c>
      <c r="AB2440" s="14">
        <f>IFERROR(IF(UPPER($E2440)="L",SUMPRODUCT(N2440:Y2440,$N$3:$Y$3,$N$2:$Y$2),SUMPRODUCT(N2440:Y2440,$N$4:$Y$4,$N$2:$Y$2))/(Z2440/($K2440*$L2440*$M2440)),"")</f>
        <v/>
      </c>
      <c r="AC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1" t="n">
        <v>1</v>
      </c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/>
      <c r="Y2441" s="17" t="n">
        <v>1</v>
      </c>
      <c r="Z2441" s="13">
        <f>SUMPRODUCT(N2441:Y2441,$N$2:$Y$2)*$K2441*$L2441*$M2441</f>
        <v/>
      </c>
      <c r="AA2441" s="14">
        <f>SUM(N2441:Y2441)</f>
        <v/>
      </c>
      <c r="AB2441" s="14">
        <f>IFERROR(IF(UPPER($E2441)="L",SUMPRODUCT(N2441:Y2441,$N$3:$Y$3,$N$2:$Y$2),SUMPRODUCT(N2441:Y2441,$N$4:$Y$4,$N$2:$Y$2))/(Z2441/($K2441*$L2441*$M2441)),"")</f>
        <v/>
      </c>
      <c r="AC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inlineStr">
        <is>
          <t>CF</t>
        </is>
      </c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1" t="n">
        <v>1</v>
      </c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/>
      <c r="Y2442" s="17" t="n">
        <v>1</v>
      </c>
      <c r="Z2442" s="13">
        <f>SUMPRODUCT(N2442:Y2442,$N$2:$Y$2)*$K2442*$L2442*$M2442</f>
        <v/>
      </c>
      <c r="AA2442" s="14">
        <f>SUM(N2442:Y2442)</f>
        <v/>
      </c>
      <c r="AB2442" s="14">
        <f>IFERROR(IF(UPPER($E2442)="L",SUMPRODUCT(N2442:Y2442,$N$3:$Y$3,$N$2:$Y$2),SUMPRODUCT(N2442:Y2442,$N$4:$Y$4,$N$2:$Y$2))/(Z2442/($K2442*$L2442*$M2442)),"")</f>
        <v/>
      </c>
      <c r="AC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1" t="n">
        <v>1</v>
      </c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/>
      <c r="Y2443" s="17" t="n">
        <v>1</v>
      </c>
      <c r="Z2443" s="13">
        <f>SUMPRODUCT(N2443:Y2443,$N$2:$Y$2)*$K2443*$L2443*$M2443</f>
        <v/>
      </c>
      <c r="AA2443" s="14">
        <f>SUM(N2443:Y2443)</f>
        <v/>
      </c>
      <c r="AB2443" s="14">
        <f>IFERROR(IF(UPPER($E2443)="L",SUMPRODUCT(N2443:Y2443,$N$3:$Y$3,$N$2:$Y$2),SUMPRODUCT(N2443:Y2443,$N$4:$Y$4,$N$2:$Y$2))/(Z2443/($K2443*$L2443*$M2443)),"")</f>
        <v/>
      </c>
      <c r="AC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inlineStr">
        <is>
          <t>3B</t>
        </is>
      </c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1" t="n">
        <v>1</v>
      </c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/>
      <c r="Y2444" s="17" t="n">
        <v>1</v>
      </c>
      <c r="Z2444" s="13">
        <f>SUMPRODUCT(N2444:Y2444,$N$2:$Y$2)*$K2444*$L2444*$M2444</f>
        <v/>
      </c>
      <c r="AA2444" s="14">
        <f>SUM(N2444:Y2444)</f>
        <v/>
      </c>
      <c r="AB2444" s="14">
        <f>IFERROR(IF(UPPER($E2444)="L",SUMPRODUCT(N2444:Y2444,$N$3:$Y$3,$N$2:$Y$2),SUMPRODUCT(N2444:Y2444,$N$4:$Y$4,$N$2:$Y$2))/(Z2444/($K2444*$L2444*$M2444)),"")</f>
        <v/>
      </c>
      <c r="AC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inlineStr">
        <is>
          <t>LF</t>
        </is>
      </c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1" t="n">
        <v>1</v>
      </c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/>
      <c r="W2445" s="17" t="n">
        <v>1</v>
      </c>
      <c r="X2445" s="17" t="n"/>
      <c r="Y2445" s="17" t="n"/>
      <c r="Z2445" s="13">
        <f>SUMPRODUCT(N2445:Y2445,$N$2:$Y$2)*$K2445*$L2445*$M2445</f>
        <v/>
      </c>
      <c r="AA2445" s="14">
        <f>SUM(N2445:Y2445)</f>
        <v/>
      </c>
      <c r="AB2445" s="14">
        <f>IFERROR(IF(UPPER($E2445)="L",SUMPRODUCT(N2445:Y2445,$N$3:$Y$3,$N$2:$Y$2),SUMPRODUCT(N2445:Y2445,$N$4:$Y$4,$N$2:$Y$2))/(Z2445/($K2445*$L2445*$M2445)),"")</f>
        <v/>
      </c>
      <c r="AC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inlineStr">
        <is>
          <t>1B</t>
        </is>
      </c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1" t="n">
        <v>1</v>
      </c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/>
      <c r="Y2446" s="17" t="n">
        <v>1</v>
      </c>
      <c r="Z2446" s="13">
        <f>SUMPRODUCT(N2446:Y2446,$N$2:$Y$2)*$K2446*$L2446*$M2446</f>
        <v/>
      </c>
      <c r="AA2446" s="14">
        <f>SUM(N2446:Y2446)</f>
        <v/>
      </c>
      <c r="AB2446" s="14">
        <f>IFERROR(IF(UPPER($E2446)="L",SUMPRODUCT(N2446:Y2446,$N$3:$Y$3,$N$2:$Y$2),SUMPRODUCT(N2446:Y2446,$N$4:$Y$4,$N$2:$Y$2))/(Z2446/($K2446*$L2446*$M2446)),"")</f>
        <v/>
      </c>
      <c r="AC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1" t="n">
        <v>1</v>
      </c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/>
      <c r="Y2447" s="17" t="n">
        <v>1</v>
      </c>
      <c r="Z2447" s="13">
        <f>SUMPRODUCT(N2447:Y2447,$N$2:$Y$2)*$K2447*$L2447*$M2447</f>
        <v/>
      </c>
      <c r="AA2447" s="14">
        <f>SUM(N2447:Y2447)</f>
        <v/>
      </c>
      <c r="AB2447" s="14">
        <f>IFERROR(IF(UPPER($E2447)="L",SUMPRODUCT(N2447:Y2447,$N$3:$Y$3,$N$2:$Y$2),SUMPRODUCT(N2447:Y2447,$N$4:$Y$4,$N$2:$Y$2))/(Z2447/($K2447*$L2447*$M2447)),"")</f>
        <v/>
      </c>
      <c r="AC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inlineStr">
        <is>
          <t>SS</t>
        </is>
      </c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1" t="n">
        <v>1.034147287855448</v>
      </c>
      <c r="N2448" s="17" t="n">
        <v>1</v>
      </c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7" t="n"/>
      <c r="Z2448" s="13">
        <f>SUMPRODUCT(N2448:Y2448,$N$2:$Y$2)*$K2448*$L2448*$M2448</f>
        <v/>
      </c>
      <c r="AA2448" s="14">
        <f>SUM(N2448:Y2448)</f>
        <v/>
      </c>
      <c r="AB2448" s="14">
        <f>IFERROR(IF(UPPER($E2448)="L",SUMPRODUCT(N2448:Y2448,$N$3:$Y$3,$N$2:$Y$2),SUMPRODUCT(N2448:Y2448,$N$4:$Y$4,$N$2:$Y$2))/(Z2448/($K2448*$L2448*$M2448)),"")</f>
        <v/>
      </c>
      <c r="AC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1" t="n">
        <v>1</v>
      </c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/>
      <c r="Y2449" s="17" t="n">
        <v>1</v>
      </c>
      <c r="Z2449" s="13">
        <f>SUMPRODUCT(N2449:Y2449,$N$2:$Y$2)*$K2449*$L2449*$M2449</f>
        <v/>
      </c>
      <c r="AA2449" s="14">
        <f>SUM(N2449:Y2449)</f>
        <v/>
      </c>
      <c r="AB2449" s="14">
        <f>IFERROR(IF(UPPER($E2449)="L",SUMPRODUCT(N2449:Y2449,$N$3:$Y$3,$N$2:$Y$2),SUMPRODUCT(N2449:Y2449,$N$4:$Y$4,$N$2:$Y$2))/(Z2449/($K2449*$L2449*$M2449)),"")</f>
        <v/>
      </c>
      <c r="AC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1" t="n">
        <v>1</v>
      </c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/>
      <c r="Y2450" s="17" t="n">
        <v>1</v>
      </c>
      <c r="Z2450" s="13">
        <f>SUMPRODUCT(N2450:Y2450,$N$2:$Y$2)*$K2450*$L2450*$M2450</f>
        <v/>
      </c>
      <c r="AA2450" s="14">
        <f>SUM(N2450:Y2450)</f>
        <v/>
      </c>
      <c r="AB2450" s="14">
        <f>IFERROR(IF(UPPER($E2450)="L",SUMPRODUCT(N2450:Y2450,$N$3:$Y$3,$N$2:$Y$2),SUMPRODUCT(N2450:Y2450,$N$4:$Y$4,$N$2:$Y$2))/(Z2450/($K2450*$L2450*$M2450)),"")</f>
        <v/>
      </c>
      <c r="AC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inlineStr">
        <is>
          <t>1B</t>
        </is>
      </c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1" t="n">
        <v>1</v>
      </c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/>
      <c r="Y2451" s="17" t="n">
        <v>1</v>
      </c>
      <c r="Z2451" s="13">
        <f>SUMPRODUCT(N2451:Y2451,$N$2:$Y$2)*$K2451*$L2451*$M2451</f>
        <v/>
      </c>
      <c r="AA2451" s="14">
        <f>SUM(N2451:Y2451)</f>
        <v/>
      </c>
      <c r="AB2451" s="14">
        <f>IFERROR(IF(UPPER($E2451)="L",SUMPRODUCT(N2451:Y2451,$N$3:$Y$3,$N$2:$Y$2),SUMPRODUCT(N2451:Y2451,$N$4:$Y$4,$N$2:$Y$2))/(Z2451/($K2451*$L2451*$M2451)),"")</f>
        <v/>
      </c>
      <c r="AC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inlineStr">
        <is>
          <t>3B</t>
        </is>
      </c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1" t="n">
        <v>1</v>
      </c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/>
      <c r="W2452" s="17" t="n">
        <v>1</v>
      </c>
      <c r="X2452" s="17" t="n"/>
      <c r="Y2452" s="17" t="n"/>
      <c r="Z2452" s="13">
        <f>SUMPRODUCT(N2452:Y2452,$N$2:$Y$2)*$K2452*$L2452*$M2452</f>
        <v/>
      </c>
      <c r="AA2452" s="14">
        <f>SUM(N2452:Y2452)</f>
        <v/>
      </c>
      <c r="AB2452" s="14">
        <f>IFERROR(IF(UPPER($E2452)="L",SUMPRODUCT(N2452:Y2452,$N$3:$Y$3,$N$2:$Y$2),SUMPRODUCT(N2452:Y2452,$N$4:$Y$4,$N$2:$Y$2))/(Z2452/($K2452*$L2452*$M2452)),"")</f>
        <v/>
      </c>
      <c r="AC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1" t="n">
        <v>1</v>
      </c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/>
      <c r="Y2453" s="17" t="n">
        <v>1</v>
      </c>
      <c r="Z2453" s="13">
        <f>SUMPRODUCT(N2453:Y2453,$N$2:$Y$2)*$K2453*$L2453*$M2453</f>
        <v/>
      </c>
      <c r="AA2453" s="14">
        <f>SUM(N2453:Y2453)</f>
        <v/>
      </c>
      <c r="AB2453" s="14">
        <f>IFERROR(IF(UPPER($E2453)="L",SUMPRODUCT(N2453:Y2453,$N$3:$Y$3,$N$2:$Y$2),SUMPRODUCT(N2453:Y2453,$N$4:$Y$4,$N$2:$Y$2))/(Z2453/($K2453*$L2453*$M2453)),"")</f>
        <v/>
      </c>
      <c r="AC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1" t="n">
        <v>1</v>
      </c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/>
      <c r="Y2454" s="17" t="n">
        <v>1</v>
      </c>
      <c r="Z2454" s="13">
        <f>SUMPRODUCT(N2454:Y2454,$N$2:$Y$2)*$K2454*$L2454*$M2454</f>
        <v/>
      </c>
      <c r="AA2454" s="14">
        <f>SUM(N2454:Y2454)</f>
        <v/>
      </c>
      <c r="AB2454" s="14">
        <f>IFERROR(IF(UPPER($E2454)="L",SUMPRODUCT(N2454:Y2454,$N$3:$Y$3,$N$2:$Y$2),SUMPRODUCT(N2454:Y2454,$N$4:$Y$4,$N$2:$Y$2))/(Z2454/($K2454*$L2454*$M2454)),"")</f>
        <v/>
      </c>
      <c r="AC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inlineStr">
        <is>
          <t>CF</t>
        </is>
      </c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1" t="n">
        <v>1</v>
      </c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>
        <v>0.4</v>
      </c>
      <c r="W2455" s="17" t="n">
        <v>0.6</v>
      </c>
      <c r="X2455" s="17" t="n"/>
      <c r="Y2455" s="17" t="n"/>
      <c r="Z2455" s="13">
        <f>SUMPRODUCT(N2455:Y2455,$N$2:$Y$2)*$K2455*$L2455*$M2455</f>
        <v/>
      </c>
      <c r="AA2455" s="14">
        <f>SUM(N2455:Y2455)</f>
        <v/>
      </c>
      <c r="AB2455" s="14">
        <f>IFERROR(IF(UPPER($E2455)="L",SUMPRODUCT(N2455:Y2455,$N$3:$Y$3,$N$2:$Y$2),SUMPRODUCT(N2455:Y2455,$N$4:$Y$4,$N$2:$Y$2))/(Z2455/($K2455*$L2455*$M2455)),"")</f>
        <v/>
      </c>
      <c r="AC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1" t="n">
        <v>1</v>
      </c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/>
      <c r="Y2456" s="17" t="n">
        <v>1</v>
      </c>
      <c r="Z2456" s="13">
        <f>SUMPRODUCT(N2456:Y2456,$N$2:$Y$2)*$K2456*$L2456*$M2456</f>
        <v/>
      </c>
      <c r="AA2456" s="14">
        <f>SUM(N2456:Y2456)</f>
        <v/>
      </c>
      <c r="AB2456" s="14">
        <f>IFERROR(IF(UPPER($E2456)="L",SUMPRODUCT(N2456:Y2456,$N$3:$Y$3,$N$2:$Y$2),SUMPRODUCT(N2456:Y2456,$N$4:$Y$4,$N$2:$Y$2))/(Z2456/($K2456*$L2456*$M2456)),"")</f>
        <v/>
      </c>
      <c r="AC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inlineStr">
        <is>
          <t>RF</t>
        </is>
      </c>
      <c r="G2457" s="9" t="n">
        <v>168</v>
      </c>
      <c r="H2457" s="9" t="n">
        <v>1713</v>
      </c>
      <c r="I2457" s="9" t="inlineStr">
        <is>
          <t>Weak Side Platoon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1" t="n">
        <v>1</v>
      </c>
      <c r="N2457" s="17" t="n"/>
      <c r="O2457" s="17" t="n"/>
      <c r="P2457" s="17" t="n"/>
      <c r="Q2457" s="17" t="n">
        <v>1</v>
      </c>
      <c r="R2457" s="17" t="n"/>
      <c r="S2457" s="17" t="n"/>
      <c r="T2457" s="17" t="n"/>
      <c r="U2457" s="17" t="n"/>
      <c r="V2457" s="17" t="n"/>
      <c r="W2457" s="17" t="n"/>
      <c r="X2457" s="17" t="n"/>
      <c r="Y2457" s="17" t="n"/>
      <c r="Z2457" s="13">
        <f>SUMPRODUCT(N2457:Y2457,$N$2:$Y$2)*$K2457*$L2457*$M2457</f>
        <v/>
      </c>
      <c r="AA2457" s="14">
        <f>SUM(N2457:Y2457)</f>
        <v/>
      </c>
      <c r="AB2457" s="14">
        <f>IFERROR(IF(UPPER($E2457)="L",SUMPRODUCT(N2457:Y2457,$N$3:$Y$3,$N$2:$Y$2),SUMPRODUCT(N2457:Y2457,$N$4:$Y$4,$N$2:$Y$2))/(Z2457/($K2457*$L2457*$M2457)),"")</f>
        <v/>
      </c>
      <c r="AC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1" t="n">
        <v>1</v>
      </c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/>
      <c r="Y2458" s="17" t="n">
        <v>1</v>
      </c>
      <c r="Z2458" s="13">
        <f>SUMPRODUCT(N2458:Y2458,$N$2:$Y$2)*$K2458*$L2458*$M2458</f>
        <v/>
      </c>
      <c r="AA2458" s="14">
        <f>SUM(N2458:Y2458)</f>
        <v/>
      </c>
      <c r="AB2458" s="14">
        <f>IFERROR(IF(UPPER($E2458)="L",SUMPRODUCT(N2458:Y2458,$N$3:$Y$3,$N$2:$Y$2),SUMPRODUCT(N2458:Y2458,$N$4:$Y$4,$N$2:$Y$2))/(Z2458/($K2458*$L2458*$M2458)),"")</f>
        <v/>
      </c>
      <c r="AC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1" t="n">
        <v>1</v>
      </c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/>
      <c r="Y2459" s="17" t="n">
        <v>1</v>
      </c>
      <c r="Z2459" s="13">
        <f>SUMPRODUCT(N2459:Y2459,$N$2:$Y$2)*$K2459*$L2459*$M2459</f>
        <v/>
      </c>
      <c r="AA2459" s="14">
        <f>SUM(N2459:Y2459)</f>
        <v/>
      </c>
      <c r="AB2459" s="14">
        <f>IFERROR(IF(UPPER($E2459)="L",SUMPRODUCT(N2459:Y2459,$N$3:$Y$3,$N$2:$Y$2),SUMPRODUCT(N2459:Y2459,$N$4:$Y$4,$N$2:$Y$2))/(Z2459/($K2459*$L2459*$M2459)),"")</f>
        <v/>
      </c>
      <c r="AC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1" t="n">
        <v>1</v>
      </c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/>
      <c r="Y2460" s="17" t="n">
        <v>1</v>
      </c>
      <c r="Z2460" s="13">
        <f>SUMPRODUCT(N2460:Y2460,$N$2:$Y$2)*$K2460*$L2460*$M2460</f>
        <v/>
      </c>
      <c r="AA2460" s="14">
        <f>SUM(N2460:Y2460)</f>
        <v/>
      </c>
      <c r="AB2460" s="14">
        <f>IFERROR(IF(UPPER($E2460)="L",SUMPRODUCT(N2460:Y2460,$N$3:$Y$3,$N$2:$Y$2),SUMPRODUCT(N2460:Y2460,$N$4:$Y$4,$N$2:$Y$2))/(Z2460/($K2460*$L2460*$M2460)),"")</f>
        <v/>
      </c>
      <c r="AC2460" s="18" t="n"/>
    </row>
    <row r="2461">
      <c r="A2461" s="9" t="n">
        <v>694497</v>
      </c>
      <c r="B2461" s="9" t="inlineStr">
        <is>
          <t>Evan Carter</t>
        </is>
      </c>
      <c r="C2461" s="9" t="inlineStr">
        <is>
          <t>TEX</t>
        </is>
      </c>
      <c r="D2461" s="9" t="n">
        <v>24</v>
      </c>
      <c r="E2461" s="16" t="inlineStr">
        <is>
          <t>L</t>
        </is>
      </c>
      <c r="F2461" s="16" t="inlineStr">
        <is>
          <t>CF</t>
        </is>
      </c>
      <c r="G2461" s="9" t="n">
        <v>455</v>
      </c>
      <c r="H2461" s="9" t="n">
        <v>912</v>
      </c>
      <c r="I2461" s="9" t="inlineStr">
        <is>
          <t>Strong Side Platoon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1" t="n">
        <v>0.9206829007533536</v>
      </c>
      <c r="N2461" s="17" t="n">
        <v>0.4</v>
      </c>
      <c r="O2461" s="17" t="n"/>
      <c r="P2461" s="17" t="n">
        <v>0.6</v>
      </c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7" t="n"/>
      <c r="Z2461" s="13">
        <f>SUMPRODUCT(N2461:Y2461,$N$2:$Y$2)*$K2461*$L2461*$M2461</f>
        <v/>
      </c>
      <c r="AA2461" s="14">
        <f>SUM(N2461:Y2461)</f>
        <v/>
      </c>
      <c r="AB2461" s="14">
        <f>IFERROR(IF(UPPER($E2461)="L",SUMPRODUCT(N2461:Y2461,$N$3:$Y$3,$N$2:$Y$2),SUMPRODUCT(N2461:Y2461,$N$4:$Y$4,$N$2:$Y$2))/(Z2461/($K2461*$L2461*$M2461)),"")</f>
        <v/>
      </c>
      <c r="AC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1" t="n">
        <v>1</v>
      </c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/>
      <c r="Y2462" s="17" t="n">
        <v>1</v>
      </c>
      <c r="Z2462" s="13">
        <f>SUMPRODUCT(N2462:Y2462,$N$2:$Y$2)*$K2462*$L2462*$M2462</f>
        <v/>
      </c>
      <c r="AA2462" s="14">
        <f>SUM(N2462:Y2462)</f>
        <v/>
      </c>
      <c r="AB2462" s="14">
        <f>IFERROR(IF(UPPER($E2462)="L",SUMPRODUCT(N2462:Y2462,$N$3:$Y$3,$N$2:$Y$2),SUMPRODUCT(N2462:Y2462,$N$4:$Y$4,$N$2:$Y$2))/(Z2462/($K2462*$L2462*$M2462)),"")</f>
        <v/>
      </c>
      <c r="AC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inlineStr">
        <is>
          <t>3B</t>
        </is>
      </c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1" t="n">
        <v>1</v>
      </c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/>
      <c r="W2463" s="17" t="n">
        <v>1</v>
      </c>
      <c r="X2463" s="17" t="n"/>
      <c r="Y2463" s="17" t="n"/>
      <c r="Z2463" s="13">
        <f>SUMPRODUCT(N2463:Y2463,$N$2:$Y$2)*$K2463*$L2463*$M2463</f>
        <v/>
      </c>
      <c r="AA2463" s="14">
        <f>SUM(N2463:Y2463)</f>
        <v/>
      </c>
      <c r="AB2463" s="14">
        <f>IFERROR(IF(UPPER($E2463)="L",SUMPRODUCT(N2463:Y2463,$N$3:$Y$3,$N$2:$Y$2),SUMPRODUCT(N2463:Y2463,$N$4:$Y$4,$N$2:$Y$2))/(Z2463/($K2463*$L2463*$M2463)),"")</f>
        <v/>
      </c>
      <c r="AC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inlineStr">
        <is>
          <t>RF</t>
        </is>
      </c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1" t="n">
        <v>1</v>
      </c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/>
      <c r="Y2464" s="17" t="n">
        <v>1</v>
      </c>
      <c r="Z2464" s="13">
        <f>SUMPRODUCT(N2464:Y2464,$N$2:$Y$2)*$K2464*$L2464*$M2464</f>
        <v/>
      </c>
      <c r="AA2464" s="14">
        <f>SUM(N2464:Y2464)</f>
        <v/>
      </c>
      <c r="AB2464" s="14">
        <f>IFERROR(IF(UPPER($E2464)="L",SUMPRODUCT(N2464:Y2464,$N$3:$Y$3,$N$2:$Y$2),SUMPRODUCT(N2464:Y2464,$N$4:$Y$4,$N$2:$Y$2))/(Z2464/($K2464*$L2464*$M2464)),"")</f>
        <v/>
      </c>
      <c r="AC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1" t="n">
        <v>1</v>
      </c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/>
      <c r="Y2465" s="17" t="n">
        <v>1</v>
      </c>
      <c r="Z2465" s="13">
        <f>SUMPRODUCT(N2465:Y2465,$N$2:$Y$2)*$K2465*$L2465*$M2465</f>
        <v/>
      </c>
      <c r="AA2465" s="14">
        <f>SUM(N2465:Y2465)</f>
        <v/>
      </c>
      <c r="AB2465" s="14">
        <f>IFERROR(IF(UPPER($E2465)="L",SUMPRODUCT(N2465:Y2465,$N$3:$Y$3,$N$2:$Y$2),SUMPRODUCT(N2465:Y2465,$N$4:$Y$4,$N$2:$Y$2))/(Z2465/($K2465*$L2465*$M2465)),"")</f>
        <v/>
      </c>
      <c r="AC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1" t="n">
        <v>1</v>
      </c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/>
      <c r="Y2466" s="17" t="n">
        <v>1</v>
      </c>
      <c r="Z2466" s="13">
        <f>SUMPRODUCT(N2466:Y2466,$N$2:$Y$2)*$K2466*$L2466*$M2466</f>
        <v/>
      </c>
      <c r="AA2466" s="14">
        <f>SUM(N2466:Y2466)</f>
        <v/>
      </c>
      <c r="AB2466" s="14">
        <f>IFERROR(IF(UPPER($E2466)="L",SUMPRODUCT(N2466:Y2466,$N$3:$Y$3,$N$2:$Y$2),SUMPRODUCT(N2466:Y2466,$N$4:$Y$4,$N$2:$Y$2))/(Z2466/($K2466*$L2466*$M2466)),"")</f>
        <v/>
      </c>
      <c r="AC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inlineStr">
        <is>
          <t>LF</t>
        </is>
      </c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1" t="n">
        <v>1</v>
      </c>
      <c r="N2467" s="17" t="n"/>
      <c r="O2467" s="17" t="n"/>
      <c r="P2467" s="17" t="n"/>
      <c r="Q2467" s="17" t="n"/>
      <c r="R2467" s="17" t="n"/>
      <c r="S2467" s="17" t="n"/>
      <c r="T2467" s="17" t="n"/>
      <c r="U2467" s="17" t="n"/>
      <c r="V2467" s="17" t="n">
        <v>1</v>
      </c>
      <c r="W2467" s="17" t="n"/>
      <c r="X2467" s="17" t="n"/>
      <c r="Y2467" s="17" t="n"/>
      <c r="Z2467" s="13">
        <f>SUMPRODUCT(N2467:Y2467,$N$2:$Y$2)*$K2467*$L2467*$M2467</f>
        <v/>
      </c>
      <c r="AA2467" s="14">
        <f>SUM(N2467:Y2467)</f>
        <v/>
      </c>
      <c r="AB2467" s="14">
        <f>IFERROR(IF(UPPER($E2467)="L",SUMPRODUCT(N2467:Y2467,$N$3:$Y$3,$N$2:$Y$2),SUMPRODUCT(N2467:Y2467,$N$4:$Y$4,$N$2:$Y$2))/(Z2467/($K2467*$L2467*$M2467)),"")</f>
        <v/>
      </c>
      <c r="AC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1" t="n">
        <v>1</v>
      </c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/>
      <c r="Y2468" s="17" t="n">
        <v>1</v>
      </c>
      <c r="Z2468" s="13">
        <f>SUMPRODUCT(N2468:Y2468,$N$2:$Y$2)*$K2468*$L2468*$M2468</f>
        <v/>
      </c>
      <c r="AA2468" s="14">
        <f>SUM(N2468:Y2468)</f>
        <v/>
      </c>
      <c r="AB2468" s="14">
        <f>IFERROR(IF(UPPER($E2468)="L",SUMPRODUCT(N2468:Y2468,$N$3:$Y$3,$N$2:$Y$2),SUMPRODUCT(N2468:Y2468,$N$4:$Y$4,$N$2:$Y$2))/(Z2468/($K2468*$L2468*$M2468)),"")</f>
        <v/>
      </c>
      <c r="AC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1" t="n">
        <v>1</v>
      </c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/>
      <c r="Y2469" s="17" t="n">
        <v>1</v>
      </c>
      <c r="Z2469" s="13">
        <f>SUMPRODUCT(N2469:Y2469,$N$2:$Y$2)*$K2469*$L2469*$M2469</f>
        <v/>
      </c>
      <c r="AA2469" s="14">
        <f>SUM(N2469:Y2469)</f>
        <v/>
      </c>
      <c r="AB2469" s="14">
        <f>IFERROR(IF(UPPER($E2469)="L",SUMPRODUCT(N2469:Y2469,$N$3:$Y$3,$N$2:$Y$2),SUMPRODUCT(N2469:Y2469,$N$4:$Y$4,$N$2:$Y$2))/(Z2469/($K2469*$L2469*$M2469)),"")</f>
        <v/>
      </c>
      <c r="AC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1" t="n">
        <v>1</v>
      </c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/>
      <c r="Y2470" s="17" t="n">
        <v>1</v>
      </c>
      <c r="Z2470" s="13">
        <f>SUMPRODUCT(N2470:Y2470,$N$2:$Y$2)*$K2470*$L2470*$M2470</f>
        <v/>
      </c>
      <c r="AA2470" s="14">
        <f>SUM(N2470:Y2470)</f>
        <v/>
      </c>
      <c r="AB2470" s="14">
        <f>IFERROR(IF(UPPER($E2470)="L",SUMPRODUCT(N2470:Y2470,$N$3:$Y$3,$N$2:$Y$2),SUMPRODUCT(N2470:Y2470,$N$4:$Y$4,$N$2:$Y$2))/(Z2470/($K2470*$L2470*$M2470)),"")</f>
        <v/>
      </c>
      <c r="AC2470" s="18" t="n"/>
    </row>
    <row r="2471">
      <c r="A2471" s="9" t="n">
        <v>805956</v>
      </c>
      <c r="B2471" s="9" t="inlineStr">
        <is>
          <t>Kai Roberts</t>
        </is>
      </c>
      <c r="C2471" s="9" t="inlineStr">
        <is>
          <t>SD</t>
        </is>
      </c>
      <c r="D2471" s="9" t="n">
        <v>25</v>
      </c>
      <c r="E2471" s="16" t="inlineStr">
        <is>
          <t>L</t>
        </is>
      </c>
      <c r="F2471" s="16" t="n"/>
      <c r="G2471" s="9" t="n">
        <v>112</v>
      </c>
      <c r="H2471" s="9" t="n">
        <v>112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1" t="n">
        <v>1</v>
      </c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/>
      <c r="Y2471" s="17" t="n">
        <v>1</v>
      </c>
      <c r="Z2471" s="13">
        <f>SUMPRODUCT(N2471:Y2471,$N$2:$Y$2)*$K2471*$L2471*$M2471</f>
        <v/>
      </c>
      <c r="AA2471" s="14">
        <f>SUM(N2471:Y2471)</f>
        <v/>
      </c>
      <c r="AB2471" s="14">
        <f>IFERROR(IF(UPPER($E2471)="L",SUMPRODUCT(N2471:Y2471,$N$3:$Y$3,$N$2:$Y$2),SUMPRODUCT(N2471:Y2471,$N$4:$Y$4,$N$2:$Y$2))/(Z2471/($K2471*$L2471*$M2471)),"")</f>
        <v/>
      </c>
      <c r="AC2471" s="18" t="n"/>
    </row>
    <row r="2472">
      <c r="A2472" s="9" t="n">
        <v>800050</v>
      </c>
      <c r="B2472" s="9" t="inlineStr">
        <is>
          <t>Chase DeLauter</t>
        </is>
      </c>
      <c r="C2472" s="9" t="inlineStr">
        <is>
          <t>CLE</t>
        </is>
      </c>
      <c r="D2472" s="9" t="n">
        <v>25</v>
      </c>
      <c r="E2472" s="16" t="inlineStr">
        <is>
          <t>L</t>
        </is>
      </c>
      <c r="F2472" s="16" t="inlineStr">
        <is>
          <t>RF</t>
        </is>
      </c>
      <c r="G2472" s="9" t="n">
        <v>559</v>
      </c>
      <c r="H2472" s="9" t="n">
        <v>559</v>
      </c>
      <c r="I2472" s="9" t="inlineStr">
        <is>
          <t>Full Time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1" t="n">
        <v>0.9883683892285738</v>
      </c>
      <c r="N2472" s="17" t="n">
        <v>1</v>
      </c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7" t="n"/>
      <c r="Z2472" s="13">
        <f>SUMPRODUCT(N2472:Y2472,$N$2:$Y$2)*$K2472*$L2472*$M2472</f>
        <v/>
      </c>
      <c r="AA2472" s="14">
        <f>SUM(N2472:Y2472)</f>
        <v/>
      </c>
      <c r="AB2472" s="14">
        <f>IFERROR(IF(UPPER($E2472)="L",SUMPRODUCT(N2472:Y2472,$N$3:$Y$3,$N$2:$Y$2),SUMPRODUCT(N2472:Y2472,$N$4:$Y$4,$N$2:$Y$2))/(Z2472/($K2472*$L2472*$M2472)),"")</f>
        <v/>
      </c>
      <c r="AC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1" t="n">
        <v>1</v>
      </c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/>
      <c r="Y2473" s="17" t="n">
        <v>1</v>
      </c>
      <c r="Z2473" s="13">
        <f>SUMPRODUCT(N2473:Y2473,$N$2:$Y$2)*$K2473*$L2473*$M2473</f>
        <v/>
      </c>
      <c r="AA2473" s="14">
        <f>SUM(N2473:Y2473)</f>
        <v/>
      </c>
      <c r="AB2473" s="14">
        <f>IFERROR(IF(UPPER($E2473)="L",SUMPRODUCT(N2473:Y2473,$N$3:$Y$3,$N$2:$Y$2),SUMPRODUCT(N2473:Y2473,$N$4:$Y$4,$N$2:$Y$2))/(Z2473/($K2473*$L2473*$M2473)),"")</f>
        <v/>
      </c>
      <c r="AC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1" t="n">
        <v>1</v>
      </c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/>
      <c r="Y2474" s="17" t="n">
        <v>1</v>
      </c>
      <c r="Z2474" s="13">
        <f>SUMPRODUCT(N2474:Y2474,$N$2:$Y$2)*$K2474*$L2474*$M2474</f>
        <v/>
      </c>
      <c r="AA2474" s="14">
        <f>SUM(N2474:Y2474)</f>
        <v/>
      </c>
      <c r="AB2474" s="14">
        <f>IFERROR(IF(UPPER($E2474)="L",SUMPRODUCT(N2474:Y2474,$N$3:$Y$3,$N$2:$Y$2),SUMPRODUCT(N2474:Y2474,$N$4:$Y$4,$N$2:$Y$2))/(Z2474/($K2474*$L2474*$M2474)),"")</f>
        <v/>
      </c>
      <c r="AC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1" t="n">
        <v>1</v>
      </c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/>
      <c r="Y2475" s="17" t="n">
        <v>1</v>
      </c>
      <c r="Z2475" s="13">
        <f>SUMPRODUCT(N2475:Y2475,$N$2:$Y$2)*$K2475*$L2475*$M2475</f>
        <v/>
      </c>
      <c r="AA2475" s="14">
        <f>SUM(N2475:Y2475)</f>
        <v/>
      </c>
      <c r="AB2475" s="14">
        <f>IFERROR(IF(UPPER($E2475)="L",SUMPRODUCT(N2475:Y2475,$N$3:$Y$3,$N$2:$Y$2),SUMPRODUCT(N2475:Y2475,$N$4:$Y$4,$N$2:$Y$2))/(Z2475/($K2475*$L2475*$M2475)),"")</f>
        <v/>
      </c>
      <c r="AC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1" t="n">
        <v>1</v>
      </c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/>
      <c r="Y2476" s="17" t="n">
        <v>1</v>
      </c>
      <c r="Z2476" s="13">
        <f>SUMPRODUCT(N2476:Y2476,$N$2:$Y$2)*$K2476*$L2476*$M2476</f>
        <v/>
      </c>
      <c r="AA2476" s="14">
        <f>SUM(N2476:Y2476)</f>
        <v/>
      </c>
      <c r="AB2476" s="14">
        <f>IFERROR(IF(UPPER($E2476)="L",SUMPRODUCT(N2476:Y2476,$N$3:$Y$3,$N$2:$Y$2),SUMPRODUCT(N2476:Y2476,$N$4:$Y$4,$N$2:$Y$2))/(Z2476/($K2476*$L2476*$M2476)),"")</f>
        <v/>
      </c>
      <c r="AC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1" t="n">
        <v>1</v>
      </c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/>
      <c r="Y2477" s="17" t="n">
        <v>1</v>
      </c>
      <c r="Z2477" s="13">
        <f>SUMPRODUCT(N2477:Y2477,$N$2:$Y$2)*$K2477*$L2477*$M2477</f>
        <v/>
      </c>
      <c r="AA2477" s="14">
        <f>SUM(N2477:Y2477)</f>
        <v/>
      </c>
      <c r="AB2477" s="14">
        <f>IFERROR(IF(UPPER($E2477)="L",SUMPRODUCT(N2477:Y2477,$N$3:$Y$3,$N$2:$Y$2),SUMPRODUCT(N2477:Y2477,$N$4:$Y$4,$N$2:$Y$2))/(Z2477/($K2477*$L2477*$M2477)),"")</f>
        <v/>
      </c>
      <c r="AC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1" t="n">
        <v>1</v>
      </c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/>
      <c r="Y2478" s="17" t="n">
        <v>1</v>
      </c>
      <c r="Z2478" s="13">
        <f>SUMPRODUCT(N2478:Y2478,$N$2:$Y$2)*$K2478*$L2478*$M2478</f>
        <v/>
      </c>
      <c r="AA2478" s="14">
        <f>SUM(N2478:Y2478)</f>
        <v/>
      </c>
      <c r="AB2478" s="14">
        <f>IFERROR(IF(UPPER($E2478)="L",SUMPRODUCT(N2478:Y2478,$N$3:$Y$3,$N$2:$Y$2),SUMPRODUCT(N2478:Y2478,$N$4:$Y$4,$N$2:$Y$2))/(Z2478/($K2478*$L2478*$M2478)),"")</f>
        <v/>
      </c>
      <c r="AC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1" t="n">
        <v>1</v>
      </c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/>
      <c r="Y2479" s="17" t="n">
        <v>1</v>
      </c>
      <c r="Z2479" s="13">
        <f>SUMPRODUCT(N2479:Y2479,$N$2:$Y$2)*$K2479*$L2479*$M2479</f>
        <v/>
      </c>
      <c r="AA2479" s="14">
        <f>SUM(N2479:Y2479)</f>
        <v/>
      </c>
      <c r="AB2479" s="14">
        <f>IFERROR(IF(UPPER($E2479)="L",SUMPRODUCT(N2479:Y2479,$N$3:$Y$3,$N$2:$Y$2),SUMPRODUCT(N2479:Y2479,$N$4:$Y$4,$N$2:$Y$2))/(Z2479/($K2479*$L2479*$M2479)),"")</f>
        <v/>
      </c>
      <c r="AC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1" t="n">
        <v>1</v>
      </c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/>
      <c r="Y2480" s="17" t="n">
        <v>1</v>
      </c>
      <c r="Z2480" s="13">
        <f>SUMPRODUCT(N2480:Y2480,$N$2:$Y$2)*$K2480*$L2480*$M2480</f>
        <v/>
      </c>
      <c r="AA2480" s="14">
        <f>SUM(N2480:Y2480)</f>
        <v/>
      </c>
      <c r="AB2480" s="14">
        <f>IFERROR(IF(UPPER($E2480)="L",SUMPRODUCT(N2480:Y2480,$N$3:$Y$3,$N$2:$Y$2),SUMPRODUCT(N2480:Y2480,$N$4:$Y$4,$N$2:$Y$2))/(Z2480/($K2480*$L2480*$M2480)),"")</f>
        <v/>
      </c>
      <c r="AC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1" t="n">
        <v>1</v>
      </c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/>
      <c r="Y2481" s="17" t="n">
        <v>1</v>
      </c>
      <c r="Z2481" s="13">
        <f>SUMPRODUCT(N2481:Y2481,$N$2:$Y$2)*$K2481*$L2481*$M2481</f>
        <v/>
      </c>
      <c r="AA2481" s="14">
        <f>SUM(N2481:Y2481)</f>
        <v/>
      </c>
      <c r="AB2481" s="14">
        <f>IFERROR(IF(UPPER($E2481)="L",SUMPRODUCT(N2481:Y2481,$N$3:$Y$3,$N$2:$Y$2),SUMPRODUCT(N2481:Y2481,$N$4:$Y$4,$N$2:$Y$2))/(Z2481/($K2481*$L2481*$M2481)),"")</f>
        <v/>
      </c>
      <c r="AC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inlineStr">
        <is>
          <t>C</t>
        </is>
      </c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1" t="n">
        <v>1</v>
      </c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/>
      <c r="Y2482" s="17" t="n">
        <v>1</v>
      </c>
      <c r="Z2482" s="13">
        <f>SUMPRODUCT(N2482:Y2482,$N$2:$Y$2)*$K2482*$L2482*$M2482</f>
        <v/>
      </c>
      <c r="AA2482" s="14">
        <f>SUM(N2482:Y2482)</f>
        <v/>
      </c>
      <c r="AB2482" s="14">
        <f>IFERROR(IF(UPPER($E2482)="L",SUMPRODUCT(N2482:Y2482,$N$3:$Y$3,$N$2:$Y$2),SUMPRODUCT(N2482:Y2482,$N$4:$Y$4,$N$2:$Y$2))/(Z2482/($K2482*$L2482*$M2482)),"")</f>
        <v/>
      </c>
      <c r="AC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inlineStr">
        <is>
          <t>2B</t>
        </is>
      </c>
      <c r="G2483" s="9" t="n">
        <v>370</v>
      </c>
      <c r="H2483" s="9" t="n">
        <v>894</v>
      </c>
      <c r="I2483" s="9" t="inlineStr">
        <is>
          <t>Utility IF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1" t="n">
        <v>1.020437212784458</v>
      </c>
      <c r="N2483" s="17" t="n"/>
      <c r="O2483" s="17" t="n"/>
      <c r="P2483" s="17" t="n"/>
      <c r="Q2483" s="17" t="n"/>
      <c r="R2483" s="17" t="n"/>
      <c r="S2483" s="17" t="n"/>
      <c r="T2483" s="17" t="n"/>
      <c r="U2483" s="17" t="n">
        <v>0.7</v>
      </c>
      <c r="V2483" s="17" t="n"/>
      <c r="W2483" s="17" t="n">
        <v>0.3</v>
      </c>
      <c r="X2483" s="17" t="n"/>
      <c r="Y2483" s="17" t="n"/>
      <c r="Z2483" s="13">
        <f>SUMPRODUCT(N2483:Y2483,$N$2:$Y$2)*$K2483*$L2483*$M2483</f>
        <v/>
      </c>
      <c r="AA2483" s="14">
        <f>SUM(N2483:Y2483)</f>
        <v/>
      </c>
      <c r="AB2483" s="14">
        <f>IFERROR(IF(UPPER($E2483)="L",SUMPRODUCT(N2483:Y2483,$N$3:$Y$3,$N$2:$Y$2),SUMPRODUCT(N2483:Y2483,$N$4:$Y$4,$N$2:$Y$2))/(Z2483/($K2483*$L2483*$M2483)),"")</f>
        <v/>
      </c>
      <c r="AC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1" t="n">
        <v>1</v>
      </c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/>
      <c r="Y2484" s="17" t="n">
        <v>1</v>
      </c>
      <c r="Z2484" s="13">
        <f>SUMPRODUCT(N2484:Y2484,$N$2:$Y$2)*$K2484*$L2484*$M2484</f>
        <v/>
      </c>
      <c r="AA2484" s="14">
        <f>SUM(N2484:Y2484)</f>
        <v/>
      </c>
      <c r="AB2484" s="14">
        <f>IFERROR(IF(UPPER($E2484)="L",SUMPRODUCT(N2484:Y2484,$N$3:$Y$3,$N$2:$Y$2),SUMPRODUCT(N2484:Y2484,$N$4:$Y$4,$N$2:$Y$2))/(Z2484/($K2484*$L2484*$M2484)),"")</f>
        <v/>
      </c>
      <c r="AC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1" t="n">
        <v>1</v>
      </c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/>
      <c r="Y2485" s="17" t="n">
        <v>1</v>
      </c>
      <c r="Z2485" s="13">
        <f>SUMPRODUCT(N2485:Y2485,$N$2:$Y$2)*$K2485*$L2485*$M2485</f>
        <v/>
      </c>
      <c r="AA2485" s="14">
        <f>SUM(N2485:Y2485)</f>
        <v/>
      </c>
      <c r="AB2485" s="14">
        <f>IFERROR(IF(UPPER($E2485)="L",SUMPRODUCT(N2485:Y2485,$N$3:$Y$3,$N$2:$Y$2),SUMPRODUCT(N2485:Y2485,$N$4:$Y$4,$N$2:$Y$2))/(Z2485/($K2485*$L2485*$M2485)),"")</f>
        <v/>
      </c>
      <c r="AC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1" t="n">
        <v>1</v>
      </c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/>
      <c r="Y2486" s="17" t="n">
        <v>1</v>
      </c>
      <c r="Z2486" s="13">
        <f>SUMPRODUCT(N2486:Y2486,$N$2:$Y$2)*$K2486*$L2486*$M2486</f>
        <v/>
      </c>
      <c r="AA2486" s="14">
        <f>SUM(N2486:Y2486)</f>
        <v/>
      </c>
      <c r="AB2486" s="14">
        <f>IFERROR(IF(UPPER($E2486)="L",SUMPRODUCT(N2486:Y2486,$N$3:$Y$3,$N$2:$Y$2),SUMPRODUCT(N2486:Y2486,$N$4:$Y$4,$N$2:$Y$2))/(Z2486/($K2486*$L2486*$M2486)),"")</f>
        <v/>
      </c>
      <c r="AC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1" t="n">
        <v>1</v>
      </c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/>
      <c r="Y2487" s="17" t="n">
        <v>1</v>
      </c>
      <c r="Z2487" s="13">
        <f>SUMPRODUCT(N2487:Y2487,$N$2:$Y$2)*$K2487*$L2487*$M2487</f>
        <v/>
      </c>
      <c r="AA2487" s="14">
        <f>SUM(N2487:Y2487)</f>
        <v/>
      </c>
      <c r="AB2487" s="14">
        <f>IFERROR(IF(UPPER($E2487)="L",SUMPRODUCT(N2487:Y2487,$N$3:$Y$3,$N$2:$Y$2),SUMPRODUCT(N2487:Y2487,$N$4:$Y$4,$N$2:$Y$2))/(Z2487/($K2487*$L2487*$M2487)),"")</f>
        <v/>
      </c>
      <c r="AC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inlineStr">
        <is>
          <t>CF</t>
        </is>
      </c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1" t="n">
        <v>1</v>
      </c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>
        <v>0.4</v>
      </c>
      <c r="W2488" s="17" t="n">
        <v>0.6</v>
      </c>
      <c r="X2488" s="17" t="n"/>
      <c r="Y2488" s="17" t="n"/>
      <c r="Z2488" s="13">
        <f>SUMPRODUCT(N2488:Y2488,$N$2:$Y$2)*$K2488*$L2488*$M2488</f>
        <v/>
      </c>
      <c r="AA2488" s="14">
        <f>SUM(N2488:Y2488)</f>
        <v/>
      </c>
      <c r="AB2488" s="14">
        <f>IFERROR(IF(UPPER($E2488)="L",SUMPRODUCT(N2488:Y2488,$N$3:$Y$3,$N$2:$Y$2),SUMPRODUCT(N2488:Y2488,$N$4:$Y$4,$N$2:$Y$2))/(Z2488/($K2488*$L2488*$M2488)),"")</f>
        <v/>
      </c>
      <c r="AC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1" t="n">
        <v>1</v>
      </c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/>
      <c r="Y2489" s="17" t="n">
        <v>1</v>
      </c>
      <c r="Z2489" s="13">
        <f>SUMPRODUCT(N2489:Y2489,$N$2:$Y$2)*$K2489*$L2489*$M2489</f>
        <v/>
      </c>
      <c r="AA2489" s="14">
        <f>SUM(N2489:Y2489)</f>
        <v/>
      </c>
      <c r="AB2489" s="14">
        <f>IFERROR(IF(UPPER($E2489)="L",SUMPRODUCT(N2489:Y2489,$N$3:$Y$3,$N$2:$Y$2),SUMPRODUCT(N2489:Y2489,$N$4:$Y$4,$N$2:$Y$2))/(Z2489/($K2489*$L2489*$M2489)),"")</f>
        <v/>
      </c>
      <c r="AC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1" t="n">
        <v>1</v>
      </c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/>
      <c r="Y2490" s="17" t="n">
        <v>1</v>
      </c>
      <c r="Z2490" s="13">
        <f>SUMPRODUCT(N2490:Y2490,$N$2:$Y$2)*$K2490*$L2490*$M2490</f>
        <v/>
      </c>
      <c r="AA2490" s="14">
        <f>SUM(N2490:Y2490)</f>
        <v/>
      </c>
      <c r="AB2490" s="14">
        <f>IFERROR(IF(UPPER($E2490)="L",SUMPRODUCT(N2490:Y2490,$N$3:$Y$3,$N$2:$Y$2),SUMPRODUCT(N2490:Y2490,$N$4:$Y$4,$N$2:$Y$2))/(Z2490/($K2490*$L2490*$M2490)),"")</f>
        <v/>
      </c>
      <c r="AC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inlineStr">
        <is>
          <t>SS</t>
        </is>
      </c>
      <c r="G2491" s="9" t="n">
        <v>347</v>
      </c>
      <c r="H2491" s="9" t="n">
        <v>939</v>
      </c>
      <c r="I2491" s="9" t="inlineStr">
        <is>
          <t>Strong Side Platoon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1" t="n">
        <v>0.8457950700738739</v>
      </c>
      <c r="N2491" s="17" t="n"/>
      <c r="O2491" s="17" t="n"/>
      <c r="P2491" s="17" t="n">
        <v>0.6</v>
      </c>
      <c r="Q2491" s="17" t="n"/>
      <c r="R2491" s="17" t="n"/>
      <c r="S2491" s="17" t="n"/>
      <c r="T2491" s="17" t="n"/>
      <c r="U2491" s="17" t="n">
        <v>0.4</v>
      </c>
      <c r="V2491" s="17" t="n"/>
      <c r="W2491" s="17" t="n"/>
      <c r="X2491" s="17" t="n"/>
      <c r="Y2491" s="17" t="n"/>
      <c r="Z2491" s="13">
        <f>SUMPRODUCT(N2491:Y2491,$N$2:$Y$2)*$K2491*$L2491*$M2491</f>
        <v/>
      </c>
      <c r="AA2491" s="14">
        <f>SUM(N2491:Y2491)</f>
        <v/>
      </c>
      <c r="AB2491" s="14">
        <f>IFERROR(IF(UPPER($E2491)="L",SUMPRODUCT(N2491:Y2491,$N$3:$Y$3,$N$2:$Y$2),SUMPRODUCT(N2491:Y2491,$N$4:$Y$4,$N$2:$Y$2))/(Z2491/($K2491*$L2491*$M2491)),"")</f>
        <v/>
      </c>
      <c r="AC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inlineStr">
        <is>
          <t>CF</t>
        </is>
      </c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1" t="n">
        <v>0.7979304335073534</v>
      </c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/>
      <c r="W2492" s="17" t="n">
        <v>1</v>
      </c>
      <c r="X2492" s="17" t="n"/>
      <c r="Y2492" s="17" t="n"/>
      <c r="Z2492" s="13">
        <f>SUMPRODUCT(N2492:Y2492,$N$2:$Y$2)*$K2492*$L2492*$M2492</f>
        <v/>
      </c>
      <c r="AA2492" s="14">
        <f>SUM(N2492:Y2492)</f>
        <v/>
      </c>
      <c r="AB2492" s="14">
        <f>IFERROR(IF(UPPER($E2492)="L",SUMPRODUCT(N2492:Y2492,$N$3:$Y$3,$N$2:$Y$2),SUMPRODUCT(N2492:Y2492,$N$4:$Y$4,$N$2:$Y$2))/(Z2492/($K2492*$L2492*$M2492)),"")</f>
        <v/>
      </c>
      <c r="AC2492" s="18" t="n"/>
    </row>
    <row r="2493">
      <c r="A2493" s="9" t="n">
        <v>823153</v>
      </c>
      <c r="B2493" s="9" t="inlineStr">
        <is>
          <t>Matt King</t>
        </is>
      </c>
      <c r="C2493" s="9" t="inlineStr">
        <is>
          <t>PIT</t>
        </is>
      </c>
      <c r="D2493" s="9" t="n">
        <v>25</v>
      </c>
      <c r="E2493" s="16" t="inlineStr">
        <is>
          <t>R</t>
        </is>
      </c>
      <c r="F2493" s="16" t="n"/>
      <c r="G2493" s="9" t="n">
        <v>73.94871794871796</v>
      </c>
      <c r="H2493" s="9" t="n">
        <v>73.94871794871796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1" t="n">
        <v>1</v>
      </c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/>
      <c r="Y2493" s="17" t="n">
        <v>1</v>
      </c>
      <c r="Z2493" s="13">
        <f>SUMPRODUCT(N2493:Y2493,$N$2:$Y$2)*$K2493*$L2493*$M2493</f>
        <v/>
      </c>
      <c r="AA2493" s="14">
        <f>SUM(N2493:Y2493)</f>
        <v/>
      </c>
      <c r="AB2493" s="14">
        <f>IFERROR(IF(UPPER($E2493)="L",SUMPRODUCT(N2493:Y2493,$N$3:$Y$3,$N$2:$Y$2),SUMPRODUCT(N2493:Y2493,$N$4:$Y$4,$N$2:$Y$2))/(Z2493/($K2493*$L2493*$M2493)),"")</f>
        <v/>
      </c>
      <c r="AC2493" s="18" t="n"/>
    </row>
    <row r="2494">
      <c r="A2494" s="9" t="n">
        <v>670276</v>
      </c>
      <c r="B2494" s="9" t="inlineStr">
        <is>
          <t>Cal Stevenson</t>
        </is>
      </c>
      <c r="C2494" s="9" t="inlineStr">
        <is>
          <t>PHI</t>
        </is>
      </c>
      <c r="D2494" s="9" t="n">
        <v>30</v>
      </c>
      <c r="E2494" s="16" t="inlineStr">
        <is>
          <t>L</t>
        </is>
      </c>
      <c r="F2494" s="16" t="inlineStr">
        <is>
          <t>CF</t>
        </is>
      </c>
      <c r="G2494" s="9" t="n">
        <v>8</v>
      </c>
      <c r="H2494" s="9" t="n">
        <v>118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1" t="n">
        <v>1</v>
      </c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/>
      <c r="Y2494" s="17" t="n">
        <v>1</v>
      </c>
      <c r="Z2494" s="13">
        <f>SUMPRODUCT(N2494:Y2494,$N$2:$Y$2)*$K2494*$L2494*$M2494</f>
        <v/>
      </c>
      <c r="AA2494" s="14">
        <f>SUM(N2494:Y2494)</f>
        <v/>
      </c>
      <c r="AB2494" s="14">
        <f>IFERROR(IF(UPPER($E2494)="L",SUMPRODUCT(N2494:Y2494,$N$3:$Y$3,$N$2:$Y$2),SUMPRODUCT(N2494:Y2494,$N$4:$Y$4,$N$2:$Y$2))/(Z2494/($K2494*$L2494*$M2494)),"")</f>
        <v/>
      </c>
      <c r="AC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25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Mid Season (~July)</t>
        </is>
      </c>
      <c r="K2495" s="11">
        <f>IFERROR(INDEX(Roles!$B$17:$B$20,MATCH(J2495,Roles!$A$17:$A$20,0)),1)</f>
        <v/>
      </c>
      <c r="L2495" s="17" t="n">
        <v>1</v>
      </c>
      <c r="M2495" s="11" t="n">
        <v>1</v>
      </c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/>
      <c r="Y2495" s="17" t="n">
        <v>1</v>
      </c>
      <c r="Z2495" s="13">
        <f>SUMPRODUCT(N2495:Y2495,$N$2:$Y$2)*$K2495*$L2495*$M2495</f>
        <v/>
      </c>
      <c r="AA2495" s="14">
        <f>SUM(N2495:Y2495)</f>
        <v/>
      </c>
      <c r="AB2495" s="14">
        <f>IFERROR(IF(UPPER($E2495)="L",SUMPRODUCT(N2495:Y2495,$N$3:$Y$3,$N$2:$Y$2),SUMPRODUCT(N2495:Y2495,$N$4:$Y$4,$N$2:$Y$2))/(Z2495/($K2495*$L2495*$M2495)),"")</f>
        <v/>
      </c>
      <c r="AC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inlineStr">
        <is>
          <t>2B</t>
        </is>
      </c>
      <c r="G2496" s="9" t="n">
        <v>263</v>
      </c>
      <c r="H2496" s="9" t="n">
        <v>263</v>
      </c>
      <c r="I2496" s="9" t="inlineStr">
        <is>
          <t>Utility IF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1" t="n">
        <v>1</v>
      </c>
      <c r="N2496" s="17" t="n"/>
      <c r="O2496" s="17" t="n"/>
      <c r="P2496" s="17" t="n"/>
      <c r="Q2496" s="17" t="n"/>
      <c r="R2496" s="17" t="n"/>
      <c r="S2496" s="17" t="n"/>
      <c r="T2496" s="17" t="n"/>
      <c r="U2496" s="17" t="n">
        <v>1</v>
      </c>
      <c r="V2496" s="17" t="n"/>
      <c r="W2496" s="17" t="n"/>
      <c r="X2496" s="17" t="n"/>
      <c r="Y2496" s="17" t="n"/>
      <c r="Z2496" s="13">
        <f>SUMPRODUCT(N2496:Y2496,$N$2:$Y$2)*$K2496*$L2496*$M2496</f>
        <v/>
      </c>
      <c r="AA2496" s="14">
        <f>SUM(N2496:Y2496)</f>
        <v/>
      </c>
      <c r="AB2496" s="14">
        <f>IFERROR(IF(UPPER($E2496)="L",SUMPRODUCT(N2496:Y2496,$N$3:$Y$3,$N$2:$Y$2),SUMPRODUCT(N2496:Y2496,$N$4:$Y$4,$N$2:$Y$2))/(Z2496/($K2496*$L2496*$M2496)),"")</f>
        <v/>
      </c>
      <c r="AC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1" t="n">
        <v>1</v>
      </c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/>
      <c r="Y2497" s="17" t="n">
        <v>1</v>
      </c>
      <c r="Z2497" s="13">
        <f>SUMPRODUCT(N2497:Y2497,$N$2:$Y$2)*$K2497*$L2497*$M2497</f>
        <v/>
      </c>
      <c r="AA2497" s="14">
        <f>SUM(N2497:Y2497)</f>
        <v/>
      </c>
      <c r="AB2497" s="14">
        <f>IFERROR(IF(UPPER($E2497)="L",SUMPRODUCT(N2497:Y2497,$N$3:$Y$3,$N$2:$Y$2),SUMPRODUCT(N2497:Y2497,$N$4:$Y$4,$N$2:$Y$2))/(Z2497/($K2497*$L2497*$M2497)),"")</f>
        <v/>
      </c>
      <c r="AC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inlineStr">
        <is>
          <t>RF</t>
        </is>
      </c>
      <c r="G2498" s="9" t="n">
        <v>22</v>
      </c>
      <c r="H2498" s="9" t="n">
        <v>22</v>
      </c>
      <c r="I2498" s="9" t="inlineStr">
        <is>
          <t>Full Time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1" t="n">
        <v>1</v>
      </c>
      <c r="N2498" s="17" t="n">
        <v>0.85</v>
      </c>
      <c r="O2498" s="17" t="n"/>
      <c r="P2498" s="17" t="n">
        <v>0.15</v>
      </c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7" t="n"/>
      <c r="Z2498" s="13">
        <f>SUMPRODUCT(N2498:Y2498,$N$2:$Y$2)*$K2498*$L2498*$M2498</f>
        <v/>
      </c>
      <c r="AA2498" s="14">
        <f>SUM(N2498:Y2498)</f>
        <v/>
      </c>
      <c r="AB2498" s="14">
        <f>IFERROR(IF(UPPER($E2498)="L",SUMPRODUCT(N2498:Y2498,$N$3:$Y$3,$N$2:$Y$2),SUMPRODUCT(N2498:Y2498,$N$4:$Y$4,$N$2:$Y$2))/(Z2498/($K2498*$L2498*$M2498)),"")</f>
        <v/>
      </c>
      <c r="AC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inlineStr">
        <is>
          <t>1B</t>
        </is>
      </c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1" t="n">
        <v>1</v>
      </c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/>
      <c r="Y2499" s="17" t="n">
        <v>1</v>
      </c>
      <c r="Z2499" s="13">
        <f>SUMPRODUCT(N2499:Y2499,$N$2:$Y$2)*$K2499*$L2499*$M2499</f>
        <v/>
      </c>
      <c r="AA2499" s="14">
        <f>SUM(N2499:Y2499)</f>
        <v/>
      </c>
      <c r="AB2499" s="14">
        <f>IFERROR(IF(UPPER($E2499)="L",SUMPRODUCT(N2499:Y2499,$N$3:$Y$3,$N$2:$Y$2),SUMPRODUCT(N2499:Y2499,$N$4:$Y$4,$N$2:$Y$2))/(Z2499/($K2499*$L2499*$M2499)),"")</f>
        <v/>
      </c>
      <c r="AC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1" t="n">
        <v>1</v>
      </c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/>
      <c r="Y2500" s="17" t="n">
        <v>1</v>
      </c>
      <c r="Z2500" s="13">
        <f>SUMPRODUCT(N2500:Y2500,$N$2:$Y$2)*$K2500*$L2500*$M2500</f>
        <v/>
      </c>
      <c r="AA2500" s="14">
        <f>SUM(N2500:Y2500)</f>
        <v/>
      </c>
      <c r="AB2500" s="14">
        <f>IFERROR(IF(UPPER($E2500)="L",SUMPRODUCT(N2500:Y2500,$N$3:$Y$3,$N$2:$Y$2),SUMPRODUCT(N2500:Y2500,$N$4:$Y$4,$N$2:$Y$2))/(Z2500/($K2500*$L2500*$M2500)),"")</f>
        <v/>
      </c>
      <c r="AC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1" t="n">
        <v>1</v>
      </c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/>
      <c r="Y2501" s="17" t="n">
        <v>1</v>
      </c>
      <c r="Z2501" s="13">
        <f>SUMPRODUCT(N2501:Y2501,$N$2:$Y$2)*$K2501*$L2501*$M2501</f>
        <v/>
      </c>
      <c r="AA2501" s="14">
        <f>SUM(N2501:Y2501)</f>
        <v/>
      </c>
      <c r="AB2501" s="14">
        <f>IFERROR(IF(UPPER($E2501)="L",SUMPRODUCT(N2501:Y2501,$N$3:$Y$3,$N$2:$Y$2),SUMPRODUCT(N2501:Y2501,$N$4:$Y$4,$N$2:$Y$2))/(Z2501/($K2501*$L2501*$M2501)),"")</f>
        <v/>
      </c>
      <c r="AC2501" s="18" t="n"/>
    </row>
    <row r="2502">
      <c r="A2502" s="9" t="n">
        <v>682988</v>
      </c>
      <c r="B2502" s="9" t="inlineStr">
        <is>
          <t>Tyler Locklear</t>
        </is>
      </c>
      <c r="C2502" s="9" t="inlineStr">
        <is>
          <t>ARI</t>
        </is>
      </c>
      <c r="D2502" s="9" t="n">
        <v>26</v>
      </c>
      <c r="E2502" s="16" t="inlineStr">
        <is>
          <t>R</t>
        </is>
      </c>
      <c r="F2502" s="16" t="inlineStr">
        <is>
          <t>1B</t>
        </is>
      </c>
      <c r="G2502" s="9" t="n">
        <v>42</v>
      </c>
      <c r="H2502" s="9" t="n">
        <v>207</v>
      </c>
      <c r="I2502" s="9" t="inlineStr">
        <is>
          <t>Bench Bat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1" t="n">
        <v>1</v>
      </c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/>
      <c r="W2502" s="17" t="n">
        <v>0.7</v>
      </c>
      <c r="X2502" s="17" t="n">
        <v>0.3</v>
      </c>
      <c r="Y2502" s="17" t="n"/>
      <c r="Z2502" s="13">
        <f>SUMPRODUCT(N2502:Y2502,$N$2:$Y$2)*$K2502*$L2502*$M2502</f>
        <v/>
      </c>
      <c r="AA2502" s="14">
        <f>SUM(N2502:Y2502)</f>
        <v/>
      </c>
      <c r="AB2502" s="14">
        <f>IFERROR(IF(UPPER($E2502)="L",SUMPRODUCT(N2502:Y2502,$N$3:$Y$3,$N$2:$Y$2),SUMPRODUCT(N2502:Y2502,$N$4:$Y$4,$N$2:$Y$2))/(Z2502/($K2502*$L2502*$M2502)),"")</f>
        <v/>
      </c>
      <c r="AC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1" t="n">
        <v>1</v>
      </c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/>
      <c r="Y2503" s="17" t="n">
        <v>1</v>
      </c>
      <c r="Z2503" s="13">
        <f>SUMPRODUCT(N2503:Y2503,$N$2:$Y$2)*$K2503*$L2503*$M2503</f>
        <v/>
      </c>
      <c r="AA2503" s="14">
        <f>SUM(N2503:Y2503)</f>
        <v/>
      </c>
      <c r="AB2503" s="14">
        <f>IFERROR(IF(UPPER($E2503)="L",SUMPRODUCT(N2503:Y2503,$N$3:$Y$3,$N$2:$Y$2),SUMPRODUCT(N2503:Y2503,$N$4:$Y$4,$N$2:$Y$2))/(Z2503/($K2503*$L2503*$M2503)),"")</f>
        <v/>
      </c>
      <c r="AC2503" s="18" t="n"/>
    </row>
    <row r="2504">
      <c r="A2504" s="9" t="n">
        <v>595978</v>
      </c>
      <c r="B2504" s="9" t="inlineStr">
        <is>
          <t>Austin Hedges</t>
        </is>
      </c>
      <c r="C2504" s="9" t="inlineStr">
        <is>
          <t>CLE</t>
        </is>
      </c>
      <c r="D2504" s="9" t="n">
        <v>34</v>
      </c>
      <c r="E2504" s="16" t="inlineStr">
        <is>
          <t>R</t>
        </is>
      </c>
      <c r="F2504" s="16" t="inlineStr">
        <is>
          <t>C</t>
        </is>
      </c>
      <c r="G2504" s="9" t="n">
        <v>247</v>
      </c>
      <c r="H2504" s="9" t="n">
        <v>1123</v>
      </c>
      <c r="I2504" s="9" t="inlineStr">
        <is>
          <t>Weak Side Platoon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1" t="n">
        <v>1</v>
      </c>
      <c r="N2504" s="17" t="n"/>
      <c r="O2504" s="17" t="n"/>
      <c r="P2504" s="17" t="n"/>
      <c r="Q2504" s="17" t="n">
        <v>0.6</v>
      </c>
      <c r="R2504" s="17" t="n"/>
      <c r="S2504" s="17" t="n"/>
      <c r="T2504" s="17" t="n">
        <v>0.4</v>
      </c>
      <c r="U2504" s="17" t="n"/>
      <c r="V2504" s="17" t="n"/>
      <c r="W2504" s="17" t="n"/>
      <c r="X2504" s="17" t="n"/>
      <c r="Y2504" s="17" t="n"/>
      <c r="Z2504" s="13">
        <f>SUMPRODUCT(N2504:Y2504,$N$2:$Y$2)*$K2504*$L2504*$M2504</f>
        <v/>
      </c>
      <c r="AA2504" s="14">
        <f>SUM(N2504:Y2504)</f>
        <v/>
      </c>
      <c r="AB2504" s="14">
        <f>IFERROR(IF(UPPER($E2504)="L",SUMPRODUCT(N2504:Y2504,$N$3:$Y$3,$N$2:$Y$2),SUMPRODUCT(N2504:Y2504,$N$4:$Y$4,$N$2:$Y$2))/(Z2504/($K2504*$L2504*$M2504)),"")</f>
        <v/>
      </c>
      <c r="AC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1" t="n">
        <v>1</v>
      </c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/>
      <c r="Y2505" s="17" t="n">
        <v>1</v>
      </c>
      <c r="Z2505" s="13">
        <f>SUMPRODUCT(N2505:Y2505,$N$2:$Y$2)*$K2505*$L2505*$M2505</f>
        <v/>
      </c>
      <c r="AA2505" s="14">
        <f>SUM(N2505:Y2505)</f>
        <v/>
      </c>
      <c r="AB2505" s="14">
        <f>IFERROR(IF(UPPER($E2505)="L",SUMPRODUCT(N2505:Y2505,$N$3:$Y$3,$N$2:$Y$2),SUMPRODUCT(N2505:Y2505,$N$4:$Y$4,$N$2:$Y$2))/(Z2505/($K2505*$L2505*$M2505)),"")</f>
        <v/>
      </c>
      <c r="AC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1" t="n">
        <v>1</v>
      </c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/>
      <c r="Y2506" s="17" t="n">
        <v>1</v>
      </c>
      <c r="Z2506" s="13">
        <f>SUMPRODUCT(N2506:Y2506,$N$2:$Y$2)*$K2506*$L2506*$M2506</f>
        <v/>
      </c>
      <c r="AA2506" s="14">
        <f>SUM(N2506:Y2506)</f>
        <v/>
      </c>
      <c r="AB2506" s="14">
        <f>IFERROR(IF(UPPER($E2506)="L",SUMPRODUCT(N2506:Y2506,$N$3:$Y$3,$N$2:$Y$2),SUMPRODUCT(N2506:Y2506,$N$4:$Y$4,$N$2:$Y$2))/(Z2506/($K2506*$L2506*$M2506)),"")</f>
        <v/>
      </c>
      <c r="AC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inlineStr">
        <is>
          <t>2B</t>
        </is>
      </c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1" t="n">
        <v>1</v>
      </c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/>
      <c r="Y2507" s="17" t="n">
        <v>1</v>
      </c>
      <c r="Z2507" s="13">
        <f>SUMPRODUCT(N2507:Y2507,$N$2:$Y$2)*$K2507*$L2507*$M2507</f>
        <v/>
      </c>
      <c r="AA2507" s="14">
        <f>SUM(N2507:Y2507)</f>
        <v/>
      </c>
      <c r="AB2507" s="14">
        <f>IFERROR(IF(UPPER($E2507)="L",SUMPRODUCT(N2507:Y2507,$N$3:$Y$3,$N$2:$Y$2),SUMPRODUCT(N2507:Y2507,$N$4:$Y$4,$N$2:$Y$2))/(Z2507/($K2507*$L2507*$M2507)),"")</f>
        <v/>
      </c>
      <c r="AC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1" t="n">
        <v>1</v>
      </c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/>
      <c r="Y2508" s="17" t="n">
        <v>1</v>
      </c>
      <c r="Z2508" s="13">
        <f>SUMPRODUCT(N2508:Y2508,$N$2:$Y$2)*$K2508*$L2508*$M2508</f>
        <v/>
      </c>
      <c r="AA2508" s="14">
        <f>SUM(N2508:Y2508)</f>
        <v/>
      </c>
      <c r="AB2508" s="14">
        <f>IFERROR(IF(UPPER($E2508)="L",SUMPRODUCT(N2508:Y2508,$N$3:$Y$3,$N$2:$Y$2),SUMPRODUCT(N2508:Y2508,$N$4:$Y$4,$N$2:$Y$2))/(Z2508/($K2508*$L2508*$M2508)),"")</f>
        <v/>
      </c>
      <c r="AC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1" t="n">
        <v>1</v>
      </c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/>
      <c r="Y2509" s="17" t="n">
        <v>1</v>
      </c>
      <c r="Z2509" s="13">
        <f>SUMPRODUCT(N2509:Y2509,$N$2:$Y$2)*$K2509*$L2509*$M2509</f>
        <v/>
      </c>
      <c r="AA2509" s="14">
        <f>SUM(N2509:Y2509)</f>
        <v/>
      </c>
      <c r="AB2509" s="14">
        <f>IFERROR(IF(UPPER($E2509)="L",SUMPRODUCT(N2509:Y2509,$N$3:$Y$3,$N$2:$Y$2),SUMPRODUCT(N2509:Y2509,$N$4:$Y$4,$N$2:$Y$2))/(Z2509/($K2509*$L2509*$M2509)),"")</f>
        <v/>
      </c>
      <c r="AC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inlineStr">
        <is>
          <t>CF</t>
        </is>
      </c>
      <c r="G2510" s="9" t="n">
        <v>39</v>
      </c>
      <c r="H2510" s="9" t="n">
        <v>695</v>
      </c>
      <c r="I2510" s="9" t="inlineStr">
        <is>
          <t>Injury Replacement / 26th Man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1" t="n">
        <v>1</v>
      </c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/>
      <c r="W2510" s="17" t="n">
        <v>0.15</v>
      </c>
      <c r="X2510" s="17" t="n">
        <v>0.85</v>
      </c>
      <c r="Y2510" s="17" t="n"/>
      <c r="Z2510" s="13">
        <f>SUMPRODUCT(N2510:Y2510,$N$2:$Y$2)*$K2510*$L2510*$M2510</f>
        <v/>
      </c>
      <c r="AA2510" s="14">
        <f>SUM(N2510:Y2510)</f>
        <v/>
      </c>
      <c r="AB2510" s="14">
        <f>IFERROR(IF(UPPER($E2510)="L",SUMPRODUCT(N2510:Y2510,$N$3:$Y$3,$N$2:$Y$2),SUMPRODUCT(N2510:Y2510,$N$4:$Y$4,$N$2:$Y$2))/(Z2510/($K2510*$L2510*$M2510)),"")</f>
        <v/>
      </c>
      <c r="AC2510" s="18" t="n"/>
    </row>
    <row r="2511">
      <c r="A2511" s="9" t="n">
        <v>672640</v>
      </c>
      <c r="B2511" s="9" t="inlineStr">
        <is>
          <t>Otto Lopez</t>
        </is>
      </c>
      <c r="C2511" s="9" t="inlineStr">
        <is>
          <t>MIA</t>
        </is>
      </c>
      <c r="D2511" s="9" t="n">
        <v>28</v>
      </c>
      <c r="E2511" s="16" t="inlineStr">
        <is>
          <t>R</t>
        </is>
      </c>
      <c r="F2511" s="16" t="inlineStr">
        <is>
          <t>SS</t>
        </is>
      </c>
      <c r="G2511" s="9" t="n">
        <v>687</v>
      </c>
      <c r="H2511" s="9" t="n">
        <v>1725</v>
      </c>
      <c r="I2511" s="9" t="inlineStr">
        <is>
          <t>Full Time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1" t="n">
        <v>1.122542529568557</v>
      </c>
      <c r="N2511" s="17" t="n">
        <v>1</v>
      </c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7" t="n"/>
      <c r="Z2511" s="13">
        <f>SUMPRODUCT(N2511:Y2511,$N$2:$Y$2)*$K2511*$L2511*$M2511</f>
        <v/>
      </c>
      <c r="AA2511" s="14">
        <f>SUM(N2511:Y2511)</f>
        <v/>
      </c>
      <c r="AB2511" s="14">
        <f>IFERROR(IF(UPPER($E2511)="L",SUMPRODUCT(N2511:Y2511,$N$3:$Y$3,$N$2:$Y$2),SUMPRODUCT(N2511:Y2511,$N$4:$Y$4,$N$2:$Y$2))/(Z2511/($K2511*$L2511*$M2511)),"")</f>
        <v/>
      </c>
      <c r="AC2511" s="18" t="n"/>
    </row>
    <row r="2512">
      <c r="A2512" s="9" t="n">
        <v>694876</v>
      </c>
      <c r="B2512" s="9" t="inlineStr">
        <is>
          <t>Cooper Ingle</t>
        </is>
      </c>
      <c r="C2512" s="9" t="inlineStr">
        <is>
          <t>CLE</t>
        </is>
      </c>
      <c r="D2512" s="9" t="n">
        <v>25</v>
      </c>
      <c r="E2512" s="16" t="inlineStr">
        <is>
          <t>L</t>
        </is>
      </c>
      <c r="F2512" s="16" t="inlineStr">
        <is>
          <t>LF</t>
        </is>
      </c>
      <c r="G2512" s="9" t="n">
        <v>24</v>
      </c>
      <c r="H2512" s="9" t="n">
        <v>24</v>
      </c>
      <c r="I2512" s="9" t="inlineStr">
        <is>
          <t>Depth (no MLB PA)</t>
        </is>
      </c>
      <c r="J2512" s="16" t="inlineStr">
        <is>
          <t>Early Season (~May)</t>
        </is>
      </c>
      <c r="K2512" s="11">
        <f>IFERROR(INDEX(Roles!$B$17:$B$20,MATCH(J2512,Roles!$A$17:$A$20,0)),1)</f>
        <v/>
      </c>
      <c r="L2512" s="17" t="n">
        <v>1</v>
      </c>
      <c r="M2512" s="11" t="n">
        <v>1</v>
      </c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/>
      <c r="Y2512" s="17" t="n">
        <v>1</v>
      </c>
      <c r="Z2512" s="13">
        <f>SUMPRODUCT(N2512:Y2512,$N$2:$Y$2)*$K2512*$L2512*$M2512</f>
        <v/>
      </c>
      <c r="AA2512" s="14">
        <f>SUM(N2512:Y2512)</f>
        <v/>
      </c>
      <c r="AB2512" s="14">
        <f>IFERROR(IF(UPPER($E2512)="L",SUMPRODUCT(N2512:Y2512,$N$3:$Y$3,$N$2:$Y$2),SUMPRODUCT(N2512:Y2512,$N$4:$Y$4,$N$2:$Y$2))/(Z2512/($K2512*$L2512*$M2512)),"")</f>
        <v/>
      </c>
      <c r="AC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inlineStr">
        <is>
          <t>2B</t>
        </is>
      </c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1" t="n">
        <v>1</v>
      </c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/>
      <c r="Y2513" s="17" t="n">
        <v>1</v>
      </c>
      <c r="Z2513" s="13">
        <f>SUMPRODUCT(N2513:Y2513,$N$2:$Y$2)*$K2513*$L2513*$M2513</f>
        <v/>
      </c>
      <c r="AA2513" s="14">
        <f>SUM(N2513:Y2513)</f>
        <v/>
      </c>
      <c r="AB2513" s="14">
        <f>IFERROR(IF(UPPER($E2513)="L",SUMPRODUCT(N2513:Y2513,$N$3:$Y$3,$N$2:$Y$2),SUMPRODUCT(N2513:Y2513,$N$4:$Y$4,$N$2:$Y$2))/(Z2513/($K2513*$L2513*$M2513)),"")</f>
        <v/>
      </c>
      <c r="AC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1" t="n">
        <v>1</v>
      </c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/>
      <c r="Y2514" s="17" t="n">
        <v>1</v>
      </c>
      <c r="Z2514" s="13">
        <f>SUMPRODUCT(N2514:Y2514,$N$2:$Y$2)*$K2514*$L2514*$M2514</f>
        <v/>
      </c>
      <c r="AA2514" s="14">
        <f>SUM(N2514:Y2514)</f>
        <v/>
      </c>
      <c r="AB2514" s="14">
        <f>IFERROR(IF(UPPER($E2514)="L",SUMPRODUCT(N2514:Y2514,$N$3:$Y$3,$N$2:$Y$2),SUMPRODUCT(N2514:Y2514,$N$4:$Y$4,$N$2:$Y$2))/(Z2514/($K2514*$L2514*$M2514)),"")</f>
        <v/>
      </c>
      <c r="AC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1" t="n">
        <v>1</v>
      </c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/>
      <c r="Y2515" s="17" t="n">
        <v>1</v>
      </c>
      <c r="Z2515" s="13">
        <f>SUMPRODUCT(N2515:Y2515,$N$2:$Y$2)*$K2515*$L2515*$M2515</f>
        <v/>
      </c>
      <c r="AA2515" s="14">
        <f>SUM(N2515:Y2515)</f>
        <v/>
      </c>
      <c r="AB2515" s="14">
        <f>IFERROR(IF(UPPER($E2515)="L",SUMPRODUCT(N2515:Y2515,$N$3:$Y$3,$N$2:$Y$2),SUMPRODUCT(N2515:Y2515,$N$4:$Y$4,$N$2:$Y$2))/(Z2515/($K2515*$L2515*$M2515)),"")</f>
        <v/>
      </c>
      <c r="AC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inlineStr">
        <is>
          <t>CF</t>
        </is>
      </c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1" t="n">
        <v>1</v>
      </c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/>
      <c r="W2516" s="17" t="n">
        <v>1</v>
      </c>
      <c r="X2516" s="17" t="n"/>
      <c r="Y2516" s="17" t="n"/>
      <c r="Z2516" s="13">
        <f>SUMPRODUCT(N2516:Y2516,$N$2:$Y$2)*$K2516*$L2516*$M2516</f>
        <v/>
      </c>
      <c r="AA2516" s="14">
        <f>SUM(N2516:Y2516)</f>
        <v/>
      </c>
      <c r="AB2516" s="14">
        <f>IFERROR(IF(UPPER($E2516)="L",SUMPRODUCT(N2516:Y2516,$N$3:$Y$3,$N$2:$Y$2),SUMPRODUCT(N2516:Y2516,$N$4:$Y$4,$N$2:$Y$2))/(Z2516/($K2516*$L2516*$M2516)),"")</f>
        <v/>
      </c>
      <c r="AC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inlineStr">
        <is>
          <t>1B</t>
        </is>
      </c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1" t="n">
        <v>1</v>
      </c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/>
      <c r="Y2517" s="17" t="n">
        <v>1</v>
      </c>
      <c r="Z2517" s="13">
        <f>SUMPRODUCT(N2517:Y2517,$N$2:$Y$2)*$K2517*$L2517*$M2517</f>
        <v/>
      </c>
      <c r="AA2517" s="14">
        <f>SUM(N2517:Y2517)</f>
        <v/>
      </c>
      <c r="AB2517" s="14">
        <f>IFERROR(IF(UPPER($E2517)="L",SUMPRODUCT(N2517:Y2517,$N$3:$Y$3,$N$2:$Y$2),SUMPRODUCT(N2517:Y2517,$N$4:$Y$4,$N$2:$Y$2))/(Z2517/($K2517*$L2517*$M2517)),"")</f>
        <v/>
      </c>
      <c r="AC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inlineStr">
        <is>
          <t>SS</t>
        </is>
      </c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1" t="n">
        <v>1</v>
      </c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/>
      <c r="Y2518" s="17" t="n">
        <v>1</v>
      </c>
      <c r="Z2518" s="13">
        <f>SUMPRODUCT(N2518:Y2518,$N$2:$Y$2)*$K2518*$L2518*$M2518</f>
        <v/>
      </c>
      <c r="AA2518" s="14">
        <f>SUM(N2518:Y2518)</f>
        <v/>
      </c>
      <c r="AB2518" s="14">
        <f>IFERROR(IF(UPPER($E2518)="L",SUMPRODUCT(N2518:Y2518,$N$3:$Y$3,$N$2:$Y$2),SUMPRODUCT(N2518:Y2518,$N$4:$Y$4,$N$2:$Y$2))/(Z2518/($K2518*$L2518*$M2518)),"")</f>
        <v/>
      </c>
      <c r="AC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1" t="n">
        <v>1</v>
      </c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/>
      <c r="Y2519" s="17" t="n">
        <v>1</v>
      </c>
      <c r="Z2519" s="13">
        <f>SUMPRODUCT(N2519:Y2519,$N$2:$Y$2)*$K2519*$L2519*$M2519</f>
        <v/>
      </c>
      <c r="AA2519" s="14">
        <f>SUM(N2519:Y2519)</f>
        <v/>
      </c>
      <c r="AB2519" s="14">
        <f>IFERROR(IF(UPPER($E2519)="L",SUMPRODUCT(N2519:Y2519,$N$3:$Y$3,$N$2:$Y$2),SUMPRODUCT(N2519:Y2519,$N$4:$Y$4,$N$2:$Y$2))/(Z2519/($K2519*$L2519*$M2519)),"")</f>
        <v/>
      </c>
      <c r="AC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1" t="n">
        <v>1</v>
      </c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/>
      <c r="Y2520" s="17" t="n">
        <v>1</v>
      </c>
      <c r="Z2520" s="13">
        <f>SUMPRODUCT(N2520:Y2520,$N$2:$Y$2)*$K2520*$L2520*$M2520</f>
        <v/>
      </c>
      <c r="AA2520" s="14">
        <f>SUM(N2520:Y2520)</f>
        <v/>
      </c>
      <c r="AB2520" s="14">
        <f>IFERROR(IF(UPPER($E2520)="L",SUMPRODUCT(N2520:Y2520,$N$3:$Y$3,$N$2:$Y$2),SUMPRODUCT(N2520:Y2520,$N$4:$Y$4,$N$2:$Y$2))/(Z2520/($K2520*$L2520*$M2520)),"")</f>
        <v/>
      </c>
      <c r="AC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1" t="n">
        <v>1</v>
      </c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/>
      <c r="Y2521" s="17" t="n">
        <v>1</v>
      </c>
      <c r="Z2521" s="13">
        <f>SUMPRODUCT(N2521:Y2521,$N$2:$Y$2)*$K2521*$L2521*$M2521</f>
        <v/>
      </c>
      <c r="AA2521" s="14">
        <f>SUM(N2521:Y2521)</f>
        <v/>
      </c>
      <c r="AB2521" s="14">
        <f>IFERROR(IF(UPPER($E2521)="L",SUMPRODUCT(N2521:Y2521,$N$3:$Y$3,$N$2:$Y$2),SUMPRODUCT(N2521:Y2521,$N$4:$Y$4,$N$2:$Y$2))/(Z2521/($K2521*$L2521*$M2521)),"")</f>
        <v/>
      </c>
      <c r="AC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inlineStr">
        <is>
          <t>2B</t>
        </is>
      </c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1" t="n">
        <v>1.045196693069586</v>
      </c>
      <c r="N2522" s="17" t="n">
        <v>0.58</v>
      </c>
      <c r="O2522" s="17" t="n"/>
      <c r="P2522" s="17" t="n">
        <v>0.42</v>
      </c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7" t="n"/>
      <c r="Z2522" s="13">
        <f>SUMPRODUCT(N2522:Y2522,$N$2:$Y$2)*$K2522*$L2522*$M2522</f>
        <v/>
      </c>
      <c r="AA2522" s="14">
        <f>SUM(N2522:Y2522)</f>
        <v/>
      </c>
      <c r="AB2522" s="14">
        <f>IFERROR(IF(UPPER($E2522)="L",SUMPRODUCT(N2522:Y2522,$N$3:$Y$3,$N$2:$Y$2),SUMPRODUCT(N2522:Y2522,$N$4:$Y$4,$N$2:$Y$2))/(Z2522/($K2522*$L2522*$M2522)),"")</f>
        <v/>
      </c>
      <c r="AC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1" t="n">
        <v>1</v>
      </c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/>
      <c r="Y2523" s="17" t="n">
        <v>1</v>
      </c>
      <c r="Z2523" s="13">
        <f>SUMPRODUCT(N2523:Y2523,$N$2:$Y$2)*$K2523*$L2523*$M2523</f>
        <v/>
      </c>
      <c r="AA2523" s="14">
        <f>SUM(N2523:Y2523)</f>
        <v/>
      </c>
      <c r="AB2523" s="14">
        <f>IFERROR(IF(UPPER($E2523)="L",SUMPRODUCT(N2523:Y2523,$N$3:$Y$3,$N$2:$Y$2),SUMPRODUCT(N2523:Y2523,$N$4:$Y$4,$N$2:$Y$2))/(Z2523/($K2523*$L2523*$M2523)),"")</f>
        <v/>
      </c>
      <c r="AC2523" s="18" t="n"/>
    </row>
    <row r="2524">
      <c r="A2524" s="9" t="n">
        <v>677587</v>
      </c>
      <c r="B2524" s="9" t="inlineStr">
        <is>
          <t>Brayan Rocchio</t>
        </is>
      </c>
      <c r="C2524" s="9" t="inlineStr">
        <is>
          <t>CLE</t>
        </is>
      </c>
      <c r="D2524" s="9" t="n">
        <v>26</v>
      </c>
      <c r="E2524" s="16" t="inlineStr">
        <is>
          <t>S</t>
        </is>
      </c>
      <c r="F2524" s="16" t="inlineStr">
        <is>
          <t>SS</t>
        </is>
      </c>
      <c r="G2524" s="9" t="n">
        <v>592</v>
      </c>
      <c r="H2524" s="9" t="n">
        <v>1503</v>
      </c>
      <c r="I2524" s="9" t="inlineStr">
        <is>
          <t>Full Time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1" t="n">
        <v>1.093644085162348</v>
      </c>
      <c r="N2524" s="17" t="n">
        <v>0.58</v>
      </c>
      <c r="O2524" s="17" t="n"/>
      <c r="P2524" s="17" t="n">
        <v>0.42</v>
      </c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7" t="n"/>
      <c r="Z2524" s="13">
        <f>SUMPRODUCT(N2524:Y2524,$N$2:$Y$2)*$K2524*$L2524*$M2524</f>
        <v/>
      </c>
      <c r="AA2524" s="14">
        <f>SUM(N2524:Y2524)</f>
        <v/>
      </c>
      <c r="AB2524" s="14">
        <f>IFERROR(IF(UPPER($E2524)="L",SUMPRODUCT(N2524:Y2524,$N$3:$Y$3,$N$2:$Y$2),SUMPRODUCT(N2524:Y2524,$N$4:$Y$4,$N$2:$Y$2))/(Z2524/($K2524*$L2524*$M2524)),"")</f>
        <v/>
      </c>
      <c r="AC2524" s="18" t="n"/>
    </row>
    <row r="2525">
      <c r="A2525" s="9" t="n">
        <v>685332</v>
      </c>
      <c r="B2525" s="9" t="inlineStr">
        <is>
          <t>Carlos Mendoza</t>
        </is>
      </c>
      <c r="C2525" s="9" t="inlineStr">
        <is>
          <t>TOR</t>
        </is>
      </c>
      <c r="D2525" s="9" t="n">
        <v>25</v>
      </c>
      <c r="E2525" s="16" t="inlineStr">
        <is>
          <t>L</t>
        </is>
      </c>
      <c r="F2525" s="16" t="n"/>
      <c r="G2525" s="9" t="n">
        <v>223.948717948718</v>
      </c>
      <c r="H2525" s="9" t="n">
        <v>223.948717948718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1" t="n">
        <v>1</v>
      </c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/>
      <c r="Y2525" s="17" t="n">
        <v>1</v>
      </c>
      <c r="Z2525" s="13">
        <f>SUMPRODUCT(N2525:Y2525,$N$2:$Y$2)*$K2525*$L2525*$M2525</f>
        <v/>
      </c>
      <c r="AA2525" s="14">
        <f>SUM(N2525:Y2525)</f>
        <v/>
      </c>
      <c r="AB2525" s="14">
        <f>IFERROR(IF(UPPER($E2525)="L",SUMPRODUCT(N2525:Y2525,$N$3:$Y$3,$N$2:$Y$2),SUMPRODUCT(N2525:Y2525,$N$4:$Y$4,$N$2:$Y$2))/(Z2525/($K2525*$L2525*$M2525)),"")</f>
        <v/>
      </c>
      <c r="AC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inlineStr">
        <is>
          <t>RF</t>
        </is>
      </c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1" t="n">
        <v>1</v>
      </c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>
        <v>0.4</v>
      </c>
      <c r="W2526" s="17" t="n">
        <v>0.6</v>
      </c>
      <c r="X2526" s="17" t="n"/>
      <c r="Y2526" s="17" t="n"/>
      <c r="Z2526" s="13">
        <f>SUMPRODUCT(N2526:Y2526,$N$2:$Y$2)*$K2526*$L2526*$M2526</f>
        <v/>
      </c>
      <c r="AA2526" s="14">
        <f>SUM(N2526:Y2526)</f>
        <v/>
      </c>
      <c r="AB2526" s="14">
        <f>IFERROR(IF(UPPER($E2526)="L",SUMPRODUCT(N2526:Y2526,$N$3:$Y$3,$N$2:$Y$2),SUMPRODUCT(N2526:Y2526,$N$4:$Y$4,$N$2:$Y$2))/(Z2526/($K2526*$L2526*$M2526)),"")</f>
        <v/>
      </c>
      <c r="AC2526" s="18" t="n"/>
    </row>
    <row r="2527">
      <c r="A2527" s="9" t="n">
        <v>699043</v>
      </c>
      <c r="B2527" s="9" t="inlineStr">
        <is>
          <t>Yamal Encarnacion</t>
        </is>
      </c>
      <c r="C2527" s="9" t="inlineStr">
        <is>
          <t>HOU</t>
        </is>
      </c>
      <c r="D2527" s="9" t="n">
        <v>25</v>
      </c>
      <c r="E2527" s="16" t="inlineStr">
        <is>
          <t>S</t>
        </is>
      </c>
      <c r="F2527" s="16" t="n"/>
      <c r="G2527" s="9" t="n">
        <v>138.5641025641026</v>
      </c>
      <c r="H2527" s="9" t="n">
        <v>138.5641025641026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1" t="n">
        <v>1</v>
      </c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/>
      <c r="Y2527" s="17" t="n">
        <v>1</v>
      </c>
      <c r="Z2527" s="13">
        <f>SUMPRODUCT(N2527:Y2527,$N$2:$Y$2)*$K2527*$L2527*$M2527</f>
        <v/>
      </c>
      <c r="AA2527" s="14">
        <f>SUM(N2527:Y2527)</f>
        <v/>
      </c>
      <c r="AB2527" s="14">
        <f>IFERROR(IF(UPPER($E2527)="L",SUMPRODUCT(N2527:Y2527,$N$3:$Y$3,$N$2:$Y$2),SUMPRODUCT(N2527:Y2527,$N$4:$Y$4,$N$2:$Y$2))/(Z2527/($K2527*$L2527*$M2527)),"")</f>
        <v/>
      </c>
      <c r="AC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inlineStr">
        <is>
          <t>2B</t>
        </is>
      </c>
      <c r="G2528" s="9" t="n">
        <v>420</v>
      </c>
      <c r="H2528" s="9" t="n">
        <v>2957</v>
      </c>
      <c r="I2528" s="9" t="inlineStr">
        <is>
          <t>Everyday DH / 1B-DH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1" t="n">
        <v>0.9874031690291182</v>
      </c>
      <c r="N2528" s="17" t="n"/>
      <c r="O2528" s="17" t="n">
        <v>1</v>
      </c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7" t="n"/>
      <c r="Z2528" s="13">
        <f>SUMPRODUCT(N2528:Y2528,$N$2:$Y$2)*$K2528*$L2528*$M2528</f>
        <v/>
      </c>
      <c r="AA2528" s="14">
        <f>SUM(N2528:Y2528)</f>
        <v/>
      </c>
      <c r="AB2528" s="14">
        <f>IFERROR(IF(UPPER($E2528)="L",SUMPRODUCT(N2528:Y2528,$N$3:$Y$3,$N$2:$Y$2),SUMPRODUCT(N2528:Y2528,$N$4:$Y$4,$N$2:$Y$2))/(Z2528/($K2528*$L2528*$M2528)),"")</f>
        <v/>
      </c>
      <c r="AC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inlineStr">
        <is>
          <t>SS</t>
        </is>
      </c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1" t="n">
        <v>1.090244268173382</v>
      </c>
      <c r="N2529" s="17" t="n">
        <v>1</v>
      </c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7" t="n"/>
      <c r="Z2529" s="13">
        <f>SUMPRODUCT(N2529:Y2529,$N$2:$Y$2)*$K2529*$L2529*$M2529</f>
        <v/>
      </c>
      <c r="AA2529" s="14">
        <f>SUM(N2529:Y2529)</f>
        <v/>
      </c>
      <c r="AB2529" s="14">
        <f>IFERROR(IF(UPPER($E2529)="L",SUMPRODUCT(N2529:Y2529,$N$3:$Y$3,$N$2:$Y$2),SUMPRODUCT(N2529:Y2529,$N$4:$Y$4,$N$2:$Y$2))/(Z2529/($K2529*$L2529*$M2529)),"")</f>
        <v/>
      </c>
      <c r="AC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inlineStr">
        <is>
          <t>1B</t>
        </is>
      </c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1" t="n">
        <v>1</v>
      </c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/>
      <c r="Y2530" s="17" t="n">
        <v>1</v>
      </c>
      <c r="Z2530" s="13">
        <f>SUMPRODUCT(N2530:Y2530,$N$2:$Y$2)*$K2530*$L2530*$M2530</f>
        <v/>
      </c>
      <c r="AA2530" s="14">
        <f>SUM(N2530:Y2530)</f>
        <v/>
      </c>
      <c r="AB2530" s="14">
        <f>IFERROR(IF(UPPER($E2530)="L",SUMPRODUCT(N2530:Y2530,$N$3:$Y$3,$N$2:$Y$2),SUMPRODUCT(N2530:Y2530,$N$4:$Y$4,$N$2:$Y$2))/(Z2530/($K2530*$L2530*$M2530)),"")</f>
        <v/>
      </c>
      <c r="AC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1" t="n">
        <v>1</v>
      </c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/>
      <c r="Y2531" s="17" t="n">
        <v>1</v>
      </c>
      <c r="Z2531" s="13">
        <f>SUMPRODUCT(N2531:Y2531,$N$2:$Y$2)*$K2531*$L2531*$M2531</f>
        <v/>
      </c>
      <c r="AA2531" s="14">
        <f>SUM(N2531:Y2531)</f>
        <v/>
      </c>
      <c r="AB2531" s="14">
        <f>IFERROR(IF(UPPER($E2531)="L",SUMPRODUCT(N2531:Y2531,$N$3:$Y$3,$N$2:$Y$2),SUMPRODUCT(N2531:Y2531,$N$4:$Y$4,$N$2:$Y$2))/(Z2531/($K2531*$L2531*$M2531)),"")</f>
        <v/>
      </c>
      <c r="AC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inlineStr">
        <is>
          <t>P</t>
        </is>
      </c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1" t="n">
        <v>1</v>
      </c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/>
      <c r="Y2532" s="17" t="n">
        <v>1</v>
      </c>
      <c r="Z2532" s="13">
        <f>SUMPRODUCT(N2532:Y2532,$N$2:$Y$2)*$K2532*$L2532*$M2532</f>
        <v/>
      </c>
      <c r="AA2532" s="14">
        <f>SUM(N2532:Y2532)</f>
        <v/>
      </c>
      <c r="AB2532" s="14">
        <f>IFERROR(IF(UPPER($E2532)="L",SUMPRODUCT(N2532:Y2532,$N$3:$Y$3,$N$2:$Y$2),SUMPRODUCT(N2532:Y2532,$N$4:$Y$4,$N$2:$Y$2))/(Z2532/($K2532*$L2532*$M2532)),"")</f>
        <v/>
      </c>
      <c r="AC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1" t="n">
        <v>1</v>
      </c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/>
      <c r="Y2533" s="17" t="n">
        <v>1</v>
      </c>
      <c r="Z2533" s="13">
        <f>SUMPRODUCT(N2533:Y2533,$N$2:$Y$2)*$K2533*$L2533*$M2533</f>
        <v/>
      </c>
      <c r="AA2533" s="14">
        <f>SUM(N2533:Y2533)</f>
        <v/>
      </c>
      <c r="AB2533" s="14">
        <f>IFERROR(IF(UPPER($E2533)="L",SUMPRODUCT(N2533:Y2533,$N$3:$Y$3,$N$2:$Y$2),SUMPRODUCT(N2533:Y2533,$N$4:$Y$4,$N$2:$Y$2))/(Z2533/($K2533*$L2533*$M2533)),"")</f>
        <v/>
      </c>
      <c r="AC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1" t="n">
        <v>1</v>
      </c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/>
      <c r="Y2534" s="17" t="n">
        <v>1</v>
      </c>
      <c r="Z2534" s="13">
        <f>SUMPRODUCT(N2534:Y2534,$N$2:$Y$2)*$K2534*$L2534*$M2534</f>
        <v/>
      </c>
      <c r="AA2534" s="14">
        <f>SUM(N2534:Y2534)</f>
        <v/>
      </c>
      <c r="AB2534" s="14">
        <f>IFERROR(IF(UPPER($E2534)="L",SUMPRODUCT(N2534:Y2534,$N$3:$Y$3,$N$2:$Y$2),SUMPRODUCT(N2534:Y2534,$N$4:$Y$4,$N$2:$Y$2))/(Z2534/($K2534*$L2534*$M2534)),"")</f>
        <v/>
      </c>
      <c r="AC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inlineStr">
        <is>
          <t>LF</t>
        </is>
      </c>
      <c r="G2535" s="9" t="n">
        <v>189</v>
      </c>
      <c r="H2535" s="9" t="n">
        <v>189</v>
      </c>
      <c r="I2535" s="9" t="inlineStr">
        <is>
          <t>Strong Side Platoon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1" t="n">
        <v>1</v>
      </c>
      <c r="N2535" s="17" t="n">
        <v>0.4</v>
      </c>
      <c r="O2535" s="17" t="n"/>
      <c r="P2535" s="17" t="n">
        <v>0.6</v>
      </c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7" t="n"/>
      <c r="Z2535" s="13">
        <f>SUMPRODUCT(N2535:Y2535,$N$2:$Y$2)*$K2535*$L2535*$M2535</f>
        <v/>
      </c>
      <c r="AA2535" s="14">
        <f>SUM(N2535:Y2535)</f>
        <v/>
      </c>
      <c r="AB2535" s="14">
        <f>IFERROR(IF(UPPER($E2535)="L",SUMPRODUCT(N2535:Y2535,$N$3:$Y$3,$N$2:$Y$2),SUMPRODUCT(N2535:Y2535,$N$4:$Y$4,$N$2:$Y$2))/(Z2535/($K2535*$L2535*$M2535)),"")</f>
        <v/>
      </c>
      <c r="AC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inlineStr">
        <is>
          <t>LF</t>
        </is>
      </c>
      <c r="G2536" s="9" t="n">
        <v>146</v>
      </c>
      <c r="H2536" s="9" t="n">
        <v>1559</v>
      </c>
      <c r="I2536" s="9" t="inlineStr">
        <is>
          <t>Bench Bat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1" t="n">
        <v>0.856077783386808</v>
      </c>
      <c r="N2536" s="17" t="n"/>
      <c r="O2536" s="17" t="n"/>
      <c r="P2536" s="17" t="n"/>
      <c r="Q2536" s="17" t="n"/>
      <c r="R2536" s="17" t="n"/>
      <c r="S2536" s="17" t="n"/>
      <c r="T2536" s="17" t="n"/>
      <c r="U2536" s="17" t="n">
        <v>0.4</v>
      </c>
      <c r="V2536" s="17" t="n"/>
      <c r="W2536" s="17" t="n">
        <v>0.6</v>
      </c>
      <c r="X2536" s="17" t="n"/>
      <c r="Y2536" s="17" t="n"/>
      <c r="Z2536" s="13">
        <f>SUMPRODUCT(N2536:Y2536,$N$2:$Y$2)*$K2536*$L2536*$M2536</f>
        <v/>
      </c>
      <c r="AA2536" s="14">
        <f>SUM(N2536:Y2536)</f>
        <v/>
      </c>
      <c r="AB2536" s="14">
        <f>IFERROR(IF(UPPER($E2536)="L",SUMPRODUCT(N2536:Y2536,$N$3:$Y$3,$N$2:$Y$2),SUMPRODUCT(N2536:Y2536,$N$4:$Y$4,$N$2:$Y$2))/(Z2536/($K2536*$L2536*$M2536)),"")</f>
        <v/>
      </c>
      <c r="AC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1" t="n">
        <v>1</v>
      </c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/>
      <c r="Y2537" s="17" t="n">
        <v>1</v>
      </c>
      <c r="Z2537" s="13">
        <f>SUMPRODUCT(N2537:Y2537,$N$2:$Y$2)*$K2537*$L2537*$M2537</f>
        <v/>
      </c>
      <c r="AA2537" s="14">
        <f>SUM(N2537:Y2537)</f>
        <v/>
      </c>
      <c r="AB2537" s="14">
        <f>IFERROR(IF(UPPER($E2537)="L",SUMPRODUCT(N2537:Y2537,$N$3:$Y$3,$N$2:$Y$2),SUMPRODUCT(N2537:Y2537,$N$4:$Y$4,$N$2:$Y$2))/(Z2537/($K2537*$L2537*$M2537)),"")</f>
        <v/>
      </c>
      <c r="AC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inlineStr">
        <is>
          <t>SS</t>
        </is>
      </c>
      <c r="G2538" s="9" t="n">
        <v>456</v>
      </c>
      <c r="H2538" s="9" t="n">
        <v>1589</v>
      </c>
      <c r="I2538" s="9" t="inlineStr">
        <is>
          <t>Utility IF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1" t="n">
        <v>1.15</v>
      </c>
      <c r="N2538" s="17" t="n"/>
      <c r="O2538" s="17" t="n"/>
      <c r="P2538" s="17" t="n"/>
      <c r="Q2538" s="17" t="n"/>
      <c r="R2538" s="17" t="n"/>
      <c r="S2538" s="17" t="n"/>
      <c r="T2538" s="17" t="n"/>
      <c r="U2538" s="17" t="n">
        <v>0.7</v>
      </c>
      <c r="V2538" s="17" t="n"/>
      <c r="W2538" s="17" t="n">
        <v>0.3</v>
      </c>
      <c r="X2538" s="17" t="n"/>
      <c r="Y2538" s="17" t="n"/>
      <c r="Z2538" s="13">
        <f>SUMPRODUCT(N2538:Y2538,$N$2:$Y$2)*$K2538*$L2538*$M2538</f>
        <v/>
      </c>
      <c r="AA2538" s="14">
        <f>SUM(N2538:Y2538)</f>
        <v/>
      </c>
      <c r="AB2538" s="14">
        <f>IFERROR(IF(UPPER($E2538)="L",SUMPRODUCT(N2538:Y2538,$N$3:$Y$3,$N$2:$Y$2),SUMPRODUCT(N2538:Y2538,$N$4:$Y$4,$N$2:$Y$2))/(Z2538/($K2538*$L2538*$M2538)),"")</f>
        <v/>
      </c>
      <c r="AC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inlineStr">
        <is>
          <t>CF</t>
        </is>
      </c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1" t="n">
        <v>0.9827020275802976</v>
      </c>
      <c r="N2539" s="17" t="n">
        <v>1</v>
      </c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7" t="n"/>
      <c r="Z2539" s="13">
        <f>SUMPRODUCT(N2539:Y2539,$N$2:$Y$2)*$K2539*$L2539*$M2539</f>
        <v/>
      </c>
      <c r="AA2539" s="14">
        <f>SUM(N2539:Y2539)</f>
        <v/>
      </c>
      <c r="AB2539" s="14">
        <f>IFERROR(IF(UPPER($E2539)="L",SUMPRODUCT(N2539:Y2539,$N$3:$Y$3,$N$2:$Y$2),SUMPRODUCT(N2539:Y2539,$N$4:$Y$4,$N$2:$Y$2))/(Z2539/($K2539*$L2539*$M2539)),"")</f>
        <v/>
      </c>
      <c r="AC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inlineStr">
        <is>
          <t>1B</t>
        </is>
      </c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1" t="n">
        <v>1</v>
      </c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/>
      <c r="Y2540" s="17" t="n">
        <v>1</v>
      </c>
      <c r="Z2540" s="13">
        <f>SUMPRODUCT(N2540:Y2540,$N$2:$Y$2)*$K2540*$L2540*$M2540</f>
        <v/>
      </c>
      <c r="AA2540" s="14">
        <f>SUM(N2540:Y2540)</f>
        <v/>
      </c>
      <c r="AB2540" s="14">
        <f>IFERROR(IF(UPPER($E2540)="L",SUMPRODUCT(N2540:Y2540,$N$3:$Y$3,$N$2:$Y$2),SUMPRODUCT(N2540:Y2540,$N$4:$Y$4,$N$2:$Y$2))/(Z2540/($K2540*$L2540*$M2540)),"")</f>
        <v/>
      </c>
      <c r="AC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inlineStr">
        <is>
          <t>3B</t>
        </is>
      </c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1" t="n">
        <v>1.102993581882004</v>
      </c>
      <c r="N2541" s="17" t="n">
        <v>1</v>
      </c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7" t="n"/>
      <c r="Z2541" s="13">
        <f>SUMPRODUCT(N2541:Y2541,$N$2:$Y$2)*$K2541*$L2541*$M2541</f>
        <v/>
      </c>
      <c r="AA2541" s="14">
        <f>SUM(N2541:Y2541)</f>
        <v/>
      </c>
      <c r="AB2541" s="14">
        <f>IFERROR(IF(UPPER($E2541)="L",SUMPRODUCT(N2541:Y2541,$N$3:$Y$3,$N$2:$Y$2),SUMPRODUCT(N2541:Y2541,$N$4:$Y$4,$N$2:$Y$2))/(Z2541/($K2541*$L2541*$M2541)),"")</f>
        <v/>
      </c>
      <c r="AC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inlineStr">
        <is>
          <t>CF</t>
        </is>
      </c>
      <c r="G2542" s="9" t="n">
        <v>169</v>
      </c>
      <c r="H2542" s="9" t="n">
        <v>169</v>
      </c>
      <c r="I2542" s="9" t="inlineStr">
        <is>
          <t>Full Time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1" t="n">
        <v>1</v>
      </c>
      <c r="N2542" s="17" t="n">
        <v>0.9</v>
      </c>
      <c r="O2542" s="17" t="n"/>
      <c r="P2542" s="17" t="n">
        <v>0.1</v>
      </c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7" t="n"/>
      <c r="Z2542" s="13">
        <f>SUMPRODUCT(N2542:Y2542,$N$2:$Y$2)*$K2542*$L2542*$M2542</f>
        <v/>
      </c>
      <c r="AA2542" s="14">
        <f>SUM(N2542:Y2542)</f>
        <v/>
      </c>
      <c r="AB2542" s="14">
        <f>IFERROR(IF(UPPER($E2542)="L",SUMPRODUCT(N2542:Y2542,$N$3:$Y$3,$N$2:$Y$2),SUMPRODUCT(N2542:Y2542,$N$4:$Y$4,$N$2:$Y$2))/(Z2542/($K2542*$L2542*$M2542)),"")</f>
        <v/>
      </c>
      <c r="AC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1" t="n">
        <v>1</v>
      </c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/>
      <c r="Y2543" s="17" t="n">
        <v>1</v>
      </c>
      <c r="Z2543" s="13">
        <f>SUMPRODUCT(N2543:Y2543,$N$2:$Y$2)*$K2543*$L2543*$M2543</f>
        <v/>
      </c>
      <c r="AA2543" s="14">
        <f>SUM(N2543:Y2543)</f>
        <v/>
      </c>
      <c r="AB2543" s="14">
        <f>IFERROR(IF(UPPER($E2543)="L",SUMPRODUCT(N2543:Y2543,$N$3:$Y$3,$N$2:$Y$2),SUMPRODUCT(N2543:Y2543,$N$4:$Y$4,$N$2:$Y$2))/(Z2543/($K2543*$L2543*$M2543)),"")</f>
        <v/>
      </c>
      <c r="AC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inlineStr">
        <is>
          <t>C</t>
        </is>
      </c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1" t="n">
        <v>1</v>
      </c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/>
      <c r="W2544" s="17" t="n">
        <v>0.85</v>
      </c>
      <c r="X2544" s="17" t="n">
        <v>0.15</v>
      </c>
      <c r="Y2544" s="17" t="n"/>
      <c r="Z2544" s="13">
        <f>SUMPRODUCT(N2544:Y2544,$N$2:$Y$2)*$K2544*$L2544*$M2544</f>
        <v/>
      </c>
      <c r="AA2544" s="14">
        <f>SUM(N2544:Y2544)</f>
        <v/>
      </c>
      <c r="AB2544" s="14">
        <f>IFERROR(IF(UPPER($E2544)="L",SUMPRODUCT(N2544:Y2544,$N$3:$Y$3,$N$2:$Y$2),SUMPRODUCT(N2544:Y2544,$N$4:$Y$4,$N$2:$Y$2))/(Z2544/($K2544*$L2544*$M2544)),"")</f>
        <v/>
      </c>
      <c r="AC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inlineStr">
        <is>
          <t>1B</t>
        </is>
      </c>
      <c r="G2545" s="9" t="n">
        <v>6</v>
      </c>
      <c r="H2545" s="9" t="n">
        <v>6</v>
      </c>
      <c r="I2545" s="9" t="inlineStr">
        <is>
          <t>Strong Side Platoon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1" t="n">
        <v>1</v>
      </c>
      <c r="N2545" s="17" t="n">
        <v>0.4</v>
      </c>
      <c r="O2545" s="17" t="n"/>
      <c r="P2545" s="17" t="n">
        <v>0.6</v>
      </c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7" t="n"/>
      <c r="Z2545" s="13">
        <f>SUMPRODUCT(N2545:Y2545,$N$2:$Y$2)*$K2545*$L2545*$M2545</f>
        <v/>
      </c>
      <c r="AA2545" s="14">
        <f>SUM(N2545:Y2545)</f>
        <v/>
      </c>
      <c r="AB2545" s="14">
        <f>IFERROR(IF(UPPER($E2545)="L",SUMPRODUCT(N2545:Y2545,$N$3:$Y$3,$N$2:$Y$2),SUMPRODUCT(N2545:Y2545,$N$4:$Y$4,$N$2:$Y$2))/(Z2545/($K2545*$L2545*$M2545)),"")</f>
        <v/>
      </c>
      <c r="AC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inlineStr">
        <is>
          <t>3B</t>
        </is>
      </c>
      <c r="G2546" s="9" t="n">
        <v>289</v>
      </c>
      <c r="H2546" s="9" t="n">
        <v>740</v>
      </c>
      <c r="I2546" s="9" t="inlineStr">
        <is>
          <t>Bench Bat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1" t="n">
        <v>1.003378008756485</v>
      </c>
      <c r="N2546" s="17" t="n">
        <v>0.4</v>
      </c>
      <c r="O2546" s="17" t="n"/>
      <c r="P2546" s="17" t="n"/>
      <c r="Q2546" s="17" t="n"/>
      <c r="R2546" s="17" t="n"/>
      <c r="S2546" s="17" t="n"/>
      <c r="T2546" s="17" t="n"/>
      <c r="U2546" s="17" t="n"/>
      <c r="V2546" s="17" t="n"/>
      <c r="W2546" s="17" t="n">
        <v>0.6</v>
      </c>
      <c r="X2546" s="17" t="n"/>
      <c r="Y2546" s="17" t="n"/>
      <c r="Z2546" s="13">
        <f>SUMPRODUCT(N2546:Y2546,$N$2:$Y$2)*$K2546*$L2546*$M2546</f>
        <v/>
      </c>
      <c r="AA2546" s="14">
        <f>SUM(N2546:Y2546)</f>
        <v/>
      </c>
      <c r="AB2546" s="14">
        <f>IFERROR(IF(UPPER($E2546)="L",SUMPRODUCT(N2546:Y2546,$N$3:$Y$3,$N$2:$Y$2),SUMPRODUCT(N2546:Y2546,$N$4:$Y$4,$N$2:$Y$2))/(Z2546/($K2546*$L2546*$M2546)),"")</f>
        <v/>
      </c>
      <c r="AC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inlineStr">
        <is>
          <t>3B</t>
        </is>
      </c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1" t="n">
        <v>0.8713192917493695</v>
      </c>
      <c r="N2547" s="17" t="n">
        <v>0.75</v>
      </c>
      <c r="O2547" s="17" t="n"/>
      <c r="P2547" s="17" t="n">
        <v>0.25</v>
      </c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7" t="n"/>
      <c r="Z2547" s="13">
        <f>SUMPRODUCT(N2547:Y2547,$N$2:$Y$2)*$K2547*$L2547*$M2547</f>
        <v/>
      </c>
      <c r="AA2547" s="14">
        <f>SUM(N2547:Y2547)</f>
        <v/>
      </c>
      <c r="AB2547" s="14">
        <f>IFERROR(IF(UPPER($E2547)="L",SUMPRODUCT(N2547:Y2547,$N$3:$Y$3,$N$2:$Y$2),SUMPRODUCT(N2547:Y2547,$N$4:$Y$4,$N$2:$Y$2))/(Z2547/($K2547*$L2547*$M2547)),"")</f>
        <v/>
      </c>
      <c r="AC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1" t="n">
        <v>1</v>
      </c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/>
      <c r="Y2548" s="17" t="n">
        <v>1</v>
      </c>
      <c r="Z2548" s="13">
        <f>SUMPRODUCT(N2548:Y2548,$N$2:$Y$2)*$K2548*$L2548*$M2548</f>
        <v/>
      </c>
      <c r="AA2548" s="14">
        <f>SUM(N2548:Y2548)</f>
        <v/>
      </c>
      <c r="AB2548" s="14">
        <f>IFERROR(IF(UPPER($E2548)="L",SUMPRODUCT(N2548:Y2548,$N$3:$Y$3,$N$2:$Y$2),SUMPRODUCT(N2548:Y2548,$N$4:$Y$4,$N$2:$Y$2))/(Z2548/($K2548*$L2548*$M2548)),"")</f>
        <v/>
      </c>
      <c r="AC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inlineStr">
        <is>
          <t>RF</t>
        </is>
      </c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1" t="n">
        <v>1</v>
      </c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/>
      <c r="W2549" s="17" t="n">
        <v>1</v>
      </c>
      <c r="X2549" s="17" t="n"/>
      <c r="Y2549" s="17" t="n"/>
      <c r="Z2549" s="13">
        <f>SUMPRODUCT(N2549:Y2549,$N$2:$Y$2)*$K2549*$L2549*$M2549</f>
        <v/>
      </c>
      <c r="AA2549" s="14">
        <f>SUM(N2549:Y2549)</f>
        <v/>
      </c>
      <c r="AB2549" s="14">
        <f>IFERROR(IF(UPPER($E2549)="L",SUMPRODUCT(N2549:Y2549,$N$3:$Y$3,$N$2:$Y$2),SUMPRODUCT(N2549:Y2549,$N$4:$Y$4,$N$2:$Y$2))/(Z2549/($K2549*$L2549*$M2549)),"")</f>
        <v/>
      </c>
      <c r="AC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inlineStr">
        <is>
          <t>RF</t>
        </is>
      </c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1" t="n">
        <v>0.7981735568621762</v>
      </c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/>
      <c r="W2550" s="17" t="n">
        <v>1</v>
      </c>
      <c r="X2550" s="17" t="n"/>
      <c r="Y2550" s="17" t="n"/>
      <c r="Z2550" s="13">
        <f>SUMPRODUCT(N2550:Y2550,$N$2:$Y$2)*$K2550*$L2550*$M2550</f>
        <v/>
      </c>
      <c r="AA2550" s="14">
        <f>SUM(N2550:Y2550)</f>
        <v/>
      </c>
      <c r="AB2550" s="14">
        <f>IFERROR(IF(UPPER($E2550)="L",SUMPRODUCT(N2550:Y2550,$N$3:$Y$3,$N$2:$Y$2),SUMPRODUCT(N2550:Y2550,$N$4:$Y$4,$N$2:$Y$2))/(Z2550/($K2550*$L2550*$M2550)),"")</f>
        <v/>
      </c>
      <c r="AC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1" t="n">
        <v>1</v>
      </c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/>
      <c r="Y2551" s="17" t="n">
        <v>1</v>
      </c>
      <c r="Z2551" s="13">
        <f>SUMPRODUCT(N2551:Y2551,$N$2:$Y$2)*$K2551*$L2551*$M2551</f>
        <v/>
      </c>
      <c r="AA2551" s="14">
        <f>SUM(N2551:Y2551)</f>
        <v/>
      </c>
      <c r="AB2551" s="14">
        <f>IFERROR(IF(UPPER($E2551)="L",SUMPRODUCT(N2551:Y2551,$N$3:$Y$3,$N$2:$Y$2),SUMPRODUCT(N2551:Y2551,$N$4:$Y$4,$N$2:$Y$2))/(Z2551/($K2551*$L2551*$M2551)),"")</f>
        <v/>
      </c>
      <c r="AC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inlineStr">
        <is>
          <t>3B</t>
        </is>
      </c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1" t="n">
        <v>1</v>
      </c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/>
      <c r="W2552" s="17" t="n">
        <v>1</v>
      </c>
      <c r="X2552" s="17" t="n"/>
      <c r="Y2552" s="17" t="n"/>
      <c r="Z2552" s="13">
        <f>SUMPRODUCT(N2552:Y2552,$N$2:$Y$2)*$K2552*$L2552*$M2552</f>
        <v/>
      </c>
      <c r="AA2552" s="14">
        <f>SUM(N2552:Y2552)</f>
        <v/>
      </c>
      <c r="AB2552" s="14">
        <f>IFERROR(IF(UPPER($E2552)="L",SUMPRODUCT(N2552:Y2552,$N$3:$Y$3,$N$2:$Y$2),SUMPRODUCT(N2552:Y2552,$N$4:$Y$4,$N$2:$Y$2))/(Z2552/($K2552*$L2552*$M2552)),"")</f>
        <v/>
      </c>
      <c r="AC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1" t="n">
        <v>1</v>
      </c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/>
      <c r="Y2553" s="17" t="n">
        <v>1</v>
      </c>
      <c r="Z2553" s="13">
        <f>SUMPRODUCT(N2553:Y2553,$N$2:$Y$2)*$K2553*$L2553*$M2553</f>
        <v/>
      </c>
      <c r="AA2553" s="14">
        <f>SUM(N2553:Y2553)</f>
        <v/>
      </c>
      <c r="AB2553" s="14">
        <f>IFERROR(IF(UPPER($E2553)="L",SUMPRODUCT(N2553:Y2553,$N$3:$Y$3,$N$2:$Y$2),SUMPRODUCT(N2553:Y2553,$N$4:$Y$4,$N$2:$Y$2))/(Z2553/($K2553*$L2553*$M2553)),"")</f>
        <v/>
      </c>
      <c r="AC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1" t="n">
        <v>1</v>
      </c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/>
      <c r="Y2554" s="17" t="n">
        <v>1</v>
      </c>
      <c r="Z2554" s="13">
        <f>SUMPRODUCT(N2554:Y2554,$N$2:$Y$2)*$K2554*$L2554*$M2554</f>
        <v/>
      </c>
      <c r="AA2554" s="14">
        <f>SUM(N2554:Y2554)</f>
        <v/>
      </c>
      <c r="AB2554" s="14">
        <f>IFERROR(IF(UPPER($E2554)="L",SUMPRODUCT(N2554:Y2554,$N$3:$Y$3,$N$2:$Y$2),SUMPRODUCT(N2554:Y2554,$N$4:$Y$4,$N$2:$Y$2))/(Z2554/($K2554*$L2554*$M2554)),"")</f>
        <v/>
      </c>
      <c r="AC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inlineStr">
        <is>
          <t>CF</t>
        </is>
      </c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1" t="n">
        <v>0.979750216031996</v>
      </c>
      <c r="N2555" s="17" t="n">
        <v>0.6</v>
      </c>
      <c r="O2555" s="17" t="n"/>
      <c r="P2555" s="17" t="n"/>
      <c r="Q2555" s="17" t="n"/>
      <c r="R2555" s="17" t="n"/>
      <c r="S2555" s="17" t="n"/>
      <c r="T2555" s="17" t="n"/>
      <c r="U2555" s="17" t="n"/>
      <c r="V2555" s="17" t="n">
        <v>0.4</v>
      </c>
      <c r="W2555" s="17" t="n"/>
      <c r="X2555" s="17" t="n"/>
      <c r="Y2555" s="17" t="n"/>
      <c r="Z2555" s="13">
        <f>SUMPRODUCT(N2555:Y2555,$N$2:$Y$2)*$K2555*$L2555*$M2555</f>
        <v/>
      </c>
      <c r="AA2555" s="14">
        <f>SUM(N2555:Y2555)</f>
        <v/>
      </c>
      <c r="AB2555" s="14">
        <f>IFERROR(IF(UPPER($E2555)="L",SUMPRODUCT(N2555:Y2555,$N$3:$Y$3,$N$2:$Y$2),SUMPRODUCT(N2555:Y2555,$N$4:$Y$4,$N$2:$Y$2))/(Z2555/($K2555*$L2555*$M2555)),"")</f>
        <v/>
      </c>
      <c r="AC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inlineStr">
        <is>
          <t>P</t>
        </is>
      </c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1" t="n">
        <v>1</v>
      </c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/>
      <c r="Y2556" s="17" t="n">
        <v>1</v>
      </c>
      <c r="Z2556" s="13">
        <f>SUMPRODUCT(N2556:Y2556,$N$2:$Y$2)*$K2556*$L2556*$M2556</f>
        <v/>
      </c>
      <c r="AA2556" s="14">
        <f>SUM(N2556:Y2556)</f>
        <v/>
      </c>
      <c r="AB2556" s="14">
        <f>IFERROR(IF(UPPER($E2556)="L",SUMPRODUCT(N2556:Y2556,$N$3:$Y$3,$N$2:$Y$2),SUMPRODUCT(N2556:Y2556,$N$4:$Y$4,$N$2:$Y$2))/(Z2556/($K2556*$L2556*$M2556)),"")</f>
        <v/>
      </c>
      <c r="AC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inlineStr">
        <is>
          <t>3B</t>
        </is>
      </c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1" t="n">
        <v>1</v>
      </c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/>
      <c r="W2557" s="17" t="n">
        <v>0.85</v>
      </c>
      <c r="X2557" s="17" t="n">
        <v>0.15</v>
      </c>
      <c r="Y2557" s="17" t="n"/>
      <c r="Z2557" s="13">
        <f>SUMPRODUCT(N2557:Y2557,$N$2:$Y$2)*$K2557*$L2557*$M2557</f>
        <v/>
      </c>
      <c r="AA2557" s="14">
        <f>SUM(N2557:Y2557)</f>
        <v/>
      </c>
      <c r="AB2557" s="14">
        <f>IFERROR(IF(UPPER($E2557)="L",SUMPRODUCT(N2557:Y2557,$N$3:$Y$3,$N$2:$Y$2),SUMPRODUCT(N2557:Y2557,$N$4:$Y$4,$N$2:$Y$2))/(Z2557/($K2557*$L2557*$M2557)),"")</f>
        <v/>
      </c>
      <c r="AC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inlineStr">
        <is>
          <t>SS</t>
        </is>
      </c>
      <c r="G2558" s="9" t="n">
        <v>246</v>
      </c>
      <c r="H2558" s="9" t="n">
        <v>2132</v>
      </c>
      <c r="I2558" s="9" t="inlineStr">
        <is>
          <t>Utility IF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1" t="n">
        <v>1.094885260559471</v>
      </c>
      <c r="N2558" s="17" t="n"/>
      <c r="O2558" s="17" t="n"/>
      <c r="P2558" s="17" t="n"/>
      <c r="Q2558" s="17" t="n"/>
      <c r="R2558" s="17" t="n"/>
      <c r="S2558" s="17" t="n"/>
      <c r="T2558" s="17" t="n"/>
      <c r="U2558" s="17" t="n">
        <v>0.7</v>
      </c>
      <c r="V2558" s="17" t="n"/>
      <c r="W2558" s="17" t="n">
        <v>0.3</v>
      </c>
      <c r="X2558" s="17" t="n"/>
      <c r="Y2558" s="17" t="n"/>
      <c r="Z2558" s="13">
        <f>SUMPRODUCT(N2558:Y2558,$N$2:$Y$2)*$K2558*$L2558*$M2558</f>
        <v/>
      </c>
      <c r="AA2558" s="14">
        <f>SUM(N2558:Y2558)</f>
        <v/>
      </c>
      <c r="AB2558" s="14">
        <f>IFERROR(IF(UPPER($E2558)="L",SUMPRODUCT(N2558:Y2558,$N$3:$Y$3,$N$2:$Y$2),SUMPRODUCT(N2558:Y2558,$N$4:$Y$4,$N$2:$Y$2))/(Z2558/($K2558*$L2558*$M2558)),"")</f>
        <v/>
      </c>
      <c r="AC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1" t="n">
        <v>1</v>
      </c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/>
      <c r="Y2559" s="17" t="n">
        <v>1</v>
      </c>
      <c r="Z2559" s="13">
        <f>SUMPRODUCT(N2559:Y2559,$N$2:$Y$2)*$K2559*$L2559*$M2559</f>
        <v/>
      </c>
      <c r="AA2559" s="14">
        <f>SUM(N2559:Y2559)</f>
        <v/>
      </c>
      <c r="AB2559" s="14">
        <f>IFERROR(IF(UPPER($E2559)="L",SUMPRODUCT(N2559:Y2559,$N$3:$Y$3,$N$2:$Y$2),SUMPRODUCT(N2559:Y2559,$N$4:$Y$4,$N$2:$Y$2))/(Z2559/($K2559*$L2559*$M2559)),"")</f>
        <v/>
      </c>
      <c r="AC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1" t="n">
        <v>1</v>
      </c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/>
      <c r="Y2560" s="17" t="n">
        <v>1</v>
      </c>
      <c r="Z2560" s="13">
        <f>SUMPRODUCT(N2560:Y2560,$N$2:$Y$2)*$K2560*$L2560*$M2560</f>
        <v/>
      </c>
      <c r="AA2560" s="14">
        <f>SUM(N2560:Y2560)</f>
        <v/>
      </c>
      <c r="AB2560" s="14">
        <f>IFERROR(IF(UPPER($E2560)="L",SUMPRODUCT(N2560:Y2560,$N$3:$Y$3,$N$2:$Y$2),SUMPRODUCT(N2560:Y2560,$N$4:$Y$4,$N$2:$Y$2))/(Z2560/($K2560*$L2560*$M2560)),"")</f>
        <v/>
      </c>
      <c r="AC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inlineStr">
        <is>
          <t>3B</t>
        </is>
      </c>
      <c r="G2561" s="9" t="n">
        <v>426</v>
      </c>
      <c r="H2561" s="9" t="n">
        <v>853</v>
      </c>
      <c r="I2561" s="9" t="inlineStr">
        <is>
          <t>Bench Bat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1" t="n">
        <v>1.0582346444114</v>
      </c>
      <c r="N2561" s="17" t="n"/>
      <c r="O2561" s="17" t="n"/>
      <c r="P2561" s="17" t="n"/>
      <c r="Q2561" s="17" t="n"/>
      <c r="R2561" s="17" t="n"/>
      <c r="S2561" s="17" t="n"/>
      <c r="T2561" s="17" t="n"/>
      <c r="U2561" s="17" t="n">
        <v>0.4</v>
      </c>
      <c r="V2561" s="17" t="n"/>
      <c r="W2561" s="17" t="n">
        <v>0.6</v>
      </c>
      <c r="X2561" s="17" t="n"/>
      <c r="Y2561" s="17" t="n"/>
      <c r="Z2561" s="13">
        <f>SUMPRODUCT(N2561:Y2561,$N$2:$Y$2)*$K2561*$L2561*$M2561</f>
        <v/>
      </c>
      <c r="AA2561" s="14">
        <f>SUM(N2561:Y2561)</f>
        <v/>
      </c>
      <c r="AB2561" s="14">
        <f>IFERROR(IF(UPPER($E2561)="L",SUMPRODUCT(N2561:Y2561,$N$3:$Y$3,$N$2:$Y$2),SUMPRODUCT(N2561:Y2561,$N$4:$Y$4,$N$2:$Y$2))/(Z2561/($K2561*$L2561*$M2561)),"")</f>
        <v/>
      </c>
      <c r="AC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inlineStr">
        <is>
          <t>1B</t>
        </is>
      </c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1" t="n">
        <v>1</v>
      </c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/>
      <c r="Y2562" s="17" t="n">
        <v>1</v>
      </c>
      <c r="Z2562" s="13">
        <f>SUMPRODUCT(N2562:Y2562,$N$2:$Y$2)*$K2562*$L2562*$M2562</f>
        <v/>
      </c>
      <c r="AA2562" s="14">
        <f>SUM(N2562:Y2562)</f>
        <v/>
      </c>
      <c r="AB2562" s="14">
        <f>IFERROR(IF(UPPER($E2562)="L",SUMPRODUCT(N2562:Y2562,$N$3:$Y$3,$N$2:$Y$2),SUMPRODUCT(N2562:Y2562,$N$4:$Y$4,$N$2:$Y$2))/(Z2562/($K2562*$L2562*$M2562)),"")</f>
        <v/>
      </c>
      <c r="AC2562" s="18" t="n"/>
    </row>
    <row r="2563">
      <c r="A2563" s="9" t="n">
        <v>814455</v>
      </c>
      <c r="B2563" s="9" t="inlineStr">
        <is>
          <t>Nick Mitchell</t>
        </is>
      </c>
      <c r="C2563" s="9" t="inlineStr">
        <is>
          <t>WSH</t>
        </is>
      </c>
      <c r="D2563" s="9" t="n">
        <v>25</v>
      </c>
      <c r="E2563" s="16" t="inlineStr">
        <is>
          <t>L</t>
        </is>
      </c>
      <c r="F2563" s="16" t="n"/>
      <c r="G2563" s="9" t="n">
        <v>162.2564102564102</v>
      </c>
      <c r="H2563" s="9" t="n">
        <v>162.2564102564102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1" t="n">
        <v>1</v>
      </c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/>
      <c r="Y2563" s="17" t="n">
        <v>1</v>
      </c>
      <c r="Z2563" s="13">
        <f>SUMPRODUCT(N2563:Y2563,$N$2:$Y$2)*$K2563*$L2563*$M2563</f>
        <v/>
      </c>
      <c r="AA2563" s="14">
        <f>SUM(N2563:Y2563)</f>
        <v/>
      </c>
      <c r="AB2563" s="14">
        <f>IFERROR(IF(UPPER($E2563)="L",SUMPRODUCT(N2563:Y2563,$N$3:$Y$3,$N$2:$Y$2),SUMPRODUCT(N2563:Y2563,$N$4:$Y$4,$N$2:$Y$2))/(Z2563/($K2563*$L2563*$M2563)),"")</f>
        <v/>
      </c>
      <c r="AC2563" s="18" t="n"/>
    </row>
    <row r="2564">
      <c r="A2564" s="9" t="n">
        <v>690924</v>
      </c>
      <c r="B2564" s="9" t="inlineStr">
        <is>
          <t>Braxton Fulford</t>
        </is>
      </c>
      <c r="C2564" s="9" t="inlineStr">
        <is>
          <t>COL</t>
        </is>
      </c>
      <c r="D2564" s="9" t="n">
        <v>28</v>
      </c>
      <c r="E2564" s="16" t="inlineStr">
        <is>
          <t>R</t>
        </is>
      </c>
      <c r="F2564" s="16" t="inlineStr">
        <is>
          <t>C</t>
        </is>
      </c>
      <c r="G2564" s="9" t="n">
        <v>85</v>
      </c>
      <c r="H2564" s="9" t="n">
        <v>205</v>
      </c>
      <c r="I2564" s="9" t="inlineStr">
        <is>
          <t>Bench Bat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1" t="n">
        <v>1</v>
      </c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/>
      <c r="W2564" s="17" t="n">
        <v>0.85</v>
      </c>
      <c r="X2564" s="17" t="n">
        <v>0.15</v>
      </c>
      <c r="Y2564" s="17" t="n"/>
      <c r="Z2564" s="13">
        <f>SUMPRODUCT(N2564:Y2564,$N$2:$Y$2)*$K2564*$L2564*$M2564</f>
        <v/>
      </c>
      <c r="AA2564" s="14">
        <f>SUM(N2564:Y2564)</f>
        <v/>
      </c>
      <c r="AB2564" s="14">
        <f>IFERROR(IF(UPPER($E2564)="L",SUMPRODUCT(N2564:Y2564,$N$3:$Y$3,$N$2:$Y$2),SUMPRODUCT(N2564:Y2564,$N$4:$Y$4,$N$2:$Y$2))/(Z2564/($K2564*$L2564*$M2564)),"")</f>
        <v/>
      </c>
      <c r="AC2564" s="18" t="n"/>
    </row>
    <row r="2565">
      <c r="A2565" s="9" t="n">
        <v>614173</v>
      </c>
      <c r="B2565" s="9" t="inlineStr">
        <is>
          <t>Franchy Cordero</t>
        </is>
      </c>
      <c r="C2565" s="9" t="inlineStr">
        <is>
          <t>NYY</t>
        </is>
      </c>
      <c r="D2565" s="9" t="n">
        <v>32</v>
      </c>
      <c r="E2565" s="16" t="inlineStr">
        <is>
          <t>L</t>
        </is>
      </c>
      <c r="F2565" s="16" t="inlineStr">
        <is>
          <t>RF</t>
        </is>
      </c>
      <c r="G2565" s="9" t="n">
        <v>71</v>
      </c>
      <c r="H2565" s="9" t="n">
        <v>346</v>
      </c>
      <c r="I2565" s="9" t="inlineStr">
        <is>
          <t>Depth (no MLB PA)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1" t="n">
        <v>1</v>
      </c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/>
      <c r="Y2565" s="17" t="n">
        <v>1</v>
      </c>
      <c r="Z2565" s="13">
        <f>SUMPRODUCT(N2565:Y2565,$N$2:$Y$2)*$K2565*$L2565*$M2565</f>
        <v/>
      </c>
      <c r="AA2565" s="14">
        <f>SUM(N2565:Y2565)</f>
        <v/>
      </c>
      <c r="AB2565" s="14">
        <f>IFERROR(IF(UPPER($E2565)="L",SUMPRODUCT(N2565:Y2565,$N$3:$Y$3,$N$2:$Y$2),SUMPRODUCT(N2565:Y2565,$N$4:$Y$4,$N$2:$Y$2))/(Z2565/($K2565*$L2565*$M2565)),"")</f>
        <v/>
      </c>
      <c r="AC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inlineStr">
        <is>
          <t>LF</t>
        </is>
      </c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1" t="n">
        <v>1.038397059091655</v>
      </c>
      <c r="N2566" s="17" t="n">
        <v>0.9</v>
      </c>
      <c r="O2566" s="17" t="n"/>
      <c r="P2566" s="17" t="n">
        <v>0.1</v>
      </c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7" t="n"/>
      <c r="Z2566" s="13">
        <f>SUMPRODUCT(N2566:Y2566,$N$2:$Y$2)*$K2566*$L2566*$M2566</f>
        <v/>
      </c>
      <c r="AA2566" s="14">
        <f>SUM(N2566:Y2566)</f>
        <v/>
      </c>
      <c r="AB2566" s="14">
        <f>IFERROR(IF(UPPER($E2566)="L",SUMPRODUCT(N2566:Y2566,$N$3:$Y$3,$N$2:$Y$2),SUMPRODUCT(N2566:Y2566,$N$4:$Y$4,$N$2:$Y$2))/(Z2566/($K2566*$L2566*$M2566)),"")</f>
        <v/>
      </c>
      <c r="AC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1" t="n">
        <v>1</v>
      </c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/>
      <c r="Y2567" s="17" t="n">
        <v>1</v>
      </c>
      <c r="Z2567" s="13">
        <f>SUMPRODUCT(N2567:Y2567,$N$2:$Y$2)*$K2567*$L2567*$M2567</f>
        <v/>
      </c>
      <c r="AA2567" s="14">
        <f>SUM(N2567:Y2567)</f>
        <v/>
      </c>
      <c r="AB2567" s="14">
        <f>IFERROR(IF(UPPER($E2567)="L",SUMPRODUCT(N2567:Y2567,$N$3:$Y$3,$N$2:$Y$2),SUMPRODUCT(N2567:Y2567,$N$4:$Y$4,$N$2:$Y$2))/(Z2567/($K2567*$L2567*$M2567)),"")</f>
        <v/>
      </c>
      <c r="AC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inlineStr">
        <is>
          <t>SS</t>
        </is>
      </c>
      <c r="G2568" s="9" t="n">
        <v>180</v>
      </c>
      <c r="H2568" s="9" t="n">
        <v>527</v>
      </c>
      <c r="I2568" s="9" t="inlineStr">
        <is>
          <t>Full Time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1" t="n">
        <v>1</v>
      </c>
      <c r="N2568" s="17" t="n">
        <v>0.68</v>
      </c>
      <c r="O2568" s="17" t="n"/>
      <c r="P2568" s="17" t="n">
        <v>0.32</v>
      </c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7" t="n"/>
      <c r="Z2568" s="13">
        <f>SUMPRODUCT(N2568:Y2568,$N$2:$Y$2)*$K2568*$L2568*$M2568</f>
        <v/>
      </c>
      <c r="AA2568" s="14">
        <f>SUM(N2568:Y2568)</f>
        <v/>
      </c>
      <c r="AB2568" s="14">
        <f>IFERROR(IF(UPPER($E2568)="L",SUMPRODUCT(N2568:Y2568,$N$3:$Y$3,$N$2:$Y$2),SUMPRODUCT(N2568:Y2568,$N$4:$Y$4,$N$2:$Y$2))/(Z2568/($K2568*$L2568*$M2568)),"")</f>
        <v/>
      </c>
      <c r="AC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25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Mid Season (~July)</t>
        </is>
      </c>
      <c r="K2569" s="11">
        <f>IFERROR(INDEX(Roles!$B$17:$B$20,MATCH(J2569,Roles!$A$17:$A$20,0)),1)</f>
        <v/>
      </c>
      <c r="L2569" s="17" t="n">
        <v>1</v>
      </c>
      <c r="M2569" s="11" t="n">
        <v>1</v>
      </c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/>
      <c r="Y2569" s="17" t="n">
        <v>1</v>
      </c>
      <c r="Z2569" s="13">
        <f>SUMPRODUCT(N2569:Y2569,$N$2:$Y$2)*$K2569*$L2569*$M2569</f>
        <v/>
      </c>
      <c r="AA2569" s="14">
        <f>SUM(N2569:Y2569)</f>
        <v/>
      </c>
      <c r="AB2569" s="14">
        <f>IFERROR(IF(UPPER($E2569)="L",SUMPRODUCT(N2569:Y2569,$N$3:$Y$3,$N$2:$Y$2),SUMPRODUCT(N2569:Y2569,$N$4:$Y$4,$N$2:$Y$2))/(Z2569/($K2569*$L2569*$M2569)),"")</f>
        <v/>
      </c>
      <c r="AC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1" t="n">
        <v>1</v>
      </c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/>
      <c r="Y2570" s="17" t="n">
        <v>1</v>
      </c>
      <c r="Z2570" s="13">
        <f>SUMPRODUCT(N2570:Y2570,$N$2:$Y$2)*$K2570*$L2570*$M2570</f>
        <v/>
      </c>
      <c r="AA2570" s="14">
        <f>SUM(N2570:Y2570)</f>
        <v/>
      </c>
      <c r="AB2570" s="14">
        <f>IFERROR(IF(UPPER($E2570)="L",SUMPRODUCT(N2570:Y2570,$N$3:$Y$3,$N$2:$Y$2),SUMPRODUCT(N2570:Y2570,$N$4:$Y$4,$N$2:$Y$2))/(Z2570/($K2570*$L2570*$M2570)),"")</f>
        <v/>
      </c>
      <c r="AC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1" t="n">
        <v>1</v>
      </c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/>
      <c r="Y2571" s="17" t="n">
        <v>1</v>
      </c>
      <c r="Z2571" s="13">
        <f>SUMPRODUCT(N2571:Y2571,$N$2:$Y$2)*$K2571*$L2571*$M2571</f>
        <v/>
      </c>
      <c r="AA2571" s="14">
        <f>SUM(N2571:Y2571)</f>
        <v/>
      </c>
      <c r="AB2571" s="14">
        <f>IFERROR(IF(UPPER($E2571)="L",SUMPRODUCT(N2571:Y2571,$N$3:$Y$3,$N$2:$Y$2),SUMPRODUCT(N2571:Y2571,$N$4:$Y$4,$N$2:$Y$2))/(Z2571/($K2571*$L2571*$M2571)),"")</f>
        <v/>
      </c>
      <c r="AC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inlineStr">
        <is>
          <t>CF</t>
        </is>
      </c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1" t="n">
        <v>1</v>
      </c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/>
      <c r="Y2572" s="17" t="n">
        <v>1</v>
      </c>
      <c r="Z2572" s="13">
        <f>SUMPRODUCT(N2572:Y2572,$N$2:$Y$2)*$K2572*$L2572*$M2572</f>
        <v/>
      </c>
      <c r="AA2572" s="14">
        <f>SUM(N2572:Y2572)</f>
        <v/>
      </c>
      <c r="AB2572" s="14">
        <f>IFERROR(IF(UPPER($E2572)="L",SUMPRODUCT(N2572:Y2572,$N$3:$Y$3,$N$2:$Y$2),SUMPRODUCT(N2572:Y2572,$N$4:$Y$4,$N$2:$Y$2))/(Z2572/($K2572*$L2572*$M2572)),"")</f>
        <v/>
      </c>
      <c r="AC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inlineStr">
        <is>
          <t>1B</t>
        </is>
      </c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1" t="n">
        <v>1</v>
      </c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/>
      <c r="Y2573" s="17" t="n">
        <v>1</v>
      </c>
      <c r="Z2573" s="13">
        <f>SUMPRODUCT(N2573:Y2573,$N$2:$Y$2)*$K2573*$L2573*$M2573</f>
        <v/>
      </c>
      <c r="AA2573" s="14">
        <f>SUM(N2573:Y2573)</f>
        <v/>
      </c>
      <c r="AB2573" s="14">
        <f>IFERROR(IF(UPPER($E2573)="L",SUMPRODUCT(N2573:Y2573,$N$3:$Y$3,$N$2:$Y$2),SUMPRODUCT(N2573:Y2573,$N$4:$Y$4,$N$2:$Y$2))/(Z2573/($K2573*$L2573*$M2573)),"")</f>
        <v/>
      </c>
      <c r="AC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inlineStr">
        <is>
          <t>C</t>
        </is>
      </c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1" t="n">
        <v>1</v>
      </c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/>
      <c r="W2574" s="17" t="n">
        <v>0.85</v>
      </c>
      <c r="X2574" s="17" t="n">
        <v>0.15</v>
      </c>
      <c r="Y2574" s="17" t="n"/>
      <c r="Z2574" s="13">
        <f>SUMPRODUCT(N2574:Y2574,$N$2:$Y$2)*$K2574*$L2574*$M2574</f>
        <v/>
      </c>
      <c r="AA2574" s="14">
        <f>SUM(N2574:Y2574)</f>
        <v/>
      </c>
      <c r="AB2574" s="14">
        <f>IFERROR(IF(UPPER($E2574)="L",SUMPRODUCT(N2574:Y2574,$N$3:$Y$3,$N$2:$Y$2),SUMPRODUCT(N2574:Y2574,$N$4:$Y$4,$N$2:$Y$2))/(Z2574/($K2574*$L2574*$M2574)),"")</f>
        <v/>
      </c>
      <c r="AC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inlineStr">
        <is>
          <t>3B</t>
        </is>
      </c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1" t="n">
        <v>0.8030097516235492</v>
      </c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/>
      <c r="W2575" s="17" t="n">
        <v>1</v>
      </c>
      <c r="X2575" s="17" t="n"/>
      <c r="Y2575" s="17" t="n"/>
      <c r="Z2575" s="13">
        <f>SUMPRODUCT(N2575:Y2575,$N$2:$Y$2)*$K2575*$L2575*$M2575</f>
        <v/>
      </c>
      <c r="AA2575" s="14">
        <f>SUM(N2575:Y2575)</f>
        <v/>
      </c>
      <c r="AB2575" s="14">
        <f>IFERROR(IF(UPPER($E2575)="L",SUMPRODUCT(N2575:Y2575,$N$3:$Y$3,$N$2:$Y$2),SUMPRODUCT(N2575:Y2575,$N$4:$Y$4,$N$2:$Y$2))/(Z2575/($K2575*$L2575*$M2575)),"")</f>
        <v/>
      </c>
      <c r="AC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inlineStr">
        <is>
          <t>3B</t>
        </is>
      </c>
      <c r="G2576" s="9" t="n">
        <v>159</v>
      </c>
      <c r="H2576" s="9" t="n">
        <v>2165</v>
      </c>
      <c r="I2576" s="9" t="inlineStr">
        <is>
          <t>Bench Bat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1" t="n">
        <v>0.988140054407898</v>
      </c>
      <c r="N2576" s="17" t="n">
        <v>0.4</v>
      </c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>
        <v>0.6</v>
      </c>
      <c r="X2576" s="17" t="n"/>
      <c r="Y2576" s="17" t="n"/>
      <c r="Z2576" s="13">
        <f>SUMPRODUCT(N2576:Y2576,$N$2:$Y$2)*$K2576*$L2576*$M2576</f>
        <v/>
      </c>
      <c r="AA2576" s="14">
        <f>SUM(N2576:Y2576)</f>
        <v/>
      </c>
      <c r="AB2576" s="14">
        <f>IFERROR(IF(UPPER($E2576)="L",SUMPRODUCT(N2576:Y2576,$N$3:$Y$3,$N$2:$Y$2),SUMPRODUCT(N2576:Y2576,$N$4:$Y$4,$N$2:$Y$2))/(Z2576/($K2576*$L2576*$M2576)),"")</f>
        <v/>
      </c>
      <c r="AC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inlineStr">
        <is>
          <t>2B</t>
        </is>
      </c>
      <c r="G2577" s="9" t="n">
        <v>115</v>
      </c>
      <c r="H2577" s="9" t="n">
        <v>115</v>
      </c>
      <c r="I2577" s="9" t="inlineStr">
        <is>
          <t>Weak Side Platoon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1" t="n">
        <v>1</v>
      </c>
      <c r="N2577" s="17" t="n"/>
      <c r="O2577" s="17" t="n"/>
      <c r="P2577" s="17" t="n"/>
      <c r="Q2577" s="17" t="n">
        <v>0.6</v>
      </c>
      <c r="R2577" s="17" t="n"/>
      <c r="S2577" s="17" t="n"/>
      <c r="T2577" s="17" t="n"/>
      <c r="U2577" s="17" t="n">
        <v>0.4</v>
      </c>
      <c r="V2577" s="17" t="n"/>
      <c r="W2577" s="17" t="n"/>
      <c r="X2577" s="17" t="n"/>
      <c r="Y2577" s="17" t="n"/>
      <c r="Z2577" s="13">
        <f>SUMPRODUCT(N2577:Y2577,$N$2:$Y$2)*$K2577*$L2577*$M2577</f>
        <v/>
      </c>
      <c r="AA2577" s="14">
        <f>SUM(N2577:Y2577)</f>
        <v/>
      </c>
      <c r="AB2577" s="14">
        <f>IFERROR(IF(UPPER($E2577)="L",SUMPRODUCT(N2577:Y2577,$N$3:$Y$3,$N$2:$Y$2),SUMPRODUCT(N2577:Y2577,$N$4:$Y$4,$N$2:$Y$2))/(Z2577/($K2577*$L2577*$M2577)),"")</f>
        <v/>
      </c>
      <c r="AC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inlineStr">
        <is>
          <t>C</t>
        </is>
      </c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1" t="n">
        <v>1</v>
      </c>
      <c r="N2578" s="17" t="n"/>
      <c r="O2578" s="17" t="n"/>
      <c r="P2578" s="17" t="n"/>
      <c r="Q2578" s="17" t="n"/>
      <c r="R2578" s="17" t="n"/>
      <c r="S2578" s="17" t="n"/>
      <c r="T2578" s="17" t="n">
        <v>0.4</v>
      </c>
      <c r="U2578" s="17" t="n"/>
      <c r="V2578" s="17" t="n"/>
      <c r="W2578" s="17" t="n">
        <v>0.6</v>
      </c>
      <c r="X2578" s="17" t="n"/>
      <c r="Y2578" s="17" t="n"/>
      <c r="Z2578" s="13">
        <f>SUMPRODUCT(N2578:Y2578,$N$2:$Y$2)*$K2578*$L2578*$M2578</f>
        <v/>
      </c>
      <c r="AA2578" s="14">
        <f>SUM(N2578:Y2578)</f>
        <v/>
      </c>
      <c r="AB2578" s="14">
        <f>IFERROR(IF(UPPER($E2578)="L",SUMPRODUCT(N2578:Y2578,$N$3:$Y$3,$N$2:$Y$2),SUMPRODUCT(N2578:Y2578,$N$4:$Y$4,$N$2:$Y$2))/(Z2578/($K2578*$L2578*$M2578)),"")</f>
        <v/>
      </c>
      <c r="AC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1" t="n">
        <v>1</v>
      </c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/>
      <c r="Y2579" s="17" t="n">
        <v>1</v>
      </c>
      <c r="Z2579" s="13">
        <f>SUMPRODUCT(N2579:Y2579,$N$2:$Y$2)*$K2579*$L2579*$M2579</f>
        <v/>
      </c>
      <c r="AA2579" s="14">
        <f>SUM(N2579:Y2579)</f>
        <v/>
      </c>
      <c r="AB2579" s="14">
        <f>IFERROR(IF(UPPER($E2579)="L",SUMPRODUCT(N2579:Y2579,$N$3:$Y$3,$N$2:$Y$2),SUMPRODUCT(N2579:Y2579,$N$4:$Y$4,$N$2:$Y$2))/(Z2579/($K2579*$L2579*$M2579)),"")</f>
        <v/>
      </c>
      <c r="AC2579" s="18" t="n"/>
    </row>
    <row r="2580">
      <c r="A2580" s="9" t="n">
        <v>688005</v>
      </c>
      <c r="B2580" s="9" t="inlineStr">
        <is>
          <t>Francisco Urbaez</t>
        </is>
      </c>
      <c r="C2580" s="9" t="inlineStr">
        <is>
          <t>CIN</t>
        </is>
      </c>
      <c r="D2580" s="9" t="n">
        <v>25</v>
      </c>
      <c r="E2580" s="16" t="inlineStr">
        <is>
          <t>R</t>
        </is>
      </c>
      <c r="F2580" s="16" t="n"/>
      <c r="G2580" s="9" t="n">
        <v>260.6153846153846</v>
      </c>
      <c r="H2580" s="9" t="n">
        <v>260.6153846153846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1" t="n">
        <v>1</v>
      </c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/>
      <c r="Y2580" s="17" t="n">
        <v>1</v>
      </c>
      <c r="Z2580" s="13">
        <f>SUMPRODUCT(N2580:Y2580,$N$2:$Y$2)*$K2580*$L2580*$M2580</f>
        <v/>
      </c>
      <c r="AA2580" s="14">
        <f>SUM(N2580:Y2580)</f>
        <v/>
      </c>
      <c r="AB2580" s="14">
        <f>IFERROR(IF(UPPER($E2580)="L",SUMPRODUCT(N2580:Y2580,$N$3:$Y$3,$N$2:$Y$2),SUMPRODUCT(N2580:Y2580,$N$4:$Y$4,$N$2:$Y$2))/(Z2580/($K2580*$L2580*$M2580)),"")</f>
        <v/>
      </c>
      <c r="AC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inlineStr">
        <is>
          <t>2B</t>
        </is>
      </c>
      <c r="G2581" s="9" t="n">
        <v>269</v>
      </c>
      <c r="H2581" s="9" t="n">
        <v>366</v>
      </c>
      <c r="I2581" s="9" t="inlineStr">
        <is>
          <t>Utility IF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1" t="n">
        <v>1</v>
      </c>
      <c r="N2581" s="17" t="n"/>
      <c r="O2581" s="17" t="n"/>
      <c r="P2581" s="17" t="n"/>
      <c r="Q2581" s="17" t="n"/>
      <c r="R2581" s="17" t="n"/>
      <c r="S2581" s="17" t="n"/>
      <c r="T2581" s="17" t="n"/>
      <c r="U2581" s="17" t="n">
        <v>1</v>
      </c>
      <c r="V2581" s="17" t="n"/>
      <c r="W2581" s="17" t="n"/>
      <c r="X2581" s="17" t="n"/>
      <c r="Y2581" s="17" t="n"/>
      <c r="Z2581" s="13">
        <f>SUMPRODUCT(N2581:Y2581,$N$2:$Y$2)*$K2581*$L2581*$M2581</f>
        <v/>
      </c>
      <c r="AA2581" s="14">
        <f>SUM(N2581:Y2581)</f>
        <v/>
      </c>
      <c r="AB2581" s="14">
        <f>IFERROR(IF(UPPER($E2581)="L",SUMPRODUCT(N2581:Y2581,$N$3:$Y$3,$N$2:$Y$2),SUMPRODUCT(N2581:Y2581,$N$4:$Y$4,$N$2:$Y$2))/(Z2581/($K2581*$L2581*$M2581)),"")</f>
        <v/>
      </c>
      <c r="AC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inlineStr">
        <is>
          <t>2B</t>
        </is>
      </c>
      <c r="G2582" s="9" t="n">
        <v>245</v>
      </c>
      <c r="H2582" s="9" t="n">
        <v>381</v>
      </c>
      <c r="I2582" s="9" t="inlineStr">
        <is>
          <t>Strong Side Platoon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1" t="n">
        <v>1</v>
      </c>
      <c r="N2582" s="17" t="n"/>
      <c r="O2582" s="17" t="n">
        <v>0.4</v>
      </c>
      <c r="P2582" s="17" t="n">
        <v>0.6</v>
      </c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7" t="n"/>
      <c r="Z2582" s="13">
        <f>SUMPRODUCT(N2582:Y2582,$N$2:$Y$2)*$K2582*$L2582*$M2582</f>
        <v/>
      </c>
      <c r="AA2582" s="14">
        <f>SUM(N2582:Y2582)</f>
        <v/>
      </c>
      <c r="AB2582" s="14">
        <f>IFERROR(IF(UPPER($E2582)="L",SUMPRODUCT(N2582:Y2582,$N$3:$Y$3,$N$2:$Y$2),SUMPRODUCT(N2582:Y2582,$N$4:$Y$4,$N$2:$Y$2))/(Z2582/($K2582*$L2582*$M2582)),"")</f>
        <v/>
      </c>
      <c r="AC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inlineStr">
        <is>
          <t>LF</t>
        </is>
      </c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1" t="n">
        <v>1</v>
      </c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/>
      <c r="W2583" s="17" t="n">
        <v>1</v>
      </c>
      <c r="X2583" s="17" t="n"/>
      <c r="Y2583" s="17" t="n"/>
      <c r="Z2583" s="13">
        <f>SUMPRODUCT(N2583:Y2583,$N$2:$Y$2)*$K2583*$L2583*$M2583</f>
        <v/>
      </c>
      <c r="AA2583" s="14">
        <f>SUM(N2583:Y2583)</f>
        <v/>
      </c>
      <c r="AB2583" s="14">
        <f>IFERROR(IF(UPPER($E2583)="L",SUMPRODUCT(N2583:Y2583,$N$3:$Y$3,$N$2:$Y$2),SUMPRODUCT(N2583:Y2583,$N$4:$Y$4,$N$2:$Y$2))/(Z2583/($K2583*$L2583*$M2583)),"")</f>
        <v/>
      </c>
      <c r="AC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1" t="n">
        <v>1</v>
      </c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/>
      <c r="Y2584" s="17" t="n">
        <v>1</v>
      </c>
      <c r="Z2584" s="13">
        <f>SUMPRODUCT(N2584:Y2584,$N$2:$Y$2)*$K2584*$L2584*$M2584</f>
        <v/>
      </c>
      <c r="AA2584" s="14">
        <f>SUM(N2584:Y2584)</f>
        <v/>
      </c>
      <c r="AB2584" s="14">
        <f>IFERROR(IF(UPPER($E2584)="L",SUMPRODUCT(N2584:Y2584,$N$3:$Y$3,$N$2:$Y$2),SUMPRODUCT(N2584:Y2584,$N$4:$Y$4,$N$2:$Y$2))/(Z2584/($K2584*$L2584*$M2584)),"")</f>
        <v/>
      </c>
      <c r="AC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1" t="n">
        <v>1</v>
      </c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/>
      <c r="Y2585" s="17" t="n">
        <v>1</v>
      </c>
      <c r="Z2585" s="13">
        <f>SUMPRODUCT(N2585:Y2585,$N$2:$Y$2)*$K2585*$L2585*$M2585</f>
        <v/>
      </c>
      <c r="AA2585" s="14">
        <f>SUM(N2585:Y2585)</f>
        <v/>
      </c>
      <c r="AB2585" s="14">
        <f>IFERROR(IF(UPPER($E2585)="L",SUMPRODUCT(N2585:Y2585,$N$3:$Y$3,$N$2:$Y$2),SUMPRODUCT(N2585:Y2585,$N$4:$Y$4,$N$2:$Y$2))/(Z2585/($K2585*$L2585*$M2585)),"")</f>
        <v/>
      </c>
      <c r="AC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inlineStr">
        <is>
          <t>SS</t>
        </is>
      </c>
      <c r="G2586" s="9" t="n">
        <v>196</v>
      </c>
      <c r="H2586" s="9" t="n">
        <v>2059</v>
      </c>
      <c r="I2586" s="9" t="inlineStr">
        <is>
          <t>Bench Bat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1" t="n">
        <v>1.053155326295204</v>
      </c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>
        <v>0.4</v>
      </c>
      <c r="W2586" s="17" t="n">
        <v>0.6</v>
      </c>
      <c r="X2586" s="17" t="n"/>
      <c r="Y2586" s="17" t="n"/>
      <c r="Z2586" s="13">
        <f>SUMPRODUCT(N2586:Y2586,$N$2:$Y$2)*$K2586*$L2586*$M2586</f>
        <v/>
      </c>
      <c r="AA2586" s="14">
        <f>SUM(N2586:Y2586)</f>
        <v/>
      </c>
      <c r="AB2586" s="14">
        <f>IFERROR(IF(UPPER($E2586)="L",SUMPRODUCT(N2586:Y2586,$N$3:$Y$3,$N$2:$Y$2),SUMPRODUCT(N2586:Y2586,$N$4:$Y$4,$N$2:$Y$2))/(Z2586/($K2586*$L2586*$M2586)),"")</f>
        <v/>
      </c>
      <c r="AC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1" t="n">
        <v>1</v>
      </c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/>
      <c r="Y2587" s="17" t="n">
        <v>1</v>
      </c>
      <c r="Z2587" s="13">
        <f>SUMPRODUCT(N2587:Y2587,$N$2:$Y$2)*$K2587*$L2587*$M2587</f>
        <v/>
      </c>
      <c r="AA2587" s="14">
        <f>SUM(N2587:Y2587)</f>
        <v/>
      </c>
      <c r="AB2587" s="14">
        <f>IFERROR(IF(UPPER($E2587)="L",SUMPRODUCT(N2587:Y2587,$N$3:$Y$3,$N$2:$Y$2),SUMPRODUCT(N2587:Y2587,$N$4:$Y$4,$N$2:$Y$2))/(Z2587/($K2587*$L2587*$M2587)),"")</f>
        <v/>
      </c>
      <c r="AC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inlineStr">
        <is>
          <t>SS</t>
        </is>
      </c>
      <c r="G2588" s="9" t="n">
        <v>221</v>
      </c>
      <c r="H2588" s="9" t="n">
        <v>412</v>
      </c>
      <c r="I2588" s="9" t="inlineStr">
        <is>
          <t>Full Time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1" t="n">
        <v>1</v>
      </c>
      <c r="N2588" s="17" t="n">
        <v>0.6</v>
      </c>
      <c r="O2588" s="17" t="n"/>
      <c r="P2588" s="17" t="n"/>
      <c r="Q2588" s="17" t="n"/>
      <c r="R2588" s="17" t="n"/>
      <c r="S2588" s="17" t="n"/>
      <c r="T2588" s="17" t="n"/>
      <c r="U2588" s="17" t="n">
        <v>0.4</v>
      </c>
      <c r="V2588" s="17" t="n"/>
      <c r="W2588" s="17" t="n"/>
      <c r="X2588" s="17" t="n"/>
      <c r="Y2588" s="17" t="n"/>
      <c r="Z2588" s="13">
        <f>SUMPRODUCT(N2588:Y2588,$N$2:$Y$2)*$K2588*$L2588*$M2588</f>
        <v/>
      </c>
      <c r="AA2588" s="14">
        <f>SUM(N2588:Y2588)</f>
        <v/>
      </c>
      <c r="AB2588" s="14">
        <f>IFERROR(IF(UPPER($E2588)="L",SUMPRODUCT(N2588:Y2588,$N$3:$Y$3,$N$2:$Y$2),SUMPRODUCT(N2588:Y2588,$N$4:$Y$4,$N$2:$Y$2))/(Z2588/($K2588*$L2588*$M2588)),"")</f>
        <v/>
      </c>
      <c r="AC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1" t="n">
        <v>1</v>
      </c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/>
      <c r="Y2589" s="17" t="n">
        <v>1</v>
      </c>
      <c r="Z2589" s="13">
        <f>SUMPRODUCT(N2589:Y2589,$N$2:$Y$2)*$K2589*$L2589*$M2589</f>
        <v/>
      </c>
      <c r="AA2589" s="14">
        <f>SUM(N2589:Y2589)</f>
        <v/>
      </c>
      <c r="AB2589" s="14">
        <f>IFERROR(IF(UPPER($E2589)="L",SUMPRODUCT(N2589:Y2589,$N$3:$Y$3,$N$2:$Y$2),SUMPRODUCT(N2589:Y2589,$N$4:$Y$4,$N$2:$Y$2))/(Z2589/($K2589*$L2589*$M2589)),"")</f>
        <v/>
      </c>
      <c r="AC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inlineStr">
        <is>
          <t>3B</t>
        </is>
      </c>
      <c r="G2590" s="9" t="n">
        <v>304</v>
      </c>
      <c r="H2590" s="9" t="n">
        <v>347</v>
      </c>
      <c r="I2590" s="9" t="inlineStr">
        <is>
          <t>Full Time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1" t="n">
        <v>1</v>
      </c>
      <c r="N2590" s="17" t="n">
        <v>0.7</v>
      </c>
      <c r="O2590" s="17" t="n"/>
      <c r="P2590" s="17" t="n">
        <v>0.3</v>
      </c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7" t="n"/>
      <c r="Z2590" s="13">
        <f>SUMPRODUCT(N2590:Y2590,$N$2:$Y$2)*$K2590*$L2590*$M2590</f>
        <v/>
      </c>
      <c r="AA2590" s="14">
        <f>SUM(N2590:Y2590)</f>
        <v/>
      </c>
      <c r="AB2590" s="14">
        <f>IFERROR(IF(UPPER($E2590)="L",SUMPRODUCT(N2590:Y2590,$N$3:$Y$3,$N$2:$Y$2),SUMPRODUCT(N2590:Y2590,$N$4:$Y$4,$N$2:$Y$2))/(Z2590/($K2590*$L2590*$M2590)),"")</f>
        <v/>
      </c>
      <c r="AC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inlineStr">
        <is>
          <t>SS</t>
        </is>
      </c>
      <c r="G2591" s="9" t="n">
        <v>339</v>
      </c>
      <c r="H2591" s="9" t="n">
        <v>339</v>
      </c>
      <c r="I2591" s="9" t="inlineStr">
        <is>
          <t>Full Time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1" t="n">
        <v>1</v>
      </c>
      <c r="N2591" s="17" t="n">
        <v>1</v>
      </c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7" t="n"/>
      <c r="Z2591" s="13">
        <f>SUMPRODUCT(N2591:Y2591,$N$2:$Y$2)*$K2591*$L2591*$M2591</f>
        <v/>
      </c>
      <c r="AA2591" s="14">
        <f>SUM(N2591:Y2591)</f>
        <v/>
      </c>
      <c r="AB2591" s="14">
        <f>IFERROR(IF(UPPER($E2591)="L",SUMPRODUCT(N2591:Y2591,$N$3:$Y$3,$N$2:$Y$2),SUMPRODUCT(N2591:Y2591,$N$4:$Y$4,$N$2:$Y$2))/(Z2591/($K2591*$L2591*$M2591)),"")</f>
        <v/>
      </c>
      <c r="AC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inlineStr">
        <is>
          <t>1B</t>
        </is>
      </c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1" t="n">
        <v>1</v>
      </c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/>
      <c r="Y2592" s="17" t="n">
        <v>1</v>
      </c>
      <c r="Z2592" s="13">
        <f>SUMPRODUCT(N2592:Y2592,$N$2:$Y$2)*$K2592*$L2592*$M2592</f>
        <v/>
      </c>
      <c r="AA2592" s="14">
        <f>SUM(N2592:Y2592)</f>
        <v/>
      </c>
      <c r="AB2592" s="14">
        <f>IFERROR(IF(UPPER($E2592)="L",SUMPRODUCT(N2592:Y2592,$N$3:$Y$3,$N$2:$Y$2),SUMPRODUCT(N2592:Y2592,$N$4:$Y$4,$N$2:$Y$2))/(Z2592/($K2592*$L2592*$M2592)),"")</f>
        <v/>
      </c>
      <c r="AC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1" t="n">
        <v>1</v>
      </c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/>
      <c r="Y2593" s="17" t="n">
        <v>1</v>
      </c>
      <c r="Z2593" s="13">
        <f>SUMPRODUCT(N2593:Y2593,$N$2:$Y$2)*$K2593*$L2593*$M2593</f>
        <v/>
      </c>
      <c r="AA2593" s="14">
        <f>SUM(N2593:Y2593)</f>
        <v/>
      </c>
      <c r="AB2593" s="14">
        <f>IFERROR(IF(UPPER($E2593)="L",SUMPRODUCT(N2593:Y2593,$N$3:$Y$3,$N$2:$Y$2),SUMPRODUCT(N2593:Y2593,$N$4:$Y$4,$N$2:$Y$2))/(Z2593/($K2593*$L2593*$M2593)),"")</f>
        <v/>
      </c>
      <c r="AC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inlineStr">
        <is>
          <t>C</t>
        </is>
      </c>
      <c r="G2594" s="9" t="n">
        <v>129</v>
      </c>
      <c r="H2594" s="9" t="n">
        <v>1070</v>
      </c>
      <c r="I2594" s="9" t="inlineStr">
        <is>
          <t>Catcher - Backup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1" t="n">
        <v>1</v>
      </c>
      <c r="N2594" s="17" t="n"/>
      <c r="O2594" s="17" t="n"/>
      <c r="P2594" s="17" t="n"/>
      <c r="Q2594" s="17" t="n"/>
      <c r="R2594" s="17" t="n"/>
      <c r="S2594" s="17" t="n"/>
      <c r="T2594" s="17" t="n">
        <v>1</v>
      </c>
      <c r="U2594" s="17" t="n"/>
      <c r="V2594" s="17" t="n"/>
      <c r="W2594" s="17" t="n"/>
      <c r="X2594" s="17" t="n"/>
      <c r="Y2594" s="17" t="n"/>
      <c r="Z2594" s="13">
        <f>SUMPRODUCT(N2594:Y2594,$N$2:$Y$2)*$K2594*$L2594*$M2594</f>
        <v/>
      </c>
      <c r="AA2594" s="14">
        <f>SUM(N2594:Y2594)</f>
        <v/>
      </c>
      <c r="AB2594" s="14">
        <f>IFERROR(IF(UPPER($E2594)="L",SUMPRODUCT(N2594:Y2594,$N$3:$Y$3,$N$2:$Y$2),SUMPRODUCT(N2594:Y2594,$N$4:$Y$4,$N$2:$Y$2))/(Z2594/($K2594*$L2594*$M2594)),"")</f>
        <v/>
      </c>
      <c r="AC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1" t="n">
        <v>1</v>
      </c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/>
      <c r="Y2595" s="17" t="n">
        <v>1</v>
      </c>
      <c r="Z2595" s="13">
        <f>SUMPRODUCT(N2595:Y2595,$N$2:$Y$2)*$K2595*$L2595*$M2595</f>
        <v/>
      </c>
      <c r="AA2595" s="14">
        <f>SUM(N2595:Y2595)</f>
        <v/>
      </c>
      <c r="AB2595" s="14">
        <f>IFERROR(IF(UPPER($E2595)="L",SUMPRODUCT(N2595:Y2595,$N$3:$Y$3,$N$2:$Y$2),SUMPRODUCT(N2595:Y2595,$N$4:$Y$4,$N$2:$Y$2))/(Z2595/($K2595*$L2595*$M2595)),"")</f>
        <v/>
      </c>
      <c r="AC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inlineStr">
        <is>
          <t>RF</t>
        </is>
      </c>
      <c r="G2596" s="9" t="n">
        <v>385</v>
      </c>
      <c r="H2596" s="9" t="n">
        <v>1136</v>
      </c>
      <c r="I2596" s="9" t="inlineStr">
        <is>
          <t>Full Time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1" t="n">
        <v>0.8758523810679905</v>
      </c>
      <c r="N2596" s="17" t="n">
        <v>1</v>
      </c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7" t="n"/>
      <c r="Z2596" s="13">
        <f>SUMPRODUCT(N2596:Y2596,$N$2:$Y$2)*$K2596*$L2596*$M2596</f>
        <v/>
      </c>
      <c r="AA2596" s="14">
        <f>SUM(N2596:Y2596)</f>
        <v/>
      </c>
      <c r="AB2596" s="14">
        <f>IFERROR(IF(UPPER($E2596)="L",SUMPRODUCT(N2596:Y2596,$N$3:$Y$3,$N$2:$Y$2),SUMPRODUCT(N2596:Y2596,$N$4:$Y$4,$N$2:$Y$2))/(Z2596/($K2596*$L2596*$M2596)),"")</f>
        <v/>
      </c>
      <c r="AC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1" t="n">
        <v>1</v>
      </c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/>
      <c r="Y2597" s="17" t="n">
        <v>1</v>
      </c>
      <c r="Z2597" s="13">
        <f>SUMPRODUCT(N2597:Y2597,$N$2:$Y$2)*$K2597*$L2597*$M2597</f>
        <v/>
      </c>
      <c r="AA2597" s="14">
        <f>SUM(N2597:Y2597)</f>
        <v/>
      </c>
      <c r="AB2597" s="14">
        <f>IFERROR(IF(UPPER($E2597)="L",SUMPRODUCT(N2597:Y2597,$N$3:$Y$3,$N$2:$Y$2),SUMPRODUCT(N2597:Y2597,$N$4:$Y$4,$N$2:$Y$2))/(Z2597/($K2597*$L2597*$M2597)),"")</f>
        <v/>
      </c>
      <c r="AC2597" s="18" t="n"/>
    </row>
    <row r="2598">
      <c r="A2598" s="9" t="n">
        <v>666134</v>
      </c>
      <c r="B2598" s="9" t="inlineStr">
        <is>
          <t>Nolan Jones</t>
        </is>
      </c>
      <c r="C2598" s="9" t="inlineStr">
        <is>
          <t>CLE</t>
        </is>
      </c>
      <c r="D2598" s="9" t="n">
        <v>29</v>
      </c>
      <c r="E2598" s="16" t="inlineStr">
        <is>
          <t>L</t>
        </is>
      </c>
      <c r="F2598" s="16" t="inlineStr">
        <is>
          <t>RF</t>
        </is>
      </c>
      <c r="G2598" s="9" t="n">
        <v>403</v>
      </c>
      <c r="H2598" s="9" t="n">
        <v>1218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1" t="n">
        <v>1.123754906573723</v>
      </c>
      <c r="N2598" s="17" t="n"/>
      <c r="O2598" s="17" t="n"/>
      <c r="P2598" s="17" t="n"/>
      <c r="Q2598" s="17" t="n"/>
      <c r="R2598" s="17" t="n"/>
      <c r="S2598" s="17" t="n"/>
      <c r="T2598" s="17" t="n"/>
      <c r="U2598" s="17" t="n"/>
      <c r="V2598" s="17" t="n">
        <v>1</v>
      </c>
      <c r="W2598" s="17" t="n"/>
      <c r="X2598" s="17" t="n"/>
      <c r="Y2598" s="17" t="n"/>
      <c r="Z2598" s="13">
        <f>SUMPRODUCT(N2598:Y2598,$N$2:$Y$2)*$K2598*$L2598*$M2598</f>
        <v/>
      </c>
      <c r="AA2598" s="14">
        <f>SUM(N2598:Y2598)</f>
        <v/>
      </c>
      <c r="AB2598" s="14">
        <f>IFERROR(IF(UPPER($E2598)="L",SUMPRODUCT(N2598:Y2598,$N$3:$Y$3,$N$2:$Y$2),SUMPRODUCT(N2598:Y2598,$N$4:$Y$4,$N$2:$Y$2))/(Z2598/($K2598*$L2598*$M2598)),"")</f>
        <v/>
      </c>
      <c r="AC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inlineStr">
        <is>
          <t>2B</t>
        </is>
      </c>
      <c r="G2599" s="9" t="n">
        <v>26</v>
      </c>
      <c r="H2599" s="9" t="n">
        <v>974</v>
      </c>
      <c r="I2599" s="9" t="inlineStr">
        <is>
          <t>Weak Side Platoon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1" t="n">
        <v>1</v>
      </c>
      <c r="N2599" s="17" t="n"/>
      <c r="O2599" s="17" t="n"/>
      <c r="P2599" s="17" t="n"/>
      <c r="Q2599" s="17" t="n">
        <v>1</v>
      </c>
      <c r="R2599" s="17" t="n"/>
      <c r="S2599" s="17" t="n"/>
      <c r="T2599" s="17" t="n"/>
      <c r="U2599" s="17" t="n"/>
      <c r="V2599" s="17" t="n"/>
      <c r="W2599" s="17" t="n"/>
      <c r="X2599" s="17" t="n"/>
      <c r="Y2599" s="17" t="n"/>
      <c r="Z2599" s="13">
        <f>SUMPRODUCT(N2599:Y2599,$N$2:$Y$2)*$K2599*$L2599*$M2599</f>
        <v/>
      </c>
      <c r="AA2599" s="14">
        <f>SUM(N2599:Y2599)</f>
        <v/>
      </c>
      <c r="AB2599" s="14">
        <f>IFERROR(IF(UPPER($E2599)="L",SUMPRODUCT(N2599:Y2599,$N$3:$Y$3,$N$2:$Y$2),SUMPRODUCT(N2599:Y2599,$N$4:$Y$4,$N$2:$Y$2))/(Z2599/($K2599*$L2599*$M2599)),"")</f>
        <v/>
      </c>
      <c r="AC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inlineStr">
        <is>
          <t>1B</t>
        </is>
      </c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1" t="n">
        <v>1.050698367359612</v>
      </c>
      <c r="N2600" s="17" t="n">
        <v>1</v>
      </c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7" t="n"/>
      <c r="Z2600" s="13">
        <f>SUMPRODUCT(N2600:Y2600,$N$2:$Y$2)*$K2600*$L2600*$M2600</f>
        <v/>
      </c>
      <c r="AA2600" s="14">
        <f>SUM(N2600:Y2600)</f>
        <v/>
      </c>
      <c r="AB2600" s="14">
        <f>IFERROR(IF(UPPER($E2600)="L",SUMPRODUCT(N2600:Y2600,$N$3:$Y$3,$N$2:$Y$2),SUMPRODUCT(N2600:Y2600,$N$4:$Y$4,$N$2:$Y$2))/(Z2600/($K2600*$L2600*$M2600)),"")</f>
        <v/>
      </c>
      <c r="AC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inlineStr">
        <is>
          <t>RF</t>
        </is>
      </c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1" t="n">
        <v>1</v>
      </c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/>
      <c r="Y2601" s="17" t="n">
        <v>1</v>
      </c>
      <c r="Z2601" s="13">
        <f>SUMPRODUCT(N2601:Y2601,$N$2:$Y$2)*$K2601*$L2601*$M2601</f>
        <v/>
      </c>
      <c r="AA2601" s="14">
        <f>SUM(N2601:Y2601)</f>
        <v/>
      </c>
      <c r="AB2601" s="14">
        <f>IFERROR(IF(UPPER($E2601)="L",SUMPRODUCT(N2601:Y2601,$N$3:$Y$3,$N$2:$Y$2),SUMPRODUCT(N2601:Y2601,$N$4:$Y$4,$N$2:$Y$2))/(Z2601/($K2601*$L2601*$M2601)),"")</f>
        <v/>
      </c>
      <c r="AC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inlineStr">
        <is>
          <t>SS</t>
        </is>
      </c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1" t="n">
        <v>1.131892026288212</v>
      </c>
      <c r="N2602" s="17" t="n">
        <v>1</v>
      </c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7" t="n"/>
      <c r="Z2602" s="13">
        <f>SUMPRODUCT(N2602:Y2602,$N$2:$Y$2)*$K2602*$L2602*$M2602</f>
        <v/>
      </c>
      <c r="AA2602" s="14">
        <f>SUM(N2602:Y2602)</f>
        <v/>
      </c>
      <c r="AB2602" s="14">
        <f>IFERROR(IF(UPPER($E2602)="L",SUMPRODUCT(N2602:Y2602,$N$3:$Y$3,$N$2:$Y$2),SUMPRODUCT(N2602:Y2602,$N$4:$Y$4,$N$2:$Y$2))/(Z2602/($K2602*$L2602*$M2602)),"")</f>
        <v/>
      </c>
      <c r="AC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1" t="n">
        <v>1</v>
      </c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/>
      <c r="Y2603" s="17" t="n">
        <v>1</v>
      </c>
      <c r="Z2603" s="13">
        <f>SUMPRODUCT(N2603:Y2603,$N$2:$Y$2)*$K2603*$L2603*$M2603</f>
        <v/>
      </c>
      <c r="AA2603" s="14">
        <f>SUM(N2603:Y2603)</f>
        <v/>
      </c>
      <c r="AB2603" s="14">
        <f>IFERROR(IF(UPPER($E2603)="L",SUMPRODUCT(N2603:Y2603,$N$3:$Y$3,$N$2:$Y$2),SUMPRODUCT(N2603:Y2603,$N$4:$Y$4,$N$2:$Y$2))/(Z2603/($K2603*$L2603*$M2603)),"")</f>
        <v/>
      </c>
      <c r="AC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1" t="n">
        <v>1</v>
      </c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/>
      <c r="Y2604" s="17" t="n">
        <v>1</v>
      </c>
      <c r="Z2604" s="13">
        <f>SUMPRODUCT(N2604:Y2604,$N$2:$Y$2)*$K2604*$L2604*$M2604</f>
        <v/>
      </c>
      <c r="AA2604" s="14">
        <f>SUM(N2604:Y2604)</f>
        <v/>
      </c>
      <c r="AB2604" s="14">
        <f>IFERROR(IF(UPPER($E2604)="L",SUMPRODUCT(N2604:Y2604,$N$3:$Y$3,$N$2:$Y$2),SUMPRODUCT(N2604:Y2604,$N$4:$Y$4,$N$2:$Y$2))/(Z2604/($K2604*$L2604*$M2604)),"")</f>
        <v/>
      </c>
      <c r="AC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inlineStr">
        <is>
          <t>CF</t>
        </is>
      </c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1" t="n">
        <v>0.99403475087685</v>
      </c>
      <c r="N2605" s="17" t="n">
        <v>0.9</v>
      </c>
      <c r="O2605" s="17" t="n"/>
      <c r="P2605" s="17" t="n">
        <v>0.1</v>
      </c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7" t="n"/>
      <c r="Z2605" s="13">
        <f>SUMPRODUCT(N2605:Y2605,$N$2:$Y$2)*$K2605*$L2605*$M2605</f>
        <v/>
      </c>
      <c r="AA2605" s="14">
        <f>SUM(N2605:Y2605)</f>
        <v/>
      </c>
      <c r="AB2605" s="14">
        <f>IFERROR(IF(UPPER($E2605)="L",SUMPRODUCT(N2605:Y2605,$N$3:$Y$3,$N$2:$Y$2),SUMPRODUCT(N2605:Y2605,$N$4:$Y$4,$N$2:$Y$2))/(Z2605/($K2605*$L2605*$M2605)),"")</f>
        <v/>
      </c>
      <c r="AC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1" t="n">
        <v>1</v>
      </c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/>
      <c r="Y2606" s="17" t="n">
        <v>1</v>
      </c>
      <c r="Z2606" s="13">
        <f>SUMPRODUCT(N2606:Y2606,$N$2:$Y$2)*$K2606*$L2606*$M2606</f>
        <v/>
      </c>
      <c r="AA2606" s="14">
        <f>SUM(N2606:Y2606)</f>
        <v/>
      </c>
      <c r="AB2606" s="14">
        <f>IFERROR(IF(UPPER($E2606)="L",SUMPRODUCT(N2606:Y2606,$N$3:$Y$3,$N$2:$Y$2),SUMPRODUCT(N2606:Y2606,$N$4:$Y$4,$N$2:$Y$2))/(Z2606/($K2606*$L2606*$M2606)),"")</f>
        <v/>
      </c>
      <c r="AC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inlineStr">
        <is>
          <t>CF</t>
        </is>
      </c>
      <c r="G2607" s="9" t="n">
        <v>174</v>
      </c>
      <c r="H2607" s="9" t="n">
        <v>269</v>
      </c>
      <c r="I2607" s="9" t="inlineStr">
        <is>
          <t>Weak Side Platoon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1" t="n">
        <v>0.8365189977441324</v>
      </c>
      <c r="N2607" s="17" t="n"/>
      <c r="O2607" s="17" t="n"/>
      <c r="P2607" s="17" t="n"/>
      <c r="Q2607" s="17" t="n">
        <v>0.6</v>
      </c>
      <c r="R2607" s="17" t="n"/>
      <c r="S2607" s="17" t="n"/>
      <c r="T2607" s="17" t="n"/>
      <c r="U2607" s="17" t="n"/>
      <c r="V2607" s="17" t="n">
        <v>0.4</v>
      </c>
      <c r="W2607" s="17" t="n"/>
      <c r="X2607" s="17" t="n"/>
      <c r="Y2607" s="17" t="n"/>
      <c r="Z2607" s="13">
        <f>SUMPRODUCT(N2607:Y2607,$N$2:$Y$2)*$K2607*$L2607*$M2607</f>
        <v/>
      </c>
      <c r="AA2607" s="14">
        <f>SUM(N2607:Y2607)</f>
        <v/>
      </c>
      <c r="AB2607" s="14">
        <f>IFERROR(IF(UPPER($E2607)="L",SUMPRODUCT(N2607:Y2607,$N$3:$Y$3,$N$2:$Y$2),SUMPRODUCT(N2607:Y2607,$N$4:$Y$4,$N$2:$Y$2))/(Z2607/($K2607*$L2607*$M2607)),"")</f>
        <v/>
      </c>
      <c r="AC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1" t="n">
        <v>1</v>
      </c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/>
      <c r="Y2608" s="17" t="n">
        <v>1</v>
      </c>
      <c r="Z2608" s="13">
        <f>SUMPRODUCT(N2608:Y2608,$N$2:$Y$2)*$K2608*$L2608*$M2608</f>
        <v/>
      </c>
      <c r="AA2608" s="14">
        <f>SUM(N2608:Y2608)</f>
        <v/>
      </c>
      <c r="AB2608" s="14">
        <f>IFERROR(IF(UPPER($E2608)="L",SUMPRODUCT(N2608:Y2608,$N$3:$Y$3,$N$2:$Y$2),SUMPRODUCT(N2608:Y2608,$N$4:$Y$4,$N$2:$Y$2))/(Z2608/($K2608*$L2608*$M2608)),"")</f>
        <v/>
      </c>
      <c r="AC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1" t="n">
        <v>1</v>
      </c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/>
      <c r="Y2609" s="17" t="n">
        <v>1</v>
      </c>
      <c r="Z2609" s="13">
        <f>SUMPRODUCT(N2609:Y2609,$N$2:$Y$2)*$K2609*$L2609*$M2609</f>
        <v/>
      </c>
      <c r="AA2609" s="14">
        <f>SUM(N2609:Y2609)</f>
        <v/>
      </c>
      <c r="AB2609" s="14">
        <f>IFERROR(IF(UPPER($E2609)="L",SUMPRODUCT(N2609:Y2609,$N$3:$Y$3,$N$2:$Y$2),SUMPRODUCT(N2609:Y2609,$N$4:$Y$4,$N$2:$Y$2))/(Z2609/($K2609*$L2609*$M2609)),"")</f>
        <v/>
      </c>
      <c r="AC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inlineStr">
        <is>
          <t>RF</t>
        </is>
      </c>
      <c r="G2610" s="9" t="n">
        <v>365</v>
      </c>
      <c r="H2610" s="9" t="n">
        <v>365</v>
      </c>
      <c r="I2610" s="9" t="inlineStr">
        <is>
          <t>Full Time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1" t="n">
        <v>1</v>
      </c>
      <c r="N2610" s="17" t="n">
        <v>0.7</v>
      </c>
      <c r="O2610" s="17" t="n"/>
      <c r="P2610" s="17" t="n">
        <v>0.3</v>
      </c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7" t="n"/>
      <c r="Z2610" s="13">
        <f>SUMPRODUCT(N2610:Y2610,$N$2:$Y$2)*$K2610*$L2610*$M2610</f>
        <v/>
      </c>
      <c r="AA2610" s="14">
        <f>SUM(N2610:Y2610)</f>
        <v/>
      </c>
      <c r="AB2610" s="14">
        <f>IFERROR(IF(UPPER($E2610)="L",SUMPRODUCT(N2610:Y2610,$N$3:$Y$3,$N$2:$Y$2),SUMPRODUCT(N2610:Y2610,$N$4:$Y$4,$N$2:$Y$2))/(Z2610/($K2610*$L2610*$M2610)),"")</f>
        <v/>
      </c>
      <c r="AC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inlineStr">
        <is>
          <t>2B</t>
        </is>
      </c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1" t="n">
        <v>1.15</v>
      </c>
      <c r="N2611" s="17" t="n">
        <v>0.75</v>
      </c>
      <c r="O2611" s="17" t="n"/>
      <c r="P2611" s="17" t="n">
        <v>0.25</v>
      </c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7" t="n"/>
      <c r="Z2611" s="13">
        <f>SUMPRODUCT(N2611:Y2611,$N$2:$Y$2)*$K2611*$L2611*$M2611</f>
        <v/>
      </c>
      <c r="AA2611" s="14">
        <f>SUM(N2611:Y2611)</f>
        <v/>
      </c>
      <c r="AB2611" s="14">
        <f>IFERROR(IF(UPPER($E2611)="L",SUMPRODUCT(N2611:Y2611,$N$3:$Y$3,$N$2:$Y$2),SUMPRODUCT(N2611:Y2611,$N$4:$Y$4,$N$2:$Y$2))/(Z2611/($K2611*$L2611*$M2611)),"")</f>
        <v/>
      </c>
      <c r="AC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inlineStr">
        <is>
          <t>RF</t>
        </is>
      </c>
      <c r="G2612" s="9" t="n">
        <v>86</v>
      </c>
      <c r="H2612" s="9" t="n">
        <v>1739</v>
      </c>
      <c r="I2612" s="9" t="inlineStr">
        <is>
          <t>Weak Side Platoon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1" t="n">
        <v>0.739497231768607</v>
      </c>
      <c r="N2612" s="17" t="n"/>
      <c r="O2612" s="17" t="n"/>
      <c r="P2612" s="17" t="n"/>
      <c r="Q2612" s="17" t="n">
        <v>0.6</v>
      </c>
      <c r="R2612" s="17" t="n"/>
      <c r="S2612" s="17" t="n"/>
      <c r="T2612" s="17" t="n"/>
      <c r="U2612" s="17" t="n"/>
      <c r="V2612" s="17" t="n">
        <v>0.4</v>
      </c>
      <c r="W2612" s="17" t="n"/>
      <c r="X2612" s="17" t="n"/>
      <c r="Y2612" s="17" t="n"/>
      <c r="Z2612" s="13">
        <f>SUMPRODUCT(N2612:Y2612,$N$2:$Y$2)*$K2612*$L2612*$M2612</f>
        <v/>
      </c>
      <c r="AA2612" s="14">
        <f>SUM(N2612:Y2612)</f>
        <v/>
      </c>
      <c r="AB2612" s="14">
        <f>IFERROR(IF(UPPER($E2612)="L",SUMPRODUCT(N2612:Y2612,$N$3:$Y$3,$N$2:$Y$2),SUMPRODUCT(N2612:Y2612,$N$4:$Y$4,$N$2:$Y$2))/(Z2612/($K2612*$L2612*$M2612)),"")</f>
        <v/>
      </c>
      <c r="AC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inlineStr">
        <is>
          <t>2B</t>
        </is>
      </c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1" t="n">
        <v>1</v>
      </c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/>
      <c r="W2613" s="17" t="n">
        <v>1</v>
      </c>
      <c r="X2613" s="17" t="n"/>
      <c r="Y2613" s="17" t="n"/>
      <c r="Z2613" s="13">
        <f>SUMPRODUCT(N2613:Y2613,$N$2:$Y$2)*$K2613*$L2613*$M2613</f>
        <v/>
      </c>
      <c r="AA2613" s="14">
        <f>SUM(N2613:Y2613)</f>
        <v/>
      </c>
      <c r="AB2613" s="14">
        <f>IFERROR(IF(UPPER($E2613)="L",SUMPRODUCT(N2613:Y2613,$N$3:$Y$3,$N$2:$Y$2),SUMPRODUCT(N2613:Y2613,$N$4:$Y$4,$N$2:$Y$2))/(Z2613/($K2613*$L2613*$M2613)),"")</f>
        <v/>
      </c>
      <c r="AC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inlineStr">
        <is>
          <t>1B</t>
        </is>
      </c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1" t="n">
        <v>1</v>
      </c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/>
      <c r="W2614" s="17" t="n">
        <v>1</v>
      </c>
      <c r="X2614" s="17" t="n"/>
      <c r="Y2614" s="17" t="n"/>
      <c r="Z2614" s="13">
        <f>SUMPRODUCT(N2614:Y2614,$N$2:$Y$2)*$K2614*$L2614*$M2614</f>
        <v/>
      </c>
      <c r="AA2614" s="14">
        <f>SUM(N2614:Y2614)</f>
        <v/>
      </c>
      <c r="AB2614" s="14">
        <f>IFERROR(IF(UPPER($E2614)="L",SUMPRODUCT(N2614:Y2614,$N$3:$Y$3,$N$2:$Y$2),SUMPRODUCT(N2614:Y2614,$N$4:$Y$4,$N$2:$Y$2))/(Z2614/($K2614*$L2614*$M2614)),"")</f>
        <v/>
      </c>
      <c r="AC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1" t="n">
        <v>1</v>
      </c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/>
      <c r="Y2615" s="17" t="n">
        <v>1</v>
      </c>
      <c r="Z2615" s="13">
        <f>SUMPRODUCT(N2615:Y2615,$N$2:$Y$2)*$K2615*$L2615*$M2615</f>
        <v/>
      </c>
      <c r="AA2615" s="14">
        <f>SUM(N2615:Y2615)</f>
        <v/>
      </c>
      <c r="AB2615" s="14">
        <f>IFERROR(IF(UPPER($E2615)="L",SUMPRODUCT(N2615:Y2615,$N$3:$Y$3,$N$2:$Y$2),SUMPRODUCT(N2615:Y2615,$N$4:$Y$4,$N$2:$Y$2))/(Z2615/($K2615*$L2615*$M2615)),"")</f>
        <v/>
      </c>
      <c r="AC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inlineStr">
        <is>
          <t>1B</t>
        </is>
      </c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1" t="n">
        <v>0.991649575493376</v>
      </c>
      <c r="N2616" s="17" t="n">
        <v>1</v>
      </c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7" t="n"/>
      <c r="Z2616" s="13">
        <f>SUMPRODUCT(N2616:Y2616,$N$2:$Y$2)*$K2616*$L2616*$M2616</f>
        <v/>
      </c>
      <c r="AA2616" s="14">
        <f>SUM(N2616:Y2616)</f>
        <v/>
      </c>
      <c r="AB2616" s="14">
        <f>IFERROR(IF(UPPER($E2616)="L",SUMPRODUCT(N2616:Y2616,$N$3:$Y$3,$N$2:$Y$2),SUMPRODUCT(N2616:Y2616,$N$4:$Y$4,$N$2:$Y$2))/(Z2616/($K2616*$L2616*$M2616)),"")</f>
        <v/>
      </c>
      <c r="AC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inlineStr">
        <is>
          <t>LF</t>
        </is>
      </c>
      <c r="G2617" s="9" t="n">
        <v>35</v>
      </c>
      <c r="H2617" s="9" t="n">
        <v>2065</v>
      </c>
      <c r="I2617" s="9" t="inlineStr">
        <is>
          <t>Utility OF / 4th OF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1" t="n">
        <v>0.8147956343804734</v>
      </c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>
        <v>0.7</v>
      </c>
      <c r="W2617" s="17" t="n">
        <v>0.3</v>
      </c>
      <c r="X2617" s="17" t="n"/>
      <c r="Y2617" s="17" t="n"/>
      <c r="Z2617" s="13">
        <f>SUMPRODUCT(N2617:Y2617,$N$2:$Y$2)*$K2617*$L2617*$M2617</f>
        <v/>
      </c>
      <c r="AA2617" s="14">
        <f>SUM(N2617:Y2617)</f>
        <v/>
      </c>
      <c r="AB2617" s="14">
        <f>IFERROR(IF(UPPER($E2617)="L",SUMPRODUCT(N2617:Y2617,$N$3:$Y$3,$N$2:$Y$2),SUMPRODUCT(N2617:Y2617,$N$4:$Y$4,$N$2:$Y$2))/(Z2617/($K2617*$L2617*$M2617)),"")</f>
        <v/>
      </c>
      <c r="AC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1" t="n">
        <v>1</v>
      </c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/>
      <c r="Y2618" s="17" t="n">
        <v>1</v>
      </c>
      <c r="Z2618" s="13">
        <f>SUMPRODUCT(N2618:Y2618,$N$2:$Y$2)*$K2618*$L2618*$M2618</f>
        <v/>
      </c>
      <c r="AA2618" s="14">
        <f>SUM(N2618:Y2618)</f>
        <v/>
      </c>
      <c r="AB2618" s="14">
        <f>IFERROR(IF(UPPER($E2618)="L",SUMPRODUCT(N2618:Y2618,$N$3:$Y$3,$N$2:$Y$2),SUMPRODUCT(N2618:Y2618,$N$4:$Y$4,$N$2:$Y$2))/(Z2618/($K2618*$L2618*$M2618)),"")</f>
        <v/>
      </c>
      <c r="AC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inlineStr">
        <is>
          <t>CF</t>
        </is>
      </c>
      <c r="G2619" s="9" t="n">
        <v>334</v>
      </c>
      <c r="H2619" s="9" t="n">
        <v>845</v>
      </c>
      <c r="I2619" s="9" t="inlineStr">
        <is>
          <t>Weak Side Platoon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1" t="n">
        <v>1.051786041002329</v>
      </c>
      <c r="N2619" s="17" t="n"/>
      <c r="O2619" s="17" t="n"/>
      <c r="P2619" s="17" t="n"/>
      <c r="Q2619" s="17" t="n">
        <v>0.6</v>
      </c>
      <c r="R2619" s="17" t="n"/>
      <c r="S2619" s="17" t="n"/>
      <c r="T2619" s="17" t="n"/>
      <c r="U2619" s="17" t="n"/>
      <c r="V2619" s="17" t="n">
        <v>0.4</v>
      </c>
      <c r="W2619" s="17" t="n"/>
      <c r="X2619" s="17" t="n"/>
      <c r="Y2619" s="17" t="n"/>
      <c r="Z2619" s="13">
        <f>SUMPRODUCT(N2619:Y2619,$N$2:$Y$2)*$K2619*$L2619*$M2619</f>
        <v/>
      </c>
      <c r="AA2619" s="14">
        <f>SUM(N2619:Y2619)</f>
        <v/>
      </c>
      <c r="AB2619" s="14">
        <f>IFERROR(IF(UPPER($E2619)="L",SUMPRODUCT(N2619:Y2619,$N$3:$Y$3,$N$2:$Y$2),SUMPRODUCT(N2619:Y2619,$N$4:$Y$4,$N$2:$Y$2))/(Z2619/($K2619*$L2619*$M2619)),"")</f>
        <v/>
      </c>
      <c r="AC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1" t="n">
        <v>1</v>
      </c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/>
      <c r="Y2620" s="17" t="n">
        <v>1</v>
      </c>
      <c r="Z2620" s="13">
        <f>SUMPRODUCT(N2620:Y2620,$N$2:$Y$2)*$K2620*$L2620*$M2620</f>
        <v/>
      </c>
      <c r="AA2620" s="14">
        <f>SUM(N2620:Y2620)</f>
        <v/>
      </c>
      <c r="AB2620" s="14">
        <f>IFERROR(IF(UPPER($E2620)="L",SUMPRODUCT(N2620:Y2620,$N$3:$Y$3,$N$2:$Y$2),SUMPRODUCT(N2620:Y2620,$N$4:$Y$4,$N$2:$Y$2))/(Z2620/($K2620*$L2620*$M2620)),"")</f>
        <v/>
      </c>
      <c r="AC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1" t="n">
        <v>1</v>
      </c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/>
      <c r="Y2621" s="17" t="n">
        <v>1</v>
      </c>
      <c r="Z2621" s="13">
        <f>SUMPRODUCT(N2621:Y2621,$N$2:$Y$2)*$K2621*$L2621*$M2621</f>
        <v/>
      </c>
      <c r="AA2621" s="14">
        <f>SUM(N2621:Y2621)</f>
        <v/>
      </c>
      <c r="AB2621" s="14">
        <f>IFERROR(IF(UPPER($E2621)="L",SUMPRODUCT(N2621:Y2621,$N$3:$Y$3,$N$2:$Y$2),SUMPRODUCT(N2621:Y2621,$N$4:$Y$4,$N$2:$Y$2))/(Z2621/($K2621*$L2621*$M2621)),"")</f>
        <v/>
      </c>
      <c r="AC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inlineStr">
        <is>
          <t>3B</t>
        </is>
      </c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1" t="n">
        <v>1</v>
      </c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/>
      <c r="Y2622" s="17" t="n">
        <v>1</v>
      </c>
      <c r="Z2622" s="13">
        <f>SUMPRODUCT(N2622:Y2622,$N$2:$Y$2)*$K2622*$L2622*$M2622</f>
        <v/>
      </c>
      <c r="AA2622" s="14">
        <f>SUM(N2622:Y2622)</f>
        <v/>
      </c>
      <c r="AB2622" s="14">
        <f>IFERROR(IF(UPPER($E2622)="L",SUMPRODUCT(N2622:Y2622,$N$3:$Y$3,$N$2:$Y$2),SUMPRODUCT(N2622:Y2622,$N$4:$Y$4,$N$2:$Y$2))/(Z2622/($K2622*$L2622*$M2622)),"")</f>
        <v/>
      </c>
      <c r="AC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inlineStr">
        <is>
          <t>SS</t>
        </is>
      </c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1" t="n">
        <v>1.029897516619241</v>
      </c>
      <c r="N2623" s="17" t="n">
        <v>0.85</v>
      </c>
      <c r="O2623" s="17" t="n"/>
      <c r="P2623" s="17" t="n">
        <v>0.15</v>
      </c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7" t="n"/>
      <c r="Z2623" s="13">
        <f>SUMPRODUCT(N2623:Y2623,$N$2:$Y$2)*$K2623*$L2623*$M2623</f>
        <v/>
      </c>
      <c r="AA2623" s="14">
        <f>SUM(N2623:Y2623)</f>
        <v/>
      </c>
      <c r="AB2623" s="14">
        <f>IFERROR(IF(UPPER($E2623)="L",SUMPRODUCT(N2623:Y2623,$N$3:$Y$3,$N$2:$Y$2),SUMPRODUCT(N2623:Y2623,$N$4:$Y$4,$N$2:$Y$2))/(Z2623/($K2623*$L2623*$M2623)),"")</f>
        <v/>
      </c>
      <c r="AC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inlineStr">
        <is>
          <t>CF</t>
        </is>
      </c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1" t="n">
        <v>1</v>
      </c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/>
      <c r="Y2624" s="17" t="n">
        <v>1</v>
      </c>
      <c r="Z2624" s="13">
        <f>SUMPRODUCT(N2624:Y2624,$N$2:$Y$2)*$K2624*$L2624*$M2624</f>
        <v/>
      </c>
      <c r="AA2624" s="14">
        <f>SUM(N2624:Y2624)</f>
        <v/>
      </c>
      <c r="AB2624" s="14">
        <f>IFERROR(IF(UPPER($E2624)="L",SUMPRODUCT(N2624:Y2624,$N$3:$Y$3,$N$2:$Y$2),SUMPRODUCT(N2624:Y2624,$N$4:$Y$4,$N$2:$Y$2))/(Z2624/($K2624*$L2624*$M2624)),"")</f>
        <v/>
      </c>
      <c r="AC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inlineStr">
        <is>
          <t>RF</t>
        </is>
      </c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1" t="n">
        <v>1</v>
      </c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>
        <v>0.4</v>
      </c>
      <c r="W2625" s="17" t="n">
        <v>0.6</v>
      </c>
      <c r="X2625" s="17" t="n"/>
      <c r="Y2625" s="17" t="n"/>
      <c r="Z2625" s="13">
        <f>SUMPRODUCT(N2625:Y2625,$N$2:$Y$2)*$K2625*$L2625*$M2625</f>
        <v/>
      </c>
      <c r="AA2625" s="14">
        <f>SUM(N2625:Y2625)</f>
        <v/>
      </c>
      <c r="AB2625" s="14">
        <f>IFERROR(IF(UPPER($E2625)="L",SUMPRODUCT(N2625:Y2625,$N$3:$Y$3,$N$2:$Y$2),SUMPRODUCT(N2625:Y2625,$N$4:$Y$4,$N$2:$Y$2))/(Z2625/($K2625*$L2625*$M2625)),"")</f>
        <v/>
      </c>
      <c r="AC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inlineStr">
        <is>
          <t>RF</t>
        </is>
      </c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1" t="n">
        <v>0.7315635758374978</v>
      </c>
      <c r="N2626" s="17" t="n">
        <v>1</v>
      </c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7" t="n"/>
      <c r="Z2626" s="13">
        <f>SUMPRODUCT(N2626:Y2626,$N$2:$Y$2)*$K2626*$L2626*$M2626</f>
        <v/>
      </c>
      <c r="AA2626" s="14">
        <f>SUM(N2626:Y2626)</f>
        <v/>
      </c>
      <c r="AB2626" s="14">
        <f>IFERROR(IF(UPPER($E2626)="L",SUMPRODUCT(N2626:Y2626,$N$3:$Y$3,$N$2:$Y$2),SUMPRODUCT(N2626:Y2626,$N$4:$Y$4,$N$2:$Y$2))/(Z2626/($K2626*$L2626*$M2626)),"")</f>
        <v/>
      </c>
      <c r="AC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inlineStr">
        <is>
          <t>LF</t>
        </is>
      </c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1" t="n">
        <v>1</v>
      </c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/>
      <c r="W2627" s="17" t="n">
        <v>0.85</v>
      </c>
      <c r="X2627" s="17" t="n">
        <v>0.15</v>
      </c>
      <c r="Y2627" s="17" t="n"/>
      <c r="Z2627" s="13">
        <f>SUMPRODUCT(N2627:Y2627,$N$2:$Y$2)*$K2627*$L2627*$M2627</f>
        <v/>
      </c>
      <c r="AA2627" s="14">
        <f>SUM(N2627:Y2627)</f>
        <v/>
      </c>
      <c r="AB2627" s="14">
        <f>IFERROR(IF(UPPER($E2627)="L",SUMPRODUCT(N2627:Y2627,$N$3:$Y$3,$N$2:$Y$2),SUMPRODUCT(N2627:Y2627,$N$4:$Y$4,$N$2:$Y$2))/(Z2627/($K2627*$L2627*$M2627)),"")</f>
        <v/>
      </c>
      <c r="AC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inlineStr">
        <is>
          <t>C</t>
        </is>
      </c>
      <c r="G2628" s="9" t="n">
        <v>166</v>
      </c>
      <c r="H2628" s="9" t="n">
        <v>166</v>
      </c>
      <c r="I2628" s="9" t="inlineStr">
        <is>
          <t>Strong Side Platoon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1" t="n">
        <v>1</v>
      </c>
      <c r="N2628" s="17" t="n"/>
      <c r="O2628" s="17" t="n"/>
      <c r="P2628" s="17" t="n">
        <v>0.6</v>
      </c>
      <c r="Q2628" s="17" t="n"/>
      <c r="R2628" s="17" t="n">
        <v>0.4</v>
      </c>
      <c r="S2628" s="17" t="n"/>
      <c r="T2628" s="17" t="n"/>
      <c r="U2628" s="17" t="n"/>
      <c r="V2628" s="17" t="n"/>
      <c r="W2628" s="17" t="n"/>
      <c r="X2628" s="17" t="n"/>
      <c r="Y2628" s="17" t="n"/>
      <c r="Z2628" s="13">
        <f>SUMPRODUCT(N2628:Y2628,$N$2:$Y$2)*$K2628*$L2628*$M2628</f>
        <v/>
      </c>
      <c r="AA2628" s="14">
        <f>SUM(N2628:Y2628)</f>
        <v/>
      </c>
      <c r="AB2628" s="14">
        <f>IFERROR(IF(UPPER($E2628)="L",SUMPRODUCT(N2628:Y2628,$N$3:$Y$3,$N$2:$Y$2),SUMPRODUCT(N2628:Y2628,$N$4:$Y$4,$N$2:$Y$2))/(Z2628/($K2628*$L2628*$M2628)),"")</f>
        <v/>
      </c>
      <c r="AC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inlineStr">
        <is>
          <t>LF</t>
        </is>
      </c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1" t="n">
        <v>1</v>
      </c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>
        <v>0.4</v>
      </c>
      <c r="W2629" s="17" t="n">
        <v>0.6</v>
      </c>
      <c r="X2629" s="17" t="n"/>
      <c r="Y2629" s="17" t="n"/>
      <c r="Z2629" s="13">
        <f>SUMPRODUCT(N2629:Y2629,$N$2:$Y$2)*$K2629*$L2629*$M2629</f>
        <v/>
      </c>
      <c r="AA2629" s="14">
        <f>SUM(N2629:Y2629)</f>
        <v/>
      </c>
      <c r="AB2629" s="14">
        <f>IFERROR(IF(UPPER($E2629)="L",SUMPRODUCT(N2629:Y2629,$N$3:$Y$3,$N$2:$Y$2),SUMPRODUCT(N2629:Y2629,$N$4:$Y$4,$N$2:$Y$2))/(Z2629/($K2629*$L2629*$M2629)),"")</f>
        <v/>
      </c>
      <c r="AC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1" t="n">
        <v>1</v>
      </c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/>
      <c r="Y2630" s="17" t="n">
        <v>1</v>
      </c>
      <c r="Z2630" s="13">
        <f>SUMPRODUCT(N2630:Y2630,$N$2:$Y$2)*$K2630*$L2630*$M2630</f>
        <v/>
      </c>
      <c r="AA2630" s="14">
        <f>SUM(N2630:Y2630)</f>
        <v/>
      </c>
      <c r="AB2630" s="14">
        <f>IFERROR(IF(UPPER($E2630)="L",SUMPRODUCT(N2630:Y2630,$N$3:$Y$3,$N$2:$Y$2),SUMPRODUCT(N2630:Y2630,$N$4:$Y$4,$N$2:$Y$2))/(Z2630/($K2630*$L2630*$M2630)),"")</f>
        <v/>
      </c>
      <c r="AC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inlineStr">
        <is>
          <t>SS</t>
        </is>
      </c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1" t="n">
        <v>0.8408398290382206</v>
      </c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/>
      <c r="W2631" s="17" t="n">
        <v>1</v>
      </c>
      <c r="X2631" s="17" t="n"/>
      <c r="Y2631" s="17" t="n"/>
      <c r="Z2631" s="13">
        <f>SUMPRODUCT(N2631:Y2631,$N$2:$Y$2)*$K2631*$L2631*$M2631</f>
        <v/>
      </c>
      <c r="AA2631" s="14">
        <f>SUM(N2631:Y2631)</f>
        <v/>
      </c>
      <c r="AB2631" s="14">
        <f>IFERROR(IF(UPPER($E2631)="L",SUMPRODUCT(N2631:Y2631,$N$3:$Y$3,$N$2:$Y$2),SUMPRODUCT(N2631:Y2631,$N$4:$Y$4,$N$2:$Y$2))/(Z2631/($K2631*$L2631*$M2631)),"")</f>
        <v/>
      </c>
      <c r="AC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inlineStr">
        <is>
          <t>2B</t>
        </is>
      </c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1" t="n">
        <v>1.11525616070766</v>
      </c>
      <c r="N2632" s="17" t="n">
        <v>1</v>
      </c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7" t="n"/>
      <c r="Z2632" s="13">
        <f>SUMPRODUCT(N2632:Y2632,$N$2:$Y$2)*$K2632*$L2632*$M2632</f>
        <v/>
      </c>
      <c r="AA2632" s="14">
        <f>SUM(N2632:Y2632)</f>
        <v/>
      </c>
      <c r="AB2632" s="14">
        <f>IFERROR(IF(UPPER($E2632)="L",SUMPRODUCT(N2632:Y2632,$N$3:$Y$3,$N$2:$Y$2),SUMPRODUCT(N2632:Y2632,$N$4:$Y$4,$N$2:$Y$2))/(Z2632/($K2632*$L2632*$M2632)),"")</f>
        <v/>
      </c>
      <c r="AC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inlineStr">
        <is>
          <t>CF</t>
        </is>
      </c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1" t="n">
        <v>1</v>
      </c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/>
      <c r="Y2633" s="17" t="n">
        <v>1</v>
      </c>
      <c r="Z2633" s="13">
        <f>SUMPRODUCT(N2633:Y2633,$N$2:$Y$2)*$K2633*$L2633*$M2633</f>
        <v/>
      </c>
      <c r="AA2633" s="14">
        <f>SUM(N2633:Y2633)</f>
        <v/>
      </c>
      <c r="AB2633" s="14">
        <f>IFERROR(IF(UPPER($E2633)="L",SUMPRODUCT(N2633:Y2633,$N$3:$Y$3,$N$2:$Y$2),SUMPRODUCT(N2633:Y2633,$N$4:$Y$4,$N$2:$Y$2))/(Z2633/($K2633*$L2633*$M2633)),"")</f>
        <v/>
      </c>
      <c r="AC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inlineStr">
        <is>
          <t>1B</t>
        </is>
      </c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1" t="n">
        <v>1</v>
      </c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/>
      <c r="Y2634" s="17" t="n">
        <v>1</v>
      </c>
      <c r="Z2634" s="13">
        <f>SUMPRODUCT(N2634:Y2634,$N$2:$Y$2)*$K2634*$L2634*$M2634</f>
        <v/>
      </c>
      <c r="AA2634" s="14">
        <f>SUM(N2634:Y2634)</f>
        <v/>
      </c>
      <c r="AB2634" s="14">
        <f>IFERROR(IF(UPPER($E2634)="L",SUMPRODUCT(N2634:Y2634,$N$3:$Y$3,$N$2:$Y$2),SUMPRODUCT(N2634:Y2634,$N$4:$Y$4,$N$2:$Y$2))/(Z2634/($K2634*$L2634*$M2634)),"")</f>
        <v/>
      </c>
      <c r="AC2634" s="18" t="n"/>
    </row>
    <row r="2635">
      <c r="A2635" s="9" t="n">
        <v>678011</v>
      </c>
      <c r="B2635" s="9" t="inlineStr">
        <is>
          <t>Anthony Seigler</t>
        </is>
      </c>
      <c r="C2635" s="9" t="inlineStr">
        <is>
          <t>BOS</t>
        </is>
      </c>
      <c r="D2635" s="9" t="n">
        <v>28</v>
      </c>
      <c r="E2635" s="16" t="inlineStr">
        <is>
          <t>S</t>
        </is>
      </c>
      <c r="F2635" s="16" t="inlineStr">
        <is>
          <t>2B</t>
        </is>
      </c>
      <c r="G2635" s="9" t="n">
        <v>173</v>
      </c>
      <c r="H2635" s="9" t="n">
        <v>246</v>
      </c>
      <c r="I2635" s="9" t="inlineStr">
        <is>
          <t>Bench Bat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1" t="n">
        <v>1</v>
      </c>
      <c r="N2635" s="17" t="n"/>
      <c r="O2635" s="17" t="n"/>
      <c r="P2635" s="17" t="n"/>
      <c r="Q2635" s="17" t="n"/>
      <c r="R2635" s="17" t="n"/>
      <c r="S2635" s="17" t="n"/>
      <c r="T2635" s="17" t="n"/>
      <c r="U2635" s="17" t="n">
        <v>0.4</v>
      </c>
      <c r="V2635" s="17" t="n"/>
      <c r="W2635" s="17" t="n">
        <v>0.6</v>
      </c>
      <c r="X2635" s="17" t="n"/>
      <c r="Y2635" s="17" t="n"/>
      <c r="Z2635" s="13">
        <f>SUMPRODUCT(N2635:Y2635,$N$2:$Y$2)*$K2635*$L2635*$M2635</f>
        <v/>
      </c>
      <c r="AA2635" s="14">
        <f>SUM(N2635:Y2635)</f>
        <v/>
      </c>
      <c r="AB2635" s="14">
        <f>IFERROR(IF(UPPER($E2635)="L",SUMPRODUCT(N2635:Y2635,$N$3:$Y$3,$N$2:$Y$2),SUMPRODUCT(N2635:Y2635,$N$4:$Y$4,$N$2:$Y$2))/(Z2635/($K2635*$L2635*$M2635)),"")</f>
        <v/>
      </c>
      <c r="AC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1" t="n">
        <v>1</v>
      </c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/>
      <c r="Y2636" s="17" t="n">
        <v>1</v>
      </c>
      <c r="Z2636" s="13">
        <f>SUMPRODUCT(N2636:Y2636,$N$2:$Y$2)*$K2636*$L2636*$M2636</f>
        <v/>
      </c>
      <c r="AA2636" s="14">
        <f>SUM(N2636:Y2636)</f>
        <v/>
      </c>
      <c r="AB2636" s="14">
        <f>IFERROR(IF(UPPER($E2636)="L",SUMPRODUCT(N2636:Y2636,$N$3:$Y$3,$N$2:$Y$2),SUMPRODUCT(N2636:Y2636,$N$4:$Y$4,$N$2:$Y$2))/(Z2636/($K2636*$L2636*$M2636)),"")</f>
        <v/>
      </c>
      <c r="AC2636" s="18" t="n"/>
    </row>
    <row r="2637">
      <c r="A2637" s="9" t="n">
        <v>665877</v>
      </c>
      <c r="B2637" s="9" t="inlineStr">
        <is>
          <t>José Fermín</t>
        </is>
      </c>
      <c r="C2637" s="9" t="inlineStr">
        <is>
          <t>STL</t>
        </is>
      </c>
      <c r="D2637" s="9" t="n">
        <v>28</v>
      </c>
      <c r="E2637" s="16" t="inlineStr">
        <is>
          <t>R</t>
        </is>
      </c>
      <c r="F2637" s="16" t="inlineStr">
        <is>
          <t>3B</t>
        </is>
      </c>
      <c r="G2637" s="9" t="n">
        <v>370</v>
      </c>
      <c r="H2637" s="9" t="n">
        <v>580</v>
      </c>
      <c r="I2637" s="9" t="inlineStr">
        <is>
          <t>Full Time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1" t="n">
        <v>0.798709961369571</v>
      </c>
      <c r="N2637" s="17" t="n">
        <v>0.6</v>
      </c>
      <c r="O2637" s="17" t="n"/>
      <c r="P2637" s="17" t="n"/>
      <c r="Q2637" s="17" t="n"/>
      <c r="R2637" s="17" t="n"/>
      <c r="S2637" s="17" t="n"/>
      <c r="T2637" s="17" t="n"/>
      <c r="U2637" s="17" t="n">
        <v>0.4</v>
      </c>
      <c r="V2637" s="17" t="n"/>
      <c r="W2637" s="17" t="n"/>
      <c r="X2637" s="17" t="n"/>
      <c r="Y2637" s="17" t="n"/>
      <c r="Z2637" s="13">
        <f>SUMPRODUCT(N2637:Y2637,$N$2:$Y$2)*$K2637*$L2637*$M2637</f>
        <v/>
      </c>
      <c r="AA2637" s="14">
        <f>SUM(N2637:Y2637)</f>
        <v/>
      </c>
      <c r="AB2637" s="14">
        <f>IFERROR(IF(UPPER($E2637)="L",SUMPRODUCT(N2637:Y2637,$N$3:$Y$3,$N$2:$Y$2),SUMPRODUCT(N2637:Y2637,$N$4:$Y$4,$N$2:$Y$2))/(Z2637/($K2637*$L2637*$M2637)),"")</f>
        <v/>
      </c>
      <c r="AC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inlineStr">
        <is>
          <t>RF</t>
        </is>
      </c>
      <c r="G2638" s="9" t="n">
        <v>152</v>
      </c>
      <c r="H2638" s="9" t="n">
        <v>152</v>
      </c>
      <c r="I2638" s="9" t="inlineStr">
        <is>
          <t>Strong Side Platoon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1" t="n">
        <v>1</v>
      </c>
      <c r="N2638" s="17" t="n">
        <v>0.4</v>
      </c>
      <c r="O2638" s="17" t="n"/>
      <c r="P2638" s="17" t="n">
        <v>0.6</v>
      </c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7" t="n"/>
      <c r="Z2638" s="13">
        <f>SUMPRODUCT(N2638:Y2638,$N$2:$Y$2)*$K2638*$L2638*$M2638</f>
        <v/>
      </c>
      <c r="AA2638" s="14">
        <f>SUM(N2638:Y2638)</f>
        <v/>
      </c>
      <c r="AB2638" s="14">
        <f>IFERROR(IF(UPPER($E2638)="L",SUMPRODUCT(N2638:Y2638,$N$3:$Y$3,$N$2:$Y$2),SUMPRODUCT(N2638:Y2638,$N$4:$Y$4,$N$2:$Y$2))/(Z2638/($K2638*$L2638*$M2638)),"")</f>
        <v/>
      </c>
      <c r="AC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inlineStr">
        <is>
          <t>RF</t>
        </is>
      </c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1" t="n">
        <v>1.027347653877516</v>
      </c>
      <c r="N2639" s="17" t="n">
        <v>0.75</v>
      </c>
      <c r="O2639" s="17" t="n"/>
      <c r="P2639" s="17" t="n">
        <v>0.25</v>
      </c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7" t="n"/>
      <c r="Z2639" s="13">
        <f>SUMPRODUCT(N2639:Y2639,$N$2:$Y$2)*$K2639*$L2639*$M2639</f>
        <v/>
      </c>
      <c r="AA2639" s="14">
        <f>SUM(N2639:Y2639)</f>
        <v/>
      </c>
      <c r="AB2639" s="14">
        <f>IFERROR(IF(UPPER($E2639)="L",SUMPRODUCT(N2639:Y2639,$N$3:$Y$3,$N$2:$Y$2),SUMPRODUCT(N2639:Y2639,$N$4:$Y$4,$N$2:$Y$2))/(Z2639/($K2639*$L2639*$M2639)),"")</f>
        <v/>
      </c>
      <c r="AC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inlineStr">
        <is>
          <t>3B</t>
        </is>
      </c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1" t="n">
        <v>1</v>
      </c>
      <c r="N2640" s="17" t="n"/>
      <c r="O2640" s="17" t="n"/>
      <c r="P2640" s="17" t="n"/>
      <c r="Q2640" s="17" t="n"/>
      <c r="R2640" s="17" t="n"/>
      <c r="S2640" s="17" t="n"/>
      <c r="T2640" s="17" t="n"/>
      <c r="U2640" s="17" t="n">
        <v>0.4</v>
      </c>
      <c r="V2640" s="17" t="n"/>
      <c r="W2640" s="17" t="n">
        <v>0.6</v>
      </c>
      <c r="X2640" s="17" t="n"/>
      <c r="Y2640" s="17" t="n"/>
      <c r="Z2640" s="13">
        <f>SUMPRODUCT(N2640:Y2640,$N$2:$Y$2)*$K2640*$L2640*$M2640</f>
        <v/>
      </c>
      <c r="AA2640" s="14">
        <f>SUM(N2640:Y2640)</f>
        <v/>
      </c>
      <c r="AB2640" s="14">
        <f>IFERROR(IF(UPPER($E2640)="L",SUMPRODUCT(N2640:Y2640,$N$3:$Y$3,$N$2:$Y$2),SUMPRODUCT(N2640:Y2640,$N$4:$Y$4,$N$2:$Y$2))/(Z2640/($K2640*$L2640*$M2640)),"")</f>
        <v/>
      </c>
      <c r="AC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inlineStr">
        <is>
          <t>C</t>
        </is>
      </c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1" t="n">
        <v>1</v>
      </c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/>
      <c r="Y2641" s="17" t="n">
        <v>1</v>
      </c>
      <c r="Z2641" s="13">
        <f>SUMPRODUCT(N2641:Y2641,$N$2:$Y$2)*$K2641*$L2641*$M2641</f>
        <v/>
      </c>
      <c r="AA2641" s="14">
        <f>SUM(N2641:Y2641)</f>
        <v/>
      </c>
      <c r="AB2641" s="14">
        <f>IFERROR(IF(UPPER($E2641)="L",SUMPRODUCT(N2641:Y2641,$N$3:$Y$3,$N$2:$Y$2),SUMPRODUCT(N2641:Y2641,$N$4:$Y$4,$N$2:$Y$2))/(Z2641/($K2641*$L2641*$M2641)),"")</f>
        <v/>
      </c>
      <c r="AC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inlineStr">
        <is>
          <t>SS</t>
        </is>
      </c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1" t="n">
        <v>0.8148590920671582</v>
      </c>
      <c r="N2642" s="17" t="n">
        <v>1</v>
      </c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7" t="n"/>
      <c r="Z2642" s="13">
        <f>SUMPRODUCT(N2642:Y2642,$N$2:$Y$2)*$K2642*$L2642*$M2642</f>
        <v/>
      </c>
      <c r="AA2642" s="14">
        <f>SUM(N2642:Y2642)</f>
        <v/>
      </c>
      <c r="AB2642" s="14">
        <f>IFERROR(IF(UPPER($E2642)="L",SUMPRODUCT(N2642:Y2642,$N$3:$Y$3,$N$2:$Y$2),SUMPRODUCT(N2642:Y2642,$N$4:$Y$4,$N$2:$Y$2))/(Z2642/($K2642*$L2642*$M2642)),"")</f>
        <v/>
      </c>
      <c r="AC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inlineStr">
        <is>
          <t>SS</t>
        </is>
      </c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1" t="n">
        <v>1</v>
      </c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/>
      <c r="W2643" s="17" t="n">
        <v>1</v>
      </c>
      <c r="X2643" s="17" t="n"/>
      <c r="Y2643" s="17" t="n"/>
      <c r="Z2643" s="13">
        <f>SUMPRODUCT(N2643:Y2643,$N$2:$Y$2)*$K2643*$L2643*$M2643</f>
        <v/>
      </c>
      <c r="AA2643" s="14">
        <f>SUM(N2643:Y2643)</f>
        <v/>
      </c>
      <c r="AB2643" s="14">
        <f>IFERROR(IF(UPPER($E2643)="L",SUMPRODUCT(N2643:Y2643,$N$3:$Y$3,$N$2:$Y$2),SUMPRODUCT(N2643:Y2643,$N$4:$Y$4,$N$2:$Y$2))/(Z2643/($K2643*$L2643*$M2643)),"")</f>
        <v/>
      </c>
      <c r="AC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inlineStr">
        <is>
          <t>CF</t>
        </is>
      </c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1" t="n">
        <v>1</v>
      </c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>
        <v>0.4</v>
      </c>
      <c r="W2644" s="17" t="n">
        <v>0.6</v>
      </c>
      <c r="X2644" s="17" t="n"/>
      <c r="Y2644" s="17" t="n"/>
      <c r="Z2644" s="13">
        <f>SUMPRODUCT(N2644:Y2644,$N$2:$Y$2)*$K2644*$L2644*$M2644</f>
        <v/>
      </c>
      <c r="AA2644" s="14">
        <f>SUM(N2644:Y2644)</f>
        <v/>
      </c>
      <c r="AB2644" s="14">
        <f>IFERROR(IF(UPPER($E2644)="L",SUMPRODUCT(N2644:Y2644,$N$3:$Y$3,$N$2:$Y$2),SUMPRODUCT(N2644:Y2644,$N$4:$Y$4,$N$2:$Y$2))/(Z2644/($K2644*$L2644*$M2644)),"")</f>
        <v/>
      </c>
      <c r="AC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inlineStr">
        <is>
          <t>C</t>
        </is>
      </c>
      <c r="G2645" s="9" t="n">
        <v>1</v>
      </c>
      <c r="H2645" s="9" t="n">
        <v>48</v>
      </c>
      <c r="I2645" s="9" t="inlineStr">
        <is>
          <t>Catcher - Backup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1" t="n">
        <v>1</v>
      </c>
      <c r="N2645" s="17" t="n"/>
      <c r="O2645" s="17" t="n"/>
      <c r="P2645" s="17" t="n"/>
      <c r="Q2645" s="17" t="n"/>
      <c r="R2645" s="17" t="n"/>
      <c r="S2645" s="17" t="n"/>
      <c r="T2645" s="17" t="n">
        <v>1</v>
      </c>
      <c r="U2645" s="17" t="n"/>
      <c r="V2645" s="17" t="n"/>
      <c r="W2645" s="17" t="n"/>
      <c r="X2645" s="17" t="n"/>
      <c r="Y2645" s="17" t="n"/>
      <c r="Z2645" s="13">
        <f>SUMPRODUCT(N2645:Y2645,$N$2:$Y$2)*$K2645*$L2645*$M2645</f>
        <v/>
      </c>
      <c r="AA2645" s="14">
        <f>SUM(N2645:Y2645)</f>
        <v/>
      </c>
      <c r="AB2645" s="14">
        <f>IFERROR(IF(UPPER($E2645)="L",SUMPRODUCT(N2645:Y2645,$N$3:$Y$3,$N$2:$Y$2),SUMPRODUCT(N2645:Y2645,$N$4:$Y$4,$N$2:$Y$2))/(Z2645/($K2645*$L2645*$M2645)),"")</f>
        <v/>
      </c>
      <c r="AC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inlineStr">
        <is>
          <t>CF</t>
        </is>
      </c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1" t="n">
        <v>0.9639643046986855</v>
      </c>
      <c r="N2646" s="17" t="n">
        <v>1</v>
      </c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7" t="n"/>
      <c r="Z2646" s="13">
        <f>SUMPRODUCT(N2646:Y2646,$N$2:$Y$2)*$K2646*$L2646*$M2646</f>
        <v/>
      </c>
      <c r="AA2646" s="14">
        <f>SUM(N2646:Y2646)</f>
        <v/>
      </c>
      <c r="AB2646" s="14">
        <f>IFERROR(IF(UPPER($E2646)="L",SUMPRODUCT(N2646:Y2646,$N$3:$Y$3,$N$2:$Y$2),SUMPRODUCT(N2646:Y2646,$N$4:$Y$4,$N$2:$Y$2))/(Z2646/($K2646*$L2646*$M2646)),"")</f>
        <v/>
      </c>
      <c r="AC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inlineStr">
        <is>
          <t>3B</t>
        </is>
      </c>
      <c r="G2647" s="9" t="n">
        <v>254</v>
      </c>
      <c r="H2647" s="9" t="n">
        <v>1144</v>
      </c>
      <c r="I2647" s="9" t="inlineStr">
        <is>
          <t>Bench Bat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1" t="n">
        <v>1</v>
      </c>
      <c r="N2647" s="17" t="n"/>
      <c r="O2647" s="17" t="n"/>
      <c r="P2647" s="17" t="n"/>
      <c r="Q2647" s="17" t="n"/>
      <c r="R2647" s="17" t="n"/>
      <c r="S2647" s="17" t="n"/>
      <c r="T2647" s="17" t="n"/>
      <c r="U2647" s="17" t="n">
        <v>0.4</v>
      </c>
      <c r="V2647" s="17" t="n"/>
      <c r="W2647" s="17" t="n">
        <v>0.6</v>
      </c>
      <c r="X2647" s="17" t="n"/>
      <c r="Y2647" s="17" t="n"/>
      <c r="Z2647" s="13">
        <f>SUMPRODUCT(N2647:Y2647,$N$2:$Y$2)*$K2647*$L2647*$M2647</f>
        <v/>
      </c>
      <c r="AA2647" s="14">
        <f>SUM(N2647:Y2647)</f>
        <v/>
      </c>
      <c r="AB2647" s="14">
        <f>IFERROR(IF(UPPER($E2647)="L",SUMPRODUCT(N2647:Y2647,$N$3:$Y$3,$N$2:$Y$2),SUMPRODUCT(N2647:Y2647,$N$4:$Y$4,$N$2:$Y$2))/(Z2647/($K2647*$L2647*$M2647)),"")</f>
        <v/>
      </c>
      <c r="AC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inlineStr">
        <is>
          <t>SS</t>
        </is>
      </c>
      <c r="G2648" s="9" t="n">
        <v>508</v>
      </c>
      <c r="H2648" s="9" t="n">
        <v>2683</v>
      </c>
      <c r="I2648" s="9" t="inlineStr">
        <is>
          <t>Strong Side Platoon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1" t="n">
        <v>1.10701095565825</v>
      </c>
      <c r="N2648" s="17" t="n">
        <v>0.4</v>
      </c>
      <c r="O2648" s="17" t="n"/>
      <c r="P2648" s="17" t="n">
        <v>0.6</v>
      </c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7" t="n"/>
      <c r="Z2648" s="13">
        <f>SUMPRODUCT(N2648:Y2648,$N$2:$Y$2)*$K2648*$L2648*$M2648</f>
        <v/>
      </c>
      <c r="AA2648" s="14">
        <f>SUM(N2648:Y2648)</f>
        <v/>
      </c>
      <c r="AB2648" s="14">
        <f>IFERROR(IF(UPPER($E2648)="L",SUMPRODUCT(N2648:Y2648,$N$3:$Y$3,$N$2:$Y$2),SUMPRODUCT(N2648:Y2648,$N$4:$Y$4,$N$2:$Y$2))/(Z2648/($K2648*$L2648*$M2648)),"")</f>
        <v/>
      </c>
      <c r="AC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inlineStr">
        <is>
          <t>3B</t>
        </is>
      </c>
      <c r="G2649" s="9" t="n">
        <v>74</v>
      </c>
      <c r="H2649" s="9" t="n">
        <v>74</v>
      </c>
      <c r="I2649" s="9" t="inlineStr">
        <is>
          <t>Weak Side Platoon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1" t="n">
        <v>1</v>
      </c>
      <c r="N2649" s="17" t="n"/>
      <c r="O2649" s="17" t="n"/>
      <c r="P2649" s="17" t="n"/>
      <c r="Q2649" s="17" t="n">
        <v>0.6</v>
      </c>
      <c r="R2649" s="17" t="n"/>
      <c r="S2649" s="17" t="n"/>
      <c r="T2649" s="17" t="n"/>
      <c r="U2649" s="17" t="n">
        <v>0.4</v>
      </c>
      <c r="V2649" s="17" t="n"/>
      <c r="W2649" s="17" t="n"/>
      <c r="X2649" s="17" t="n"/>
      <c r="Y2649" s="17" t="n"/>
      <c r="Z2649" s="13">
        <f>SUMPRODUCT(N2649:Y2649,$N$2:$Y$2)*$K2649*$L2649*$M2649</f>
        <v/>
      </c>
      <c r="AA2649" s="14">
        <f>SUM(N2649:Y2649)</f>
        <v/>
      </c>
      <c r="AB2649" s="14">
        <f>IFERROR(IF(UPPER($E2649)="L",SUMPRODUCT(N2649:Y2649,$N$3:$Y$3,$N$2:$Y$2),SUMPRODUCT(N2649:Y2649,$N$4:$Y$4,$N$2:$Y$2))/(Z2649/($K2649*$L2649*$M2649)),"")</f>
        <v/>
      </c>
      <c r="AC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inlineStr">
        <is>
          <t>3B</t>
        </is>
      </c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1" t="n">
        <v>1.099107030010074</v>
      </c>
      <c r="N2650" s="17" t="n">
        <v>0.68</v>
      </c>
      <c r="O2650" s="17" t="n"/>
      <c r="P2650" s="17" t="n">
        <v>0.32</v>
      </c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7" t="n"/>
      <c r="Z2650" s="13">
        <f>SUMPRODUCT(N2650:Y2650,$N$2:$Y$2)*$K2650*$L2650*$M2650</f>
        <v/>
      </c>
      <c r="AA2650" s="14">
        <f>SUM(N2650:Y2650)</f>
        <v/>
      </c>
      <c r="AB2650" s="14">
        <f>IFERROR(IF(UPPER($E2650)="L",SUMPRODUCT(N2650:Y2650,$N$3:$Y$3,$N$2:$Y$2),SUMPRODUCT(N2650:Y2650,$N$4:$Y$4,$N$2:$Y$2))/(Z2650/($K2650*$L2650*$M2650)),"")</f>
        <v/>
      </c>
      <c r="AC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1" t="n">
        <v>1</v>
      </c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/>
      <c r="Y2651" s="17" t="n">
        <v>1</v>
      </c>
      <c r="Z2651" s="13">
        <f>SUMPRODUCT(N2651:Y2651,$N$2:$Y$2)*$K2651*$L2651*$M2651</f>
        <v/>
      </c>
      <c r="AA2651" s="14">
        <f>SUM(N2651:Y2651)</f>
        <v/>
      </c>
      <c r="AB2651" s="14">
        <f>IFERROR(IF(UPPER($E2651)="L",SUMPRODUCT(N2651:Y2651,$N$3:$Y$3,$N$2:$Y$2),SUMPRODUCT(N2651:Y2651,$N$4:$Y$4,$N$2:$Y$2))/(Z2651/($K2651*$L2651*$M2651)),"")</f>
        <v/>
      </c>
      <c r="AC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1" t="n">
        <v>1</v>
      </c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/>
      <c r="Y2652" s="17" t="n">
        <v>1</v>
      </c>
      <c r="Z2652" s="13">
        <f>SUMPRODUCT(N2652:Y2652,$N$2:$Y$2)*$K2652*$L2652*$M2652</f>
        <v/>
      </c>
      <c r="AA2652" s="14">
        <f>SUM(N2652:Y2652)</f>
        <v/>
      </c>
      <c r="AB2652" s="14">
        <f>IFERROR(IF(UPPER($E2652)="L",SUMPRODUCT(N2652:Y2652,$N$3:$Y$3,$N$2:$Y$2),SUMPRODUCT(N2652:Y2652,$N$4:$Y$4,$N$2:$Y$2))/(Z2652/($K2652*$L2652*$M2652)),"")</f>
        <v/>
      </c>
      <c r="AC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1" t="n">
        <v>1</v>
      </c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/>
      <c r="Y2653" s="17" t="n">
        <v>1</v>
      </c>
      <c r="Z2653" s="13">
        <f>SUMPRODUCT(N2653:Y2653,$N$2:$Y$2)*$K2653*$L2653*$M2653</f>
        <v/>
      </c>
      <c r="AA2653" s="14">
        <f>SUM(N2653:Y2653)</f>
        <v/>
      </c>
      <c r="AB2653" s="14">
        <f>IFERROR(IF(UPPER($E2653)="L",SUMPRODUCT(N2653:Y2653,$N$3:$Y$3,$N$2:$Y$2),SUMPRODUCT(N2653:Y2653,$N$4:$Y$4,$N$2:$Y$2))/(Z2653/($K2653*$L2653*$M2653)),"")</f>
        <v/>
      </c>
      <c r="AC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1" t="n">
        <v>1</v>
      </c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/>
      <c r="Y2654" s="17" t="n">
        <v>1</v>
      </c>
      <c r="Z2654" s="13">
        <f>SUMPRODUCT(N2654:Y2654,$N$2:$Y$2)*$K2654*$L2654*$M2654</f>
        <v/>
      </c>
      <c r="AA2654" s="14">
        <f>SUM(N2654:Y2654)</f>
        <v/>
      </c>
      <c r="AB2654" s="14">
        <f>IFERROR(IF(UPPER($E2654)="L",SUMPRODUCT(N2654:Y2654,$N$3:$Y$3,$N$2:$Y$2),SUMPRODUCT(N2654:Y2654,$N$4:$Y$4,$N$2:$Y$2))/(Z2654/($K2654*$L2654*$M2654)),"")</f>
        <v/>
      </c>
      <c r="AC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inlineStr">
        <is>
          <t>CF</t>
        </is>
      </c>
      <c r="G2655" s="9" t="n">
        <v>153</v>
      </c>
      <c r="H2655" s="9" t="n">
        <v>1548</v>
      </c>
      <c r="I2655" s="9" t="inlineStr">
        <is>
          <t>Injury Replacement / 26th Man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1" t="n">
        <v>1.021834309792855</v>
      </c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/>
      <c r="W2655" s="17" t="n">
        <v>0.15</v>
      </c>
      <c r="X2655" s="17" t="n">
        <v>0.85</v>
      </c>
      <c r="Y2655" s="17" t="n"/>
      <c r="Z2655" s="13">
        <f>SUMPRODUCT(N2655:Y2655,$N$2:$Y$2)*$K2655*$L2655*$M2655</f>
        <v/>
      </c>
      <c r="AA2655" s="14">
        <f>SUM(N2655:Y2655)</f>
        <v/>
      </c>
      <c r="AB2655" s="14">
        <f>IFERROR(IF(UPPER($E2655)="L",SUMPRODUCT(N2655:Y2655,$N$3:$Y$3,$N$2:$Y$2),SUMPRODUCT(N2655:Y2655,$N$4:$Y$4,$N$2:$Y$2))/(Z2655/($K2655*$L2655*$M2655)),"")</f>
        <v/>
      </c>
      <c r="AC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inlineStr">
        <is>
          <t>2B</t>
        </is>
      </c>
      <c r="G2656" s="9" t="n">
        <v>520</v>
      </c>
      <c r="H2656" s="9" t="n">
        <v>2691</v>
      </c>
      <c r="I2656" s="9" t="inlineStr">
        <is>
          <t>Strong Side Platoon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1" t="n">
        <v>1.15</v>
      </c>
      <c r="N2656" s="17" t="n">
        <v>0.4</v>
      </c>
      <c r="O2656" s="17" t="n"/>
      <c r="P2656" s="17" t="n">
        <v>0.6</v>
      </c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7" t="n"/>
      <c r="Z2656" s="13">
        <f>SUMPRODUCT(N2656:Y2656,$N$2:$Y$2)*$K2656*$L2656*$M2656</f>
        <v/>
      </c>
      <c r="AA2656" s="14">
        <f>SUM(N2656:Y2656)</f>
        <v/>
      </c>
      <c r="AB2656" s="14">
        <f>IFERROR(IF(UPPER($E2656)="L",SUMPRODUCT(N2656:Y2656,$N$3:$Y$3,$N$2:$Y$2),SUMPRODUCT(N2656:Y2656,$N$4:$Y$4,$N$2:$Y$2))/(Z2656/($K2656*$L2656*$M2656)),"")</f>
        <v/>
      </c>
      <c r="AC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inlineStr">
        <is>
          <t>C</t>
        </is>
      </c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1" t="n">
        <v>0.9464896458550928</v>
      </c>
      <c r="N2657" s="17" t="n"/>
      <c r="O2657" s="17" t="n"/>
      <c r="P2657" s="17" t="n"/>
      <c r="Q2657" s="17" t="n"/>
      <c r="R2657" s="17" t="n"/>
      <c r="S2657" s="17" t="n"/>
      <c r="T2657" s="17" t="n">
        <v>0.4</v>
      </c>
      <c r="U2657" s="17" t="n"/>
      <c r="V2657" s="17" t="n"/>
      <c r="W2657" s="17" t="n">
        <v>0.6</v>
      </c>
      <c r="X2657" s="17" t="n"/>
      <c r="Y2657" s="17" t="n"/>
      <c r="Z2657" s="13">
        <f>SUMPRODUCT(N2657:Y2657,$N$2:$Y$2)*$K2657*$L2657*$M2657</f>
        <v/>
      </c>
      <c r="AA2657" s="14">
        <f>SUM(N2657:Y2657)</f>
        <v/>
      </c>
      <c r="AB2657" s="14">
        <f>IFERROR(IF(UPPER($E2657)="L",SUMPRODUCT(N2657:Y2657,$N$3:$Y$3,$N$2:$Y$2),SUMPRODUCT(N2657:Y2657,$N$4:$Y$4,$N$2:$Y$2))/(Z2657/($K2657*$L2657*$M2657)),"")</f>
        <v/>
      </c>
      <c r="AC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inlineStr">
        <is>
          <t>CF</t>
        </is>
      </c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1" t="n">
        <v>1.15</v>
      </c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/>
      <c r="Y2658" s="17" t="n">
        <v>1</v>
      </c>
      <c r="Z2658" s="13">
        <f>SUMPRODUCT(N2658:Y2658,$N$2:$Y$2)*$K2658*$L2658*$M2658</f>
        <v/>
      </c>
      <c r="AA2658" s="14">
        <f>SUM(N2658:Y2658)</f>
        <v/>
      </c>
      <c r="AB2658" s="14">
        <f>IFERROR(IF(UPPER($E2658)="L",SUMPRODUCT(N2658:Y2658,$N$3:$Y$3,$N$2:$Y$2),SUMPRODUCT(N2658:Y2658,$N$4:$Y$4,$N$2:$Y$2))/(Z2658/($K2658*$L2658*$M2658)),"")</f>
        <v/>
      </c>
      <c r="AC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inlineStr">
        <is>
          <t>RF</t>
        </is>
      </c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1" t="n">
        <v>1</v>
      </c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/>
      <c r="W2659" s="17" t="n">
        <v>1</v>
      </c>
      <c r="X2659" s="17" t="n"/>
      <c r="Y2659" s="17" t="n"/>
      <c r="Z2659" s="13">
        <f>SUMPRODUCT(N2659:Y2659,$N$2:$Y$2)*$K2659*$L2659*$M2659</f>
        <v/>
      </c>
      <c r="AA2659" s="14">
        <f>SUM(N2659:Y2659)</f>
        <v/>
      </c>
      <c r="AB2659" s="14">
        <f>IFERROR(IF(UPPER($E2659)="L",SUMPRODUCT(N2659:Y2659,$N$3:$Y$3,$N$2:$Y$2),SUMPRODUCT(N2659:Y2659,$N$4:$Y$4,$N$2:$Y$2))/(Z2659/($K2659*$L2659*$M2659)),"")</f>
        <v/>
      </c>
      <c r="AC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1" t="n">
        <v>1</v>
      </c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/>
      <c r="Y2660" s="17" t="n">
        <v>1</v>
      </c>
      <c r="Z2660" s="13">
        <f>SUMPRODUCT(N2660:Y2660,$N$2:$Y$2)*$K2660*$L2660*$M2660</f>
        <v/>
      </c>
      <c r="AA2660" s="14">
        <f>SUM(N2660:Y2660)</f>
        <v/>
      </c>
      <c r="AB2660" s="14">
        <f>IFERROR(IF(UPPER($E2660)="L",SUMPRODUCT(N2660:Y2660,$N$3:$Y$3,$N$2:$Y$2),SUMPRODUCT(N2660:Y2660,$N$4:$Y$4,$N$2:$Y$2))/(Z2660/($K2660*$L2660*$M2660)),"")</f>
        <v/>
      </c>
      <c r="AC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inlineStr">
        <is>
          <t>LF</t>
        </is>
      </c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1" t="n">
        <v>1</v>
      </c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/>
      <c r="Y2661" s="17" t="n">
        <v>1</v>
      </c>
      <c r="Z2661" s="13">
        <f>SUMPRODUCT(N2661:Y2661,$N$2:$Y$2)*$K2661*$L2661*$M2661</f>
        <v/>
      </c>
      <c r="AA2661" s="14">
        <f>SUM(N2661:Y2661)</f>
        <v/>
      </c>
      <c r="AB2661" s="14">
        <f>IFERROR(IF(UPPER($E2661)="L",SUMPRODUCT(N2661:Y2661,$N$3:$Y$3,$N$2:$Y$2),SUMPRODUCT(N2661:Y2661,$N$4:$Y$4,$N$2:$Y$2))/(Z2661/($K2661*$L2661*$M2661)),"")</f>
        <v/>
      </c>
      <c r="AC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inlineStr">
        <is>
          <t>1B</t>
        </is>
      </c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1" t="n">
        <v>1</v>
      </c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/>
      <c r="Y2662" s="17" t="n">
        <v>1</v>
      </c>
      <c r="Z2662" s="13">
        <f>SUMPRODUCT(N2662:Y2662,$N$2:$Y$2)*$K2662*$L2662*$M2662</f>
        <v/>
      </c>
      <c r="AA2662" s="14">
        <f>SUM(N2662:Y2662)</f>
        <v/>
      </c>
      <c r="AB2662" s="14">
        <f>IFERROR(IF(UPPER($E2662)="L",SUMPRODUCT(N2662:Y2662,$N$3:$Y$3,$N$2:$Y$2),SUMPRODUCT(N2662:Y2662,$N$4:$Y$4,$N$2:$Y$2))/(Z2662/($K2662*$L2662*$M2662)),"")</f>
        <v/>
      </c>
      <c r="AC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inlineStr">
        <is>
          <t>LF</t>
        </is>
      </c>
      <c r="G2663" s="9" t="n">
        <v>297</v>
      </c>
      <c r="H2663" s="9" t="n">
        <v>1503</v>
      </c>
      <c r="I2663" s="9" t="inlineStr">
        <is>
          <t>Full Time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1" t="n">
        <v>0.7307136215902563</v>
      </c>
      <c r="N2663" s="17" t="n">
        <v>1</v>
      </c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7" t="n"/>
      <c r="Z2663" s="13">
        <f>SUMPRODUCT(N2663:Y2663,$N$2:$Y$2)*$K2663*$L2663*$M2663</f>
        <v/>
      </c>
      <c r="AA2663" s="14">
        <f>SUM(N2663:Y2663)</f>
        <v/>
      </c>
      <c r="AB2663" s="14">
        <f>IFERROR(IF(UPPER($E2663)="L",SUMPRODUCT(N2663:Y2663,$N$3:$Y$3,$N$2:$Y$2),SUMPRODUCT(N2663:Y2663,$N$4:$Y$4,$N$2:$Y$2))/(Z2663/($K2663*$L2663*$M2663)),"")</f>
        <v/>
      </c>
      <c r="AC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inlineStr">
        <is>
          <t>CF</t>
        </is>
      </c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1" t="n">
        <v>0.729863667343015</v>
      </c>
      <c r="N2664" s="17" t="n">
        <v>1</v>
      </c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7" t="n"/>
      <c r="Z2664" s="13">
        <f>SUMPRODUCT(N2664:Y2664,$N$2:$Y$2)*$K2664*$L2664*$M2664</f>
        <v/>
      </c>
      <c r="AA2664" s="14">
        <f>SUM(N2664:Y2664)</f>
        <v/>
      </c>
      <c r="AB2664" s="14">
        <f>IFERROR(IF(UPPER($E2664)="L",SUMPRODUCT(N2664:Y2664,$N$3:$Y$3,$N$2:$Y$2),SUMPRODUCT(N2664:Y2664,$N$4:$Y$4,$N$2:$Y$2))/(Z2664/($K2664*$L2664*$M2664)),"")</f>
        <v/>
      </c>
      <c r="AC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inlineStr">
        <is>
          <t>C</t>
        </is>
      </c>
      <c r="G2665" s="9" t="n">
        <v>266</v>
      </c>
      <c r="H2665" s="9" t="n">
        <v>1576</v>
      </c>
      <c r="I2665" s="9" t="inlineStr">
        <is>
          <t>Bench Bat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1" t="n">
        <v>1</v>
      </c>
      <c r="N2665" s="17" t="n"/>
      <c r="O2665" s="17" t="n"/>
      <c r="P2665" s="17" t="n"/>
      <c r="Q2665" s="17" t="n"/>
      <c r="R2665" s="17" t="n"/>
      <c r="S2665" s="17" t="n"/>
      <c r="T2665" s="17" t="n">
        <v>0.4</v>
      </c>
      <c r="U2665" s="17" t="n"/>
      <c r="V2665" s="17" t="n"/>
      <c r="W2665" s="17" t="n">
        <v>0.6</v>
      </c>
      <c r="X2665" s="17" t="n"/>
      <c r="Y2665" s="17" t="n"/>
      <c r="Z2665" s="13">
        <f>SUMPRODUCT(N2665:Y2665,$N$2:$Y$2)*$K2665*$L2665*$M2665</f>
        <v/>
      </c>
      <c r="AA2665" s="14">
        <f>SUM(N2665:Y2665)</f>
        <v/>
      </c>
      <c r="AB2665" s="14">
        <f>IFERROR(IF(UPPER($E2665)="L",SUMPRODUCT(N2665:Y2665,$N$3:$Y$3,$N$2:$Y$2),SUMPRODUCT(N2665:Y2665,$N$4:$Y$4,$N$2:$Y$2))/(Z2665/($K2665*$L2665*$M2665)),"")</f>
        <v/>
      </c>
      <c r="AC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inlineStr">
        <is>
          <t>LF</t>
        </is>
      </c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1" t="n">
        <v>0.9210930552741138</v>
      </c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/>
      <c r="W2666" s="17" t="n">
        <v>1</v>
      </c>
      <c r="X2666" s="17" t="n"/>
      <c r="Y2666" s="17" t="n"/>
      <c r="Z2666" s="13">
        <f>SUMPRODUCT(N2666:Y2666,$N$2:$Y$2)*$K2666*$L2666*$M2666</f>
        <v/>
      </c>
      <c r="AA2666" s="14">
        <f>SUM(N2666:Y2666)</f>
        <v/>
      </c>
      <c r="AB2666" s="14">
        <f>IFERROR(IF(UPPER($E2666)="L",SUMPRODUCT(N2666:Y2666,$N$3:$Y$3,$N$2:$Y$2),SUMPRODUCT(N2666:Y2666,$N$4:$Y$4,$N$2:$Y$2))/(Z2666/($K2666*$L2666*$M2666)),"")</f>
        <v/>
      </c>
      <c r="AC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inlineStr">
        <is>
          <t>2B</t>
        </is>
      </c>
      <c r="G2667" s="9" t="n">
        <v>277</v>
      </c>
      <c r="H2667" s="9" t="n">
        <v>467</v>
      </c>
      <c r="I2667" s="9" t="inlineStr">
        <is>
          <t>Full Time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1" t="n">
        <v>1</v>
      </c>
      <c r="N2667" s="17" t="n">
        <v>0.85</v>
      </c>
      <c r="O2667" s="17" t="n"/>
      <c r="P2667" s="17" t="n">
        <v>0.15</v>
      </c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7" t="n"/>
      <c r="Z2667" s="13">
        <f>SUMPRODUCT(N2667:Y2667,$N$2:$Y$2)*$K2667*$L2667*$M2667</f>
        <v/>
      </c>
      <c r="AA2667" s="14">
        <f>SUM(N2667:Y2667)</f>
        <v/>
      </c>
      <c r="AB2667" s="14">
        <f>IFERROR(IF(UPPER($E2667)="L",SUMPRODUCT(N2667:Y2667,$N$3:$Y$3,$N$2:$Y$2),SUMPRODUCT(N2667:Y2667,$N$4:$Y$4,$N$2:$Y$2))/(Z2667/($K2667*$L2667*$M2667)),"")</f>
        <v/>
      </c>
      <c r="AC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inlineStr">
        <is>
          <t>LF</t>
        </is>
      </c>
      <c r="G2668" s="9" t="n">
        <v>76</v>
      </c>
      <c r="H2668" s="9" t="n">
        <v>238</v>
      </c>
      <c r="I2668" s="9" t="inlineStr">
        <is>
          <t>Utility OF / 4th OF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1" t="n">
        <v>1</v>
      </c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>
        <v>0.7</v>
      </c>
      <c r="W2668" s="17" t="n">
        <v>0.3</v>
      </c>
      <c r="X2668" s="17" t="n"/>
      <c r="Y2668" s="17" t="n"/>
      <c r="Z2668" s="13">
        <f>SUMPRODUCT(N2668:Y2668,$N$2:$Y$2)*$K2668*$L2668*$M2668</f>
        <v/>
      </c>
      <c r="AA2668" s="14">
        <f>SUM(N2668:Y2668)</f>
        <v/>
      </c>
      <c r="AB2668" s="14">
        <f>IFERROR(IF(UPPER($E2668)="L",SUMPRODUCT(N2668:Y2668,$N$3:$Y$3,$N$2:$Y$2),SUMPRODUCT(N2668:Y2668,$N$4:$Y$4,$N$2:$Y$2))/(Z2668/($K2668*$L2668*$M2668)),"")</f>
        <v/>
      </c>
      <c r="AC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inlineStr">
        <is>
          <t>2B</t>
        </is>
      </c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1" t="n">
        <v>1</v>
      </c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/>
      <c r="W2669" s="17" t="n">
        <v>1</v>
      </c>
      <c r="X2669" s="17" t="n"/>
      <c r="Y2669" s="17" t="n"/>
      <c r="Z2669" s="13">
        <f>SUMPRODUCT(N2669:Y2669,$N$2:$Y$2)*$K2669*$L2669*$M2669</f>
        <v/>
      </c>
      <c r="AA2669" s="14">
        <f>SUM(N2669:Y2669)</f>
        <v/>
      </c>
      <c r="AB2669" s="14">
        <f>IFERROR(IF(UPPER($E2669)="L",SUMPRODUCT(N2669:Y2669,$N$3:$Y$3,$N$2:$Y$2),SUMPRODUCT(N2669:Y2669,$N$4:$Y$4,$N$2:$Y$2))/(Z2669/($K2669*$L2669*$M2669)),"")</f>
        <v/>
      </c>
      <c r="AC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inlineStr">
        <is>
          <t>RF</t>
        </is>
      </c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1" t="n">
        <v>1.15</v>
      </c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/>
      <c r="Y2670" s="17" t="n">
        <v>1</v>
      </c>
      <c r="Z2670" s="13">
        <f>SUMPRODUCT(N2670:Y2670,$N$2:$Y$2)*$K2670*$L2670*$M2670</f>
        <v/>
      </c>
      <c r="AA2670" s="14">
        <f>SUM(N2670:Y2670)</f>
        <v/>
      </c>
      <c r="AB2670" s="14">
        <f>IFERROR(IF(UPPER($E2670)="L",SUMPRODUCT(N2670:Y2670,$N$3:$Y$3,$N$2:$Y$2),SUMPRODUCT(N2670:Y2670,$N$4:$Y$4,$N$2:$Y$2))/(Z2670/($K2670*$L2670*$M2670)),"")</f>
        <v/>
      </c>
      <c r="AC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inlineStr">
        <is>
          <t>CF</t>
        </is>
      </c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1" t="n">
        <v>0.9831500330209616</v>
      </c>
      <c r="N2671" s="17" t="n">
        <v>1</v>
      </c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7" t="n"/>
      <c r="Z2671" s="13">
        <f>SUMPRODUCT(N2671:Y2671,$N$2:$Y$2)*$K2671*$L2671*$M2671</f>
        <v/>
      </c>
      <c r="AA2671" s="14">
        <f>SUM(N2671:Y2671)</f>
        <v/>
      </c>
      <c r="AB2671" s="14">
        <f>IFERROR(IF(UPPER($E2671)="L",SUMPRODUCT(N2671:Y2671,$N$3:$Y$3,$N$2:$Y$2),SUMPRODUCT(N2671:Y2671,$N$4:$Y$4,$N$2:$Y$2))/(Z2671/($K2671*$L2671*$M2671)),"")</f>
        <v/>
      </c>
      <c r="AC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inlineStr">
        <is>
          <t>C</t>
        </is>
      </c>
      <c r="G2672" s="9" t="n">
        <v>92</v>
      </c>
      <c r="H2672" s="9" t="n">
        <v>190</v>
      </c>
      <c r="I2672" s="9" t="inlineStr">
        <is>
          <t>Catcher - Backup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1" t="n">
        <v>1</v>
      </c>
      <c r="N2672" s="17" t="n"/>
      <c r="O2672" s="17" t="n"/>
      <c r="P2672" s="17" t="n"/>
      <c r="Q2672" s="17" t="n"/>
      <c r="R2672" s="17" t="n"/>
      <c r="S2672" s="17" t="n"/>
      <c r="T2672" s="17" t="n">
        <v>1</v>
      </c>
      <c r="U2672" s="17" t="n"/>
      <c r="V2672" s="17" t="n"/>
      <c r="W2672" s="17" t="n"/>
      <c r="X2672" s="17" t="n"/>
      <c r="Y2672" s="17" t="n"/>
      <c r="Z2672" s="13">
        <f>SUMPRODUCT(N2672:Y2672,$N$2:$Y$2)*$K2672*$L2672*$M2672</f>
        <v/>
      </c>
      <c r="AA2672" s="14">
        <f>SUM(N2672:Y2672)</f>
        <v/>
      </c>
      <c r="AB2672" s="14">
        <f>IFERROR(IF(UPPER($E2672)="L",SUMPRODUCT(N2672:Y2672,$N$3:$Y$3,$N$2:$Y$2),SUMPRODUCT(N2672:Y2672,$N$4:$Y$4,$N$2:$Y$2))/(Z2672/($K2672*$L2672*$M2672)),"")</f>
        <v/>
      </c>
      <c r="AC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inlineStr">
        <is>
          <t>2B</t>
        </is>
      </c>
      <c r="G2673" s="9" t="n">
        <v>252</v>
      </c>
      <c r="H2673" s="9" t="n">
        <v>1836</v>
      </c>
      <c r="I2673" s="9" t="inlineStr">
        <is>
          <t>Utility IF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1" t="n">
        <v>1.034151326848276</v>
      </c>
      <c r="N2673" s="17" t="n"/>
      <c r="O2673" s="17" t="n"/>
      <c r="P2673" s="17" t="n"/>
      <c r="Q2673" s="17" t="n"/>
      <c r="R2673" s="17" t="n"/>
      <c r="S2673" s="17" t="n"/>
      <c r="T2673" s="17" t="n"/>
      <c r="U2673" s="17" t="n">
        <v>0.7</v>
      </c>
      <c r="V2673" s="17" t="n"/>
      <c r="W2673" s="17" t="n">
        <v>0.3</v>
      </c>
      <c r="X2673" s="17" t="n"/>
      <c r="Y2673" s="17" t="n"/>
      <c r="Z2673" s="13">
        <f>SUMPRODUCT(N2673:Y2673,$N$2:$Y$2)*$K2673*$L2673*$M2673</f>
        <v/>
      </c>
      <c r="AA2673" s="14">
        <f>SUM(N2673:Y2673)</f>
        <v/>
      </c>
      <c r="AB2673" s="14">
        <f>IFERROR(IF(UPPER($E2673)="L",SUMPRODUCT(N2673:Y2673,$N$3:$Y$3,$N$2:$Y$2),SUMPRODUCT(N2673:Y2673,$N$4:$Y$4,$N$2:$Y$2))/(Z2673/($K2673*$L2673*$M2673)),"")</f>
        <v/>
      </c>
      <c r="AC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inlineStr">
        <is>
          <t>CF</t>
        </is>
      </c>
      <c r="G2674" s="9" t="n">
        <v>291</v>
      </c>
      <c r="H2674" s="9" t="n">
        <v>1845</v>
      </c>
      <c r="I2674" s="9" t="inlineStr">
        <is>
          <t>Bench Bat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1" t="n">
        <v>1.000330417886768</v>
      </c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/>
      <c r="W2674" s="17" t="n">
        <v>0.85</v>
      </c>
      <c r="X2674" s="17" t="n">
        <v>0.15</v>
      </c>
      <c r="Y2674" s="17" t="n"/>
      <c r="Z2674" s="13">
        <f>SUMPRODUCT(N2674:Y2674,$N$2:$Y$2)*$K2674*$L2674*$M2674</f>
        <v/>
      </c>
      <c r="AA2674" s="14">
        <f>SUM(N2674:Y2674)</f>
        <v/>
      </c>
      <c r="AB2674" s="14">
        <f>IFERROR(IF(UPPER($E2674)="L",SUMPRODUCT(N2674:Y2674,$N$3:$Y$3,$N$2:$Y$2),SUMPRODUCT(N2674:Y2674,$N$4:$Y$4,$N$2:$Y$2))/(Z2674/($K2674*$L2674*$M2674)),"")</f>
        <v/>
      </c>
      <c r="AC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inlineStr">
        <is>
          <t>C</t>
        </is>
      </c>
      <c r="G2675" s="9" t="n">
        <v>323</v>
      </c>
      <c r="H2675" s="9" t="n">
        <v>1463</v>
      </c>
      <c r="I2675" s="9" t="inlineStr">
        <is>
          <t>Weak Side Platoon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1" t="n">
        <v>1.074020195705054</v>
      </c>
      <c r="N2675" s="17" t="n"/>
      <c r="O2675" s="17" t="n"/>
      <c r="P2675" s="17" t="n"/>
      <c r="Q2675" s="17" t="n">
        <v>0.6</v>
      </c>
      <c r="R2675" s="17" t="n"/>
      <c r="S2675" s="17" t="n"/>
      <c r="T2675" s="17" t="n">
        <v>0.4</v>
      </c>
      <c r="U2675" s="17" t="n"/>
      <c r="V2675" s="17" t="n"/>
      <c r="W2675" s="17" t="n"/>
      <c r="X2675" s="17" t="n"/>
      <c r="Y2675" s="17" t="n"/>
      <c r="Z2675" s="13">
        <f>SUMPRODUCT(N2675:Y2675,$N$2:$Y$2)*$K2675*$L2675*$M2675</f>
        <v/>
      </c>
      <c r="AA2675" s="14">
        <f>SUM(N2675:Y2675)</f>
        <v/>
      </c>
      <c r="AB2675" s="14">
        <f>IFERROR(IF(UPPER($E2675)="L",SUMPRODUCT(N2675:Y2675,$N$3:$Y$3,$N$2:$Y$2),SUMPRODUCT(N2675:Y2675,$N$4:$Y$4,$N$2:$Y$2))/(Z2675/($K2675*$L2675*$M2675)),"")</f>
        <v/>
      </c>
      <c r="AC2675" s="18" t="n"/>
    </row>
    <row r="2676">
      <c r="A2676" s="9" t="n">
        <v>656582</v>
      </c>
      <c r="B2676" s="9" t="inlineStr">
        <is>
          <t>Connor Joe</t>
        </is>
      </c>
      <c r="C2676" s="9" t="inlineStr">
        <is>
          <t>SEA</t>
        </is>
      </c>
      <c r="D2676" s="9" t="n">
        <v>34</v>
      </c>
      <c r="E2676" s="16" t="inlineStr">
        <is>
          <t>R</t>
        </is>
      </c>
      <c r="F2676" s="16" t="inlineStr">
        <is>
          <t>RF</t>
        </is>
      </c>
      <c r="G2676" s="9" t="n">
        <v>45</v>
      </c>
      <c r="H2676" s="9" t="n">
        <v>1480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1" t="n">
        <v>0.7250313759889572</v>
      </c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/>
      <c r="W2676" s="17" t="n">
        <v>1</v>
      </c>
      <c r="X2676" s="17" t="n"/>
      <c r="Y2676" s="17" t="n"/>
      <c r="Z2676" s="13">
        <f>SUMPRODUCT(N2676:Y2676,$N$2:$Y$2)*$K2676*$L2676*$M2676</f>
        <v/>
      </c>
      <c r="AA2676" s="14">
        <f>SUM(N2676:Y2676)</f>
        <v/>
      </c>
      <c r="AB2676" s="14">
        <f>IFERROR(IF(UPPER($E2676)="L",SUMPRODUCT(N2676:Y2676,$N$3:$Y$3,$N$2:$Y$2),SUMPRODUCT(N2676:Y2676,$N$4:$Y$4,$N$2:$Y$2))/(Z2676/($K2676*$L2676*$M2676)),"")</f>
        <v/>
      </c>
      <c r="AC2676" s="18" t="n"/>
    </row>
    <row r="2677">
      <c r="A2677" s="9" t="n">
        <v>642731</v>
      </c>
      <c r="B2677" s="9" t="inlineStr">
        <is>
          <t>Thairo Estrada</t>
        </is>
      </c>
      <c r="C2677" s="9" t="inlineStr">
        <is>
          <t>COL</t>
        </is>
      </c>
      <c r="D2677" s="9" t="n">
        <v>31</v>
      </c>
      <c r="E2677" s="16" t="inlineStr">
        <is>
          <t>R</t>
        </is>
      </c>
      <c r="F2677" s="16" t="inlineStr">
        <is>
          <t>2B</t>
        </is>
      </c>
      <c r="G2677" s="9" t="n">
        <v>165</v>
      </c>
      <c r="H2677" s="9" t="n">
        <v>1617</v>
      </c>
      <c r="I2677" s="9" t="inlineStr">
        <is>
          <t>Full Time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1" t="n">
        <v>1</v>
      </c>
      <c r="N2677" s="17" t="n">
        <v>1</v>
      </c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7" t="n"/>
      <c r="Z2677" s="13">
        <f>SUMPRODUCT(N2677:Y2677,$N$2:$Y$2)*$K2677*$L2677*$M2677</f>
        <v/>
      </c>
      <c r="AA2677" s="14">
        <f>SUM(N2677:Y2677)</f>
        <v/>
      </c>
      <c r="AB2677" s="14">
        <f>IFERROR(IF(UPPER($E2677)="L",SUMPRODUCT(N2677:Y2677,$N$3:$Y$3,$N$2:$Y$2),SUMPRODUCT(N2677:Y2677,$N$4:$Y$4,$N$2:$Y$2))/(Z2677/($K2677*$L2677*$M2677)),"")</f>
        <v/>
      </c>
      <c r="AC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inlineStr">
        <is>
          <t>RF</t>
        </is>
      </c>
      <c r="G2678" s="9" t="n">
        <v>370</v>
      </c>
      <c r="H2678" s="9" t="n">
        <v>836</v>
      </c>
      <c r="I2678" s="9" t="inlineStr">
        <is>
          <t>Full Time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1" t="n">
        <v>0.8072095038419853</v>
      </c>
      <c r="N2678" s="17" t="n">
        <v>0.75</v>
      </c>
      <c r="O2678" s="17" t="n"/>
      <c r="P2678" s="17" t="n">
        <v>0.25</v>
      </c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7" t="n"/>
      <c r="Z2678" s="13">
        <f>SUMPRODUCT(N2678:Y2678,$N$2:$Y$2)*$K2678*$L2678*$M2678</f>
        <v/>
      </c>
      <c r="AA2678" s="14">
        <f>SUM(N2678:Y2678)</f>
        <v/>
      </c>
      <c r="AB2678" s="14">
        <f>IFERROR(IF(UPPER($E2678)="L",SUMPRODUCT(N2678:Y2678,$N$3:$Y$3,$N$2:$Y$2),SUMPRODUCT(N2678:Y2678,$N$4:$Y$4,$N$2:$Y$2))/(Z2678/($K2678*$L2678*$M2678)),"")</f>
        <v/>
      </c>
      <c r="AC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1" t="n">
        <v>1</v>
      </c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/>
      <c r="Y2679" s="17" t="n">
        <v>1</v>
      </c>
      <c r="Z2679" s="13">
        <f>SUMPRODUCT(N2679:Y2679,$N$2:$Y$2)*$K2679*$L2679*$M2679</f>
        <v/>
      </c>
      <c r="AA2679" s="14">
        <f>SUM(N2679:Y2679)</f>
        <v/>
      </c>
      <c r="AB2679" s="14">
        <f>IFERROR(IF(UPPER($E2679)="L",SUMPRODUCT(N2679:Y2679,$N$3:$Y$3,$N$2:$Y$2),SUMPRODUCT(N2679:Y2679,$N$4:$Y$4,$N$2:$Y$2))/(Z2679/($K2679*$L2679*$M2679)),"")</f>
        <v/>
      </c>
      <c r="AC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inlineStr">
        <is>
          <t>SS</t>
        </is>
      </c>
      <c r="G2680" s="9" t="n">
        <v>128</v>
      </c>
      <c r="H2680" s="9" t="n">
        <v>128</v>
      </c>
      <c r="I2680" s="9" t="inlineStr">
        <is>
          <t>Full Time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1" t="n">
        <v>1</v>
      </c>
      <c r="N2680" s="17" t="n">
        <v>0.62</v>
      </c>
      <c r="O2680" s="17" t="n"/>
      <c r="P2680" s="17" t="n">
        <v>0.38</v>
      </c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7" t="n"/>
      <c r="Z2680" s="13">
        <f>SUMPRODUCT(N2680:Y2680,$N$2:$Y$2)*$K2680*$L2680*$M2680</f>
        <v/>
      </c>
      <c r="AA2680" s="14">
        <f>SUM(N2680:Y2680)</f>
        <v/>
      </c>
      <c r="AB2680" s="14">
        <f>IFERROR(IF(UPPER($E2680)="L",SUMPRODUCT(N2680:Y2680,$N$3:$Y$3,$N$2:$Y$2),SUMPRODUCT(N2680:Y2680,$N$4:$Y$4,$N$2:$Y$2))/(Z2680/($K2680*$L2680*$M2680)),"")</f>
        <v/>
      </c>
      <c r="AC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inlineStr">
        <is>
          <t>C</t>
        </is>
      </c>
      <c r="G2681" s="9" t="n">
        <v>265</v>
      </c>
      <c r="H2681" s="9" t="n">
        <v>1222</v>
      </c>
      <c r="I2681" s="9" t="inlineStr">
        <is>
          <t>Bench Bat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1" t="n">
        <v>1.072456735136748</v>
      </c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/>
      <c r="W2681" s="17" t="n">
        <v>0.85</v>
      </c>
      <c r="X2681" s="17" t="n">
        <v>0.15</v>
      </c>
      <c r="Y2681" s="17" t="n"/>
      <c r="Z2681" s="13">
        <f>SUMPRODUCT(N2681:Y2681,$N$2:$Y$2)*$K2681*$L2681*$M2681</f>
        <v/>
      </c>
      <c r="AA2681" s="14">
        <f>SUM(N2681:Y2681)</f>
        <v/>
      </c>
      <c r="AB2681" s="14">
        <f>IFERROR(IF(UPPER($E2681)="L",SUMPRODUCT(N2681:Y2681,$N$3:$Y$3,$N$2:$Y$2),SUMPRODUCT(N2681:Y2681,$N$4:$Y$4,$N$2:$Y$2))/(Z2681/($K2681*$L2681*$M2681)),"")</f>
        <v/>
      </c>
      <c r="AC2681" s="18" t="n"/>
    </row>
    <row r="2682">
      <c r="A2682" s="9" t="n">
        <v>607054</v>
      </c>
      <c r="B2682" s="9" t="inlineStr">
        <is>
          <t>Jace Peterson</t>
        </is>
      </c>
      <c r="C2682" s="9" t="inlineStr">
        <is>
          <t>ARI</t>
        </is>
      </c>
      <c r="D2682" s="9" t="n">
        <v>37</v>
      </c>
      <c r="E2682" s="16" t="inlineStr">
        <is>
          <t>L</t>
        </is>
      </c>
      <c r="F2682" s="16" t="inlineStr">
        <is>
          <t>SS</t>
        </is>
      </c>
      <c r="G2682" s="9" t="n">
        <v>26</v>
      </c>
      <c r="H2682" s="9" t="n">
        <v>784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1" t="n">
        <v>1</v>
      </c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/>
      <c r="Y2682" s="17" t="n">
        <v>1</v>
      </c>
      <c r="Z2682" s="13">
        <f>SUMPRODUCT(N2682:Y2682,$N$2:$Y$2)*$K2682*$L2682*$M2682</f>
        <v/>
      </c>
      <c r="AA2682" s="14">
        <f>SUM(N2682:Y2682)</f>
        <v/>
      </c>
      <c r="AB2682" s="14">
        <f>IFERROR(IF(UPPER($E2682)="L",SUMPRODUCT(N2682:Y2682,$N$3:$Y$3,$N$2:$Y$2),SUMPRODUCT(N2682:Y2682,$N$4:$Y$4,$N$2:$Y$2))/(Z2682/($K2682*$L2682*$M2682)),"")</f>
        <v/>
      </c>
      <c r="AC2682" s="18" t="n"/>
    </row>
    <row r="2683">
      <c r="A2683" s="9" t="n">
        <v>668800</v>
      </c>
      <c r="B2683" s="9" t="inlineStr">
        <is>
          <t>Andrew Knizner</t>
        </is>
      </c>
      <c r="C2683" s="9" t="inlineStr">
        <is>
          <t>SF</t>
        </is>
      </c>
      <c r="D2683" s="9" t="n">
        <v>32</v>
      </c>
      <c r="E2683" s="16" t="inlineStr">
        <is>
          <t>R</t>
        </is>
      </c>
      <c r="F2683" s="16" t="inlineStr">
        <is>
          <t>C</t>
        </is>
      </c>
      <c r="G2683" s="9" t="n">
        <v>80</v>
      </c>
      <c r="H2683" s="9" t="n">
        <v>795</v>
      </c>
      <c r="I2683" s="9" t="inlineStr">
        <is>
          <t>Weak Side Platoon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1" t="n">
        <v>1</v>
      </c>
      <c r="N2683" s="17" t="n"/>
      <c r="O2683" s="17" t="n"/>
      <c r="P2683" s="17" t="n"/>
      <c r="Q2683" s="17" t="n">
        <v>0.6</v>
      </c>
      <c r="R2683" s="17" t="n"/>
      <c r="S2683" s="17" t="n"/>
      <c r="T2683" s="17" t="n">
        <v>0.4</v>
      </c>
      <c r="U2683" s="17" t="n"/>
      <c r="V2683" s="17" t="n"/>
      <c r="W2683" s="17" t="n"/>
      <c r="X2683" s="17" t="n"/>
      <c r="Y2683" s="17" t="n"/>
      <c r="Z2683" s="13">
        <f>SUMPRODUCT(N2683:Y2683,$N$2:$Y$2)*$K2683*$L2683*$M2683</f>
        <v/>
      </c>
      <c r="AA2683" s="14">
        <f>SUM(N2683:Y2683)</f>
        <v/>
      </c>
      <c r="AB2683" s="14">
        <f>IFERROR(IF(UPPER($E2683)="L",SUMPRODUCT(N2683:Y2683,$N$3:$Y$3,$N$2:$Y$2),SUMPRODUCT(N2683:Y2683,$N$4:$Y$4,$N$2:$Y$2))/(Z2683/($K2683*$L2683*$M2683)),"")</f>
        <v/>
      </c>
      <c r="AC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inlineStr">
        <is>
          <t>2B</t>
        </is>
      </c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1" t="n">
        <v>0.952914899484547</v>
      </c>
      <c r="N2684" s="17" t="n">
        <v>1</v>
      </c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7" t="n"/>
      <c r="Z2684" s="13">
        <f>SUMPRODUCT(N2684:Y2684,$N$2:$Y$2)*$K2684*$L2684*$M2684</f>
        <v/>
      </c>
      <c r="AA2684" s="14">
        <f>SUM(N2684:Y2684)</f>
        <v/>
      </c>
      <c r="AB2684" s="14">
        <f>IFERROR(IF(UPPER($E2684)="L",SUMPRODUCT(N2684:Y2684,$N$3:$Y$3,$N$2:$Y$2),SUMPRODUCT(N2684:Y2684,$N$4:$Y$4,$N$2:$Y$2))/(Z2684/($K2684*$L2684*$M2684)),"")</f>
        <v/>
      </c>
      <c r="AC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inlineStr">
        <is>
          <t>3B</t>
        </is>
      </c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1" t="n">
        <v>1</v>
      </c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/>
      <c r="W2685" s="17" t="n">
        <v>1</v>
      </c>
      <c r="X2685" s="17" t="n"/>
      <c r="Y2685" s="17" t="n"/>
      <c r="Z2685" s="13">
        <f>SUMPRODUCT(N2685:Y2685,$N$2:$Y$2)*$K2685*$L2685*$M2685</f>
        <v/>
      </c>
      <c r="AA2685" s="14">
        <f>SUM(N2685:Y2685)</f>
        <v/>
      </c>
      <c r="AB2685" s="14">
        <f>IFERROR(IF(UPPER($E2685)="L",SUMPRODUCT(N2685:Y2685,$N$3:$Y$3,$N$2:$Y$2),SUMPRODUCT(N2685:Y2685,$N$4:$Y$4,$N$2:$Y$2))/(Z2685/($K2685*$L2685*$M2685)),"")</f>
        <v/>
      </c>
      <c r="AC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inlineStr">
        <is>
          <t>LF</t>
        </is>
      </c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1" t="n">
        <v>1</v>
      </c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>
        <v>0.4</v>
      </c>
      <c r="W2686" s="17" t="n">
        <v>0.6</v>
      </c>
      <c r="X2686" s="17" t="n"/>
      <c r="Y2686" s="17" t="n"/>
      <c r="Z2686" s="13">
        <f>SUMPRODUCT(N2686:Y2686,$N$2:$Y$2)*$K2686*$L2686*$M2686</f>
        <v/>
      </c>
      <c r="AA2686" s="14">
        <f>SUM(N2686:Y2686)</f>
        <v/>
      </c>
      <c r="AB2686" s="14">
        <f>IFERROR(IF(UPPER($E2686)="L",SUMPRODUCT(N2686:Y2686,$N$3:$Y$3,$N$2:$Y$2),SUMPRODUCT(N2686:Y2686,$N$4:$Y$4,$N$2:$Y$2))/(Z2686/($K2686*$L2686*$M2686)),"")</f>
        <v/>
      </c>
      <c r="AC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inlineStr">
        <is>
          <t>2B</t>
        </is>
      </c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1" t="n">
        <v>1.15</v>
      </c>
      <c r="N2687" s="17" t="n">
        <v>0.62</v>
      </c>
      <c r="O2687" s="17" t="n"/>
      <c r="P2687" s="17" t="n">
        <v>0.38</v>
      </c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7" t="n"/>
      <c r="Z2687" s="13">
        <f>SUMPRODUCT(N2687:Y2687,$N$2:$Y$2)*$K2687*$L2687*$M2687</f>
        <v/>
      </c>
      <c r="AA2687" s="14">
        <f>SUM(N2687:Y2687)</f>
        <v/>
      </c>
      <c r="AB2687" s="14">
        <f>IFERROR(IF(UPPER($E2687)="L",SUMPRODUCT(N2687:Y2687,$N$3:$Y$3,$N$2:$Y$2),SUMPRODUCT(N2687:Y2687,$N$4:$Y$4,$N$2:$Y$2))/(Z2687/($K2687*$L2687*$M2687)),"")</f>
        <v/>
      </c>
      <c r="AC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1" t="n">
        <v>1</v>
      </c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/>
      <c r="Y2688" s="17" t="n">
        <v>1</v>
      </c>
      <c r="Z2688" s="13">
        <f>SUMPRODUCT(N2688:Y2688,$N$2:$Y$2)*$K2688*$L2688*$M2688</f>
        <v/>
      </c>
      <c r="AA2688" s="14">
        <f>SUM(N2688:Y2688)</f>
        <v/>
      </c>
      <c r="AB2688" s="14">
        <f>IFERROR(IF(UPPER($E2688)="L",SUMPRODUCT(N2688:Y2688,$N$3:$Y$3,$N$2:$Y$2),SUMPRODUCT(N2688:Y2688,$N$4:$Y$4,$N$2:$Y$2))/(Z2688/($K2688*$L2688*$M2688)),"")</f>
        <v/>
      </c>
      <c r="AC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inlineStr">
        <is>
          <t>RF</t>
        </is>
      </c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1" t="n">
        <v>1</v>
      </c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/>
      <c r="Y2689" s="17" t="n">
        <v>1</v>
      </c>
      <c r="Z2689" s="13">
        <f>SUMPRODUCT(N2689:Y2689,$N$2:$Y$2)*$K2689*$L2689*$M2689</f>
        <v/>
      </c>
      <c r="AA2689" s="14">
        <f>SUM(N2689:Y2689)</f>
        <v/>
      </c>
      <c r="AB2689" s="14">
        <f>IFERROR(IF(UPPER($E2689)="L",SUMPRODUCT(N2689:Y2689,$N$3:$Y$3,$N$2:$Y$2),SUMPRODUCT(N2689:Y2689,$N$4:$Y$4,$N$2:$Y$2))/(Z2689/($K2689*$L2689*$M2689)),"")</f>
        <v/>
      </c>
      <c r="AC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inlineStr">
        <is>
          <t>RF</t>
        </is>
      </c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1" t="n">
        <v>1</v>
      </c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/>
      <c r="W2690" s="17" t="n">
        <v>1</v>
      </c>
      <c r="X2690" s="17" t="n"/>
      <c r="Y2690" s="17" t="n"/>
      <c r="Z2690" s="13">
        <f>SUMPRODUCT(N2690:Y2690,$N$2:$Y$2)*$K2690*$L2690*$M2690</f>
        <v/>
      </c>
      <c r="AA2690" s="14">
        <f>SUM(N2690:Y2690)</f>
        <v/>
      </c>
      <c r="AB2690" s="14">
        <f>IFERROR(IF(UPPER($E2690)="L",SUMPRODUCT(N2690:Y2690,$N$3:$Y$3,$N$2:$Y$2),SUMPRODUCT(N2690:Y2690,$N$4:$Y$4,$N$2:$Y$2))/(Z2690/($K2690*$L2690*$M2690)),"")</f>
        <v/>
      </c>
      <c r="AC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inlineStr">
        <is>
          <t>3B</t>
        </is>
      </c>
      <c r="G2691" s="9" t="n">
        <v>354</v>
      </c>
      <c r="H2691" s="9" t="n">
        <v>2155</v>
      </c>
      <c r="I2691" s="9" t="inlineStr">
        <is>
          <t>Bench Bat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1" t="n">
        <v>1.15</v>
      </c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>
        <v>0.85</v>
      </c>
      <c r="X2691" s="17" t="n">
        <v>0.15</v>
      </c>
      <c r="Y2691" s="17" t="n"/>
      <c r="Z2691" s="13">
        <f>SUMPRODUCT(N2691:Y2691,$N$2:$Y$2)*$K2691*$L2691*$M2691</f>
        <v/>
      </c>
      <c r="AA2691" s="14">
        <f>SUM(N2691:Y2691)</f>
        <v/>
      </c>
      <c r="AB2691" s="14">
        <f>IFERROR(IF(UPPER($E2691)="L",SUMPRODUCT(N2691:Y2691,$N$3:$Y$3,$N$2:$Y$2),SUMPRODUCT(N2691:Y2691,$N$4:$Y$4,$N$2:$Y$2))/(Z2691/($K2691*$L2691*$M2691)),"")</f>
        <v/>
      </c>
      <c r="AC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inlineStr">
        <is>
          <t>CF</t>
        </is>
      </c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1" t="n">
        <v>1.032281410192107</v>
      </c>
      <c r="N2692" s="17" t="n"/>
      <c r="O2692" s="17" t="n"/>
      <c r="P2692" s="17" t="n"/>
      <c r="Q2692" s="17" t="n"/>
      <c r="R2692" s="17" t="n"/>
      <c r="S2692" s="17" t="n"/>
      <c r="T2692" s="17" t="n"/>
      <c r="U2692" s="17" t="n"/>
      <c r="V2692" s="17" t="n">
        <v>0.7</v>
      </c>
      <c r="W2692" s="17" t="n">
        <v>0.3</v>
      </c>
      <c r="X2692" s="17" t="n"/>
      <c r="Y2692" s="17" t="n"/>
      <c r="Z2692" s="13">
        <f>SUMPRODUCT(N2692:Y2692,$N$2:$Y$2)*$K2692*$L2692*$M2692</f>
        <v/>
      </c>
      <c r="AA2692" s="14">
        <f>SUM(N2692:Y2692)</f>
        <v/>
      </c>
      <c r="AB2692" s="14">
        <f>IFERROR(IF(UPPER($E2692)="L",SUMPRODUCT(N2692:Y2692,$N$3:$Y$3,$N$2:$Y$2),SUMPRODUCT(N2692:Y2692,$N$4:$Y$4,$N$2:$Y$2))/(Z2692/($K2692*$L2692*$M2692)),"")</f>
        <v/>
      </c>
      <c r="AC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inlineStr">
        <is>
          <t>LF</t>
        </is>
      </c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1" t="n">
        <v>1.15</v>
      </c>
      <c r="N2693" s="17" t="n">
        <v>0.75</v>
      </c>
      <c r="O2693" s="17" t="n"/>
      <c r="P2693" s="17" t="n">
        <v>0.25</v>
      </c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7" t="n"/>
      <c r="Z2693" s="13">
        <f>SUMPRODUCT(N2693:Y2693,$N$2:$Y$2)*$K2693*$L2693*$M2693</f>
        <v/>
      </c>
      <c r="AA2693" s="14">
        <f>SUM(N2693:Y2693)</f>
        <v/>
      </c>
      <c r="AB2693" s="14">
        <f>IFERROR(IF(UPPER($E2693)="L",SUMPRODUCT(N2693:Y2693,$N$3:$Y$3,$N$2:$Y$2),SUMPRODUCT(N2693:Y2693,$N$4:$Y$4,$N$2:$Y$2))/(Z2693/($K2693*$L2693*$M2693)),"")</f>
        <v/>
      </c>
      <c r="AC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inlineStr">
        <is>
          <t>LF</t>
        </is>
      </c>
      <c r="G2694" s="9" t="n">
        <v>503</v>
      </c>
      <c r="H2694" s="9" t="n">
        <v>1461</v>
      </c>
      <c r="I2694" s="9" t="inlineStr">
        <is>
          <t>Bench Bat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1" t="n">
        <v>1.15</v>
      </c>
      <c r="N2694" s="17" t="n"/>
      <c r="O2694" s="17" t="n"/>
      <c r="P2694" s="17" t="n"/>
      <c r="Q2694" s="17" t="n"/>
      <c r="R2694" s="17" t="n"/>
      <c r="S2694" s="17" t="n"/>
      <c r="T2694" s="17" t="n"/>
      <c r="U2694" s="17" t="n">
        <v>0.4</v>
      </c>
      <c r="V2694" s="17" t="n"/>
      <c r="W2694" s="17" t="n">
        <v>0.6</v>
      </c>
      <c r="X2694" s="17" t="n"/>
      <c r="Y2694" s="17" t="n"/>
      <c r="Z2694" s="13">
        <f>SUMPRODUCT(N2694:Y2694,$N$2:$Y$2)*$K2694*$L2694*$M2694</f>
        <v/>
      </c>
      <c r="AA2694" s="14">
        <f>SUM(N2694:Y2694)</f>
        <v/>
      </c>
      <c r="AB2694" s="14">
        <f>IFERROR(IF(UPPER($E2694)="L",SUMPRODUCT(N2694:Y2694,$N$3:$Y$3,$N$2:$Y$2),SUMPRODUCT(N2694:Y2694,$N$4:$Y$4,$N$2:$Y$2))/(Z2694/($K2694*$L2694*$M2694)),"")</f>
        <v/>
      </c>
      <c r="AC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inlineStr">
        <is>
          <t>RF</t>
        </is>
      </c>
      <c r="G2695" s="9" t="n">
        <v>449</v>
      </c>
      <c r="H2695" s="9" t="n">
        <v>570</v>
      </c>
      <c r="I2695" s="9" t="inlineStr">
        <is>
          <t>Bench Bat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1" t="n">
        <v>1.0698432633277</v>
      </c>
      <c r="N2695" s="17" t="n"/>
      <c r="O2695" s="17" t="n"/>
      <c r="P2695" s="17" t="n"/>
      <c r="Q2695" s="17" t="n"/>
      <c r="R2695" s="17" t="n"/>
      <c r="S2695" s="17" t="n"/>
      <c r="T2695" s="17" t="n"/>
      <c r="U2695" s="17" t="n">
        <v>0.4</v>
      </c>
      <c r="V2695" s="17" t="n"/>
      <c r="W2695" s="17" t="n">
        <v>0.6</v>
      </c>
      <c r="X2695" s="17" t="n"/>
      <c r="Y2695" s="17" t="n"/>
      <c r="Z2695" s="13">
        <f>SUMPRODUCT(N2695:Y2695,$N$2:$Y$2)*$K2695*$L2695*$M2695</f>
        <v/>
      </c>
      <c r="AA2695" s="14">
        <f>SUM(N2695:Y2695)</f>
        <v/>
      </c>
      <c r="AB2695" s="14">
        <f>IFERROR(IF(UPPER($E2695)="L",SUMPRODUCT(N2695:Y2695,$N$3:$Y$3,$N$2:$Y$2),SUMPRODUCT(N2695:Y2695,$N$4:$Y$4,$N$2:$Y$2))/(Z2695/($K2695*$L2695*$M2695)),"")</f>
        <v/>
      </c>
      <c r="AC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inlineStr">
        <is>
          <t>RF</t>
        </is>
      </c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1" t="n">
        <v>0.6439569231668889</v>
      </c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/>
      <c r="Y2696" s="17" t="n">
        <v>1</v>
      </c>
      <c r="Z2696" s="13">
        <f>SUMPRODUCT(N2696:Y2696,$N$2:$Y$2)*$K2696*$L2696*$M2696</f>
        <v/>
      </c>
      <c r="AA2696" s="14">
        <f>SUM(N2696:Y2696)</f>
        <v/>
      </c>
      <c r="AB2696" s="14">
        <f>IFERROR(IF(UPPER($E2696)="L",SUMPRODUCT(N2696:Y2696,$N$3:$Y$3,$N$2:$Y$2),SUMPRODUCT(N2696:Y2696,$N$4:$Y$4,$N$2:$Y$2))/(Z2696/($K2696*$L2696*$M2696)),"")</f>
        <v/>
      </c>
      <c r="AC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1" t="n">
        <v>1</v>
      </c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/>
      <c r="Y2697" s="17" t="n">
        <v>1</v>
      </c>
      <c r="Z2697" s="13">
        <f>SUMPRODUCT(N2697:Y2697,$N$2:$Y$2)*$K2697*$L2697*$M2697</f>
        <v/>
      </c>
      <c r="AA2697" s="14">
        <f>SUM(N2697:Y2697)</f>
        <v/>
      </c>
      <c r="AB2697" s="14">
        <f>IFERROR(IF(UPPER($E2697)="L",SUMPRODUCT(N2697:Y2697,$N$3:$Y$3,$N$2:$Y$2),SUMPRODUCT(N2697:Y2697,$N$4:$Y$4,$N$2:$Y$2))/(Z2697/($K2697*$L2697*$M2697)),"")</f>
        <v/>
      </c>
      <c r="AC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inlineStr">
        <is>
          <t>1B</t>
        </is>
      </c>
      <c r="G2698" s="9" t="n">
        <v>195</v>
      </c>
      <c r="H2698" s="9" t="n">
        <v>195</v>
      </c>
      <c r="I2698" s="9" t="inlineStr">
        <is>
          <t>Weak Side Platoon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1" t="n">
        <v>1</v>
      </c>
      <c r="N2698" s="17" t="n"/>
      <c r="O2698" s="17" t="n"/>
      <c r="P2698" s="17" t="n"/>
      <c r="Q2698" s="17" t="n">
        <v>0.6</v>
      </c>
      <c r="R2698" s="17" t="n"/>
      <c r="S2698" s="17" t="n"/>
      <c r="T2698" s="17" t="n"/>
      <c r="U2698" s="17" t="n">
        <v>0.4</v>
      </c>
      <c r="V2698" s="17" t="n"/>
      <c r="W2698" s="17" t="n"/>
      <c r="X2698" s="17" t="n"/>
      <c r="Y2698" s="17" t="n"/>
      <c r="Z2698" s="13">
        <f>SUMPRODUCT(N2698:Y2698,$N$2:$Y$2)*$K2698*$L2698*$M2698</f>
        <v/>
      </c>
      <c r="AA2698" s="14">
        <f>SUM(N2698:Y2698)</f>
        <v/>
      </c>
      <c r="AB2698" s="14">
        <f>IFERROR(IF(UPPER($E2698)="L",SUMPRODUCT(N2698:Y2698,$N$3:$Y$3,$N$2:$Y$2),SUMPRODUCT(N2698:Y2698,$N$4:$Y$4,$N$2:$Y$2))/(Z2698/($K2698*$L2698*$M2698)),"")</f>
        <v/>
      </c>
      <c r="AC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inlineStr">
        <is>
          <t>CF</t>
        </is>
      </c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1" t="n">
        <v>0.8398239654149815</v>
      </c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/>
      <c r="W2699" s="17" t="n">
        <v>1</v>
      </c>
      <c r="X2699" s="17" t="n"/>
      <c r="Y2699" s="17" t="n"/>
      <c r="Z2699" s="13">
        <f>SUMPRODUCT(N2699:Y2699,$N$2:$Y$2)*$K2699*$L2699*$M2699</f>
        <v/>
      </c>
      <c r="AA2699" s="14">
        <f>SUM(N2699:Y2699)</f>
        <v/>
      </c>
      <c r="AB2699" s="14">
        <f>IFERROR(IF(UPPER($E2699)="L",SUMPRODUCT(N2699:Y2699,$N$3:$Y$3,$N$2:$Y$2),SUMPRODUCT(N2699:Y2699,$N$4:$Y$4,$N$2:$Y$2))/(Z2699/($K2699*$L2699*$M2699)),"")</f>
        <v/>
      </c>
      <c r="AC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inlineStr">
        <is>
          <t>RF</t>
        </is>
      </c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1" t="n">
        <v>1</v>
      </c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/>
      <c r="Y2700" s="17" t="n">
        <v>1</v>
      </c>
      <c r="Z2700" s="13">
        <f>SUMPRODUCT(N2700:Y2700,$N$2:$Y$2)*$K2700*$L2700*$M2700</f>
        <v/>
      </c>
      <c r="AA2700" s="14">
        <f>SUM(N2700:Y2700)</f>
        <v/>
      </c>
      <c r="AB2700" s="14">
        <f>IFERROR(IF(UPPER($E2700)="L",SUMPRODUCT(N2700:Y2700,$N$3:$Y$3,$N$2:$Y$2),SUMPRODUCT(N2700:Y2700,$N$4:$Y$4,$N$2:$Y$2))/(Z2700/($K2700*$L2700*$M2700)),"")</f>
        <v/>
      </c>
      <c r="AC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1" t="n">
        <v>1</v>
      </c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/>
      <c r="Y2701" s="17" t="n">
        <v>1</v>
      </c>
      <c r="Z2701" s="13">
        <f>SUMPRODUCT(N2701:Y2701,$N$2:$Y$2)*$K2701*$L2701*$M2701</f>
        <v/>
      </c>
      <c r="AA2701" s="14">
        <f>SUM(N2701:Y2701)</f>
        <v/>
      </c>
      <c r="AB2701" s="14">
        <f>IFERROR(IF(UPPER($E2701)="L",SUMPRODUCT(N2701:Y2701,$N$3:$Y$3,$N$2:$Y$2),SUMPRODUCT(N2701:Y2701,$N$4:$Y$4,$N$2:$Y$2))/(Z2701/($K2701*$L2701*$M2701)),"")</f>
        <v/>
      </c>
      <c r="AC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inlineStr">
        <is>
          <t>2B</t>
        </is>
      </c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1" t="n">
        <v>1</v>
      </c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/>
      <c r="Y2702" s="17" t="n">
        <v>1</v>
      </c>
      <c r="Z2702" s="13">
        <f>SUMPRODUCT(N2702:Y2702,$N$2:$Y$2)*$K2702*$L2702*$M2702</f>
        <v/>
      </c>
      <c r="AA2702" s="14">
        <f>SUM(N2702:Y2702)</f>
        <v/>
      </c>
      <c r="AB2702" s="14">
        <f>IFERROR(IF(UPPER($E2702)="L",SUMPRODUCT(N2702:Y2702,$N$3:$Y$3,$N$2:$Y$2),SUMPRODUCT(N2702:Y2702,$N$4:$Y$4,$N$2:$Y$2))/(Z2702/($K2702*$L2702*$M2702)),"")</f>
        <v/>
      </c>
      <c r="AC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inlineStr">
        <is>
          <t>1B</t>
        </is>
      </c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1" t="n">
        <v>1</v>
      </c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/>
      <c r="W2703" s="17" t="n">
        <v>1</v>
      </c>
      <c r="X2703" s="17" t="n"/>
      <c r="Y2703" s="17" t="n"/>
      <c r="Z2703" s="13">
        <f>SUMPRODUCT(N2703:Y2703,$N$2:$Y$2)*$K2703*$L2703*$M2703</f>
        <v/>
      </c>
      <c r="AA2703" s="14">
        <f>SUM(N2703:Y2703)</f>
        <v/>
      </c>
      <c r="AB2703" s="14">
        <f>IFERROR(IF(UPPER($E2703)="L",SUMPRODUCT(N2703:Y2703,$N$3:$Y$3,$N$2:$Y$2),SUMPRODUCT(N2703:Y2703,$N$4:$Y$4,$N$2:$Y$2))/(Z2703/($K2703*$L2703*$M2703)),"")</f>
        <v/>
      </c>
      <c r="AC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inlineStr">
        <is>
          <t>SS</t>
        </is>
      </c>
      <c r="G2704" s="9" t="n">
        <v>532</v>
      </c>
      <c r="H2704" s="9" t="n">
        <v>1843</v>
      </c>
      <c r="I2704" s="9" t="inlineStr">
        <is>
          <t>Bench Bat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1" t="n">
        <v>1.15</v>
      </c>
      <c r="N2704" s="17" t="n">
        <v>0.4</v>
      </c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>
        <v>0.6</v>
      </c>
      <c r="X2704" s="17" t="n"/>
      <c r="Y2704" s="17" t="n"/>
      <c r="Z2704" s="13">
        <f>SUMPRODUCT(N2704:Y2704,$N$2:$Y$2)*$K2704*$L2704*$M2704</f>
        <v/>
      </c>
      <c r="AA2704" s="14">
        <f>SUM(N2704:Y2704)</f>
        <v/>
      </c>
      <c r="AB2704" s="14">
        <f>IFERROR(IF(UPPER($E2704)="L",SUMPRODUCT(N2704:Y2704,$N$3:$Y$3,$N$2:$Y$2),SUMPRODUCT(N2704:Y2704,$N$4:$Y$4,$N$2:$Y$2))/(Z2704/($K2704*$L2704*$M2704)),"")</f>
        <v/>
      </c>
      <c r="AC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inlineStr">
        <is>
          <t>2B</t>
        </is>
      </c>
      <c r="G2705" s="9" t="n">
        <v>266</v>
      </c>
      <c r="H2705" s="9" t="n">
        <v>266</v>
      </c>
      <c r="I2705" s="9" t="inlineStr">
        <is>
          <t>Utility IF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1" t="n">
        <v>1</v>
      </c>
      <c r="N2705" s="17" t="n"/>
      <c r="O2705" s="17" t="n"/>
      <c r="P2705" s="17" t="n"/>
      <c r="Q2705" s="17" t="n"/>
      <c r="R2705" s="17" t="n"/>
      <c r="S2705" s="17" t="n"/>
      <c r="T2705" s="17" t="n"/>
      <c r="U2705" s="17" t="n">
        <v>0.7</v>
      </c>
      <c r="V2705" s="17" t="n"/>
      <c r="W2705" s="17" t="n">
        <v>0.3</v>
      </c>
      <c r="X2705" s="17" t="n"/>
      <c r="Y2705" s="17" t="n"/>
      <c r="Z2705" s="13">
        <f>SUMPRODUCT(N2705:Y2705,$N$2:$Y$2)*$K2705*$L2705*$M2705</f>
        <v/>
      </c>
      <c r="AA2705" s="14">
        <f>SUM(N2705:Y2705)</f>
        <v/>
      </c>
      <c r="AB2705" s="14">
        <f>IFERROR(IF(UPPER($E2705)="L",SUMPRODUCT(N2705:Y2705,$N$3:$Y$3,$N$2:$Y$2),SUMPRODUCT(N2705:Y2705,$N$4:$Y$4,$N$2:$Y$2))/(Z2705/($K2705*$L2705*$M2705)),"")</f>
        <v/>
      </c>
      <c r="AC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inlineStr">
        <is>
          <t>SS</t>
        </is>
      </c>
      <c r="G2706" s="9" t="n">
        <v>80</v>
      </c>
      <c r="H2706" s="9" t="n">
        <v>80</v>
      </c>
      <c r="I2706" s="9" t="inlineStr">
        <is>
          <t>Full Time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1" t="n">
        <v>1</v>
      </c>
      <c r="N2706" s="17" t="n">
        <v>0.58</v>
      </c>
      <c r="O2706" s="17" t="n"/>
      <c r="P2706" s="17" t="n">
        <v>0.42</v>
      </c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7" t="n"/>
      <c r="Z2706" s="13">
        <f>SUMPRODUCT(N2706:Y2706,$N$2:$Y$2)*$K2706*$L2706*$M2706</f>
        <v/>
      </c>
      <c r="AA2706" s="14">
        <f>SUM(N2706:Y2706)</f>
        <v/>
      </c>
      <c r="AB2706" s="14">
        <f>IFERROR(IF(UPPER($E2706)="L",SUMPRODUCT(N2706:Y2706,$N$3:$Y$3,$N$2:$Y$2),SUMPRODUCT(N2706:Y2706,$N$4:$Y$4,$N$2:$Y$2))/(Z2706/($K2706*$L2706*$M2706)),"")</f>
        <v/>
      </c>
      <c r="AC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inlineStr">
        <is>
          <t>2B</t>
        </is>
      </c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1" t="n">
        <v>1.15</v>
      </c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/>
      <c r="Y2707" s="17" t="n">
        <v>1</v>
      </c>
      <c r="Z2707" s="13">
        <f>SUMPRODUCT(N2707:Y2707,$N$2:$Y$2)*$K2707*$L2707*$M2707</f>
        <v/>
      </c>
      <c r="AA2707" s="14">
        <f>SUM(N2707:Y2707)</f>
        <v/>
      </c>
      <c r="AB2707" s="14">
        <f>IFERROR(IF(UPPER($E2707)="L",SUMPRODUCT(N2707:Y2707,$N$3:$Y$3,$N$2:$Y$2),SUMPRODUCT(N2707:Y2707,$N$4:$Y$4,$N$2:$Y$2))/(Z2707/($K2707*$L2707*$M2707)),"")</f>
        <v/>
      </c>
      <c r="AC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1" t="n">
        <v>1</v>
      </c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/>
      <c r="Y2708" s="17" t="n">
        <v>1</v>
      </c>
      <c r="Z2708" s="13">
        <f>SUMPRODUCT(N2708:Y2708,$N$2:$Y$2)*$K2708*$L2708*$M2708</f>
        <v/>
      </c>
      <c r="AA2708" s="14">
        <f>SUM(N2708:Y2708)</f>
        <v/>
      </c>
      <c r="AB2708" s="14">
        <f>IFERROR(IF(UPPER($E2708)="L",SUMPRODUCT(N2708:Y2708,$N$3:$Y$3,$N$2:$Y$2),SUMPRODUCT(N2708:Y2708,$N$4:$Y$4,$N$2:$Y$2))/(Z2708/($K2708*$L2708*$M2708)),"")</f>
        <v/>
      </c>
      <c r="AC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inlineStr">
        <is>
          <t>C</t>
        </is>
      </c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1" t="n">
        <v>1</v>
      </c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/>
      <c r="Y2709" s="17" t="n">
        <v>1</v>
      </c>
      <c r="Z2709" s="13">
        <f>SUMPRODUCT(N2709:Y2709,$N$2:$Y$2)*$K2709*$L2709*$M2709</f>
        <v/>
      </c>
      <c r="AA2709" s="14">
        <f>SUM(N2709:Y2709)</f>
        <v/>
      </c>
      <c r="AB2709" s="14">
        <f>IFERROR(IF(UPPER($E2709)="L",SUMPRODUCT(N2709:Y2709,$N$3:$Y$3,$N$2:$Y$2),SUMPRODUCT(N2709:Y2709,$N$4:$Y$4,$N$2:$Y$2))/(Z2709/($K2709*$L2709*$M2709)),"")</f>
        <v/>
      </c>
      <c r="AC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inlineStr">
        <is>
          <t>3B</t>
        </is>
      </c>
      <c r="G2710" s="9" t="n">
        <v>387</v>
      </c>
      <c r="H2710" s="9" t="n">
        <v>937</v>
      </c>
      <c r="I2710" s="9" t="inlineStr">
        <is>
          <t>Bench Bat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1" t="n">
        <v>1.135440279777575</v>
      </c>
      <c r="N2710" s="17" t="n"/>
      <c r="O2710" s="17" t="n"/>
      <c r="P2710" s="17" t="n"/>
      <c r="Q2710" s="17" t="n"/>
      <c r="R2710" s="17" t="n"/>
      <c r="S2710" s="17" t="n"/>
      <c r="T2710" s="17" t="n"/>
      <c r="U2710" s="17" t="n">
        <v>0.4</v>
      </c>
      <c r="V2710" s="17" t="n"/>
      <c r="W2710" s="17" t="n">
        <v>0.6</v>
      </c>
      <c r="X2710" s="17" t="n"/>
      <c r="Y2710" s="17" t="n"/>
      <c r="Z2710" s="13">
        <f>SUMPRODUCT(N2710:Y2710,$N$2:$Y$2)*$K2710*$L2710*$M2710</f>
        <v/>
      </c>
      <c r="AA2710" s="14">
        <f>SUM(N2710:Y2710)</f>
        <v/>
      </c>
      <c r="AB2710" s="14">
        <f>IFERROR(IF(UPPER($E2710)="L",SUMPRODUCT(N2710:Y2710,$N$3:$Y$3,$N$2:$Y$2),SUMPRODUCT(N2710:Y2710,$N$4:$Y$4,$N$2:$Y$2))/(Z2710/($K2710*$L2710*$M2710)),"")</f>
        <v/>
      </c>
      <c r="AC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inlineStr">
        <is>
          <t>LF</t>
        </is>
      </c>
      <c r="G2711" s="9" t="n">
        <v>77</v>
      </c>
      <c r="H2711" s="9" t="n">
        <v>77</v>
      </c>
      <c r="I2711" s="9" t="inlineStr">
        <is>
          <t>Injury Replacement / 26th Man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1" t="n">
        <v>1</v>
      </c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/>
      <c r="X2711" s="17" t="n">
        <v>1</v>
      </c>
      <c r="Y2711" s="17" t="n"/>
      <c r="Z2711" s="13">
        <f>SUMPRODUCT(N2711:Y2711,$N$2:$Y$2)*$K2711*$L2711*$M2711</f>
        <v/>
      </c>
      <c r="AA2711" s="14">
        <f>SUM(N2711:Y2711)</f>
        <v/>
      </c>
      <c r="AB2711" s="14">
        <f>IFERROR(IF(UPPER($E2711)="L",SUMPRODUCT(N2711:Y2711,$N$3:$Y$3,$N$2:$Y$2),SUMPRODUCT(N2711:Y2711,$N$4:$Y$4,$N$2:$Y$2))/(Z2711/($K2711*$L2711*$M2711)),"")</f>
        <v/>
      </c>
      <c r="AC2711" s="18" t="n"/>
    </row>
    <row r="2712">
      <c r="A2712" s="9" t="n">
        <v>542963</v>
      </c>
      <c r="B2712" s="9" t="inlineStr">
        <is>
          <t>Rob Brantly</t>
        </is>
      </c>
      <c r="C2712" s="9" t="inlineStr">
        <is>
          <t>MIA</t>
        </is>
      </c>
      <c r="D2712" s="9" t="n">
        <v>37</v>
      </c>
      <c r="E2712" s="16" t="inlineStr">
        <is>
          <t>L</t>
        </is>
      </c>
      <c r="F2712" s="16" t="inlineStr">
        <is>
          <t>C</t>
        </is>
      </c>
      <c r="G2712" s="9" t="n">
        <v>7</v>
      </c>
      <c r="H2712" s="9" t="n">
        <v>19</v>
      </c>
      <c r="I2712" s="9" t="inlineStr">
        <is>
          <t>Depth (no MLB PA)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1" t="n">
        <v>1</v>
      </c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/>
      <c r="Y2712" s="17" t="n">
        <v>1</v>
      </c>
      <c r="Z2712" s="13">
        <f>SUMPRODUCT(N2712:Y2712,$N$2:$Y$2)*$K2712*$L2712*$M2712</f>
        <v/>
      </c>
      <c r="AA2712" s="14">
        <f>SUM(N2712:Y2712)</f>
        <v/>
      </c>
      <c r="AB2712" s="14">
        <f>IFERROR(IF(UPPER($E2712)="L",SUMPRODUCT(N2712:Y2712,$N$3:$Y$3,$N$2:$Y$2),SUMPRODUCT(N2712:Y2712,$N$4:$Y$4,$N$2:$Y$2))/(Z2712/($K2712*$L2712*$M2712)),"")</f>
        <v/>
      </c>
      <c r="AC2712" s="18" t="n"/>
    </row>
    <row r="2713">
      <c r="A2713" s="9" t="n">
        <v>687478</v>
      </c>
      <c r="B2713" s="9" t="inlineStr">
        <is>
          <t>Cam Devanney</t>
        </is>
      </c>
      <c r="C2713" s="9" t="inlineStr">
        <is>
          <t>PIT</t>
        </is>
      </c>
      <c r="D2713" s="9" t="n">
        <v>30</v>
      </c>
      <c r="E2713" s="16" t="inlineStr">
        <is>
          <t>R</t>
        </is>
      </c>
      <c r="F2713" s="16" t="inlineStr">
        <is>
          <t>3B</t>
        </is>
      </c>
      <c r="G2713" s="9" t="n">
        <v>38</v>
      </c>
      <c r="H2713" s="9" t="n">
        <v>38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1" t="n">
        <v>1</v>
      </c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/>
      <c r="W2713" s="17" t="n">
        <v>1</v>
      </c>
      <c r="X2713" s="17" t="n"/>
      <c r="Y2713" s="17" t="n"/>
      <c r="Z2713" s="13">
        <f>SUMPRODUCT(N2713:Y2713,$N$2:$Y$2)*$K2713*$L2713*$M2713</f>
        <v/>
      </c>
      <c r="AA2713" s="14">
        <f>SUM(N2713:Y2713)</f>
        <v/>
      </c>
      <c r="AB2713" s="14">
        <f>IFERROR(IF(UPPER($E2713)="L",SUMPRODUCT(N2713:Y2713,$N$3:$Y$3,$N$2:$Y$2),SUMPRODUCT(N2713:Y2713,$N$4:$Y$4,$N$2:$Y$2))/(Z2713/($K2713*$L2713*$M2713)),"")</f>
        <v/>
      </c>
      <c r="AC2713" s="18" t="n"/>
    </row>
    <row r="2714">
      <c r="A2714" s="9" t="n">
        <v>666150</v>
      </c>
      <c r="B2714" s="9" t="inlineStr">
        <is>
          <t>Dominic Fletcher</t>
        </is>
      </c>
      <c r="C2714" s="9" t="inlineStr">
        <is>
          <t>CWS</t>
        </is>
      </c>
      <c r="D2714" s="9" t="n">
        <v>29</v>
      </c>
      <c r="E2714" s="16" t="inlineStr">
        <is>
          <t>L</t>
        </is>
      </c>
      <c r="F2714" s="16" t="inlineStr">
        <is>
          <t>RF</t>
        </is>
      </c>
      <c r="G2714" s="9" t="n">
        <v>34</v>
      </c>
      <c r="H2714" s="9" t="n">
        <v>377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1" t="n">
        <v>1</v>
      </c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/>
      <c r="W2714" s="17" t="n">
        <v>1</v>
      </c>
      <c r="X2714" s="17" t="n"/>
      <c r="Y2714" s="17" t="n"/>
      <c r="Z2714" s="13">
        <f>SUMPRODUCT(N2714:Y2714,$N$2:$Y$2)*$K2714*$L2714*$M2714</f>
        <v/>
      </c>
      <c r="AA2714" s="14">
        <f>SUM(N2714:Y2714)</f>
        <v/>
      </c>
      <c r="AB2714" s="14">
        <f>IFERROR(IF(UPPER($E2714)="L",SUMPRODUCT(N2714:Y2714,$N$3:$Y$3,$N$2:$Y$2),SUMPRODUCT(N2714:Y2714,$N$4:$Y$4,$N$2:$Y$2))/(Z2714/($K2714*$L2714*$M2714)),"")</f>
        <v/>
      </c>
      <c r="AC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inlineStr">
        <is>
          <t>C</t>
        </is>
      </c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1" t="n">
        <v>1</v>
      </c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/>
      <c r="Y2715" s="17" t="n">
        <v>1</v>
      </c>
      <c r="Z2715" s="13">
        <f>SUMPRODUCT(N2715:Y2715,$N$2:$Y$2)*$K2715*$L2715*$M2715</f>
        <v/>
      </c>
      <c r="AA2715" s="14">
        <f>SUM(N2715:Y2715)</f>
        <v/>
      </c>
      <c r="AB2715" s="14">
        <f>IFERROR(IF(UPPER($E2715)="L",SUMPRODUCT(N2715:Y2715,$N$3:$Y$3,$N$2:$Y$2),SUMPRODUCT(N2715:Y2715,$N$4:$Y$4,$N$2:$Y$2))/(Z2715/($K2715*$L2715*$M2715)),"")</f>
        <v/>
      </c>
      <c r="AC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inlineStr">
        <is>
          <t>3B</t>
        </is>
      </c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1" t="n">
        <v>1</v>
      </c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/>
      <c r="Y2716" s="17" t="n">
        <v>1</v>
      </c>
      <c r="Z2716" s="13">
        <f>SUMPRODUCT(N2716:Y2716,$N$2:$Y$2)*$K2716*$L2716*$M2716</f>
        <v/>
      </c>
      <c r="AA2716" s="14">
        <f>SUM(N2716:Y2716)</f>
        <v/>
      </c>
      <c r="AB2716" s="14">
        <f>IFERROR(IF(UPPER($E2716)="L",SUMPRODUCT(N2716:Y2716,$N$3:$Y$3,$N$2:$Y$2),SUMPRODUCT(N2716:Y2716,$N$4:$Y$4,$N$2:$Y$2))/(Z2716/($K2716*$L2716*$M2716)),"")</f>
        <v/>
      </c>
      <c r="AC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inlineStr">
        <is>
          <t>3B</t>
        </is>
      </c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1" t="n">
        <v>1</v>
      </c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/>
      <c r="W2717" s="17" t="n">
        <v>0.85</v>
      </c>
      <c r="X2717" s="17" t="n">
        <v>0.15</v>
      </c>
      <c r="Y2717" s="17" t="n"/>
      <c r="Z2717" s="13">
        <f>SUMPRODUCT(N2717:Y2717,$N$2:$Y$2)*$K2717*$L2717*$M2717</f>
        <v/>
      </c>
      <c r="AA2717" s="14">
        <f>SUM(N2717:Y2717)</f>
        <v/>
      </c>
      <c r="AB2717" s="14">
        <f>IFERROR(IF(UPPER($E2717)="L",SUMPRODUCT(N2717:Y2717,$N$3:$Y$3,$N$2:$Y$2),SUMPRODUCT(N2717:Y2717,$N$4:$Y$4,$N$2:$Y$2))/(Z2717/($K2717*$L2717*$M2717)),"")</f>
        <v/>
      </c>
      <c r="AC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inlineStr">
        <is>
          <t>RF</t>
        </is>
      </c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1" t="n">
        <v>1</v>
      </c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>
        <v>0.4</v>
      </c>
      <c r="W2718" s="17" t="n">
        <v>0.6</v>
      </c>
      <c r="X2718" s="17" t="n"/>
      <c r="Y2718" s="17" t="n"/>
      <c r="Z2718" s="13">
        <f>SUMPRODUCT(N2718:Y2718,$N$2:$Y$2)*$K2718*$L2718*$M2718</f>
        <v/>
      </c>
      <c r="AA2718" s="14">
        <f>SUM(N2718:Y2718)</f>
        <v/>
      </c>
      <c r="AB2718" s="14">
        <f>IFERROR(IF(UPPER($E2718)="L",SUMPRODUCT(N2718:Y2718,$N$3:$Y$3,$N$2:$Y$2),SUMPRODUCT(N2718:Y2718,$N$4:$Y$4,$N$2:$Y$2))/(Z2718/($K2718*$L2718*$M2718)),"")</f>
        <v/>
      </c>
      <c r="AC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inlineStr">
        <is>
          <t>1B</t>
        </is>
      </c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1" t="n">
        <v>1</v>
      </c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/>
      <c r="W2719" s="17" t="n">
        <v>1</v>
      </c>
      <c r="X2719" s="17" t="n"/>
      <c r="Y2719" s="17" t="n"/>
      <c r="Z2719" s="13">
        <f>SUMPRODUCT(N2719:Y2719,$N$2:$Y$2)*$K2719*$L2719*$M2719</f>
        <v/>
      </c>
      <c r="AA2719" s="14">
        <f>SUM(N2719:Y2719)</f>
        <v/>
      </c>
      <c r="AB2719" s="14">
        <f>IFERROR(IF(UPPER($E2719)="L",SUMPRODUCT(N2719:Y2719,$N$3:$Y$3,$N$2:$Y$2),SUMPRODUCT(N2719:Y2719,$N$4:$Y$4,$N$2:$Y$2))/(Z2719/($K2719*$L2719*$M2719)),"")</f>
        <v/>
      </c>
      <c r="AC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inlineStr">
        <is>
          <t>RF</t>
        </is>
      </c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1" t="n">
        <v>1.042646830327862</v>
      </c>
      <c r="N2720" s="17" t="n">
        <v>1</v>
      </c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7" t="n"/>
      <c r="Z2720" s="13">
        <f>SUMPRODUCT(N2720:Y2720,$N$2:$Y$2)*$K2720*$L2720*$M2720</f>
        <v/>
      </c>
      <c r="AA2720" s="14">
        <f>SUM(N2720:Y2720)</f>
        <v/>
      </c>
      <c r="AB2720" s="14">
        <f>IFERROR(IF(UPPER($E2720)="L",SUMPRODUCT(N2720:Y2720,$N$3:$Y$3,$N$2:$Y$2),SUMPRODUCT(N2720:Y2720,$N$4:$Y$4,$N$2:$Y$2))/(Z2720/($K2720*$L2720*$M2720)),"")</f>
        <v/>
      </c>
      <c r="AC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inlineStr">
        <is>
          <t>3B</t>
        </is>
      </c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1" t="n">
        <v>1.03584719634993</v>
      </c>
      <c r="N2721" s="17" t="n">
        <v>0.85</v>
      </c>
      <c r="O2721" s="17" t="n"/>
      <c r="P2721" s="17" t="n">
        <v>0.15</v>
      </c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7" t="n"/>
      <c r="Z2721" s="13">
        <f>SUMPRODUCT(N2721:Y2721,$N$2:$Y$2)*$K2721*$L2721*$M2721</f>
        <v/>
      </c>
      <c r="AA2721" s="14">
        <f>SUM(N2721:Y2721)</f>
        <v/>
      </c>
      <c r="AB2721" s="14">
        <f>IFERROR(IF(UPPER($E2721)="L",SUMPRODUCT(N2721:Y2721,$N$3:$Y$3,$N$2:$Y$2),SUMPRODUCT(N2721:Y2721,$N$4:$Y$4,$N$2:$Y$2))/(Z2721/($K2721*$L2721*$M2721)),"")</f>
        <v/>
      </c>
      <c r="AC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inlineStr">
        <is>
          <t>C</t>
        </is>
      </c>
      <c r="G2722" s="9" t="n">
        <v>39</v>
      </c>
      <c r="H2722" s="9" t="n">
        <v>365</v>
      </c>
      <c r="I2722" s="9" t="inlineStr">
        <is>
          <t>Catcher - Backup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1" t="n">
        <v>1</v>
      </c>
      <c r="N2722" s="17" t="n"/>
      <c r="O2722" s="17" t="n"/>
      <c r="P2722" s="17" t="n"/>
      <c r="Q2722" s="17" t="n"/>
      <c r="R2722" s="17" t="n"/>
      <c r="S2722" s="17" t="n"/>
      <c r="T2722" s="17" t="n">
        <v>1</v>
      </c>
      <c r="U2722" s="17" t="n"/>
      <c r="V2722" s="17" t="n"/>
      <c r="W2722" s="17" t="n"/>
      <c r="X2722" s="17" t="n"/>
      <c r="Y2722" s="17" t="n"/>
      <c r="Z2722" s="13">
        <f>SUMPRODUCT(N2722:Y2722,$N$2:$Y$2)*$K2722*$L2722*$M2722</f>
        <v/>
      </c>
      <c r="AA2722" s="14">
        <f>SUM(N2722:Y2722)</f>
        <v/>
      </c>
      <c r="AB2722" s="14">
        <f>IFERROR(IF(UPPER($E2722)="L",SUMPRODUCT(N2722:Y2722,$N$3:$Y$3,$N$2:$Y$2),SUMPRODUCT(N2722:Y2722,$N$4:$Y$4,$N$2:$Y$2))/(Z2722/($K2722*$L2722*$M2722)),"")</f>
        <v/>
      </c>
      <c r="AC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inlineStr">
        <is>
          <t>3B</t>
        </is>
      </c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1" t="n">
        <v>0.8855378284607435</v>
      </c>
      <c r="N2723" s="17" t="n"/>
      <c r="O2723" s="17" t="n"/>
      <c r="P2723" s="17" t="n"/>
      <c r="Q2723" s="17" t="n"/>
      <c r="R2723" s="17" t="n"/>
      <c r="S2723" s="17" t="n"/>
      <c r="T2723" s="17" t="n"/>
      <c r="U2723" s="17" t="n">
        <v>0.4</v>
      </c>
      <c r="V2723" s="17" t="n"/>
      <c r="W2723" s="17" t="n">
        <v>0.6</v>
      </c>
      <c r="X2723" s="17" t="n"/>
      <c r="Y2723" s="17" t="n"/>
      <c r="Z2723" s="13">
        <f>SUMPRODUCT(N2723:Y2723,$N$2:$Y$2)*$K2723*$L2723*$M2723</f>
        <v/>
      </c>
      <c r="AA2723" s="14">
        <f>SUM(N2723:Y2723)</f>
        <v/>
      </c>
      <c r="AB2723" s="14">
        <f>IFERROR(IF(UPPER($E2723)="L",SUMPRODUCT(N2723:Y2723,$N$3:$Y$3,$N$2:$Y$2),SUMPRODUCT(N2723:Y2723,$N$4:$Y$4,$N$2:$Y$2))/(Z2723/($K2723*$L2723*$M2723)),"")</f>
        <v/>
      </c>
      <c r="AC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inlineStr">
        <is>
          <t>3B</t>
        </is>
      </c>
      <c r="G2724" s="9" t="n">
        <v>242</v>
      </c>
      <c r="H2724" s="9" t="n">
        <v>2293</v>
      </c>
      <c r="I2724" s="9" t="inlineStr">
        <is>
          <t>Strong Side Platoon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1" t="n">
        <v>1.001811383989457</v>
      </c>
      <c r="N2724" s="17" t="n">
        <v>0.4</v>
      </c>
      <c r="O2724" s="17" t="n"/>
      <c r="P2724" s="17" t="n">
        <v>0.6</v>
      </c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7" t="n"/>
      <c r="Z2724" s="13">
        <f>SUMPRODUCT(N2724:Y2724,$N$2:$Y$2)*$K2724*$L2724*$M2724</f>
        <v/>
      </c>
      <c r="AA2724" s="14">
        <f>SUM(N2724:Y2724)</f>
        <v/>
      </c>
      <c r="AB2724" s="14">
        <f>IFERROR(IF(UPPER($E2724)="L",SUMPRODUCT(N2724:Y2724,$N$3:$Y$3,$N$2:$Y$2),SUMPRODUCT(N2724:Y2724,$N$4:$Y$4,$N$2:$Y$2))/(Z2724/($K2724*$L2724*$M2724)),"")</f>
        <v/>
      </c>
      <c r="AC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inlineStr">
        <is>
          <t>C</t>
        </is>
      </c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1" t="n">
        <v>1</v>
      </c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/>
      <c r="Y2725" s="17" t="n">
        <v>1</v>
      </c>
      <c r="Z2725" s="13">
        <f>SUMPRODUCT(N2725:Y2725,$N$2:$Y$2)*$K2725*$L2725*$M2725</f>
        <v/>
      </c>
      <c r="AA2725" s="14">
        <f>SUM(N2725:Y2725)</f>
        <v/>
      </c>
      <c r="AB2725" s="14">
        <f>IFERROR(IF(UPPER($E2725)="L",SUMPRODUCT(N2725:Y2725,$N$3:$Y$3,$N$2:$Y$2),SUMPRODUCT(N2725:Y2725,$N$4:$Y$4,$N$2:$Y$2))/(Z2725/($K2725*$L2725*$M2725)),"")</f>
        <v/>
      </c>
      <c r="AC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inlineStr">
        <is>
          <t>CF</t>
        </is>
      </c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1" t="n">
        <v>1</v>
      </c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/>
      <c r="W2726" s="17" t="n">
        <v>1</v>
      </c>
      <c r="X2726" s="17" t="n"/>
      <c r="Y2726" s="17" t="n"/>
      <c r="Z2726" s="13">
        <f>SUMPRODUCT(N2726:Y2726,$N$2:$Y$2)*$K2726*$L2726*$M2726</f>
        <v/>
      </c>
      <c r="AA2726" s="14">
        <f>SUM(N2726:Y2726)</f>
        <v/>
      </c>
      <c r="AB2726" s="14">
        <f>IFERROR(IF(UPPER($E2726)="L",SUMPRODUCT(N2726:Y2726,$N$3:$Y$3,$N$2:$Y$2),SUMPRODUCT(N2726:Y2726,$N$4:$Y$4,$N$2:$Y$2))/(Z2726/($K2726*$L2726*$M2726)),"")</f>
        <v/>
      </c>
      <c r="AC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inlineStr">
        <is>
          <t>C</t>
        </is>
      </c>
      <c r="G2727" s="9" t="n">
        <v>32</v>
      </c>
      <c r="H2727" s="9" t="n">
        <v>261</v>
      </c>
      <c r="I2727" s="9" t="inlineStr">
        <is>
          <t>Catcher - Backup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1" t="n">
        <v>1</v>
      </c>
      <c r="N2727" s="17" t="n"/>
      <c r="O2727" s="17" t="n"/>
      <c r="P2727" s="17" t="n"/>
      <c r="Q2727" s="17" t="n"/>
      <c r="R2727" s="17" t="n"/>
      <c r="S2727" s="17" t="n"/>
      <c r="T2727" s="17" t="n">
        <v>1</v>
      </c>
      <c r="U2727" s="17" t="n"/>
      <c r="V2727" s="17" t="n"/>
      <c r="W2727" s="17" t="n"/>
      <c r="X2727" s="17" t="n"/>
      <c r="Y2727" s="17" t="n"/>
      <c r="Z2727" s="13">
        <f>SUMPRODUCT(N2727:Y2727,$N$2:$Y$2)*$K2727*$L2727*$M2727</f>
        <v/>
      </c>
      <c r="AA2727" s="14">
        <f>SUM(N2727:Y2727)</f>
        <v/>
      </c>
      <c r="AB2727" s="14">
        <f>IFERROR(IF(UPPER($E2727)="L",SUMPRODUCT(N2727:Y2727,$N$3:$Y$3,$N$2:$Y$2),SUMPRODUCT(N2727:Y2727,$N$4:$Y$4,$N$2:$Y$2))/(Z2727/($K2727*$L2727*$M2727)),"")</f>
        <v/>
      </c>
      <c r="AC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inlineStr">
        <is>
          <t>LF</t>
        </is>
      </c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1" t="n">
        <v>1</v>
      </c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/>
      <c r="W2728" s="17" t="n">
        <v>1</v>
      </c>
      <c r="X2728" s="17" t="n"/>
      <c r="Y2728" s="17" t="n"/>
      <c r="Z2728" s="13">
        <f>SUMPRODUCT(N2728:Y2728,$N$2:$Y$2)*$K2728*$L2728*$M2728</f>
        <v/>
      </c>
      <c r="AA2728" s="14">
        <f>SUM(N2728:Y2728)</f>
        <v/>
      </c>
      <c r="AB2728" s="14">
        <f>IFERROR(IF(UPPER($E2728)="L",SUMPRODUCT(N2728:Y2728,$N$3:$Y$3,$N$2:$Y$2),SUMPRODUCT(N2728:Y2728,$N$4:$Y$4,$N$2:$Y$2))/(Z2728/($K2728*$L2728*$M2728)),"")</f>
        <v/>
      </c>
      <c r="AC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inlineStr">
        <is>
          <t>CF</t>
        </is>
      </c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1" t="n">
        <v>1.040946921833379</v>
      </c>
      <c r="N2729" s="17" t="n">
        <v>0.62</v>
      </c>
      <c r="O2729" s="17" t="n"/>
      <c r="P2729" s="17" t="n">
        <v>0.38</v>
      </c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7" t="n"/>
      <c r="Z2729" s="13">
        <f>SUMPRODUCT(N2729:Y2729,$N$2:$Y$2)*$K2729*$L2729*$M2729</f>
        <v/>
      </c>
      <c r="AA2729" s="14">
        <f>SUM(N2729:Y2729)</f>
        <v/>
      </c>
      <c r="AB2729" s="14">
        <f>IFERROR(IF(UPPER($E2729)="L",SUMPRODUCT(N2729:Y2729,$N$3:$Y$3,$N$2:$Y$2),SUMPRODUCT(N2729:Y2729,$N$4:$Y$4,$N$2:$Y$2))/(Z2729/($K2729*$L2729*$M2729)),"")</f>
        <v/>
      </c>
      <c r="AC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inlineStr">
        <is>
          <t>RF</t>
        </is>
      </c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1" t="n">
        <v>1</v>
      </c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/>
      <c r="Y2730" s="17" t="n">
        <v>1</v>
      </c>
      <c r="Z2730" s="13">
        <f>SUMPRODUCT(N2730:Y2730,$N$2:$Y$2)*$K2730*$L2730*$M2730</f>
        <v/>
      </c>
      <c r="AA2730" s="14">
        <f>SUM(N2730:Y2730)</f>
        <v/>
      </c>
      <c r="AB2730" s="14">
        <f>IFERROR(IF(UPPER($E2730)="L",SUMPRODUCT(N2730:Y2730,$N$3:$Y$3,$N$2:$Y$2),SUMPRODUCT(N2730:Y2730,$N$4:$Y$4,$N$2:$Y$2))/(Z2730/($K2730*$L2730*$M2730)),"")</f>
        <v/>
      </c>
      <c r="AC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inlineStr">
        <is>
          <t>SS</t>
        </is>
      </c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1" t="n">
        <v>1.128492209299247</v>
      </c>
      <c r="N2731" s="17" t="n">
        <v>0.58</v>
      </c>
      <c r="O2731" s="17" t="n"/>
      <c r="P2731" s="17" t="n">
        <v>0.42</v>
      </c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7" t="n"/>
      <c r="Z2731" s="13">
        <f>SUMPRODUCT(N2731:Y2731,$N$2:$Y$2)*$K2731*$L2731*$M2731</f>
        <v/>
      </c>
      <c r="AA2731" s="14">
        <f>SUM(N2731:Y2731)</f>
        <v/>
      </c>
      <c r="AB2731" s="14">
        <f>IFERROR(IF(UPPER($E2731)="L",SUMPRODUCT(N2731:Y2731,$N$3:$Y$3,$N$2:$Y$2),SUMPRODUCT(N2731:Y2731,$N$4:$Y$4,$N$2:$Y$2))/(Z2731/($K2731*$L2731*$M2731)),"")</f>
        <v/>
      </c>
      <c r="AC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inlineStr">
        <is>
          <t>CF</t>
        </is>
      </c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1" t="n">
        <v>1</v>
      </c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/>
      <c r="W2732" s="17" t="n">
        <v>1</v>
      </c>
      <c r="X2732" s="17" t="n"/>
      <c r="Y2732" s="17" t="n"/>
      <c r="Z2732" s="13">
        <f>SUMPRODUCT(N2732:Y2732,$N$2:$Y$2)*$K2732*$L2732*$M2732</f>
        <v/>
      </c>
      <c r="AA2732" s="14">
        <f>SUM(N2732:Y2732)</f>
        <v/>
      </c>
      <c r="AB2732" s="14">
        <f>IFERROR(IF(UPPER($E2732)="L",SUMPRODUCT(N2732:Y2732,$N$3:$Y$3,$N$2:$Y$2),SUMPRODUCT(N2732:Y2732,$N$4:$Y$4,$N$2:$Y$2))/(Z2732/($K2732*$L2732*$M2732)),"")</f>
        <v/>
      </c>
      <c r="AC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inlineStr">
        <is>
          <t>2B</t>
        </is>
      </c>
      <c r="G2733" s="9" t="n">
        <v>139</v>
      </c>
      <c r="H2733" s="9" t="n">
        <v>139</v>
      </c>
      <c r="I2733" s="9" t="inlineStr">
        <is>
          <t>Weak Side Platoon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1" t="n">
        <v>1</v>
      </c>
      <c r="N2733" s="17" t="n"/>
      <c r="O2733" s="17" t="n"/>
      <c r="P2733" s="17" t="n"/>
      <c r="Q2733" s="17" t="n">
        <v>0.6</v>
      </c>
      <c r="R2733" s="17" t="n"/>
      <c r="S2733" s="17" t="n"/>
      <c r="T2733" s="17" t="n"/>
      <c r="U2733" s="17" t="n">
        <v>0.4</v>
      </c>
      <c r="V2733" s="17" t="n"/>
      <c r="W2733" s="17" t="n"/>
      <c r="X2733" s="17" t="n"/>
      <c r="Y2733" s="17" t="n"/>
      <c r="Z2733" s="13">
        <f>SUMPRODUCT(N2733:Y2733,$N$2:$Y$2)*$K2733*$L2733*$M2733</f>
        <v/>
      </c>
      <c r="AA2733" s="14">
        <f>SUM(N2733:Y2733)</f>
        <v/>
      </c>
      <c r="AB2733" s="14">
        <f>IFERROR(IF(UPPER($E2733)="L",SUMPRODUCT(N2733:Y2733,$N$3:$Y$3,$N$2:$Y$2),SUMPRODUCT(N2733:Y2733,$N$4:$Y$4,$N$2:$Y$2))/(Z2733/($K2733*$L2733*$M2733)),"")</f>
        <v/>
      </c>
      <c r="AC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inlineStr">
        <is>
          <t>2B</t>
        </is>
      </c>
      <c r="G2734" s="9" t="n">
        <v>288</v>
      </c>
      <c r="H2734" s="9" t="n">
        <v>659</v>
      </c>
      <c r="I2734" s="9" t="inlineStr">
        <is>
          <t>Bench Bat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1" t="n">
        <v>1</v>
      </c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/>
      <c r="W2734" s="17" t="n">
        <v>0.85</v>
      </c>
      <c r="X2734" s="17" t="n">
        <v>0.15</v>
      </c>
      <c r="Y2734" s="17" t="n"/>
      <c r="Z2734" s="13">
        <f>SUMPRODUCT(N2734:Y2734,$N$2:$Y$2)*$K2734*$L2734*$M2734</f>
        <v/>
      </c>
      <c r="AA2734" s="14">
        <f>SUM(N2734:Y2734)</f>
        <v/>
      </c>
      <c r="AB2734" s="14">
        <f>IFERROR(IF(UPPER($E2734)="L",SUMPRODUCT(N2734:Y2734,$N$3:$Y$3,$N$2:$Y$2),SUMPRODUCT(N2734:Y2734,$N$4:$Y$4,$N$2:$Y$2))/(Z2734/($K2734*$L2734*$M2734)),"")</f>
        <v/>
      </c>
      <c r="AC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inlineStr">
        <is>
          <t>1B</t>
        </is>
      </c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1" t="n">
        <v>1</v>
      </c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/>
      <c r="Y2735" s="17" t="n">
        <v>1</v>
      </c>
      <c r="Z2735" s="13">
        <f>SUMPRODUCT(N2735:Y2735,$N$2:$Y$2)*$K2735*$L2735*$M2735</f>
        <v/>
      </c>
      <c r="AA2735" s="14">
        <f>SUM(N2735:Y2735)</f>
        <v/>
      </c>
      <c r="AB2735" s="14">
        <f>IFERROR(IF(UPPER($E2735)="L",SUMPRODUCT(N2735:Y2735,$N$3:$Y$3,$N$2:$Y$2),SUMPRODUCT(N2735:Y2735,$N$4:$Y$4,$N$2:$Y$2))/(Z2735/($K2735*$L2735*$M2735)),"")</f>
        <v/>
      </c>
      <c r="AC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inlineStr">
        <is>
          <t>CF</t>
        </is>
      </c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1" t="n">
        <v>0.8976678734138539</v>
      </c>
      <c r="N2736" s="17" t="n">
        <v>0.62</v>
      </c>
      <c r="O2736" s="17" t="n"/>
      <c r="P2736" s="17" t="n">
        <v>0.38</v>
      </c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7" t="n"/>
      <c r="Z2736" s="13">
        <f>SUMPRODUCT(N2736:Y2736,$N$2:$Y$2)*$K2736*$L2736*$M2736</f>
        <v/>
      </c>
      <c r="AA2736" s="14">
        <f>SUM(N2736:Y2736)</f>
        <v/>
      </c>
      <c r="AB2736" s="14">
        <f>IFERROR(IF(UPPER($E2736)="L",SUMPRODUCT(N2736:Y2736,$N$3:$Y$3,$N$2:$Y$2),SUMPRODUCT(N2736:Y2736,$N$4:$Y$4,$N$2:$Y$2))/(Z2736/($K2736*$L2736*$M2736)),"")</f>
        <v/>
      </c>
      <c r="AC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inlineStr">
        <is>
          <t>C</t>
        </is>
      </c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1" t="n">
        <v>1</v>
      </c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/>
      <c r="Y2737" s="17" t="n">
        <v>1</v>
      </c>
      <c r="Z2737" s="13">
        <f>SUMPRODUCT(N2737:Y2737,$N$2:$Y$2)*$K2737*$L2737*$M2737</f>
        <v/>
      </c>
      <c r="AA2737" s="14">
        <f>SUM(N2737:Y2737)</f>
        <v/>
      </c>
      <c r="AB2737" s="14">
        <f>IFERROR(IF(UPPER($E2737)="L",SUMPRODUCT(N2737:Y2737,$N$3:$Y$3,$N$2:$Y$2),SUMPRODUCT(N2737:Y2737,$N$4:$Y$4,$N$2:$Y$2))/(Z2737/($K2737*$L2737*$M2737)),"")</f>
        <v/>
      </c>
      <c r="AC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inlineStr">
        <is>
          <t>2B</t>
        </is>
      </c>
      <c r="G2738" s="9" t="n">
        <v>106</v>
      </c>
      <c r="H2738" s="9" t="n">
        <v>106</v>
      </c>
      <c r="I2738" s="9" t="inlineStr">
        <is>
          <t>Weak Side Platoon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1" t="n">
        <v>1</v>
      </c>
      <c r="N2738" s="17" t="n"/>
      <c r="O2738" s="17" t="n"/>
      <c r="P2738" s="17" t="n"/>
      <c r="Q2738" s="17" t="n">
        <v>0.6</v>
      </c>
      <c r="R2738" s="17" t="n"/>
      <c r="S2738" s="17" t="n"/>
      <c r="T2738" s="17" t="n"/>
      <c r="U2738" s="17" t="n">
        <v>0.4</v>
      </c>
      <c r="V2738" s="17" t="n"/>
      <c r="W2738" s="17" t="n"/>
      <c r="X2738" s="17" t="n"/>
      <c r="Y2738" s="17" t="n"/>
      <c r="Z2738" s="13">
        <f>SUMPRODUCT(N2738:Y2738,$N$2:$Y$2)*$K2738*$L2738*$M2738</f>
        <v/>
      </c>
      <c r="AA2738" s="14">
        <f>SUM(N2738:Y2738)</f>
        <v/>
      </c>
      <c r="AB2738" s="14">
        <f>IFERROR(IF(UPPER($E2738)="L",SUMPRODUCT(N2738:Y2738,$N$3:$Y$3,$N$2:$Y$2),SUMPRODUCT(N2738:Y2738,$N$4:$Y$4,$N$2:$Y$2))/(Z2738/($K2738*$L2738*$M2738)),"")</f>
        <v/>
      </c>
      <c r="AC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inlineStr">
        <is>
          <t>LF</t>
        </is>
      </c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1" t="n">
        <v>0.8739003215631221</v>
      </c>
      <c r="N2739" s="17" t="n"/>
      <c r="O2739" s="17" t="n"/>
      <c r="P2739" s="17" t="n"/>
      <c r="Q2739" s="17" t="n"/>
      <c r="R2739" s="17" t="n"/>
      <c r="S2739" s="17" t="n"/>
      <c r="T2739" s="17" t="n"/>
      <c r="U2739" s="17" t="n"/>
      <c r="V2739" s="17" t="n">
        <v>0.7</v>
      </c>
      <c r="W2739" s="17" t="n">
        <v>0.3</v>
      </c>
      <c r="X2739" s="17" t="n"/>
      <c r="Y2739" s="17" t="n"/>
      <c r="Z2739" s="13">
        <f>SUMPRODUCT(N2739:Y2739,$N$2:$Y$2)*$K2739*$L2739*$M2739</f>
        <v/>
      </c>
      <c r="AA2739" s="14">
        <f>SUM(N2739:Y2739)</f>
        <v/>
      </c>
      <c r="AB2739" s="14">
        <f>IFERROR(IF(UPPER($E2739)="L",SUMPRODUCT(N2739:Y2739,$N$3:$Y$3,$N$2:$Y$2),SUMPRODUCT(N2739:Y2739,$N$4:$Y$4,$N$2:$Y$2))/(Z2739/($K2739*$L2739*$M2739)),"")</f>
        <v/>
      </c>
      <c r="AC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inlineStr">
        <is>
          <t>2B</t>
        </is>
      </c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1" t="n">
        <v>1</v>
      </c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/>
      <c r="Y2740" s="17" t="n">
        <v>1</v>
      </c>
      <c r="Z2740" s="13">
        <f>SUMPRODUCT(N2740:Y2740,$N$2:$Y$2)*$K2740*$L2740*$M2740</f>
        <v/>
      </c>
      <c r="AA2740" s="14">
        <f>SUM(N2740:Y2740)</f>
        <v/>
      </c>
      <c r="AB2740" s="14">
        <f>IFERROR(IF(UPPER($E2740)="L",SUMPRODUCT(N2740:Y2740,$N$3:$Y$3,$N$2:$Y$2),SUMPRODUCT(N2740:Y2740,$N$4:$Y$4,$N$2:$Y$2))/(Z2740/($K2740*$L2740*$M2740)),"")</f>
        <v/>
      </c>
      <c r="AC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inlineStr">
        <is>
          <t>C</t>
        </is>
      </c>
      <c r="G2741" s="9" t="n">
        <v>111</v>
      </c>
      <c r="H2741" s="9" t="n">
        <v>111</v>
      </c>
      <c r="I2741" s="9" t="inlineStr">
        <is>
          <t>Catcher - Backup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1" t="n">
        <v>1</v>
      </c>
      <c r="N2741" s="17" t="n"/>
      <c r="O2741" s="17" t="n"/>
      <c r="P2741" s="17" t="n"/>
      <c r="Q2741" s="17" t="n"/>
      <c r="R2741" s="17" t="n"/>
      <c r="S2741" s="17" t="n"/>
      <c r="T2741" s="17" t="n">
        <v>1</v>
      </c>
      <c r="U2741" s="17" t="n"/>
      <c r="V2741" s="17" t="n"/>
      <c r="W2741" s="17" t="n"/>
      <c r="X2741" s="17" t="n"/>
      <c r="Y2741" s="17" t="n"/>
      <c r="Z2741" s="13">
        <f>SUMPRODUCT(N2741:Y2741,$N$2:$Y$2)*$K2741*$L2741*$M2741</f>
        <v/>
      </c>
      <c r="AA2741" s="14">
        <f>SUM(N2741:Y2741)</f>
        <v/>
      </c>
      <c r="AB2741" s="14">
        <f>IFERROR(IF(UPPER($E2741)="L",SUMPRODUCT(N2741:Y2741,$N$3:$Y$3,$N$2:$Y$2),SUMPRODUCT(N2741:Y2741,$N$4:$Y$4,$N$2:$Y$2))/(Z2741/($K2741*$L2741*$M2741)),"")</f>
        <v/>
      </c>
      <c r="AC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25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Early Season (~May)</t>
        </is>
      </c>
      <c r="K2742" s="11">
        <f>IFERROR(INDEX(Roles!$B$17:$B$20,MATCH(J2742,Roles!$A$17:$A$20,0)),1)</f>
        <v/>
      </c>
      <c r="L2742" s="17" t="n">
        <v>1</v>
      </c>
      <c r="M2742" s="11" t="n">
        <v>1</v>
      </c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/>
      <c r="Y2742" s="17" t="n">
        <v>1</v>
      </c>
      <c r="Z2742" s="13">
        <f>SUMPRODUCT(N2742:Y2742,$N$2:$Y$2)*$K2742*$L2742*$M2742</f>
        <v/>
      </c>
      <c r="AA2742" s="14">
        <f>SUM(N2742:Y2742)</f>
        <v/>
      </c>
      <c r="AB2742" s="14">
        <f>IFERROR(IF(UPPER($E2742)="L",SUMPRODUCT(N2742:Y2742,$N$3:$Y$3,$N$2:$Y$2),SUMPRODUCT(N2742:Y2742,$N$4:$Y$4,$N$2:$Y$2))/(Z2742/($K2742*$L2742*$M2742)),"")</f>
        <v/>
      </c>
      <c r="AC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inlineStr">
        <is>
          <t>SS</t>
        </is>
      </c>
      <c r="G2743" s="9" t="n">
        <v>148</v>
      </c>
      <c r="H2743" s="9" t="n">
        <v>205</v>
      </c>
      <c r="I2743" s="9" t="inlineStr">
        <is>
          <t>Weak Side Platoon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1" t="n">
        <v>1</v>
      </c>
      <c r="N2743" s="17" t="n"/>
      <c r="O2743" s="17" t="n"/>
      <c r="P2743" s="17" t="n"/>
      <c r="Q2743" s="17" t="n">
        <v>0.6</v>
      </c>
      <c r="R2743" s="17" t="n"/>
      <c r="S2743" s="17" t="n"/>
      <c r="T2743" s="17" t="n"/>
      <c r="U2743" s="17" t="n">
        <v>0.4</v>
      </c>
      <c r="V2743" s="17" t="n"/>
      <c r="W2743" s="17" t="n"/>
      <c r="X2743" s="17" t="n"/>
      <c r="Y2743" s="17" t="n"/>
      <c r="Z2743" s="13">
        <f>SUMPRODUCT(N2743:Y2743,$N$2:$Y$2)*$K2743*$L2743*$M2743</f>
        <v/>
      </c>
      <c r="AA2743" s="14">
        <f>SUM(N2743:Y2743)</f>
        <v/>
      </c>
      <c r="AB2743" s="14">
        <f>IFERROR(IF(UPPER($E2743)="L",SUMPRODUCT(N2743:Y2743,$N$3:$Y$3,$N$2:$Y$2),SUMPRODUCT(N2743:Y2743,$N$4:$Y$4,$N$2:$Y$2))/(Z2743/($K2743*$L2743*$M2743)),"")</f>
        <v/>
      </c>
      <c r="AC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inlineStr">
        <is>
          <t>SS</t>
        </is>
      </c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1" t="n">
        <v>1</v>
      </c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/>
      <c r="W2744" s="17" t="n">
        <v>1</v>
      </c>
      <c r="X2744" s="17" t="n"/>
      <c r="Y2744" s="17" t="n"/>
      <c r="Z2744" s="13">
        <f>SUMPRODUCT(N2744:Y2744,$N$2:$Y$2)*$K2744*$L2744*$M2744</f>
        <v/>
      </c>
      <c r="AA2744" s="14">
        <f>SUM(N2744:Y2744)</f>
        <v/>
      </c>
      <c r="AB2744" s="14">
        <f>IFERROR(IF(UPPER($E2744)="L",SUMPRODUCT(N2744:Y2744,$N$3:$Y$3,$N$2:$Y$2),SUMPRODUCT(N2744:Y2744,$N$4:$Y$4,$N$2:$Y$2))/(Z2744/($K2744*$L2744*$M2744)),"")</f>
        <v/>
      </c>
      <c r="AC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inlineStr">
        <is>
          <t>3B</t>
        </is>
      </c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1" t="n">
        <v>0.9924995297406174</v>
      </c>
      <c r="N2745" s="17" t="n">
        <v>1</v>
      </c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7" t="n"/>
      <c r="Z2745" s="13">
        <f>SUMPRODUCT(N2745:Y2745,$N$2:$Y$2)*$K2745*$L2745*$M2745</f>
        <v/>
      </c>
      <c r="AA2745" s="14">
        <f>SUM(N2745:Y2745)</f>
        <v/>
      </c>
      <c r="AB2745" s="14">
        <f>IFERROR(IF(UPPER($E2745)="L",SUMPRODUCT(N2745:Y2745,$N$3:$Y$3,$N$2:$Y$2),SUMPRODUCT(N2745:Y2745,$N$4:$Y$4,$N$2:$Y$2))/(Z2745/($K2745*$L2745*$M2745)),"")</f>
        <v/>
      </c>
      <c r="AC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inlineStr">
        <is>
          <t>LF</t>
        </is>
      </c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1" t="n">
        <v>1</v>
      </c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/>
      <c r="Y2746" s="17" t="n">
        <v>1</v>
      </c>
      <c r="Z2746" s="13">
        <f>SUMPRODUCT(N2746:Y2746,$N$2:$Y$2)*$K2746*$L2746*$M2746</f>
        <v/>
      </c>
      <c r="AA2746" s="14">
        <f>SUM(N2746:Y2746)</f>
        <v/>
      </c>
      <c r="AB2746" s="14">
        <f>IFERROR(IF(UPPER($E2746)="L",SUMPRODUCT(N2746:Y2746,$N$3:$Y$3,$N$2:$Y$2),SUMPRODUCT(N2746:Y2746,$N$4:$Y$4,$N$2:$Y$2))/(Z2746/($K2746*$L2746*$M2746)),"")</f>
        <v/>
      </c>
      <c r="AC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1" t="n">
        <v>1</v>
      </c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/>
      <c r="Y2747" s="17" t="n">
        <v>1</v>
      </c>
      <c r="Z2747" s="13">
        <f>SUMPRODUCT(N2747:Y2747,$N$2:$Y$2)*$K2747*$L2747*$M2747</f>
        <v/>
      </c>
      <c r="AA2747" s="14">
        <f>SUM(N2747:Y2747)</f>
        <v/>
      </c>
      <c r="AB2747" s="14">
        <f>IFERROR(IF(UPPER($E2747)="L",SUMPRODUCT(N2747:Y2747,$N$3:$Y$3,$N$2:$Y$2),SUMPRODUCT(N2747:Y2747,$N$4:$Y$4,$N$2:$Y$2))/(Z2747/($K2747*$L2747*$M2747)),"")</f>
        <v/>
      </c>
      <c r="AC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inlineStr">
        <is>
          <t>1B</t>
        </is>
      </c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1" t="n">
        <v>1</v>
      </c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/>
      <c r="Y2748" s="17" t="n">
        <v>1</v>
      </c>
      <c r="Z2748" s="13">
        <f>SUMPRODUCT(N2748:Y2748,$N$2:$Y$2)*$K2748*$L2748*$M2748</f>
        <v/>
      </c>
      <c r="AA2748" s="14">
        <f>SUM(N2748:Y2748)</f>
        <v/>
      </c>
      <c r="AB2748" s="14">
        <f>IFERROR(IF(UPPER($E2748)="L",SUMPRODUCT(N2748:Y2748,$N$3:$Y$3,$N$2:$Y$2),SUMPRODUCT(N2748:Y2748,$N$4:$Y$4,$N$2:$Y$2))/(Z2748/($K2748*$L2748*$M2748)),"")</f>
        <v/>
      </c>
      <c r="AC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inlineStr">
        <is>
          <t>1B</t>
        </is>
      </c>
      <c r="G2749" s="9" t="n">
        <v>222</v>
      </c>
      <c r="H2749" s="9" t="n">
        <v>222</v>
      </c>
      <c r="I2749" s="9" t="inlineStr">
        <is>
          <t>Utility IF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1" t="n">
        <v>1</v>
      </c>
      <c r="N2749" s="17" t="n"/>
      <c r="O2749" s="17" t="n"/>
      <c r="P2749" s="17" t="n"/>
      <c r="Q2749" s="17" t="n"/>
      <c r="R2749" s="17" t="n"/>
      <c r="S2749" s="17" t="n"/>
      <c r="T2749" s="17" t="n"/>
      <c r="U2749" s="17" t="n">
        <v>0.7</v>
      </c>
      <c r="V2749" s="17" t="n"/>
      <c r="W2749" s="17" t="n">
        <v>0.3</v>
      </c>
      <c r="X2749" s="17" t="n"/>
      <c r="Y2749" s="17" t="n"/>
      <c r="Z2749" s="13">
        <f>SUMPRODUCT(N2749:Y2749,$N$2:$Y$2)*$K2749*$L2749*$M2749</f>
        <v/>
      </c>
      <c r="AA2749" s="14">
        <f>SUM(N2749:Y2749)</f>
        <v/>
      </c>
      <c r="AB2749" s="14">
        <f>IFERROR(IF(UPPER($E2749)="L",SUMPRODUCT(N2749:Y2749,$N$3:$Y$3,$N$2:$Y$2),SUMPRODUCT(N2749:Y2749,$N$4:$Y$4,$N$2:$Y$2))/(Z2749/($K2749*$L2749*$M2749)),"")</f>
        <v/>
      </c>
      <c r="AC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inlineStr">
        <is>
          <t>LF</t>
        </is>
      </c>
      <c r="G2750" s="9" t="n">
        <v>213</v>
      </c>
      <c r="H2750" s="9" t="n">
        <v>2080</v>
      </c>
      <c r="I2750" s="9" t="inlineStr">
        <is>
          <t>Full Time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1" t="n">
        <v>0.8461039824145403</v>
      </c>
      <c r="N2750" s="17" t="n">
        <v>1</v>
      </c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7" t="n"/>
      <c r="Z2750" s="13">
        <f>SUMPRODUCT(N2750:Y2750,$N$2:$Y$2)*$K2750*$L2750*$M2750</f>
        <v/>
      </c>
      <c r="AA2750" s="14">
        <f>SUM(N2750:Y2750)</f>
        <v/>
      </c>
      <c r="AB2750" s="14">
        <f>IFERROR(IF(UPPER($E2750)="L",SUMPRODUCT(N2750:Y2750,$N$3:$Y$3,$N$2:$Y$2),SUMPRODUCT(N2750:Y2750,$N$4:$Y$4,$N$2:$Y$2))/(Z2750/($K2750*$L2750*$M2750)),"")</f>
        <v/>
      </c>
      <c r="AC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inlineStr">
        <is>
          <t>RF</t>
        </is>
      </c>
      <c r="G2751" s="9" t="n">
        <v>423</v>
      </c>
      <c r="H2751" s="9" t="n">
        <v>1962</v>
      </c>
      <c r="I2751" s="9" t="inlineStr">
        <is>
          <t>Bench Bat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1" t="n">
        <v>1.15</v>
      </c>
      <c r="N2751" s="17" t="n"/>
      <c r="O2751" s="17" t="n"/>
      <c r="P2751" s="17" t="n"/>
      <c r="Q2751" s="17" t="n"/>
      <c r="R2751" s="17" t="n"/>
      <c r="S2751" s="17" t="n"/>
      <c r="T2751" s="17" t="n"/>
      <c r="U2751" s="17" t="n">
        <v>0.4</v>
      </c>
      <c r="V2751" s="17" t="n"/>
      <c r="W2751" s="17" t="n">
        <v>0.6</v>
      </c>
      <c r="X2751" s="17" t="n"/>
      <c r="Y2751" s="17" t="n"/>
      <c r="Z2751" s="13">
        <f>SUMPRODUCT(N2751:Y2751,$N$2:$Y$2)*$K2751*$L2751*$M2751</f>
        <v/>
      </c>
      <c r="AA2751" s="14">
        <f>SUM(N2751:Y2751)</f>
        <v/>
      </c>
      <c r="AB2751" s="14">
        <f>IFERROR(IF(UPPER($E2751)="L",SUMPRODUCT(N2751:Y2751,$N$3:$Y$3,$N$2:$Y$2),SUMPRODUCT(N2751:Y2751,$N$4:$Y$4,$N$2:$Y$2))/(Z2751/($K2751*$L2751*$M2751)),"")</f>
        <v/>
      </c>
      <c r="AC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inlineStr">
        <is>
          <t>3B</t>
        </is>
      </c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1" t="n">
        <v>0.980785885690401</v>
      </c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/>
      <c r="W2752" s="17" t="n">
        <v>1</v>
      </c>
      <c r="X2752" s="17" t="n"/>
      <c r="Y2752" s="17" t="n"/>
      <c r="Z2752" s="13">
        <f>SUMPRODUCT(N2752:Y2752,$N$2:$Y$2)*$K2752*$L2752*$M2752</f>
        <v/>
      </c>
      <c r="AA2752" s="14">
        <f>SUM(N2752:Y2752)</f>
        <v/>
      </c>
      <c r="AB2752" s="14">
        <f>IFERROR(IF(UPPER($E2752)="L",SUMPRODUCT(N2752:Y2752,$N$3:$Y$3,$N$2:$Y$2),SUMPRODUCT(N2752:Y2752,$N$4:$Y$4,$N$2:$Y$2))/(Z2752/($K2752*$L2752*$M2752)),"")</f>
        <v/>
      </c>
      <c r="AC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inlineStr">
        <is>
          <t>1B</t>
        </is>
      </c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1" t="n">
        <v>1</v>
      </c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/>
      <c r="Y2753" s="17" t="n">
        <v>1</v>
      </c>
      <c r="Z2753" s="13">
        <f>SUMPRODUCT(N2753:Y2753,$N$2:$Y$2)*$K2753*$L2753*$M2753</f>
        <v/>
      </c>
      <c r="AA2753" s="14">
        <f>SUM(N2753:Y2753)</f>
        <v/>
      </c>
      <c r="AB2753" s="14">
        <f>IFERROR(IF(UPPER($E2753)="L",SUMPRODUCT(N2753:Y2753,$N$3:$Y$3,$N$2:$Y$2),SUMPRODUCT(N2753:Y2753,$N$4:$Y$4,$N$2:$Y$2))/(Z2753/($K2753*$L2753*$M2753)),"")</f>
        <v/>
      </c>
      <c r="AC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inlineStr">
        <is>
          <t>3B</t>
        </is>
      </c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1" t="n">
        <v>1.030747470866482</v>
      </c>
      <c r="N2754" s="17" t="n">
        <v>0.75</v>
      </c>
      <c r="O2754" s="17" t="n"/>
      <c r="P2754" s="17" t="n">
        <v>0.25</v>
      </c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7" t="n"/>
      <c r="Z2754" s="13">
        <f>SUMPRODUCT(N2754:Y2754,$N$2:$Y$2)*$K2754*$L2754*$M2754</f>
        <v/>
      </c>
      <c r="AA2754" s="14">
        <f>SUM(N2754:Y2754)</f>
        <v/>
      </c>
      <c r="AB2754" s="14">
        <f>IFERROR(IF(UPPER($E2754)="L",SUMPRODUCT(N2754:Y2754,$N$3:$Y$3,$N$2:$Y$2),SUMPRODUCT(N2754:Y2754,$N$4:$Y$4,$N$2:$Y$2))/(Z2754/($K2754*$L2754*$M2754)),"")</f>
        <v/>
      </c>
      <c r="AC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inlineStr">
        <is>
          <t>LF</t>
        </is>
      </c>
      <c r="G2755" s="9" t="n">
        <v>519</v>
      </c>
      <c r="H2755" s="9" t="n">
        <v>979</v>
      </c>
      <c r="I2755" s="9" t="inlineStr">
        <is>
          <t>Weak Side Platoon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1" t="n">
        <v>1.139712016417649</v>
      </c>
      <c r="N2755" s="17" t="n"/>
      <c r="O2755" s="17" t="n"/>
      <c r="P2755" s="17" t="n"/>
      <c r="Q2755" s="17" t="n">
        <v>0.6</v>
      </c>
      <c r="R2755" s="17" t="n"/>
      <c r="S2755" s="17" t="n"/>
      <c r="T2755" s="17" t="n"/>
      <c r="U2755" s="17" t="n"/>
      <c r="V2755" s="17" t="n">
        <v>0.4</v>
      </c>
      <c r="W2755" s="17" t="n"/>
      <c r="X2755" s="17" t="n"/>
      <c r="Y2755" s="17" t="n"/>
      <c r="Z2755" s="13">
        <f>SUMPRODUCT(N2755:Y2755,$N$2:$Y$2)*$K2755*$L2755*$M2755</f>
        <v/>
      </c>
      <c r="AA2755" s="14">
        <f>SUM(N2755:Y2755)</f>
        <v/>
      </c>
      <c r="AB2755" s="14">
        <f>IFERROR(IF(UPPER($E2755)="L",SUMPRODUCT(N2755:Y2755,$N$3:$Y$3,$N$2:$Y$2),SUMPRODUCT(N2755:Y2755,$N$4:$Y$4,$N$2:$Y$2))/(Z2755/($K2755*$L2755*$M2755)),"")</f>
        <v/>
      </c>
      <c r="AC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inlineStr">
        <is>
          <t>3B</t>
        </is>
      </c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1" t="n">
        <v>1</v>
      </c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/>
      <c r="W2756" s="17" t="n">
        <v>1</v>
      </c>
      <c r="X2756" s="17" t="n"/>
      <c r="Y2756" s="17" t="n"/>
      <c r="Z2756" s="13">
        <f>SUMPRODUCT(N2756:Y2756,$N$2:$Y$2)*$K2756*$L2756*$M2756</f>
        <v/>
      </c>
      <c r="AA2756" s="14">
        <f>SUM(N2756:Y2756)</f>
        <v/>
      </c>
      <c r="AB2756" s="14">
        <f>IFERROR(IF(UPPER($E2756)="L",SUMPRODUCT(N2756:Y2756,$N$3:$Y$3,$N$2:$Y$2),SUMPRODUCT(N2756:Y2756,$N$4:$Y$4,$N$2:$Y$2))/(Z2756/($K2756*$L2756*$M2756)),"")</f>
        <v/>
      </c>
      <c r="AC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inlineStr">
        <is>
          <t>RF</t>
        </is>
      </c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1" t="n">
        <v>1</v>
      </c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/>
      <c r="Y2757" s="17" t="n">
        <v>1</v>
      </c>
      <c r="Z2757" s="13">
        <f>SUMPRODUCT(N2757:Y2757,$N$2:$Y$2)*$K2757*$L2757*$M2757</f>
        <v/>
      </c>
      <c r="AA2757" s="14">
        <f>SUM(N2757:Y2757)</f>
        <v/>
      </c>
      <c r="AB2757" s="14">
        <f>IFERROR(IF(UPPER($E2757)="L",SUMPRODUCT(N2757:Y2757,$N$3:$Y$3,$N$2:$Y$2),SUMPRODUCT(N2757:Y2757,$N$4:$Y$4,$N$2:$Y$2))/(Z2757/($K2757*$L2757*$M2757)),"")</f>
        <v/>
      </c>
      <c r="AC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inlineStr">
        <is>
          <t>LF</t>
        </is>
      </c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1" t="n">
        <v>1.070530633128579</v>
      </c>
      <c r="N2758" s="17" t="n">
        <v>0.7</v>
      </c>
      <c r="O2758" s="17" t="n"/>
      <c r="P2758" s="17" t="n">
        <v>0.3</v>
      </c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7" t="n"/>
      <c r="Z2758" s="13">
        <f>SUMPRODUCT(N2758:Y2758,$N$2:$Y$2)*$K2758*$L2758*$M2758</f>
        <v/>
      </c>
      <c r="AA2758" s="14">
        <f>SUM(N2758:Y2758)</f>
        <v/>
      </c>
      <c r="AB2758" s="14">
        <f>IFERROR(IF(UPPER($E2758)="L",SUMPRODUCT(N2758:Y2758,$N$3:$Y$3,$N$2:$Y$2),SUMPRODUCT(N2758:Y2758,$N$4:$Y$4,$N$2:$Y$2))/(Z2758/($K2758*$L2758*$M2758)),"")</f>
        <v/>
      </c>
      <c r="AC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inlineStr">
        <is>
          <t>CF</t>
        </is>
      </c>
      <c r="G2759" s="9" t="n">
        <v>155</v>
      </c>
      <c r="H2759" s="9" t="n">
        <v>259</v>
      </c>
      <c r="I2759" s="9" t="inlineStr">
        <is>
          <t>Injury Replacement / 26th Man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1" t="n">
        <v>1</v>
      </c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/>
      <c r="W2759" s="17" t="n">
        <v>0.15</v>
      </c>
      <c r="X2759" s="17" t="n">
        <v>0.85</v>
      </c>
      <c r="Y2759" s="17" t="n"/>
      <c r="Z2759" s="13">
        <f>SUMPRODUCT(N2759:Y2759,$N$2:$Y$2)*$K2759*$L2759*$M2759</f>
        <v/>
      </c>
      <c r="AA2759" s="14">
        <f>SUM(N2759:Y2759)</f>
        <v/>
      </c>
      <c r="AB2759" s="14">
        <f>IFERROR(IF(UPPER($E2759)="L",SUMPRODUCT(N2759:Y2759,$N$3:$Y$3,$N$2:$Y$2),SUMPRODUCT(N2759:Y2759,$N$4:$Y$4,$N$2:$Y$2))/(Z2759/($K2759*$L2759*$M2759)),"")</f>
        <v/>
      </c>
      <c r="AC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inlineStr">
        <is>
          <t>3B</t>
        </is>
      </c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1" t="n">
        <v>0.9486168709544944</v>
      </c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/>
      <c r="W2760" s="17" t="n">
        <v>1</v>
      </c>
      <c r="X2760" s="17" t="n"/>
      <c r="Y2760" s="17" t="n"/>
      <c r="Z2760" s="13">
        <f>SUMPRODUCT(N2760:Y2760,$N$2:$Y$2)*$K2760*$L2760*$M2760</f>
        <v/>
      </c>
      <c r="AA2760" s="14">
        <f>SUM(N2760:Y2760)</f>
        <v/>
      </c>
      <c r="AB2760" s="14">
        <f>IFERROR(IF(UPPER($E2760)="L",SUMPRODUCT(N2760:Y2760,$N$3:$Y$3,$N$2:$Y$2),SUMPRODUCT(N2760:Y2760,$N$4:$Y$4,$N$2:$Y$2))/(Z2760/($K2760*$L2760*$M2760)),"")</f>
        <v/>
      </c>
      <c r="AC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inlineStr">
        <is>
          <t>LF</t>
        </is>
      </c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1" t="n">
        <v>0.9418444467995668</v>
      </c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/>
      <c r="W2761" s="17" t="n">
        <v>1</v>
      </c>
      <c r="X2761" s="17" t="n"/>
      <c r="Y2761" s="17" t="n"/>
      <c r="Z2761" s="13">
        <f>SUMPRODUCT(N2761:Y2761,$N$2:$Y$2)*$K2761*$L2761*$M2761</f>
        <v/>
      </c>
      <c r="AA2761" s="14">
        <f>SUM(N2761:Y2761)</f>
        <v/>
      </c>
      <c r="AB2761" s="14">
        <f>IFERROR(IF(UPPER($E2761)="L",SUMPRODUCT(N2761:Y2761,$N$3:$Y$3,$N$2:$Y$2),SUMPRODUCT(N2761:Y2761,$N$4:$Y$4,$N$2:$Y$2))/(Z2761/($K2761*$L2761*$M2761)),"")</f>
        <v/>
      </c>
      <c r="AC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inlineStr">
        <is>
          <t>C</t>
        </is>
      </c>
      <c r="G2762" s="9" t="n">
        <v>190</v>
      </c>
      <c r="H2762" s="9" t="n">
        <v>764</v>
      </c>
      <c r="I2762" s="9" t="inlineStr">
        <is>
          <t>Catcher - Backup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1" t="n">
        <v>1</v>
      </c>
      <c r="N2762" s="17" t="n"/>
      <c r="O2762" s="17" t="n"/>
      <c r="P2762" s="17" t="n"/>
      <c r="Q2762" s="17" t="n"/>
      <c r="R2762" s="17" t="n"/>
      <c r="S2762" s="17" t="n"/>
      <c r="T2762" s="17" t="n">
        <v>1</v>
      </c>
      <c r="U2762" s="17" t="n"/>
      <c r="V2762" s="17" t="n"/>
      <c r="W2762" s="17" t="n"/>
      <c r="X2762" s="17" t="n"/>
      <c r="Y2762" s="17" t="n"/>
      <c r="Z2762" s="13">
        <f>SUMPRODUCT(N2762:Y2762,$N$2:$Y$2)*$K2762*$L2762*$M2762</f>
        <v/>
      </c>
      <c r="AA2762" s="14">
        <f>SUM(N2762:Y2762)</f>
        <v/>
      </c>
      <c r="AB2762" s="14">
        <f>IFERROR(IF(UPPER($E2762)="L",SUMPRODUCT(N2762:Y2762,$N$3:$Y$3,$N$2:$Y$2),SUMPRODUCT(N2762:Y2762,$N$4:$Y$4,$N$2:$Y$2))/(Z2762/($K2762*$L2762*$M2762)),"")</f>
        <v/>
      </c>
      <c r="AC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inlineStr">
        <is>
          <t>CF</t>
        </is>
      </c>
      <c r="G2763" s="9" t="n">
        <v>323</v>
      </c>
      <c r="H2763" s="9" t="n">
        <v>1749</v>
      </c>
      <c r="I2763" s="9" t="inlineStr">
        <is>
          <t>Full Time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1" t="n">
        <v>0.9704007193123402</v>
      </c>
      <c r="N2763" s="17" t="n">
        <v>0.58</v>
      </c>
      <c r="O2763" s="17" t="n"/>
      <c r="P2763" s="17" t="n">
        <v>0.42</v>
      </c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7" t="n"/>
      <c r="Z2763" s="13">
        <f>SUMPRODUCT(N2763:Y2763,$N$2:$Y$2)*$K2763*$L2763*$M2763</f>
        <v/>
      </c>
      <c r="AA2763" s="14">
        <f>SUM(N2763:Y2763)</f>
        <v/>
      </c>
      <c r="AB2763" s="14">
        <f>IFERROR(IF(UPPER($E2763)="L",SUMPRODUCT(N2763:Y2763,$N$3:$Y$3,$N$2:$Y$2),SUMPRODUCT(N2763:Y2763,$N$4:$Y$4,$N$2:$Y$2))/(Z2763/($K2763*$L2763*$M2763)),"")</f>
        <v/>
      </c>
      <c r="AC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inlineStr">
        <is>
          <t>C</t>
        </is>
      </c>
      <c r="G2764" s="9" t="n">
        <v>28</v>
      </c>
      <c r="H2764" s="9" t="n">
        <v>28</v>
      </c>
      <c r="I2764" s="9" t="inlineStr">
        <is>
          <t>Catcher - Backup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1" t="n">
        <v>1</v>
      </c>
      <c r="N2764" s="17" t="n"/>
      <c r="O2764" s="17" t="n"/>
      <c r="P2764" s="17" t="n"/>
      <c r="Q2764" s="17" t="n"/>
      <c r="R2764" s="17" t="n"/>
      <c r="S2764" s="17" t="n"/>
      <c r="T2764" s="17" t="n">
        <v>1</v>
      </c>
      <c r="U2764" s="17" t="n"/>
      <c r="V2764" s="17" t="n"/>
      <c r="W2764" s="17" t="n"/>
      <c r="X2764" s="17" t="n"/>
      <c r="Y2764" s="17" t="n"/>
      <c r="Z2764" s="13">
        <f>SUMPRODUCT(N2764:Y2764,$N$2:$Y$2)*$K2764*$L2764*$M2764</f>
        <v/>
      </c>
      <c r="AA2764" s="14">
        <f>SUM(N2764:Y2764)</f>
        <v/>
      </c>
      <c r="AB2764" s="14">
        <f>IFERROR(IF(UPPER($E2764)="L",SUMPRODUCT(N2764:Y2764,$N$3:$Y$3,$N$2:$Y$2),SUMPRODUCT(N2764:Y2764,$N$4:$Y$4,$N$2:$Y$2))/(Z2764/($K2764*$L2764*$M2764)),"")</f>
        <v/>
      </c>
      <c r="AC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inlineStr">
        <is>
          <t>LF</t>
        </is>
      </c>
      <c r="G2765" s="9" t="n">
        <v>46</v>
      </c>
      <c r="H2765" s="9" t="n">
        <v>46</v>
      </c>
      <c r="I2765" s="9" t="inlineStr">
        <is>
          <t>Utility OF / 4th OF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1" t="n">
        <v>1</v>
      </c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>
        <v>0.7</v>
      </c>
      <c r="W2765" s="17" t="n">
        <v>0.3</v>
      </c>
      <c r="X2765" s="17" t="n"/>
      <c r="Y2765" s="17" t="n"/>
      <c r="Z2765" s="13">
        <f>SUMPRODUCT(N2765:Y2765,$N$2:$Y$2)*$K2765*$L2765*$M2765</f>
        <v/>
      </c>
      <c r="AA2765" s="14">
        <f>SUM(N2765:Y2765)</f>
        <v/>
      </c>
      <c r="AB2765" s="14">
        <f>IFERROR(IF(UPPER($E2765)="L",SUMPRODUCT(N2765:Y2765,$N$3:$Y$3,$N$2:$Y$2),SUMPRODUCT(N2765:Y2765,$N$4:$Y$4,$N$2:$Y$2))/(Z2765/($K2765*$L2765*$M2765)),"")</f>
        <v/>
      </c>
      <c r="AC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inlineStr">
        <is>
          <t>CF</t>
        </is>
      </c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1" t="n">
        <v>1</v>
      </c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/>
      <c r="Y2766" s="17" t="n">
        <v>1</v>
      </c>
      <c r="Z2766" s="13">
        <f>SUMPRODUCT(N2766:Y2766,$N$2:$Y$2)*$K2766*$L2766*$M2766</f>
        <v/>
      </c>
      <c r="AA2766" s="14">
        <f>SUM(N2766:Y2766)</f>
        <v/>
      </c>
      <c r="AB2766" s="14">
        <f>IFERROR(IF(UPPER($E2766)="L",SUMPRODUCT(N2766:Y2766,$N$3:$Y$3,$N$2:$Y$2),SUMPRODUCT(N2766:Y2766,$N$4:$Y$4,$N$2:$Y$2))/(Z2766/($K2766*$L2766*$M2766)),"")</f>
        <v/>
      </c>
      <c r="AC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inlineStr">
        <is>
          <t>C</t>
        </is>
      </c>
      <c r="G2767" s="9" t="n">
        <v>57</v>
      </c>
      <c r="H2767" s="9" t="n">
        <v>120</v>
      </c>
      <c r="I2767" s="9" t="inlineStr">
        <is>
          <t>Catcher - Backup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1" t="n">
        <v>1</v>
      </c>
      <c r="N2767" s="17" t="n"/>
      <c r="O2767" s="17" t="n"/>
      <c r="P2767" s="17" t="n"/>
      <c r="Q2767" s="17" t="n"/>
      <c r="R2767" s="17" t="n"/>
      <c r="S2767" s="17" t="n"/>
      <c r="T2767" s="17" t="n">
        <v>1</v>
      </c>
      <c r="U2767" s="17" t="n"/>
      <c r="V2767" s="17" t="n"/>
      <c r="W2767" s="17" t="n"/>
      <c r="X2767" s="17" t="n"/>
      <c r="Y2767" s="17" t="n"/>
      <c r="Z2767" s="13">
        <f>SUMPRODUCT(N2767:Y2767,$N$2:$Y$2)*$K2767*$L2767*$M2767</f>
        <v/>
      </c>
      <c r="AA2767" s="14">
        <f>SUM(N2767:Y2767)</f>
        <v/>
      </c>
      <c r="AB2767" s="14">
        <f>IFERROR(IF(UPPER($E2767)="L",SUMPRODUCT(N2767:Y2767,$N$3:$Y$3,$N$2:$Y$2),SUMPRODUCT(N2767:Y2767,$N$4:$Y$4,$N$2:$Y$2))/(Z2767/($K2767*$L2767*$M2767)),"")</f>
        <v/>
      </c>
      <c r="AC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inlineStr">
        <is>
          <t>SS</t>
        </is>
      </c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1" t="n">
        <v>1</v>
      </c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/>
      <c r="W2768" s="17" t="n">
        <v>1</v>
      </c>
      <c r="X2768" s="17" t="n"/>
      <c r="Y2768" s="17" t="n"/>
      <c r="Z2768" s="13">
        <f>SUMPRODUCT(N2768:Y2768,$N$2:$Y$2)*$K2768*$L2768*$M2768</f>
        <v/>
      </c>
      <c r="AA2768" s="14">
        <f>SUM(N2768:Y2768)</f>
        <v/>
      </c>
      <c r="AB2768" s="14">
        <f>IFERROR(IF(UPPER($E2768)="L",SUMPRODUCT(N2768:Y2768,$N$3:$Y$3,$N$2:$Y$2),SUMPRODUCT(N2768:Y2768,$N$4:$Y$4,$N$2:$Y$2))/(Z2768/($K2768*$L2768*$M2768)),"")</f>
        <v/>
      </c>
      <c r="AC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inlineStr">
        <is>
          <t>SS</t>
        </is>
      </c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1" t="n">
        <v>1</v>
      </c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/>
      <c r="W2769" s="17" t="n">
        <v>1</v>
      </c>
      <c r="X2769" s="17" t="n"/>
      <c r="Y2769" s="17" t="n"/>
      <c r="Z2769" s="13">
        <f>SUMPRODUCT(N2769:Y2769,$N$2:$Y$2)*$K2769*$L2769*$M2769</f>
        <v/>
      </c>
      <c r="AA2769" s="14">
        <f>SUM(N2769:Y2769)</f>
        <v/>
      </c>
      <c r="AB2769" s="14">
        <f>IFERROR(IF(UPPER($E2769)="L",SUMPRODUCT(N2769:Y2769,$N$3:$Y$3,$N$2:$Y$2),SUMPRODUCT(N2769:Y2769,$N$4:$Y$4,$N$2:$Y$2))/(Z2769/($K2769*$L2769*$M2769)),"")</f>
        <v/>
      </c>
      <c r="AC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inlineStr">
        <is>
          <t>SS</t>
        </is>
      </c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1" t="n">
        <v>1</v>
      </c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/>
      <c r="W2770" s="17" t="n">
        <v>1</v>
      </c>
      <c r="X2770" s="17" t="n"/>
      <c r="Y2770" s="17" t="n"/>
      <c r="Z2770" s="13">
        <f>SUMPRODUCT(N2770:Y2770,$N$2:$Y$2)*$K2770*$L2770*$M2770</f>
        <v/>
      </c>
      <c r="AA2770" s="14">
        <f>SUM(N2770:Y2770)</f>
        <v/>
      </c>
      <c r="AB2770" s="14">
        <f>IFERROR(IF(UPPER($E2770)="L",SUMPRODUCT(N2770:Y2770,$N$3:$Y$3,$N$2:$Y$2),SUMPRODUCT(N2770:Y2770,$N$4:$Y$4,$N$2:$Y$2))/(Z2770/($K2770*$L2770*$M2770)),"")</f>
        <v/>
      </c>
      <c r="AC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inlineStr">
        <is>
          <t>CF</t>
        </is>
      </c>
      <c r="G2771" s="9" t="n">
        <v>195</v>
      </c>
      <c r="H2771" s="9" t="n">
        <v>813</v>
      </c>
      <c r="I2771" s="9" t="inlineStr">
        <is>
          <t>Bench Bat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1" t="n">
        <v>1.038933235569856</v>
      </c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>
        <v>0.4</v>
      </c>
      <c r="W2771" s="17" t="n">
        <v>0.6</v>
      </c>
      <c r="X2771" s="17" t="n"/>
      <c r="Y2771" s="17" t="n"/>
      <c r="Z2771" s="13">
        <f>SUMPRODUCT(N2771:Y2771,$N$2:$Y$2)*$K2771*$L2771*$M2771</f>
        <v/>
      </c>
      <c r="AA2771" s="14">
        <f>SUM(N2771:Y2771)</f>
        <v/>
      </c>
      <c r="AB2771" s="14">
        <f>IFERROR(IF(UPPER($E2771)="L",SUMPRODUCT(N2771:Y2771,$N$3:$Y$3,$N$2:$Y$2),SUMPRODUCT(N2771:Y2771,$N$4:$Y$4,$N$2:$Y$2))/(Z2771/($K2771*$L2771*$M2771)),"")</f>
        <v/>
      </c>
      <c r="AC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inlineStr">
        <is>
          <t>C</t>
        </is>
      </c>
      <c r="G2772" s="9" t="n">
        <v>200</v>
      </c>
      <c r="H2772" s="9" t="n">
        <v>611</v>
      </c>
      <c r="I2772" s="9" t="inlineStr">
        <is>
          <t>Catcher - Backup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1" t="n">
        <v>1</v>
      </c>
      <c r="N2772" s="17" t="n"/>
      <c r="O2772" s="17" t="n"/>
      <c r="P2772" s="17" t="n"/>
      <c r="Q2772" s="17" t="n"/>
      <c r="R2772" s="17" t="n"/>
      <c r="S2772" s="17" t="n"/>
      <c r="T2772" s="17" t="n">
        <v>0.7</v>
      </c>
      <c r="U2772" s="17" t="n"/>
      <c r="V2772" s="17" t="n"/>
      <c r="W2772" s="17" t="n">
        <v>0.3</v>
      </c>
      <c r="X2772" s="17" t="n"/>
      <c r="Y2772" s="17" t="n"/>
      <c r="Z2772" s="13">
        <f>SUMPRODUCT(N2772:Y2772,$N$2:$Y$2)*$K2772*$L2772*$M2772</f>
        <v/>
      </c>
      <c r="AA2772" s="14">
        <f>SUM(N2772:Y2772)</f>
        <v/>
      </c>
      <c r="AB2772" s="14">
        <f>IFERROR(IF(UPPER($E2772)="L",SUMPRODUCT(N2772:Y2772,$N$3:$Y$3,$N$2:$Y$2),SUMPRODUCT(N2772:Y2772,$N$4:$Y$4,$N$2:$Y$2))/(Z2772/($K2772*$L2772*$M2772)),"")</f>
        <v/>
      </c>
      <c r="AC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inlineStr">
        <is>
          <t>1B</t>
        </is>
      </c>
      <c r="G2773" s="9" t="n">
        <v>486</v>
      </c>
      <c r="H2773" s="9" t="n">
        <v>1418</v>
      </c>
      <c r="I2773" s="9" t="inlineStr">
        <is>
          <t>Utility IF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1" t="n">
        <v>1.061579554975913</v>
      </c>
      <c r="N2773" s="17" t="n"/>
      <c r="O2773" s="17" t="n"/>
      <c r="P2773" s="17" t="n"/>
      <c r="Q2773" s="17" t="n"/>
      <c r="R2773" s="17" t="n"/>
      <c r="S2773" s="17" t="n"/>
      <c r="T2773" s="17" t="n"/>
      <c r="U2773" s="17" t="n">
        <v>0.7</v>
      </c>
      <c r="V2773" s="17" t="n"/>
      <c r="W2773" s="17" t="n">
        <v>0.3</v>
      </c>
      <c r="X2773" s="17" t="n"/>
      <c r="Y2773" s="17" t="n"/>
      <c r="Z2773" s="13">
        <f>SUMPRODUCT(N2773:Y2773,$N$2:$Y$2)*$K2773*$L2773*$M2773</f>
        <v/>
      </c>
      <c r="AA2773" s="14">
        <f>SUM(N2773:Y2773)</f>
        <v/>
      </c>
      <c r="AB2773" s="14">
        <f>IFERROR(IF(UPPER($E2773)="L",SUMPRODUCT(N2773:Y2773,$N$3:$Y$3,$N$2:$Y$2),SUMPRODUCT(N2773:Y2773,$N$4:$Y$4,$N$2:$Y$2))/(Z2773/($K2773*$L2773*$M2773)),"")</f>
        <v/>
      </c>
      <c r="AC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inlineStr">
        <is>
          <t>SS</t>
        </is>
      </c>
      <c r="G2774" s="9" t="n">
        <v>362</v>
      </c>
      <c r="H2774" s="9" t="n">
        <v>1393</v>
      </c>
      <c r="I2774" s="9" t="inlineStr">
        <is>
          <t>Weak Side Platoon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1" t="n">
        <v>1.15</v>
      </c>
      <c r="N2774" s="17" t="n"/>
      <c r="O2774" s="17" t="n"/>
      <c r="P2774" s="17" t="n"/>
      <c r="Q2774" s="17" t="n">
        <v>0.6</v>
      </c>
      <c r="R2774" s="17" t="n"/>
      <c r="S2774" s="17" t="n"/>
      <c r="T2774" s="17" t="n"/>
      <c r="U2774" s="17" t="n">
        <v>0.4</v>
      </c>
      <c r="V2774" s="17" t="n"/>
      <c r="W2774" s="17" t="n"/>
      <c r="X2774" s="17" t="n"/>
      <c r="Y2774" s="17" t="n"/>
      <c r="Z2774" s="13">
        <f>SUMPRODUCT(N2774:Y2774,$N$2:$Y$2)*$K2774*$L2774*$M2774</f>
        <v/>
      </c>
      <c r="AA2774" s="14">
        <f>SUM(N2774:Y2774)</f>
        <v/>
      </c>
      <c r="AB2774" s="14">
        <f>IFERROR(IF(UPPER($E2774)="L",SUMPRODUCT(N2774:Y2774,$N$3:$Y$3,$N$2:$Y$2),SUMPRODUCT(N2774:Y2774,$N$4:$Y$4,$N$2:$Y$2))/(Z2774/($K2774*$L2774*$M2774)),"")</f>
        <v/>
      </c>
      <c r="AC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inlineStr">
        <is>
          <t>2B</t>
        </is>
      </c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1" t="n">
        <v>1</v>
      </c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/>
      <c r="W2775" s="17" t="n">
        <v>1</v>
      </c>
      <c r="X2775" s="17" t="n"/>
      <c r="Y2775" s="17" t="n"/>
      <c r="Z2775" s="13">
        <f>SUMPRODUCT(N2775:Y2775,$N$2:$Y$2)*$K2775*$L2775*$M2775</f>
        <v/>
      </c>
      <c r="AA2775" s="14">
        <f>SUM(N2775:Y2775)</f>
        <v/>
      </c>
      <c r="AB2775" s="14">
        <f>IFERROR(IF(UPPER($E2775)="L",SUMPRODUCT(N2775:Y2775,$N$3:$Y$3,$N$2:$Y$2),SUMPRODUCT(N2775:Y2775,$N$4:$Y$4,$N$2:$Y$2))/(Z2775/($K2775*$L2775*$M2775)),"")</f>
        <v/>
      </c>
      <c r="AC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inlineStr">
        <is>
          <t>C</t>
        </is>
      </c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1" t="n">
        <v>1</v>
      </c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/>
      <c r="W2776" s="17" t="n">
        <v>0.85</v>
      </c>
      <c r="X2776" s="17" t="n">
        <v>0.15</v>
      </c>
      <c r="Y2776" s="17" t="n"/>
      <c r="Z2776" s="13">
        <f>SUMPRODUCT(N2776:Y2776,$N$2:$Y$2)*$K2776*$L2776*$M2776</f>
        <v/>
      </c>
      <c r="AA2776" s="14">
        <f>SUM(N2776:Y2776)</f>
        <v/>
      </c>
      <c r="AB2776" s="14">
        <f>IFERROR(IF(UPPER($E2776)="L",SUMPRODUCT(N2776:Y2776,$N$3:$Y$3,$N$2:$Y$2),SUMPRODUCT(N2776:Y2776,$N$4:$Y$4,$N$2:$Y$2))/(Z2776/($K2776*$L2776*$M2776)),"")</f>
        <v/>
      </c>
      <c r="AC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inlineStr">
        <is>
          <t>2B</t>
        </is>
      </c>
      <c r="G2777" s="9" t="n">
        <v>655</v>
      </c>
      <c r="H2777" s="9" t="n">
        <v>3222</v>
      </c>
      <c r="I2777" s="9" t="inlineStr">
        <is>
          <t>Bench Bat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1" t="n">
        <v>1.15</v>
      </c>
      <c r="N2777" s="17" t="n">
        <v>0.4</v>
      </c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>
        <v>0.6</v>
      </c>
      <c r="X2777" s="17" t="n"/>
      <c r="Y2777" s="17" t="n"/>
      <c r="Z2777" s="13">
        <f>SUMPRODUCT(N2777:Y2777,$N$2:$Y$2)*$K2777*$L2777*$M2777</f>
        <v/>
      </c>
      <c r="AA2777" s="14">
        <f>SUM(N2777:Y2777)</f>
        <v/>
      </c>
      <c r="AB2777" s="14">
        <f>IFERROR(IF(UPPER($E2777)="L",SUMPRODUCT(N2777:Y2777,$N$3:$Y$3,$N$2:$Y$2),SUMPRODUCT(N2777:Y2777,$N$4:$Y$4,$N$2:$Y$2))/(Z2777/($K2777*$L2777*$M2777)),"")</f>
        <v/>
      </c>
      <c r="AC2777" s="18" t="n"/>
    </row>
    <row r="2778">
      <c r="A2778" s="9" t="n">
        <v>700337</v>
      </c>
      <c r="B2778" s="9" t="inlineStr">
        <is>
          <t>Edgar Quero</t>
        </is>
      </c>
      <c r="C2778" s="9" t="inlineStr">
        <is>
          <t>CWS</t>
        </is>
      </c>
      <c r="D2778" s="9" t="n">
        <v>24</v>
      </c>
      <c r="E2778" s="16" t="inlineStr">
        <is>
          <t>S</t>
        </is>
      </c>
      <c r="F2778" s="16" t="inlineStr">
        <is>
          <t>C</t>
        </is>
      </c>
      <c r="G2778" s="9" t="n">
        <v>217</v>
      </c>
      <c r="H2778" s="9" t="n">
        <v>620</v>
      </c>
      <c r="I2778" s="9" t="inlineStr">
        <is>
          <t>Full Time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1" t="n">
        <v>0.7939734552503992</v>
      </c>
      <c r="N2778" s="17" t="n">
        <v>1</v>
      </c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7" t="n"/>
      <c r="Z2778" s="13">
        <f>SUMPRODUCT(N2778:Y2778,$N$2:$Y$2)*$K2778*$L2778*$M2778</f>
        <v/>
      </c>
      <c r="AA2778" s="14">
        <f>SUM(N2778:Y2778)</f>
        <v/>
      </c>
      <c r="AB2778" s="14">
        <f>IFERROR(IF(UPPER($E2778)="L",SUMPRODUCT(N2778:Y2778,$N$3:$Y$3,$N$2:$Y$2),SUMPRODUCT(N2778:Y2778,$N$4:$Y$4,$N$2:$Y$2))/(Z2778/($K2778*$L2778*$M2778)),"")</f>
        <v/>
      </c>
      <c r="AC2778" s="18" t="n"/>
    </row>
    <row r="2779">
      <c r="A2779" s="9" t="n">
        <v>649557</v>
      </c>
      <c r="B2779" s="9" t="inlineStr">
        <is>
          <t>Aledmys Díaz</t>
        </is>
      </c>
      <c r="C2779" s="9" t="inlineStr">
        <is>
          <t>HOU</t>
        </is>
      </c>
      <c r="D2779" s="9" t="n">
        <v>36</v>
      </c>
      <c r="E2779" s="16" t="inlineStr">
        <is>
          <t>R</t>
        </is>
      </c>
      <c r="F2779" s="16" t="inlineStr">
        <is>
          <t>SS</t>
        </is>
      </c>
      <c r="G2779" s="9" t="n">
        <v>34</v>
      </c>
      <c r="H2779" s="9" t="n">
        <v>705</v>
      </c>
      <c r="I2779" s="9" t="inlineStr">
        <is>
          <t>Depth (no MLB PA)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1" t="n">
        <v>1</v>
      </c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/>
      <c r="Y2779" s="17" t="n">
        <v>1</v>
      </c>
      <c r="Z2779" s="13">
        <f>SUMPRODUCT(N2779:Y2779,$N$2:$Y$2)*$K2779*$L2779*$M2779</f>
        <v/>
      </c>
      <c r="AA2779" s="14">
        <f>SUM(N2779:Y2779)</f>
        <v/>
      </c>
      <c r="AB2779" s="14">
        <f>IFERROR(IF(UPPER($E2779)="L",SUMPRODUCT(N2779:Y2779,$N$3:$Y$3,$N$2:$Y$2),SUMPRODUCT(N2779:Y2779,$N$4:$Y$4,$N$2:$Y$2))/(Z2779/($K2779*$L2779*$M2779)),"")</f>
        <v/>
      </c>
      <c r="AC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inlineStr">
        <is>
          <t>SS</t>
        </is>
      </c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1" t="n">
        <v>1</v>
      </c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/>
      <c r="Y2780" s="17" t="n">
        <v>1</v>
      </c>
      <c r="Z2780" s="13">
        <f>SUMPRODUCT(N2780:Y2780,$N$2:$Y$2)*$K2780*$L2780*$M2780</f>
        <v/>
      </c>
      <c r="AA2780" s="14">
        <f>SUM(N2780:Y2780)</f>
        <v/>
      </c>
      <c r="AB2780" s="14">
        <f>IFERROR(IF(UPPER($E2780)="L",SUMPRODUCT(N2780:Y2780,$N$3:$Y$3,$N$2:$Y$2),SUMPRODUCT(N2780:Y2780,$N$4:$Y$4,$N$2:$Y$2))/(Z2780/($K2780*$L2780*$M2780)),"")</f>
        <v/>
      </c>
      <c r="AC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inlineStr">
        <is>
          <t>C</t>
        </is>
      </c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1" t="n">
        <v>1</v>
      </c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/>
      <c r="Y2781" s="17" t="n">
        <v>1</v>
      </c>
      <c r="Z2781" s="13">
        <f>SUMPRODUCT(N2781:Y2781,$N$2:$Y$2)*$K2781*$L2781*$M2781</f>
        <v/>
      </c>
      <c r="AA2781" s="14">
        <f>SUM(N2781:Y2781)</f>
        <v/>
      </c>
      <c r="AB2781" s="14">
        <f>IFERROR(IF(UPPER($E2781)="L",SUMPRODUCT(N2781:Y2781,$N$3:$Y$3,$N$2:$Y$2),SUMPRODUCT(N2781:Y2781,$N$4:$Y$4,$N$2:$Y$2))/(Z2781/($K2781*$L2781*$M2781)),"")</f>
        <v/>
      </c>
      <c r="AC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inlineStr">
        <is>
          <t>LF</t>
        </is>
      </c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1" t="n">
        <v>1</v>
      </c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/>
      <c r="W2782" s="17" t="n">
        <v>1</v>
      </c>
      <c r="X2782" s="17" t="n"/>
      <c r="Y2782" s="17" t="n"/>
      <c r="Z2782" s="13">
        <f>SUMPRODUCT(N2782:Y2782,$N$2:$Y$2)*$K2782*$L2782*$M2782</f>
        <v/>
      </c>
      <c r="AA2782" s="14">
        <f>SUM(N2782:Y2782)</f>
        <v/>
      </c>
      <c r="AB2782" s="14">
        <f>IFERROR(IF(UPPER($E2782)="L",SUMPRODUCT(N2782:Y2782,$N$3:$Y$3,$N$2:$Y$2),SUMPRODUCT(N2782:Y2782,$N$4:$Y$4,$N$2:$Y$2))/(Z2782/($K2782*$L2782*$M2782)),"")</f>
        <v/>
      </c>
      <c r="AC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inlineStr">
        <is>
          <t>CF</t>
        </is>
      </c>
      <c r="G2783" s="9" t="n">
        <v>60</v>
      </c>
      <c r="H2783" s="9" t="n">
        <v>328</v>
      </c>
      <c r="I2783" s="9" t="inlineStr">
        <is>
          <t>Weak Side Platoon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1" t="n">
        <v>1</v>
      </c>
      <c r="N2783" s="17" t="n"/>
      <c r="O2783" s="17" t="n"/>
      <c r="P2783" s="17" t="n"/>
      <c r="Q2783" s="17" t="n">
        <v>0.6</v>
      </c>
      <c r="R2783" s="17" t="n"/>
      <c r="S2783" s="17" t="n"/>
      <c r="T2783" s="17" t="n"/>
      <c r="U2783" s="17" t="n"/>
      <c r="V2783" s="17" t="n"/>
      <c r="W2783" s="17" t="n">
        <v>0.4</v>
      </c>
      <c r="X2783" s="17" t="n"/>
      <c r="Y2783" s="17" t="n"/>
      <c r="Z2783" s="13">
        <f>SUMPRODUCT(N2783:Y2783,$N$2:$Y$2)*$K2783*$L2783*$M2783</f>
        <v/>
      </c>
      <c r="AA2783" s="14">
        <f>SUM(N2783:Y2783)</f>
        <v/>
      </c>
      <c r="AB2783" s="14">
        <f>IFERROR(IF(UPPER($E2783)="L",SUMPRODUCT(N2783:Y2783,$N$3:$Y$3,$N$2:$Y$2),SUMPRODUCT(N2783:Y2783,$N$4:$Y$4,$N$2:$Y$2))/(Z2783/($K2783*$L2783*$M2783)),"")</f>
        <v/>
      </c>
      <c r="AC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inlineStr">
        <is>
          <t>3B</t>
        </is>
      </c>
      <c r="G2784" s="9" t="n">
        <v>97</v>
      </c>
      <c r="H2784" s="9" t="n">
        <v>218</v>
      </c>
      <c r="I2784" s="9" t="inlineStr">
        <is>
          <t>Weak Side Platoon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1" t="n">
        <v>1</v>
      </c>
      <c r="N2784" s="17" t="n"/>
      <c r="O2784" s="17" t="n"/>
      <c r="P2784" s="17" t="n"/>
      <c r="Q2784" s="17" t="n">
        <v>0.6</v>
      </c>
      <c r="R2784" s="17" t="n"/>
      <c r="S2784" s="17" t="n"/>
      <c r="T2784" s="17" t="n"/>
      <c r="U2784" s="17" t="n">
        <v>0.4</v>
      </c>
      <c r="V2784" s="17" t="n"/>
      <c r="W2784" s="17" t="n"/>
      <c r="X2784" s="17" t="n"/>
      <c r="Y2784" s="17" t="n"/>
      <c r="Z2784" s="13">
        <f>SUMPRODUCT(N2784:Y2784,$N$2:$Y$2)*$K2784*$L2784*$M2784</f>
        <v/>
      </c>
      <c r="AA2784" s="14">
        <f>SUM(N2784:Y2784)</f>
        <v/>
      </c>
      <c r="AB2784" s="14">
        <f>IFERROR(IF(UPPER($E2784)="L",SUMPRODUCT(N2784:Y2784,$N$3:$Y$3,$N$2:$Y$2),SUMPRODUCT(N2784:Y2784,$N$4:$Y$4,$N$2:$Y$2))/(Z2784/($K2784*$L2784*$M2784)),"")</f>
        <v/>
      </c>
      <c r="AC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inlineStr">
        <is>
          <t>2B</t>
        </is>
      </c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1" t="n">
        <v>1</v>
      </c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/>
      <c r="Y2785" s="17" t="n">
        <v>1</v>
      </c>
      <c r="Z2785" s="13">
        <f>SUMPRODUCT(N2785:Y2785,$N$2:$Y$2)*$K2785*$L2785*$M2785</f>
        <v/>
      </c>
      <c r="AA2785" s="14">
        <f>SUM(N2785:Y2785)</f>
        <v/>
      </c>
      <c r="AB2785" s="14">
        <f>IFERROR(IF(UPPER($E2785)="L",SUMPRODUCT(N2785:Y2785,$N$3:$Y$3,$N$2:$Y$2),SUMPRODUCT(N2785:Y2785,$N$4:$Y$4,$N$2:$Y$2))/(Z2785/($K2785*$L2785*$M2785)),"")</f>
        <v/>
      </c>
      <c r="AC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inlineStr">
        <is>
          <t>SS</t>
        </is>
      </c>
      <c r="G2786" s="9" t="n">
        <v>147</v>
      </c>
      <c r="H2786" s="9" t="n">
        <v>2016</v>
      </c>
      <c r="I2786" s="9" t="inlineStr">
        <is>
          <t>Full Time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1" t="n">
        <v>0.6797163667557704</v>
      </c>
      <c r="N2786" s="17" t="n">
        <v>1</v>
      </c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7" t="n"/>
      <c r="Z2786" s="13">
        <f>SUMPRODUCT(N2786:Y2786,$N$2:$Y$2)*$K2786*$L2786*$M2786</f>
        <v/>
      </c>
      <c r="AA2786" s="14">
        <f>SUM(N2786:Y2786)</f>
        <v/>
      </c>
      <c r="AB2786" s="14">
        <f>IFERROR(IF(UPPER($E2786)="L",SUMPRODUCT(N2786:Y2786,$N$3:$Y$3,$N$2:$Y$2),SUMPRODUCT(N2786:Y2786,$N$4:$Y$4,$N$2:$Y$2))/(Z2786/($K2786*$L2786*$M2786)),"")</f>
        <v/>
      </c>
      <c r="AC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inlineStr">
        <is>
          <t>2B</t>
        </is>
      </c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1" t="n">
        <v>1</v>
      </c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/>
      <c r="Y2787" s="17" t="n">
        <v>1</v>
      </c>
      <c r="Z2787" s="13">
        <f>SUMPRODUCT(N2787:Y2787,$N$2:$Y$2)*$K2787*$L2787*$M2787</f>
        <v/>
      </c>
      <c r="AA2787" s="14">
        <f>SUM(N2787:Y2787)</f>
        <v/>
      </c>
      <c r="AB2787" s="14">
        <f>IFERROR(IF(UPPER($E2787)="L",SUMPRODUCT(N2787:Y2787,$N$3:$Y$3,$N$2:$Y$2),SUMPRODUCT(N2787:Y2787,$N$4:$Y$4,$N$2:$Y$2))/(Z2787/($K2787*$L2787*$M2787)),"")</f>
        <v/>
      </c>
      <c r="AC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inlineStr">
        <is>
          <t>C</t>
        </is>
      </c>
      <c r="G2788" s="9" t="n">
        <v>251</v>
      </c>
      <c r="H2788" s="9" t="n">
        <v>370</v>
      </c>
      <c r="I2788" s="9" t="inlineStr">
        <is>
          <t>Catcher - Backup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1" t="n">
        <v>1</v>
      </c>
      <c r="N2788" s="17" t="n"/>
      <c r="O2788" s="17" t="n"/>
      <c r="P2788" s="17" t="n"/>
      <c r="Q2788" s="17" t="n"/>
      <c r="R2788" s="17" t="n"/>
      <c r="S2788" s="17" t="n"/>
      <c r="T2788" s="17" t="n">
        <v>0.7</v>
      </c>
      <c r="U2788" s="17" t="n"/>
      <c r="V2788" s="17" t="n"/>
      <c r="W2788" s="17" t="n">
        <v>0.3</v>
      </c>
      <c r="X2788" s="17" t="n"/>
      <c r="Y2788" s="17" t="n"/>
      <c r="Z2788" s="13">
        <f>SUMPRODUCT(N2788:Y2788,$N$2:$Y$2)*$K2788*$L2788*$M2788</f>
        <v/>
      </c>
      <c r="AA2788" s="14">
        <f>SUM(N2788:Y2788)</f>
        <v/>
      </c>
      <c r="AB2788" s="14">
        <f>IFERROR(IF(UPPER($E2788)="L",SUMPRODUCT(N2788:Y2788,$N$3:$Y$3,$N$2:$Y$2),SUMPRODUCT(N2788:Y2788,$N$4:$Y$4,$N$2:$Y$2))/(Z2788/($K2788*$L2788*$M2788)),"")</f>
        <v/>
      </c>
      <c r="AC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inlineStr">
        <is>
          <t>RF</t>
        </is>
      </c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1" t="n">
        <v>1.045196693069586</v>
      </c>
      <c r="N2789" s="17" t="n">
        <v>1</v>
      </c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7" t="n"/>
      <c r="Z2789" s="13">
        <f>SUMPRODUCT(N2789:Y2789,$N$2:$Y$2)*$K2789*$L2789*$M2789</f>
        <v/>
      </c>
      <c r="AA2789" s="14">
        <f>SUM(N2789:Y2789)</f>
        <v/>
      </c>
      <c r="AB2789" s="14">
        <f>IFERROR(IF(UPPER($E2789)="L",SUMPRODUCT(N2789:Y2789,$N$3:$Y$3,$N$2:$Y$2),SUMPRODUCT(N2789:Y2789,$N$4:$Y$4,$N$2:$Y$2))/(Z2789/($K2789*$L2789*$M2789)),"")</f>
        <v/>
      </c>
      <c r="AC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inlineStr">
        <is>
          <t>RF</t>
        </is>
      </c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1" t="n">
        <v>1</v>
      </c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/>
      <c r="W2790" s="17" t="n">
        <v>1</v>
      </c>
      <c r="X2790" s="17" t="n"/>
      <c r="Y2790" s="17" t="n"/>
      <c r="Z2790" s="13">
        <f>SUMPRODUCT(N2790:Y2790,$N$2:$Y$2)*$K2790*$L2790*$M2790</f>
        <v/>
      </c>
      <c r="AA2790" s="14">
        <f>SUM(N2790:Y2790)</f>
        <v/>
      </c>
      <c r="AB2790" s="14">
        <f>IFERROR(IF(UPPER($E2790)="L",SUMPRODUCT(N2790:Y2790,$N$3:$Y$3,$N$2:$Y$2),SUMPRODUCT(N2790:Y2790,$N$4:$Y$4,$N$2:$Y$2))/(Z2790/($K2790*$L2790*$M2790)),"")</f>
        <v/>
      </c>
      <c r="AC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inlineStr">
        <is>
          <t>RF</t>
        </is>
      </c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1" t="n">
        <v>1</v>
      </c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>
        <v>0.4</v>
      </c>
      <c r="W2791" s="17" t="n">
        <v>0.6</v>
      </c>
      <c r="X2791" s="17" t="n"/>
      <c r="Y2791" s="17" t="n"/>
      <c r="Z2791" s="13">
        <f>SUMPRODUCT(N2791:Y2791,$N$2:$Y$2)*$K2791*$L2791*$M2791</f>
        <v/>
      </c>
      <c r="AA2791" s="14">
        <f>SUM(N2791:Y2791)</f>
        <v/>
      </c>
      <c r="AB2791" s="14">
        <f>IFERROR(IF(UPPER($E2791)="L",SUMPRODUCT(N2791:Y2791,$N$3:$Y$3,$N$2:$Y$2),SUMPRODUCT(N2791:Y2791,$N$4:$Y$4,$N$2:$Y$2))/(Z2791/($K2791*$L2791*$M2791)),"")</f>
        <v/>
      </c>
      <c r="AC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inlineStr">
        <is>
          <t>LF</t>
        </is>
      </c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1" t="n">
        <v>0.9266064924509796</v>
      </c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/>
      <c r="W2792" s="17" t="n">
        <v>1</v>
      </c>
      <c r="X2792" s="17" t="n"/>
      <c r="Y2792" s="17" t="n"/>
      <c r="Z2792" s="13">
        <f>SUMPRODUCT(N2792:Y2792,$N$2:$Y$2)*$K2792*$L2792*$M2792</f>
        <v/>
      </c>
      <c r="AA2792" s="14">
        <f>SUM(N2792:Y2792)</f>
        <v/>
      </c>
      <c r="AB2792" s="14">
        <f>IFERROR(IF(UPPER($E2792)="L",SUMPRODUCT(N2792:Y2792,$N$3:$Y$3,$N$2:$Y$2),SUMPRODUCT(N2792:Y2792,$N$4:$Y$4,$N$2:$Y$2))/(Z2792/($K2792*$L2792*$M2792)),"")</f>
        <v/>
      </c>
      <c r="AC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inlineStr">
        <is>
          <t>C</t>
        </is>
      </c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1" t="n">
        <v>1</v>
      </c>
      <c r="N2793" s="17" t="n"/>
      <c r="O2793" s="17" t="n"/>
      <c r="P2793" s="17" t="n"/>
      <c r="Q2793" s="17" t="n"/>
      <c r="R2793" s="17" t="n"/>
      <c r="S2793" s="17" t="n"/>
      <c r="T2793" s="17" t="n">
        <v>0.4</v>
      </c>
      <c r="U2793" s="17" t="n"/>
      <c r="V2793" s="17" t="n"/>
      <c r="W2793" s="17" t="n">
        <v>0.6</v>
      </c>
      <c r="X2793" s="17" t="n"/>
      <c r="Y2793" s="17" t="n"/>
      <c r="Z2793" s="13">
        <f>SUMPRODUCT(N2793:Y2793,$N$2:$Y$2)*$K2793*$L2793*$M2793</f>
        <v/>
      </c>
      <c r="AA2793" s="14">
        <f>SUM(N2793:Y2793)</f>
        <v/>
      </c>
      <c r="AB2793" s="14">
        <f>IFERROR(IF(UPPER($E2793)="L",SUMPRODUCT(N2793:Y2793,$N$3:$Y$3,$N$2:$Y$2),SUMPRODUCT(N2793:Y2793,$N$4:$Y$4,$N$2:$Y$2))/(Z2793/($K2793*$L2793*$M2793)),"")</f>
        <v/>
      </c>
      <c r="AC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inlineStr">
        <is>
          <t>2B</t>
        </is>
      </c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1" t="n">
        <v>1</v>
      </c>
      <c r="N2794" s="17" t="n"/>
      <c r="O2794" s="17" t="n"/>
      <c r="P2794" s="17" t="n"/>
      <c r="Q2794" s="17" t="n"/>
      <c r="R2794" s="17" t="n"/>
      <c r="S2794" s="17" t="n"/>
      <c r="T2794" s="17" t="n"/>
      <c r="U2794" s="17" t="n">
        <v>0.4</v>
      </c>
      <c r="V2794" s="17" t="n"/>
      <c r="W2794" s="17" t="n">
        <v>0.6</v>
      </c>
      <c r="X2794" s="17" t="n"/>
      <c r="Y2794" s="17" t="n"/>
      <c r="Z2794" s="13">
        <f>SUMPRODUCT(N2794:Y2794,$N$2:$Y$2)*$K2794*$L2794*$M2794</f>
        <v/>
      </c>
      <c r="AA2794" s="14">
        <f>SUM(N2794:Y2794)</f>
        <v/>
      </c>
      <c r="AB2794" s="14">
        <f>IFERROR(IF(UPPER($E2794)="L",SUMPRODUCT(N2794:Y2794,$N$3:$Y$3,$N$2:$Y$2),SUMPRODUCT(N2794:Y2794,$N$4:$Y$4,$N$2:$Y$2))/(Z2794/($K2794*$L2794*$M2794)),"")</f>
        <v/>
      </c>
      <c r="AC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inlineStr">
        <is>
          <t>CF</t>
        </is>
      </c>
      <c r="G2795" s="9" t="n">
        <v>330</v>
      </c>
      <c r="H2795" s="9" t="n">
        <v>1747</v>
      </c>
      <c r="I2795" s="9" t="inlineStr">
        <is>
          <t>Weak Side Platoon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1" t="n">
        <v>1.15</v>
      </c>
      <c r="N2795" s="17" t="n"/>
      <c r="O2795" s="17" t="n"/>
      <c r="P2795" s="17" t="n"/>
      <c r="Q2795" s="17" t="n">
        <v>0.6</v>
      </c>
      <c r="R2795" s="17" t="n"/>
      <c r="S2795" s="17" t="n"/>
      <c r="T2795" s="17" t="n"/>
      <c r="U2795" s="17" t="n"/>
      <c r="V2795" s="17" t="n">
        <v>0.4</v>
      </c>
      <c r="W2795" s="17" t="n"/>
      <c r="X2795" s="17" t="n"/>
      <c r="Y2795" s="17" t="n"/>
      <c r="Z2795" s="13">
        <f>SUMPRODUCT(N2795:Y2795,$N$2:$Y$2)*$K2795*$L2795*$M2795</f>
        <v/>
      </c>
      <c r="AA2795" s="14">
        <f>SUM(N2795:Y2795)</f>
        <v/>
      </c>
      <c r="AB2795" s="14">
        <f>IFERROR(IF(UPPER($E2795)="L",SUMPRODUCT(N2795:Y2795,$N$3:$Y$3,$N$2:$Y$2),SUMPRODUCT(N2795:Y2795,$N$4:$Y$4,$N$2:$Y$2))/(Z2795/($K2795*$L2795*$M2795)),"")</f>
        <v/>
      </c>
      <c r="AC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inlineStr">
        <is>
          <t>SS</t>
        </is>
      </c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1" t="n">
        <v>1</v>
      </c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/>
      <c r="W2796" s="17" t="n">
        <v>1</v>
      </c>
      <c r="X2796" s="17" t="n"/>
      <c r="Y2796" s="17" t="n"/>
      <c r="Z2796" s="13">
        <f>SUMPRODUCT(N2796:Y2796,$N$2:$Y$2)*$K2796*$L2796*$M2796</f>
        <v/>
      </c>
      <c r="AA2796" s="14">
        <f>SUM(N2796:Y2796)</f>
        <v/>
      </c>
      <c r="AB2796" s="14">
        <f>IFERROR(IF(UPPER($E2796)="L",SUMPRODUCT(N2796:Y2796,$N$3:$Y$3,$N$2:$Y$2),SUMPRODUCT(N2796:Y2796,$N$4:$Y$4,$N$2:$Y$2))/(Z2796/($K2796*$L2796*$M2796)),"")</f>
        <v/>
      </c>
      <c r="AC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inlineStr">
        <is>
          <t>CF</t>
        </is>
      </c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1" t="n">
        <v>0.6504320043379854</v>
      </c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/>
      <c r="Y2797" s="17" t="n">
        <v>1</v>
      </c>
      <c r="Z2797" s="13">
        <f>SUMPRODUCT(N2797:Y2797,$N$2:$Y$2)*$K2797*$L2797*$M2797</f>
        <v/>
      </c>
      <c r="AA2797" s="14">
        <f>SUM(N2797:Y2797)</f>
        <v/>
      </c>
      <c r="AB2797" s="14">
        <f>IFERROR(IF(UPPER($E2797)="L",SUMPRODUCT(N2797:Y2797,$N$3:$Y$3,$N$2:$Y$2),SUMPRODUCT(N2797:Y2797,$N$4:$Y$4,$N$2:$Y$2))/(Z2797/($K2797*$L2797*$M2797)),"")</f>
        <v/>
      </c>
      <c r="AC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inlineStr">
        <is>
          <t>LF</t>
        </is>
      </c>
      <c r="G2798" s="9" t="n">
        <v>47</v>
      </c>
      <c r="H2798" s="9" t="n">
        <v>554</v>
      </c>
      <c r="I2798" s="9" t="inlineStr">
        <is>
          <t>Weak Side Platoon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1" t="n">
        <v>1</v>
      </c>
      <c r="N2798" s="17" t="n"/>
      <c r="O2798" s="17" t="n"/>
      <c r="P2798" s="17" t="n"/>
      <c r="Q2798" s="17" t="n">
        <v>1</v>
      </c>
      <c r="R2798" s="17" t="n"/>
      <c r="S2798" s="17" t="n"/>
      <c r="T2798" s="17" t="n"/>
      <c r="U2798" s="17" t="n"/>
      <c r="V2798" s="17" t="n"/>
      <c r="W2798" s="17" t="n"/>
      <c r="X2798" s="17" t="n"/>
      <c r="Y2798" s="17" t="n"/>
      <c r="Z2798" s="13">
        <f>SUMPRODUCT(N2798:Y2798,$N$2:$Y$2)*$K2798*$L2798*$M2798</f>
        <v/>
      </c>
      <c r="AA2798" s="14">
        <f>SUM(N2798:Y2798)</f>
        <v/>
      </c>
      <c r="AB2798" s="14">
        <f>IFERROR(IF(UPPER($E2798)="L",SUMPRODUCT(N2798:Y2798,$N$3:$Y$3,$N$2:$Y$2),SUMPRODUCT(N2798:Y2798,$N$4:$Y$4,$N$2:$Y$2))/(Z2798/($K2798*$L2798*$M2798)),"")</f>
        <v/>
      </c>
      <c r="AC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inlineStr">
        <is>
          <t>2B</t>
        </is>
      </c>
      <c r="G2799" s="9" t="n">
        <v>364</v>
      </c>
      <c r="H2799" s="9" t="n">
        <v>430</v>
      </c>
      <c r="I2799" s="9" t="inlineStr">
        <is>
          <t>Strong Side Platoon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1" t="n">
        <v>0.8515251836722231</v>
      </c>
      <c r="N2799" s="17" t="n"/>
      <c r="O2799" s="17" t="n"/>
      <c r="P2799" s="17" t="n">
        <v>0.6</v>
      </c>
      <c r="Q2799" s="17" t="n"/>
      <c r="R2799" s="17" t="n"/>
      <c r="S2799" s="17" t="n"/>
      <c r="T2799" s="17" t="n"/>
      <c r="U2799" s="17" t="n">
        <v>0.4</v>
      </c>
      <c r="V2799" s="17" t="n"/>
      <c r="W2799" s="17" t="n"/>
      <c r="X2799" s="17" t="n"/>
      <c r="Y2799" s="17" t="n"/>
      <c r="Z2799" s="13">
        <f>SUMPRODUCT(N2799:Y2799,$N$2:$Y$2)*$K2799*$L2799*$M2799</f>
        <v/>
      </c>
      <c r="AA2799" s="14">
        <f>SUM(N2799:Y2799)</f>
        <v/>
      </c>
      <c r="AB2799" s="14">
        <f>IFERROR(IF(UPPER($E2799)="L",SUMPRODUCT(N2799:Y2799,$N$3:$Y$3,$N$2:$Y$2),SUMPRODUCT(N2799:Y2799,$N$4:$Y$4,$N$2:$Y$2))/(Z2799/($K2799*$L2799*$M2799)),"")</f>
        <v/>
      </c>
      <c r="AC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inlineStr">
        <is>
          <t>1B</t>
        </is>
      </c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1" t="n">
        <v>1</v>
      </c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/>
      <c r="W2800" s="17" t="n">
        <v>1</v>
      </c>
      <c r="X2800" s="17" t="n"/>
      <c r="Y2800" s="17" t="n"/>
      <c r="Z2800" s="13">
        <f>SUMPRODUCT(N2800:Y2800,$N$2:$Y$2)*$K2800*$L2800*$M2800</f>
        <v/>
      </c>
      <c r="AA2800" s="14">
        <f>SUM(N2800:Y2800)</f>
        <v/>
      </c>
      <c r="AB2800" s="14">
        <f>IFERROR(IF(UPPER($E2800)="L",SUMPRODUCT(N2800:Y2800,$N$3:$Y$3,$N$2:$Y$2),SUMPRODUCT(N2800:Y2800,$N$4:$Y$4,$N$2:$Y$2))/(Z2800/($K2800*$L2800*$M2800)),"")</f>
        <v/>
      </c>
      <c r="AC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inlineStr">
        <is>
          <t>RF</t>
        </is>
      </c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1" t="n">
        <v>1</v>
      </c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/>
      <c r="W2801" s="17" t="n">
        <v>1</v>
      </c>
      <c r="X2801" s="17" t="n"/>
      <c r="Y2801" s="17" t="n"/>
      <c r="Z2801" s="13">
        <f>SUMPRODUCT(N2801:Y2801,$N$2:$Y$2)*$K2801*$L2801*$M2801</f>
        <v/>
      </c>
      <c r="AA2801" s="14">
        <f>SUM(N2801:Y2801)</f>
        <v/>
      </c>
      <c r="AB2801" s="14">
        <f>IFERROR(IF(UPPER($E2801)="L",SUMPRODUCT(N2801:Y2801,$N$3:$Y$3,$N$2:$Y$2),SUMPRODUCT(N2801:Y2801,$N$4:$Y$4,$N$2:$Y$2))/(Z2801/($K2801*$L2801*$M2801)),"")</f>
        <v/>
      </c>
      <c r="AC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inlineStr">
        <is>
          <t>CF</t>
        </is>
      </c>
      <c r="G2802" s="9" t="n">
        <v>206</v>
      </c>
      <c r="H2802" s="9" t="n">
        <v>206</v>
      </c>
      <c r="I2802" s="9" t="inlineStr">
        <is>
          <t>Full Time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1" t="n">
        <v>1</v>
      </c>
      <c r="N2802" s="17" t="n">
        <v>1</v>
      </c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7" t="n"/>
      <c r="Z2802" s="13">
        <f>SUMPRODUCT(N2802:Y2802,$N$2:$Y$2)*$K2802*$L2802*$M2802</f>
        <v/>
      </c>
      <c r="AA2802" s="14">
        <f>SUM(N2802:Y2802)</f>
        <v/>
      </c>
      <c r="AB2802" s="14">
        <f>IFERROR(IF(UPPER($E2802)="L",SUMPRODUCT(N2802:Y2802,$N$3:$Y$3,$N$2:$Y$2),SUMPRODUCT(N2802:Y2802,$N$4:$Y$4,$N$2:$Y$2))/(Z2802/($K2802*$L2802*$M2802)),"")</f>
        <v/>
      </c>
      <c r="AC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inlineStr">
        <is>
          <t>1B</t>
        </is>
      </c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1" t="n">
        <v>1</v>
      </c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/>
      <c r="Y2803" s="17" t="n">
        <v>1</v>
      </c>
      <c r="Z2803" s="13">
        <f>SUMPRODUCT(N2803:Y2803,$N$2:$Y$2)*$K2803*$L2803*$M2803</f>
        <v/>
      </c>
      <c r="AA2803" s="14">
        <f>SUM(N2803:Y2803)</f>
        <v/>
      </c>
      <c r="AB2803" s="14">
        <f>IFERROR(IF(UPPER($E2803)="L",SUMPRODUCT(N2803:Y2803,$N$3:$Y$3,$N$2:$Y$2),SUMPRODUCT(N2803:Y2803,$N$4:$Y$4,$N$2:$Y$2))/(Z2803/($K2803*$L2803*$M2803)),"")</f>
        <v/>
      </c>
      <c r="AC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inlineStr">
        <is>
          <t>2B</t>
        </is>
      </c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1" t="n">
        <v>1</v>
      </c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/>
      <c r="W2804" s="17" t="n">
        <v>1</v>
      </c>
      <c r="X2804" s="17" t="n"/>
      <c r="Y2804" s="17" t="n"/>
      <c r="Z2804" s="13">
        <f>SUMPRODUCT(N2804:Y2804,$N$2:$Y$2)*$K2804*$L2804*$M2804</f>
        <v/>
      </c>
      <c r="AA2804" s="14">
        <f>SUM(N2804:Y2804)</f>
        <v/>
      </c>
      <c r="AB2804" s="14">
        <f>IFERROR(IF(UPPER($E2804)="L",SUMPRODUCT(N2804:Y2804,$N$3:$Y$3,$N$2:$Y$2),SUMPRODUCT(N2804:Y2804,$N$4:$Y$4,$N$2:$Y$2))/(Z2804/($K2804*$L2804*$M2804)),"")</f>
        <v/>
      </c>
      <c r="AC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inlineStr">
        <is>
          <t>LF</t>
        </is>
      </c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1" t="n">
        <v>1</v>
      </c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/>
      <c r="Y2805" s="17" t="n">
        <v>1</v>
      </c>
      <c r="Z2805" s="13">
        <f>SUMPRODUCT(N2805:Y2805,$N$2:$Y$2)*$K2805*$L2805*$M2805</f>
        <v/>
      </c>
      <c r="AA2805" s="14">
        <f>SUM(N2805:Y2805)</f>
        <v/>
      </c>
      <c r="AB2805" s="14">
        <f>IFERROR(IF(UPPER($E2805)="L",SUMPRODUCT(N2805:Y2805,$N$3:$Y$3,$N$2:$Y$2),SUMPRODUCT(N2805:Y2805,$N$4:$Y$4,$N$2:$Y$2))/(Z2805/($K2805*$L2805*$M2805)),"")</f>
        <v/>
      </c>
      <c r="AC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inlineStr">
        <is>
          <t>LF</t>
        </is>
      </c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1" t="n">
        <v>1</v>
      </c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/>
      <c r="W2806" s="17" t="n">
        <v>1</v>
      </c>
      <c r="X2806" s="17" t="n"/>
      <c r="Y2806" s="17" t="n"/>
      <c r="Z2806" s="13">
        <f>SUMPRODUCT(N2806:Y2806,$N$2:$Y$2)*$K2806*$L2806*$M2806</f>
        <v/>
      </c>
      <c r="AA2806" s="14">
        <f>SUM(N2806:Y2806)</f>
        <v/>
      </c>
      <c r="AB2806" s="14">
        <f>IFERROR(IF(UPPER($E2806)="L",SUMPRODUCT(N2806:Y2806,$N$3:$Y$3,$N$2:$Y$2),SUMPRODUCT(N2806:Y2806,$N$4:$Y$4,$N$2:$Y$2))/(Z2806/($K2806*$L2806*$M2806)),"")</f>
        <v/>
      </c>
      <c r="AC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inlineStr">
        <is>
          <t>CF</t>
        </is>
      </c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1" t="n">
        <v>1.11525616070766</v>
      </c>
      <c r="N2807" s="17" t="n">
        <v>0.6</v>
      </c>
      <c r="O2807" s="17" t="n"/>
      <c r="P2807" s="17" t="n"/>
      <c r="Q2807" s="17" t="n"/>
      <c r="R2807" s="17" t="n"/>
      <c r="S2807" s="17" t="n"/>
      <c r="T2807" s="17" t="n"/>
      <c r="U2807" s="17" t="n"/>
      <c r="V2807" s="17" t="n">
        <v>0.4</v>
      </c>
      <c r="W2807" s="17" t="n"/>
      <c r="X2807" s="17" t="n"/>
      <c r="Y2807" s="17" t="n"/>
      <c r="Z2807" s="13">
        <f>SUMPRODUCT(N2807:Y2807,$N$2:$Y$2)*$K2807*$L2807*$M2807</f>
        <v/>
      </c>
      <c r="AA2807" s="14">
        <f>SUM(N2807:Y2807)</f>
        <v/>
      </c>
      <c r="AB2807" s="14">
        <f>IFERROR(IF(UPPER($E2807)="L",SUMPRODUCT(N2807:Y2807,$N$3:$Y$3,$N$2:$Y$2),SUMPRODUCT(N2807:Y2807,$N$4:$Y$4,$N$2:$Y$2))/(Z2807/($K2807*$L2807*$M2807)),"")</f>
        <v/>
      </c>
      <c r="AC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inlineStr">
        <is>
          <t>3B</t>
        </is>
      </c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1" t="n">
        <v>1</v>
      </c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/>
      <c r="Y2808" s="17" t="n">
        <v>1</v>
      </c>
      <c r="Z2808" s="13">
        <f>SUMPRODUCT(N2808:Y2808,$N$2:$Y$2)*$K2808*$L2808*$M2808</f>
        <v/>
      </c>
      <c r="AA2808" s="14">
        <f>SUM(N2808:Y2808)</f>
        <v/>
      </c>
      <c r="AB2808" s="14">
        <f>IFERROR(IF(UPPER($E2808)="L",SUMPRODUCT(N2808:Y2808,$N$3:$Y$3,$N$2:$Y$2),SUMPRODUCT(N2808:Y2808,$N$4:$Y$4,$N$2:$Y$2))/(Z2808/($K2808*$L2808*$M2808)),"")</f>
        <v/>
      </c>
      <c r="AC2808" s="18" t="n"/>
    </row>
    <row r="2809">
      <c r="A2809" s="9" t="n">
        <v>687957</v>
      </c>
      <c r="B2809" s="9" t="inlineStr">
        <is>
          <t>Dustin Harris</t>
        </is>
      </c>
      <c r="C2809" s="9" t="inlineStr">
        <is>
          <t>SD</t>
        </is>
      </c>
      <c r="D2809" s="9" t="n">
        <v>27</v>
      </c>
      <c r="E2809" s="16" t="inlineStr">
        <is>
          <t>L</t>
        </is>
      </c>
      <c r="F2809" s="16" t="inlineStr">
        <is>
          <t>LF</t>
        </is>
      </c>
      <c r="G2809" s="9" t="n">
        <v>152</v>
      </c>
      <c r="H2809" s="9" t="n">
        <v>202</v>
      </c>
      <c r="I2809" s="9" t="inlineStr">
        <is>
          <t>Strong Side Platoon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1" t="n">
        <v>1</v>
      </c>
      <c r="N2809" s="17" t="n">
        <v>0.4</v>
      </c>
      <c r="O2809" s="17" t="n"/>
      <c r="P2809" s="17" t="n">
        <v>0.6</v>
      </c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7" t="n"/>
      <c r="Z2809" s="13">
        <f>SUMPRODUCT(N2809:Y2809,$N$2:$Y$2)*$K2809*$L2809*$M2809</f>
        <v/>
      </c>
      <c r="AA2809" s="14">
        <f>SUM(N2809:Y2809)</f>
        <v/>
      </c>
      <c r="AB2809" s="14">
        <f>IFERROR(IF(UPPER($E2809)="L",SUMPRODUCT(N2809:Y2809,$N$3:$Y$3,$N$2:$Y$2),SUMPRODUCT(N2809:Y2809,$N$4:$Y$4,$N$2:$Y$2))/(Z2809/($K2809*$L2809*$M2809)),"")</f>
        <v/>
      </c>
      <c r="AC2809" s="18" t="n"/>
    </row>
    <row r="2810">
      <c r="A2810" s="9" t="n">
        <v>665506</v>
      </c>
      <c r="B2810" s="9" t="inlineStr">
        <is>
          <t>Cristian Pache</t>
        </is>
      </c>
      <c r="C2810" s="9" t="inlineStr">
        <is>
          <t>MIA</t>
        </is>
      </c>
      <c r="D2810" s="9" t="n">
        <v>28</v>
      </c>
      <c r="E2810" s="16" t="inlineStr">
        <is>
          <t>R</t>
        </is>
      </c>
      <c r="F2810" s="16" t="inlineStr">
        <is>
          <t>LF</t>
        </is>
      </c>
      <c r="G2810" s="9" t="n">
        <v>8</v>
      </c>
      <c r="H2810" s="9" t="n">
        <v>546</v>
      </c>
      <c r="I2810" s="9" t="inlineStr">
        <is>
          <t>Bench Bat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1" t="n">
        <v>1</v>
      </c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>
        <v>0.4</v>
      </c>
      <c r="W2810" s="17" t="n">
        <v>0.6</v>
      </c>
      <c r="X2810" s="17" t="n"/>
      <c r="Y2810" s="17" t="n"/>
      <c r="Z2810" s="13">
        <f>SUMPRODUCT(N2810:Y2810,$N$2:$Y$2)*$K2810*$L2810*$M2810</f>
        <v/>
      </c>
      <c r="AA2810" s="14">
        <f>SUM(N2810:Y2810)</f>
        <v/>
      </c>
      <c r="AB2810" s="14">
        <f>IFERROR(IF(UPPER($E2810)="L",SUMPRODUCT(N2810:Y2810,$N$3:$Y$3,$N$2:$Y$2),SUMPRODUCT(N2810:Y2810,$N$4:$Y$4,$N$2:$Y$2))/(Z2810/($K2810*$L2810*$M2810)),"")</f>
        <v/>
      </c>
      <c r="AC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inlineStr">
        <is>
          <t>RF</t>
        </is>
      </c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1" t="n">
        <v>1</v>
      </c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/>
      <c r="Y2811" s="17" t="n">
        <v>1</v>
      </c>
      <c r="Z2811" s="13">
        <f>SUMPRODUCT(N2811:Y2811,$N$2:$Y$2)*$K2811*$L2811*$M2811</f>
        <v/>
      </c>
      <c r="AA2811" s="14">
        <f>SUM(N2811:Y2811)</f>
        <v/>
      </c>
      <c r="AB2811" s="14">
        <f>IFERROR(IF(UPPER($E2811)="L",SUMPRODUCT(N2811:Y2811,$N$3:$Y$3,$N$2:$Y$2),SUMPRODUCT(N2811:Y2811,$N$4:$Y$4,$N$2:$Y$2))/(Z2811/($K2811*$L2811*$M2811)),"")</f>
        <v/>
      </c>
      <c r="AC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inlineStr">
        <is>
          <t>3B</t>
        </is>
      </c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1" t="n">
        <v>1</v>
      </c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/>
      <c r="W2812" s="17" t="n">
        <v>1</v>
      </c>
      <c r="X2812" s="17" t="n"/>
      <c r="Y2812" s="17" t="n"/>
      <c r="Z2812" s="13">
        <f>SUMPRODUCT(N2812:Y2812,$N$2:$Y$2)*$K2812*$L2812*$M2812</f>
        <v/>
      </c>
      <c r="AA2812" s="14">
        <f>SUM(N2812:Y2812)</f>
        <v/>
      </c>
      <c r="AB2812" s="14">
        <f>IFERROR(IF(UPPER($E2812)="L",SUMPRODUCT(N2812:Y2812,$N$3:$Y$3,$N$2:$Y$2),SUMPRODUCT(N2812:Y2812,$N$4:$Y$4,$N$2:$Y$2))/(Z2812/($K2812*$L2812*$M2812)),"")</f>
        <v/>
      </c>
      <c r="AC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inlineStr">
        <is>
          <t>C</t>
        </is>
      </c>
      <c r="G2813" s="9" t="n">
        <v>44</v>
      </c>
      <c r="H2813" s="9" t="n">
        <v>612</v>
      </c>
      <c r="I2813" s="9" t="inlineStr">
        <is>
          <t>Catcher - Backup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1" t="n">
        <v>1</v>
      </c>
      <c r="N2813" s="17" t="n"/>
      <c r="O2813" s="17" t="n"/>
      <c r="P2813" s="17" t="n"/>
      <c r="Q2813" s="17" t="n"/>
      <c r="R2813" s="17" t="n"/>
      <c r="S2813" s="17" t="n"/>
      <c r="T2813" s="17" t="n">
        <v>1</v>
      </c>
      <c r="U2813" s="17" t="n"/>
      <c r="V2813" s="17" t="n"/>
      <c r="W2813" s="17" t="n"/>
      <c r="X2813" s="17" t="n"/>
      <c r="Y2813" s="17" t="n"/>
      <c r="Z2813" s="13">
        <f>SUMPRODUCT(N2813:Y2813,$N$2:$Y$2)*$K2813*$L2813*$M2813</f>
        <v/>
      </c>
      <c r="AA2813" s="14">
        <f>SUM(N2813:Y2813)</f>
        <v/>
      </c>
      <c r="AB2813" s="14">
        <f>IFERROR(IF(UPPER($E2813)="L",SUMPRODUCT(N2813:Y2813,$N$3:$Y$3,$N$2:$Y$2),SUMPRODUCT(N2813:Y2813,$N$4:$Y$4,$N$2:$Y$2))/(Z2813/($K2813*$L2813*$M2813)),"")</f>
        <v/>
      </c>
      <c r="AC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inlineStr">
        <is>
          <t>C</t>
        </is>
      </c>
      <c r="G2814" s="9" t="n">
        <v>204</v>
      </c>
      <c r="H2814" s="9" t="n">
        <v>562</v>
      </c>
      <c r="I2814" s="9" t="inlineStr">
        <is>
          <t>Catcher - Backup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1" t="n">
        <v>1</v>
      </c>
      <c r="N2814" s="17" t="n"/>
      <c r="O2814" s="17" t="n"/>
      <c r="P2814" s="17" t="n"/>
      <c r="Q2814" s="17" t="n"/>
      <c r="R2814" s="17" t="n"/>
      <c r="S2814" s="17" t="n"/>
      <c r="T2814" s="17" t="n">
        <v>1</v>
      </c>
      <c r="U2814" s="17" t="n"/>
      <c r="V2814" s="17" t="n"/>
      <c r="W2814" s="17" t="n"/>
      <c r="X2814" s="17" t="n"/>
      <c r="Y2814" s="17" t="n"/>
      <c r="Z2814" s="13">
        <f>SUMPRODUCT(N2814:Y2814,$N$2:$Y$2)*$K2814*$L2814*$M2814</f>
        <v/>
      </c>
      <c r="AA2814" s="14">
        <f>SUM(N2814:Y2814)</f>
        <v/>
      </c>
      <c r="AB2814" s="14">
        <f>IFERROR(IF(UPPER($E2814)="L",SUMPRODUCT(N2814:Y2814,$N$3:$Y$3,$N$2:$Y$2),SUMPRODUCT(N2814:Y2814,$N$4:$Y$4,$N$2:$Y$2))/(Z2814/($K2814*$L2814*$M2814)),"")</f>
        <v/>
      </c>
      <c r="AC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inlineStr">
        <is>
          <t>CF</t>
        </is>
      </c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1" t="n">
        <v>1.15</v>
      </c>
      <c r="N2815" s="17" t="n">
        <v>1</v>
      </c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7" t="n"/>
      <c r="Z2815" s="13">
        <f>SUMPRODUCT(N2815:Y2815,$N$2:$Y$2)*$K2815*$L2815*$M2815</f>
        <v/>
      </c>
      <c r="AA2815" s="14">
        <f>SUM(N2815:Y2815)</f>
        <v/>
      </c>
      <c r="AB2815" s="14">
        <f>IFERROR(IF(UPPER($E2815)="L",SUMPRODUCT(N2815:Y2815,$N$3:$Y$3,$N$2:$Y$2),SUMPRODUCT(N2815:Y2815,$N$4:$Y$4,$N$2:$Y$2))/(Z2815/($K2815*$L2815*$M2815)),"")</f>
        <v/>
      </c>
      <c r="AC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inlineStr">
        <is>
          <t>2B</t>
        </is>
      </c>
      <c r="G2816" s="9" t="n">
        <v>147</v>
      </c>
      <c r="H2816" s="9" t="n">
        <v>1957</v>
      </c>
      <c r="I2816" s="9" t="inlineStr">
        <is>
          <t>Utility IF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1" t="n">
        <v>0.974396972713069</v>
      </c>
      <c r="N2816" s="17" t="n"/>
      <c r="O2816" s="17" t="n"/>
      <c r="P2816" s="17" t="n"/>
      <c r="Q2816" s="17" t="n"/>
      <c r="R2816" s="17" t="n"/>
      <c r="S2816" s="17" t="n"/>
      <c r="T2816" s="17" t="n"/>
      <c r="U2816" s="17" t="n">
        <v>0.7</v>
      </c>
      <c r="V2816" s="17" t="n"/>
      <c r="W2816" s="17" t="n">
        <v>0.3</v>
      </c>
      <c r="X2816" s="17" t="n"/>
      <c r="Y2816" s="17" t="n"/>
      <c r="Z2816" s="13">
        <f>SUMPRODUCT(N2816:Y2816,$N$2:$Y$2)*$K2816*$L2816*$M2816</f>
        <v/>
      </c>
      <c r="AA2816" s="14">
        <f>SUM(N2816:Y2816)</f>
        <v/>
      </c>
      <c r="AB2816" s="14">
        <f>IFERROR(IF(UPPER($E2816)="L",SUMPRODUCT(N2816:Y2816,$N$3:$Y$3,$N$2:$Y$2),SUMPRODUCT(N2816:Y2816,$N$4:$Y$4,$N$2:$Y$2))/(Z2816/($K2816*$L2816*$M2816)),"")</f>
        <v/>
      </c>
      <c r="AC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inlineStr">
        <is>
          <t>SS</t>
        </is>
      </c>
      <c r="G2817" s="9" t="n">
        <v>231</v>
      </c>
      <c r="H2817" s="9" t="n">
        <v>439</v>
      </c>
      <c r="I2817" s="9" t="inlineStr">
        <is>
          <t>Full Time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1" t="n">
        <v>1</v>
      </c>
      <c r="N2817" s="17" t="n">
        <v>0.62</v>
      </c>
      <c r="O2817" s="17" t="n"/>
      <c r="P2817" s="17" t="n">
        <v>0.38</v>
      </c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7" t="n"/>
      <c r="Z2817" s="13">
        <f>SUMPRODUCT(N2817:Y2817,$N$2:$Y$2)*$K2817*$L2817*$M2817</f>
        <v/>
      </c>
      <c r="AA2817" s="14">
        <f>SUM(N2817:Y2817)</f>
        <v/>
      </c>
      <c r="AB2817" s="14">
        <f>IFERROR(IF(UPPER($E2817)="L",SUMPRODUCT(N2817:Y2817,$N$3:$Y$3,$N$2:$Y$2),SUMPRODUCT(N2817:Y2817,$N$4:$Y$4,$N$2:$Y$2))/(Z2817/($K2817*$L2817*$M2817)),"")</f>
        <v/>
      </c>
      <c r="AC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inlineStr">
        <is>
          <t>SS</t>
        </is>
      </c>
      <c r="G2818" s="9" t="n">
        <v>266</v>
      </c>
      <c r="H2818" s="9" t="n">
        <v>266</v>
      </c>
      <c r="I2818" s="9" t="inlineStr">
        <is>
          <t>Full Time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1" t="n">
        <v>1</v>
      </c>
      <c r="N2818" s="17" t="n">
        <v>0.68</v>
      </c>
      <c r="O2818" s="17" t="n"/>
      <c r="P2818" s="17" t="n">
        <v>0.32</v>
      </c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7" t="n"/>
      <c r="Z2818" s="13">
        <f>SUMPRODUCT(N2818:Y2818,$N$2:$Y$2)*$K2818*$L2818*$M2818</f>
        <v/>
      </c>
      <c r="AA2818" s="14">
        <f>SUM(N2818:Y2818)</f>
        <v/>
      </c>
      <c r="AB2818" s="14">
        <f>IFERROR(IF(UPPER($E2818)="L",SUMPRODUCT(N2818:Y2818,$N$3:$Y$3,$N$2:$Y$2),SUMPRODUCT(N2818:Y2818,$N$4:$Y$4,$N$2:$Y$2))/(Z2818/($K2818*$L2818*$M2818)),"")</f>
        <v/>
      </c>
      <c r="AC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inlineStr">
        <is>
          <t>RF</t>
        </is>
      </c>
      <c r="G2819" s="9" t="n">
        <v>358</v>
      </c>
      <c r="H2819" s="9" t="n">
        <v>796</v>
      </c>
      <c r="I2819" s="9" t="inlineStr">
        <is>
          <t>Weak Side Platoon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1" t="n">
        <v>1.018434808948242</v>
      </c>
      <c r="N2819" s="17" t="n"/>
      <c r="O2819" s="17" t="n"/>
      <c r="P2819" s="17" t="n"/>
      <c r="Q2819" s="17" t="n">
        <v>0.6</v>
      </c>
      <c r="R2819" s="17" t="n"/>
      <c r="S2819" s="17" t="n"/>
      <c r="T2819" s="17" t="n"/>
      <c r="U2819" s="17" t="n"/>
      <c r="V2819" s="17" t="n">
        <v>0.4</v>
      </c>
      <c r="W2819" s="17" t="n"/>
      <c r="X2819" s="17" t="n"/>
      <c r="Y2819" s="17" t="n"/>
      <c r="Z2819" s="13">
        <f>SUMPRODUCT(N2819:Y2819,$N$2:$Y$2)*$K2819*$L2819*$M2819</f>
        <v/>
      </c>
      <c r="AA2819" s="14">
        <f>SUM(N2819:Y2819)</f>
        <v/>
      </c>
      <c r="AB2819" s="14">
        <f>IFERROR(IF(UPPER($E2819)="L",SUMPRODUCT(N2819:Y2819,$N$3:$Y$3,$N$2:$Y$2),SUMPRODUCT(N2819:Y2819,$N$4:$Y$4,$N$2:$Y$2))/(Z2819/($K2819*$L2819*$M2819)),"")</f>
        <v/>
      </c>
      <c r="AC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inlineStr">
        <is>
          <t>RF</t>
        </is>
      </c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1" t="n">
        <v>0.8638514062790036</v>
      </c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/>
      <c r="Y2820" s="17" t="n">
        <v>1</v>
      </c>
      <c r="Z2820" s="13">
        <f>SUMPRODUCT(N2820:Y2820,$N$2:$Y$2)*$K2820*$L2820*$M2820</f>
        <v/>
      </c>
      <c r="AA2820" s="14">
        <f>SUM(N2820:Y2820)</f>
        <v/>
      </c>
      <c r="AB2820" s="14">
        <f>IFERROR(IF(UPPER($E2820)="L",SUMPRODUCT(N2820:Y2820,$N$3:$Y$3,$N$2:$Y$2),SUMPRODUCT(N2820:Y2820,$N$4:$Y$4,$N$2:$Y$2))/(Z2820/($K2820*$L2820*$M2820)),"")</f>
        <v/>
      </c>
      <c r="AC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inlineStr">
        <is>
          <t>CF</t>
        </is>
      </c>
      <c r="G2821" s="9" t="n">
        <v>87</v>
      </c>
      <c r="H2821" s="9" t="n">
        <v>246</v>
      </c>
      <c r="I2821" s="9" t="inlineStr">
        <is>
          <t>Weak Side Platoon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1" t="n">
        <v>1</v>
      </c>
      <c r="N2821" s="17" t="n"/>
      <c r="O2821" s="17" t="n"/>
      <c r="P2821" s="17" t="n"/>
      <c r="Q2821" s="17" t="n">
        <v>0.6</v>
      </c>
      <c r="R2821" s="17" t="n"/>
      <c r="S2821" s="17" t="n"/>
      <c r="T2821" s="17" t="n"/>
      <c r="U2821" s="17" t="n"/>
      <c r="V2821" s="17" t="n">
        <v>0.4</v>
      </c>
      <c r="W2821" s="17" t="n"/>
      <c r="X2821" s="17" t="n"/>
      <c r="Y2821" s="17" t="n"/>
      <c r="Z2821" s="13">
        <f>SUMPRODUCT(N2821:Y2821,$N$2:$Y$2)*$K2821*$L2821*$M2821</f>
        <v/>
      </c>
      <c r="AA2821" s="14">
        <f>SUM(N2821:Y2821)</f>
        <v/>
      </c>
      <c r="AB2821" s="14">
        <f>IFERROR(IF(UPPER($E2821)="L",SUMPRODUCT(N2821:Y2821,$N$3:$Y$3,$N$2:$Y$2),SUMPRODUCT(N2821:Y2821,$N$4:$Y$4,$N$2:$Y$2))/(Z2821/($K2821*$L2821*$M2821)),"")</f>
        <v/>
      </c>
      <c r="AC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inlineStr">
        <is>
          <t>1B</t>
        </is>
      </c>
      <c r="G2822" s="9" t="n">
        <v>51</v>
      </c>
      <c r="H2822" s="9" t="n">
        <v>258</v>
      </c>
      <c r="I2822" s="9" t="inlineStr">
        <is>
          <t>Full Time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1" t="n">
        <v>1</v>
      </c>
      <c r="N2822" s="17" t="n">
        <v>0.75</v>
      </c>
      <c r="O2822" s="17" t="n"/>
      <c r="P2822" s="17" t="n">
        <v>0.25</v>
      </c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7" t="n"/>
      <c r="Z2822" s="13">
        <f>SUMPRODUCT(N2822:Y2822,$N$2:$Y$2)*$K2822*$L2822*$M2822</f>
        <v/>
      </c>
      <c r="AA2822" s="14">
        <f>SUM(N2822:Y2822)</f>
        <v/>
      </c>
      <c r="AB2822" s="14">
        <f>IFERROR(IF(UPPER($E2822)="L",SUMPRODUCT(N2822:Y2822,$N$3:$Y$3,$N$2:$Y$2),SUMPRODUCT(N2822:Y2822,$N$4:$Y$4,$N$2:$Y$2))/(Z2822/($K2822*$L2822*$M2822)),"")</f>
        <v/>
      </c>
      <c r="AC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inlineStr">
        <is>
          <t>3B</t>
        </is>
      </c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1" t="n">
        <v>1</v>
      </c>
      <c r="N2823" s="17" t="n"/>
      <c r="O2823" s="17" t="n"/>
      <c r="P2823" s="17" t="n"/>
      <c r="Q2823" s="17" t="n"/>
      <c r="R2823" s="17" t="n"/>
      <c r="S2823" s="17" t="n"/>
      <c r="T2823" s="17" t="n"/>
      <c r="U2823" s="17" t="n">
        <v>0.4</v>
      </c>
      <c r="V2823" s="17" t="n"/>
      <c r="W2823" s="17" t="n">
        <v>0.6</v>
      </c>
      <c r="X2823" s="17" t="n"/>
      <c r="Y2823" s="17" t="n"/>
      <c r="Z2823" s="13">
        <f>SUMPRODUCT(N2823:Y2823,$N$2:$Y$2)*$K2823*$L2823*$M2823</f>
        <v/>
      </c>
      <c r="AA2823" s="14">
        <f>SUM(N2823:Y2823)</f>
        <v/>
      </c>
      <c r="AB2823" s="14">
        <f>IFERROR(IF(UPPER($E2823)="L",SUMPRODUCT(N2823:Y2823,$N$3:$Y$3,$N$2:$Y$2),SUMPRODUCT(N2823:Y2823,$N$4:$Y$4,$N$2:$Y$2))/(Z2823/($K2823*$L2823*$M2823)),"")</f>
        <v/>
      </c>
      <c r="AC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inlineStr">
        <is>
          <t>LF</t>
        </is>
      </c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1" t="n">
        <v>1</v>
      </c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/>
      <c r="W2824" s="17" t="n">
        <v>1</v>
      </c>
      <c r="X2824" s="17" t="n"/>
      <c r="Y2824" s="17" t="n"/>
      <c r="Z2824" s="13">
        <f>SUMPRODUCT(N2824:Y2824,$N$2:$Y$2)*$K2824*$L2824*$M2824</f>
        <v/>
      </c>
      <c r="AA2824" s="14">
        <f>SUM(N2824:Y2824)</f>
        <v/>
      </c>
      <c r="AB2824" s="14">
        <f>IFERROR(IF(UPPER($E2824)="L",SUMPRODUCT(N2824:Y2824,$N$3:$Y$3,$N$2:$Y$2),SUMPRODUCT(N2824:Y2824,$N$4:$Y$4,$N$2:$Y$2))/(Z2824/($K2824*$L2824*$M2824)),"")</f>
        <v/>
      </c>
      <c r="AC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inlineStr">
        <is>
          <t>2B</t>
        </is>
      </c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1" t="n">
        <v>1.15</v>
      </c>
      <c r="N2825" s="17" t="n">
        <v>1</v>
      </c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7" t="n"/>
      <c r="Z2825" s="13">
        <f>SUMPRODUCT(N2825:Y2825,$N$2:$Y$2)*$K2825*$L2825*$M2825</f>
        <v/>
      </c>
      <c r="AA2825" s="14">
        <f>SUM(N2825:Y2825)</f>
        <v/>
      </c>
      <c r="AB2825" s="14">
        <f>IFERROR(IF(UPPER($E2825)="L",SUMPRODUCT(N2825:Y2825,$N$3:$Y$3,$N$2:$Y$2),SUMPRODUCT(N2825:Y2825,$N$4:$Y$4,$N$2:$Y$2))/(Z2825/($K2825*$L2825*$M2825)),"")</f>
        <v/>
      </c>
      <c r="AC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inlineStr">
        <is>
          <t>LF</t>
        </is>
      </c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1" t="n">
        <v>1</v>
      </c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/>
      <c r="W2826" s="17" t="n">
        <v>1</v>
      </c>
      <c r="X2826" s="17" t="n"/>
      <c r="Y2826" s="17" t="n"/>
      <c r="Z2826" s="13">
        <f>SUMPRODUCT(N2826:Y2826,$N$2:$Y$2)*$K2826*$L2826*$M2826</f>
        <v/>
      </c>
      <c r="AA2826" s="14">
        <f>SUM(N2826:Y2826)</f>
        <v/>
      </c>
      <c r="AB2826" s="14">
        <f>IFERROR(IF(UPPER($E2826)="L",SUMPRODUCT(N2826:Y2826,$N$3:$Y$3,$N$2:$Y$2),SUMPRODUCT(N2826:Y2826,$N$4:$Y$4,$N$2:$Y$2))/(Z2826/($K2826*$L2826*$M2826)),"")</f>
        <v/>
      </c>
      <c r="AC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inlineStr">
        <is>
          <t>2B</t>
        </is>
      </c>
      <c r="G2827" s="9" t="n">
        <v>41</v>
      </c>
      <c r="H2827" s="9" t="n">
        <v>41</v>
      </c>
      <c r="I2827" s="9" t="inlineStr">
        <is>
          <t>Weak Side Platoon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1" t="n">
        <v>1</v>
      </c>
      <c r="N2827" s="17" t="n"/>
      <c r="O2827" s="17" t="n"/>
      <c r="P2827" s="17" t="n"/>
      <c r="Q2827" s="17" t="n">
        <v>0.6</v>
      </c>
      <c r="R2827" s="17" t="n"/>
      <c r="S2827" s="17" t="n"/>
      <c r="T2827" s="17" t="n"/>
      <c r="U2827" s="17" t="n">
        <v>0.4</v>
      </c>
      <c r="V2827" s="17" t="n"/>
      <c r="W2827" s="17" t="n"/>
      <c r="X2827" s="17" t="n"/>
      <c r="Y2827" s="17" t="n"/>
      <c r="Z2827" s="13">
        <f>SUMPRODUCT(N2827:Y2827,$N$2:$Y$2)*$K2827*$L2827*$M2827</f>
        <v/>
      </c>
      <c r="AA2827" s="14">
        <f>SUM(N2827:Y2827)</f>
        <v/>
      </c>
      <c r="AB2827" s="14">
        <f>IFERROR(IF(UPPER($E2827)="L",SUMPRODUCT(N2827:Y2827,$N$3:$Y$3,$N$2:$Y$2),SUMPRODUCT(N2827:Y2827,$N$4:$Y$4,$N$2:$Y$2))/(Z2827/($K2827*$L2827*$M2827)),"")</f>
        <v/>
      </c>
      <c r="AC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inlineStr">
        <is>
          <t>2B</t>
        </is>
      </c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1" t="n">
        <v>1</v>
      </c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/>
      <c r="W2828" s="17" t="n">
        <v>1</v>
      </c>
      <c r="X2828" s="17" t="n"/>
      <c r="Y2828" s="17" t="n"/>
      <c r="Z2828" s="13">
        <f>SUMPRODUCT(N2828:Y2828,$N$2:$Y$2)*$K2828*$L2828*$M2828</f>
        <v/>
      </c>
      <c r="AA2828" s="14">
        <f>SUM(N2828:Y2828)</f>
        <v/>
      </c>
      <c r="AB2828" s="14">
        <f>IFERROR(IF(UPPER($E2828)="L",SUMPRODUCT(N2828:Y2828,$N$3:$Y$3,$N$2:$Y$2),SUMPRODUCT(N2828:Y2828,$N$4:$Y$4,$N$2:$Y$2))/(Z2828/($K2828*$L2828*$M2828)),"")</f>
        <v/>
      </c>
      <c r="AC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inlineStr">
        <is>
          <t>2B</t>
        </is>
      </c>
      <c r="G2829" s="9" t="n">
        <v>343</v>
      </c>
      <c r="H2829" s="9" t="n">
        <v>1101</v>
      </c>
      <c r="I2829" s="9" t="inlineStr">
        <is>
          <t>Utility IF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1" t="n">
        <v>1.068202172396656</v>
      </c>
      <c r="N2829" s="17" t="n"/>
      <c r="O2829" s="17" t="n"/>
      <c r="P2829" s="17" t="n"/>
      <c r="Q2829" s="17" t="n"/>
      <c r="R2829" s="17" t="n"/>
      <c r="S2829" s="17" t="n"/>
      <c r="T2829" s="17" t="n"/>
      <c r="U2829" s="17" t="n">
        <v>1</v>
      </c>
      <c r="V2829" s="17" t="n"/>
      <c r="W2829" s="17" t="n"/>
      <c r="X2829" s="17" t="n"/>
      <c r="Y2829" s="17" t="n"/>
      <c r="Z2829" s="13">
        <f>SUMPRODUCT(N2829:Y2829,$N$2:$Y$2)*$K2829*$L2829*$M2829</f>
        <v/>
      </c>
      <c r="AA2829" s="14">
        <f>SUM(N2829:Y2829)</f>
        <v/>
      </c>
      <c r="AB2829" s="14">
        <f>IFERROR(IF(UPPER($E2829)="L",SUMPRODUCT(N2829:Y2829,$N$3:$Y$3,$N$2:$Y$2),SUMPRODUCT(N2829:Y2829,$N$4:$Y$4,$N$2:$Y$2))/(Z2829/($K2829*$L2829*$M2829)),"")</f>
        <v/>
      </c>
      <c r="AC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inlineStr">
        <is>
          <t>RF</t>
        </is>
      </c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1" t="n">
        <v>1</v>
      </c>
      <c r="N2830" s="17" t="n"/>
      <c r="O2830" s="17" t="n"/>
      <c r="P2830" s="17" t="n"/>
      <c r="Q2830" s="17" t="n"/>
      <c r="R2830" s="17" t="n"/>
      <c r="S2830" s="17" t="n"/>
      <c r="T2830" s="17" t="n"/>
      <c r="U2830" s="17" t="n">
        <v>0.4</v>
      </c>
      <c r="V2830" s="17" t="n"/>
      <c r="W2830" s="17" t="n">
        <v>0.6</v>
      </c>
      <c r="X2830" s="17" t="n"/>
      <c r="Y2830" s="17" t="n"/>
      <c r="Z2830" s="13">
        <f>SUMPRODUCT(N2830:Y2830,$N$2:$Y$2)*$K2830*$L2830*$M2830</f>
        <v/>
      </c>
      <c r="AA2830" s="14">
        <f>SUM(N2830:Y2830)</f>
        <v/>
      </c>
      <c r="AB2830" s="14">
        <f>IFERROR(IF(UPPER($E2830)="L",SUMPRODUCT(N2830:Y2830,$N$3:$Y$3,$N$2:$Y$2),SUMPRODUCT(N2830:Y2830,$N$4:$Y$4,$N$2:$Y$2))/(Z2830/($K2830*$L2830*$M2830)),"")</f>
        <v/>
      </c>
      <c r="AC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inlineStr">
        <is>
          <t>RF</t>
        </is>
      </c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1" t="n">
        <v>0.8905050200716456</v>
      </c>
      <c r="N2831" s="17" t="n">
        <v>1</v>
      </c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7" t="n"/>
      <c r="Z2831" s="13">
        <f>SUMPRODUCT(N2831:Y2831,$N$2:$Y$2)*$K2831*$L2831*$M2831</f>
        <v/>
      </c>
      <c r="AA2831" s="14">
        <f>SUM(N2831:Y2831)</f>
        <v/>
      </c>
      <c r="AB2831" s="14">
        <f>IFERROR(IF(UPPER($E2831)="L",SUMPRODUCT(N2831:Y2831,$N$3:$Y$3,$N$2:$Y$2),SUMPRODUCT(N2831:Y2831,$N$4:$Y$4,$N$2:$Y$2))/(Z2831/($K2831*$L2831*$M2831)),"")</f>
        <v/>
      </c>
      <c r="AC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inlineStr">
        <is>
          <t>LF</t>
        </is>
      </c>
      <c r="G2832" s="9" t="n">
        <v>337</v>
      </c>
      <c r="H2832" s="9" t="n">
        <v>401</v>
      </c>
      <c r="I2832" s="9" t="inlineStr">
        <is>
          <t>Full Time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1" t="n">
        <v>0.9288715919216736</v>
      </c>
      <c r="N2832" s="17" t="n">
        <v>0.7</v>
      </c>
      <c r="O2832" s="17" t="n"/>
      <c r="P2832" s="17" t="n">
        <v>0.3</v>
      </c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7" t="n"/>
      <c r="Z2832" s="13">
        <f>SUMPRODUCT(N2832:Y2832,$N$2:$Y$2)*$K2832*$L2832*$M2832</f>
        <v/>
      </c>
      <c r="AA2832" s="14">
        <f>SUM(N2832:Y2832)</f>
        <v/>
      </c>
      <c r="AB2832" s="14">
        <f>IFERROR(IF(UPPER($E2832)="L",SUMPRODUCT(N2832:Y2832,$N$3:$Y$3,$N$2:$Y$2),SUMPRODUCT(N2832:Y2832,$N$4:$Y$4,$N$2:$Y$2))/(Z2832/($K2832*$L2832*$M2832)),"")</f>
        <v/>
      </c>
      <c r="AC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inlineStr">
        <is>
          <t>C</t>
        </is>
      </c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1" t="n">
        <v>1</v>
      </c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/>
      <c r="Y2833" s="17" t="n">
        <v>1</v>
      </c>
      <c r="Z2833" s="13">
        <f>SUMPRODUCT(N2833:Y2833,$N$2:$Y$2)*$K2833*$L2833*$M2833</f>
        <v/>
      </c>
      <c r="AA2833" s="14">
        <f>SUM(N2833:Y2833)</f>
        <v/>
      </c>
      <c r="AB2833" s="14">
        <f>IFERROR(IF(UPPER($E2833)="L",SUMPRODUCT(N2833:Y2833,$N$3:$Y$3,$N$2:$Y$2),SUMPRODUCT(N2833:Y2833,$N$4:$Y$4,$N$2:$Y$2))/(Z2833/($K2833*$L2833*$M2833)),"")</f>
        <v/>
      </c>
      <c r="AC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inlineStr">
        <is>
          <t>1B</t>
        </is>
      </c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1" t="n">
        <v>1</v>
      </c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/>
      <c r="Y2834" s="17" t="n">
        <v>1</v>
      </c>
      <c r="Z2834" s="13">
        <f>SUMPRODUCT(N2834:Y2834,$N$2:$Y$2)*$K2834*$L2834*$M2834</f>
        <v/>
      </c>
      <c r="AA2834" s="14">
        <f>SUM(N2834:Y2834)</f>
        <v/>
      </c>
      <c r="AB2834" s="14">
        <f>IFERROR(IF(UPPER($E2834)="L",SUMPRODUCT(N2834:Y2834,$N$3:$Y$3,$N$2:$Y$2),SUMPRODUCT(N2834:Y2834,$N$4:$Y$4,$N$2:$Y$2))/(Z2834/($K2834*$L2834*$M2834)),"")</f>
        <v/>
      </c>
      <c r="AC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inlineStr">
        <is>
          <t>C</t>
        </is>
      </c>
      <c r="G2835" s="9" t="n">
        <v>28</v>
      </c>
      <c r="H2835" s="9" t="n">
        <v>563</v>
      </c>
      <c r="I2835" s="9" t="inlineStr">
        <is>
          <t>Catcher - Backup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1" t="n">
        <v>0.8726841460528335</v>
      </c>
      <c r="N2835" s="17" t="n"/>
      <c r="O2835" s="17" t="n"/>
      <c r="P2835" s="17" t="n"/>
      <c r="Q2835" s="17" t="n"/>
      <c r="R2835" s="17" t="n"/>
      <c r="S2835" s="17" t="n"/>
      <c r="T2835" s="17" t="n">
        <v>1</v>
      </c>
      <c r="U2835" s="17" t="n"/>
      <c r="V2835" s="17" t="n"/>
      <c r="W2835" s="17" t="n"/>
      <c r="X2835" s="17" t="n"/>
      <c r="Y2835" s="17" t="n"/>
      <c r="Z2835" s="13">
        <f>SUMPRODUCT(N2835:Y2835,$N$2:$Y$2)*$K2835*$L2835*$M2835</f>
        <v/>
      </c>
      <c r="AA2835" s="14">
        <f>SUM(N2835:Y2835)</f>
        <v/>
      </c>
      <c r="AB2835" s="14">
        <f>IFERROR(IF(UPPER($E2835)="L",SUMPRODUCT(N2835:Y2835,$N$3:$Y$3,$N$2:$Y$2),SUMPRODUCT(N2835:Y2835,$N$4:$Y$4,$N$2:$Y$2))/(Z2835/($K2835*$L2835*$M2835)),"")</f>
        <v/>
      </c>
      <c r="AC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inlineStr">
        <is>
          <t>2B</t>
        </is>
      </c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1" t="n">
        <v>1</v>
      </c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/>
      <c r="Y2836" s="17" t="n">
        <v>1</v>
      </c>
      <c r="Z2836" s="13">
        <f>SUMPRODUCT(N2836:Y2836,$N$2:$Y$2)*$K2836*$L2836*$M2836</f>
        <v/>
      </c>
      <c r="AA2836" s="14">
        <f>SUM(N2836:Y2836)</f>
        <v/>
      </c>
      <c r="AB2836" s="14">
        <f>IFERROR(IF(UPPER($E2836)="L",SUMPRODUCT(N2836:Y2836,$N$3:$Y$3,$N$2:$Y$2),SUMPRODUCT(N2836:Y2836,$N$4:$Y$4,$N$2:$Y$2))/(Z2836/($K2836*$L2836*$M2836)),"")</f>
        <v/>
      </c>
      <c r="AC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inlineStr">
        <is>
          <t>LF</t>
        </is>
      </c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1" t="n">
        <v>1</v>
      </c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/>
      <c r="W2837" s="17" t="n">
        <v>1</v>
      </c>
      <c r="X2837" s="17" t="n"/>
      <c r="Y2837" s="17" t="n"/>
      <c r="Z2837" s="13">
        <f>SUMPRODUCT(N2837:Y2837,$N$2:$Y$2)*$K2837*$L2837*$M2837</f>
        <v/>
      </c>
      <c r="AA2837" s="14">
        <f>SUM(N2837:Y2837)</f>
        <v/>
      </c>
      <c r="AB2837" s="14">
        <f>IFERROR(IF(UPPER($E2837)="L",SUMPRODUCT(N2837:Y2837,$N$3:$Y$3,$N$2:$Y$2),SUMPRODUCT(N2837:Y2837,$N$4:$Y$4,$N$2:$Y$2))/(Z2837/($K2837*$L2837*$M2837)),"")</f>
        <v/>
      </c>
      <c r="AC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inlineStr">
        <is>
          <t>RF</t>
        </is>
      </c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1" t="n">
        <v>1</v>
      </c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/>
      <c r="Y2838" s="17" t="n">
        <v>1</v>
      </c>
      <c r="Z2838" s="13">
        <f>SUMPRODUCT(N2838:Y2838,$N$2:$Y$2)*$K2838*$L2838*$M2838</f>
        <v/>
      </c>
      <c r="AA2838" s="14">
        <f>SUM(N2838:Y2838)</f>
        <v/>
      </c>
      <c r="AB2838" s="14">
        <f>IFERROR(IF(UPPER($E2838)="L",SUMPRODUCT(N2838:Y2838,$N$3:$Y$3,$N$2:$Y$2),SUMPRODUCT(N2838:Y2838,$N$4:$Y$4,$N$2:$Y$2))/(Z2838/($K2838*$L2838*$M2838)),"")</f>
        <v/>
      </c>
      <c r="AC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inlineStr">
        <is>
          <t>1B</t>
        </is>
      </c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1" t="n">
        <v>1</v>
      </c>
      <c r="N2839" s="17" t="n"/>
      <c r="O2839" s="17" t="n"/>
      <c r="P2839" s="17" t="n"/>
      <c r="Q2839" s="17" t="n"/>
      <c r="R2839" s="17" t="n"/>
      <c r="S2839" s="17" t="n"/>
      <c r="T2839" s="17" t="n"/>
      <c r="U2839" s="17" t="n">
        <v>0.4</v>
      </c>
      <c r="V2839" s="17" t="n"/>
      <c r="W2839" s="17" t="n">
        <v>0.6</v>
      </c>
      <c r="X2839" s="17" t="n"/>
      <c r="Y2839" s="17" t="n"/>
      <c r="Z2839" s="13">
        <f>SUMPRODUCT(N2839:Y2839,$N$2:$Y$2)*$K2839*$L2839*$M2839</f>
        <v/>
      </c>
      <c r="AA2839" s="14">
        <f>SUM(N2839:Y2839)</f>
        <v/>
      </c>
      <c r="AB2839" s="14">
        <f>IFERROR(IF(UPPER($E2839)="L",SUMPRODUCT(N2839:Y2839,$N$3:$Y$3,$N$2:$Y$2),SUMPRODUCT(N2839:Y2839,$N$4:$Y$4,$N$2:$Y$2))/(Z2839/($K2839*$L2839*$M2839)),"")</f>
        <v/>
      </c>
      <c r="AC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inlineStr">
        <is>
          <t>RF</t>
        </is>
      </c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1" t="n">
        <v>1</v>
      </c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/>
      <c r="W2840" s="17" t="n">
        <v>1</v>
      </c>
      <c r="X2840" s="17" t="n"/>
      <c r="Y2840" s="17" t="n"/>
      <c r="Z2840" s="13">
        <f>SUMPRODUCT(N2840:Y2840,$N$2:$Y$2)*$K2840*$L2840*$M2840</f>
        <v/>
      </c>
      <c r="AA2840" s="14">
        <f>SUM(N2840:Y2840)</f>
        <v/>
      </c>
      <c r="AB2840" s="14">
        <f>IFERROR(IF(UPPER($E2840)="L",SUMPRODUCT(N2840:Y2840,$N$3:$Y$3,$N$2:$Y$2),SUMPRODUCT(N2840:Y2840,$N$4:$Y$4,$N$2:$Y$2))/(Z2840/($K2840*$L2840*$M2840)),"")</f>
        <v/>
      </c>
      <c r="AC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inlineStr">
        <is>
          <t>C</t>
        </is>
      </c>
      <c r="G2841" s="9" t="n">
        <v>41</v>
      </c>
      <c r="H2841" s="9" t="n">
        <v>592</v>
      </c>
      <c r="I2841" s="9" t="inlineStr">
        <is>
          <t>Catcher - Backup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1" t="n">
        <v>1</v>
      </c>
      <c r="N2841" s="17" t="n"/>
      <c r="O2841" s="17" t="n"/>
      <c r="P2841" s="17" t="n"/>
      <c r="Q2841" s="17" t="n"/>
      <c r="R2841" s="17" t="n"/>
      <c r="S2841" s="17" t="n"/>
      <c r="T2841" s="17" t="n">
        <v>1</v>
      </c>
      <c r="U2841" s="17" t="n"/>
      <c r="V2841" s="17" t="n"/>
      <c r="W2841" s="17" t="n"/>
      <c r="X2841" s="17" t="n"/>
      <c r="Y2841" s="17" t="n"/>
      <c r="Z2841" s="13">
        <f>SUMPRODUCT(N2841:Y2841,$N$2:$Y$2)*$K2841*$L2841*$M2841</f>
        <v/>
      </c>
      <c r="AA2841" s="14">
        <f>SUM(N2841:Y2841)</f>
        <v/>
      </c>
      <c r="AB2841" s="14">
        <f>IFERROR(IF(UPPER($E2841)="L",SUMPRODUCT(N2841:Y2841,$N$3:$Y$3,$N$2:$Y$2),SUMPRODUCT(N2841:Y2841,$N$4:$Y$4,$N$2:$Y$2))/(Z2841/($K2841*$L2841*$M2841)),"")</f>
        <v/>
      </c>
      <c r="AC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inlineStr">
        <is>
          <t>C</t>
        </is>
      </c>
      <c r="G2842" s="9" t="n">
        <v>92</v>
      </c>
      <c r="H2842" s="9" t="n">
        <v>211</v>
      </c>
      <c r="I2842" s="9" t="inlineStr">
        <is>
          <t>Catcher - Backup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1" t="n">
        <v>1</v>
      </c>
      <c r="N2842" s="17" t="n"/>
      <c r="O2842" s="17" t="n"/>
      <c r="P2842" s="17" t="n"/>
      <c r="Q2842" s="17" t="n"/>
      <c r="R2842" s="17" t="n"/>
      <c r="S2842" s="17" t="n"/>
      <c r="T2842" s="17" t="n">
        <v>0.7</v>
      </c>
      <c r="U2842" s="17" t="n"/>
      <c r="V2842" s="17" t="n"/>
      <c r="W2842" s="17" t="n">
        <v>0.3</v>
      </c>
      <c r="X2842" s="17" t="n"/>
      <c r="Y2842" s="17" t="n"/>
      <c r="Z2842" s="13">
        <f>SUMPRODUCT(N2842:Y2842,$N$2:$Y$2)*$K2842*$L2842*$M2842</f>
        <v/>
      </c>
      <c r="AA2842" s="14">
        <f>SUM(N2842:Y2842)</f>
        <v/>
      </c>
      <c r="AB2842" s="14">
        <f>IFERROR(IF(UPPER($E2842)="L",SUMPRODUCT(N2842:Y2842,$N$3:$Y$3,$N$2:$Y$2),SUMPRODUCT(N2842:Y2842,$N$4:$Y$4,$N$2:$Y$2))/(Z2842/($K2842*$L2842*$M2842)),"")</f>
        <v/>
      </c>
      <c r="AC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inlineStr">
        <is>
          <t>RF</t>
        </is>
      </c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1" t="n">
        <v>1</v>
      </c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/>
      <c r="Y2843" s="17" t="n">
        <v>1</v>
      </c>
      <c r="Z2843" s="13">
        <f>SUMPRODUCT(N2843:Y2843,$N$2:$Y$2)*$K2843*$L2843*$M2843</f>
        <v/>
      </c>
      <c r="AA2843" s="14">
        <f>SUM(N2843:Y2843)</f>
        <v/>
      </c>
      <c r="AB2843" s="14">
        <f>IFERROR(IF(UPPER($E2843)="L",SUMPRODUCT(N2843:Y2843,$N$3:$Y$3,$N$2:$Y$2),SUMPRODUCT(N2843:Y2843,$N$4:$Y$4,$N$2:$Y$2))/(Z2843/($K2843*$L2843*$M2843)),"")</f>
        <v/>
      </c>
      <c r="AC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inlineStr">
        <is>
          <t>SS</t>
        </is>
      </c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1" t="n">
        <v>1</v>
      </c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/>
      <c r="W2844" s="17" t="n">
        <v>1</v>
      </c>
      <c r="X2844" s="17" t="n"/>
      <c r="Y2844" s="17" t="n"/>
      <c r="Z2844" s="13">
        <f>SUMPRODUCT(N2844:Y2844,$N$2:$Y$2)*$K2844*$L2844*$M2844</f>
        <v/>
      </c>
      <c r="AA2844" s="14">
        <f>SUM(N2844:Y2844)</f>
        <v/>
      </c>
      <c r="AB2844" s="14">
        <f>IFERROR(IF(UPPER($E2844)="L",SUMPRODUCT(N2844:Y2844,$N$3:$Y$3,$N$2:$Y$2),SUMPRODUCT(N2844:Y2844,$N$4:$Y$4,$N$2:$Y$2))/(Z2844/($K2844*$L2844*$M2844)),"")</f>
        <v/>
      </c>
      <c r="AC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inlineStr">
        <is>
          <t>RF</t>
        </is>
      </c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1" t="n">
        <v>1</v>
      </c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/>
      <c r="Y2845" s="17" t="n">
        <v>1</v>
      </c>
      <c r="Z2845" s="13">
        <f>SUMPRODUCT(N2845:Y2845,$N$2:$Y$2)*$K2845*$L2845*$M2845</f>
        <v/>
      </c>
      <c r="AA2845" s="14">
        <f>SUM(N2845:Y2845)</f>
        <v/>
      </c>
      <c r="AB2845" s="14">
        <f>IFERROR(IF(UPPER($E2845)="L",SUMPRODUCT(N2845:Y2845,$N$3:$Y$3,$N$2:$Y$2),SUMPRODUCT(N2845:Y2845,$N$4:$Y$4,$N$2:$Y$2))/(Z2845/($K2845*$L2845*$M2845)),"")</f>
        <v/>
      </c>
      <c r="AC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inlineStr">
        <is>
          <t>3B</t>
        </is>
      </c>
      <c r="G2846" s="9" t="n">
        <v>238</v>
      </c>
      <c r="H2846" s="9" t="n">
        <v>614</v>
      </c>
      <c r="I2846" s="9" t="inlineStr">
        <is>
          <t>Bench Bat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1" t="n">
        <v>1</v>
      </c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>
        <v>0.7</v>
      </c>
      <c r="X2846" s="17" t="n">
        <v>0.3</v>
      </c>
      <c r="Y2846" s="17" t="n"/>
      <c r="Z2846" s="13">
        <f>SUMPRODUCT(N2846:Y2846,$N$2:$Y$2)*$K2846*$L2846*$M2846</f>
        <v/>
      </c>
      <c r="AA2846" s="14">
        <f>SUM(N2846:Y2846)</f>
        <v/>
      </c>
      <c r="AB2846" s="14">
        <f>IFERROR(IF(UPPER($E2846)="L",SUMPRODUCT(N2846:Y2846,$N$3:$Y$3,$N$2:$Y$2),SUMPRODUCT(N2846:Y2846,$N$4:$Y$4,$N$2:$Y$2))/(Z2846/($K2846*$L2846*$M2846)),"")</f>
        <v/>
      </c>
      <c r="AC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inlineStr">
        <is>
          <t>SS</t>
        </is>
      </c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1" t="n">
        <v>0.9321527781864758</v>
      </c>
      <c r="N2847" s="17" t="n">
        <v>0.58</v>
      </c>
      <c r="O2847" s="17" t="n"/>
      <c r="P2847" s="17" t="n">
        <v>0.42</v>
      </c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7" t="n"/>
      <c r="Z2847" s="13">
        <f>SUMPRODUCT(N2847:Y2847,$N$2:$Y$2)*$K2847*$L2847*$M2847</f>
        <v/>
      </c>
      <c r="AA2847" s="14">
        <f>SUM(N2847:Y2847)</f>
        <v/>
      </c>
      <c r="AB2847" s="14">
        <f>IFERROR(IF(UPPER($E2847)="L",SUMPRODUCT(N2847:Y2847,$N$3:$Y$3,$N$2:$Y$2),SUMPRODUCT(N2847:Y2847,$N$4:$Y$4,$N$2:$Y$2))/(Z2847/($K2847*$L2847*$M2847)),"")</f>
        <v/>
      </c>
      <c r="AC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inlineStr">
        <is>
          <t>2B</t>
        </is>
      </c>
      <c r="G2848" s="9" t="n">
        <v>493</v>
      </c>
      <c r="H2848" s="9" t="n">
        <v>663</v>
      </c>
      <c r="I2848" s="9" t="inlineStr">
        <is>
          <t>Weak Side Platoon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1" t="n">
        <v>1.00731773159688</v>
      </c>
      <c r="N2848" s="17" t="n">
        <v>0.4</v>
      </c>
      <c r="O2848" s="17" t="n"/>
      <c r="P2848" s="17" t="n"/>
      <c r="Q2848" s="17" t="n">
        <v>0.6</v>
      </c>
      <c r="R2848" s="17" t="n"/>
      <c r="S2848" s="17" t="n"/>
      <c r="T2848" s="17" t="n"/>
      <c r="U2848" s="17" t="n"/>
      <c r="V2848" s="17" t="n"/>
      <c r="W2848" s="17" t="n"/>
      <c r="X2848" s="17" t="n"/>
      <c r="Y2848" s="17" t="n"/>
      <c r="Z2848" s="13">
        <f>SUMPRODUCT(N2848:Y2848,$N$2:$Y$2)*$K2848*$L2848*$M2848</f>
        <v/>
      </c>
      <c r="AA2848" s="14">
        <f>SUM(N2848:Y2848)</f>
        <v/>
      </c>
      <c r="AB2848" s="14">
        <f>IFERROR(IF(UPPER($E2848)="L",SUMPRODUCT(N2848:Y2848,$N$3:$Y$3,$N$2:$Y$2),SUMPRODUCT(N2848:Y2848,$N$4:$Y$4,$N$2:$Y$2))/(Z2848/($K2848*$L2848*$M2848)),"")</f>
        <v/>
      </c>
      <c r="AC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inlineStr">
        <is>
          <t>2B</t>
        </is>
      </c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1" t="n">
        <v>1</v>
      </c>
      <c r="N2849" s="17" t="n"/>
      <c r="O2849" s="17" t="n"/>
      <c r="P2849" s="17" t="n"/>
      <c r="Q2849" s="17" t="n"/>
      <c r="R2849" s="17" t="n"/>
      <c r="S2849" s="17" t="n"/>
      <c r="T2849" s="17" t="n"/>
      <c r="U2849" s="17" t="n">
        <v>0.4</v>
      </c>
      <c r="V2849" s="17" t="n"/>
      <c r="W2849" s="17" t="n">
        <v>0.6</v>
      </c>
      <c r="X2849" s="17" t="n"/>
      <c r="Y2849" s="17" t="n"/>
      <c r="Z2849" s="13">
        <f>SUMPRODUCT(N2849:Y2849,$N$2:$Y$2)*$K2849*$L2849*$M2849</f>
        <v/>
      </c>
      <c r="AA2849" s="14">
        <f>SUM(N2849:Y2849)</f>
        <v/>
      </c>
      <c r="AB2849" s="14">
        <f>IFERROR(IF(UPPER($E2849)="L",SUMPRODUCT(N2849:Y2849,$N$3:$Y$3,$N$2:$Y$2),SUMPRODUCT(N2849:Y2849,$N$4:$Y$4,$N$2:$Y$2))/(Z2849/($K2849*$L2849*$M2849)),"")</f>
        <v/>
      </c>
      <c r="AC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inlineStr">
        <is>
          <t>CF</t>
        </is>
      </c>
      <c r="G2850" s="9" t="n">
        <v>50</v>
      </c>
      <c r="H2850" s="9" t="n">
        <v>59</v>
      </c>
      <c r="I2850" s="9" t="inlineStr">
        <is>
          <t>Injury Replacement / 26th Man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1" t="n">
        <v>1</v>
      </c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/>
      <c r="X2850" s="17" t="n">
        <v>1</v>
      </c>
      <c r="Y2850" s="17" t="n"/>
      <c r="Z2850" s="13">
        <f>SUMPRODUCT(N2850:Y2850,$N$2:$Y$2)*$K2850*$L2850*$M2850</f>
        <v/>
      </c>
      <c r="AA2850" s="14">
        <f>SUM(N2850:Y2850)</f>
        <v/>
      </c>
      <c r="AB2850" s="14">
        <f>IFERROR(IF(UPPER($E2850)="L",SUMPRODUCT(N2850:Y2850,$N$3:$Y$3,$N$2:$Y$2),SUMPRODUCT(N2850:Y2850,$N$4:$Y$4,$N$2:$Y$2))/(Z2850/($K2850*$L2850*$M2850)),"")</f>
        <v/>
      </c>
      <c r="AC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inlineStr">
        <is>
          <t>2B</t>
        </is>
      </c>
      <c r="G2851" s="9" t="n">
        <v>286</v>
      </c>
      <c r="H2851" s="9" t="n">
        <v>581</v>
      </c>
      <c r="I2851" s="9" t="inlineStr">
        <is>
          <t>Bench Bat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1" t="n">
        <v>1</v>
      </c>
      <c r="N2851" s="17" t="n"/>
      <c r="O2851" s="17" t="n"/>
      <c r="P2851" s="17" t="n"/>
      <c r="Q2851" s="17" t="n"/>
      <c r="R2851" s="17" t="n"/>
      <c r="S2851" s="17" t="n"/>
      <c r="T2851" s="17" t="n"/>
      <c r="U2851" s="17" t="n">
        <v>0.4</v>
      </c>
      <c r="V2851" s="17" t="n"/>
      <c r="W2851" s="17" t="n">
        <v>0.6</v>
      </c>
      <c r="X2851" s="17" t="n"/>
      <c r="Y2851" s="17" t="n"/>
      <c r="Z2851" s="13">
        <f>SUMPRODUCT(N2851:Y2851,$N$2:$Y$2)*$K2851*$L2851*$M2851</f>
        <v/>
      </c>
      <c r="AA2851" s="14">
        <f>SUM(N2851:Y2851)</f>
        <v/>
      </c>
      <c r="AB2851" s="14">
        <f>IFERROR(IF(UPPER($E2851)="L",SUMPRODUCT(N2851:Y2851,$N$3:$Y$3,$N$2:$Y$2),SUMPRODUCT(N2851:Y2851,$N$4:$Y$4,$N$2:$Y$2))/(Z2851/($K2851*$L2851*$M2851)),"")</f>
        <v/>
      </c>
      <c r="AC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inlineStr">
        <is>
          <t>3B</t>
        </is>
      </c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1" t="n">
        <v>0.8995167958312686</v>
      </c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/>
      <c r="W2852" s="17" t="n">
        <v>1</v>
      </c>
      <c r="X2852" s="17" t="n"/>
      <c r="Y2852" s="17" t="n"/>
      <c r="Z2852" s="13">
        <f>SUMPRODUCT(N2852:Y2852,$N$2:$Y$2)*$K2852*$L2852*$M2852</f>
        <v/>
      </c>
      <c r="AA2852" s="14">
        <f>SUM(N2852:Y2852)</f>
        <v/>
      </c>
      <c r="AB2852" s="14">
        <f>IFERROR(IF(UPPER($E2852)="L",SUMPRODUCT(N2852:Y2852,$N$3:$Y$3,$N$2:$Y$2),SUMPRODUCT(N2852:Y2852,$N$4:$Y$4,$N$2:$Y$2))/(Z2852/($K2852*$L2852*$M2852)),"")</f>
        <v/>
      </c>
      <c r="AC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inlineStr">
        <is>
          <t>2B</t>
        </is>
      </c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1" t="n">
        <v>1.026497699630275</v>
      </c>
      <c r="N2853" s="17" t="n">
        <v>1</v>
      </c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7" t="n"/>
      <c r="Z2853" s="13">
        <f>SUMPRODUCT(N2853:Y2853,$N$2:$Y$2)*$K2853*$L2853*$M2853</f>
        <v/>
      </c>
      <c r="AA2853" s="14">
        <f>SUM(N2853:Y2853)</f>
        <v/>
      </c>
      <c r="AB2853" s="14">
        <f>IFERROR(IF(UPPER($E2853)="L",SUMPRODUCT(N2853:Y2853,$N$3:$Y$3,$N$2:$Y$2),SUMPRODUCT(N2853:Y2853,$N$4:$Y$4,$N$2:$Y$2))/(Z2853/($K2853*$L2853*$M2853)),"")</f>
        <v/>
      </c>
      <c r="AC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inlineStr">
        <is>
          <t>CF</t>
        </is>
      </c>
      <c r="G2854" s="9" t="n">
        <v>465</v>
      </c>
      <c r="H2854" s="9" t="n">
        <v>465</v>
      </c>
      <c r="I2854" s="9" t="inlineStr">
        <is>
          <t>Strong Side Platoon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1" t="n">
        <v>1.09316821332294</v>
      </c>
      <c r="N2854" s="17" t="n">
        <v>0.4</v>
      </c>
      <c r="O2854" s="17" t="n"/>
      <c r="P2854" s="17" t="n">
        <v>0.6</v>
      </c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7" t="n"/>
      <c r="Z2854" s="13">
        <f>SUMPRODUCT(N2854:Y2854,$N$2:$Y$2)*$K2854*$L2854*$M2854</f>
        <v/>
      </c>
      <c r="AA2854" s="14">
        <f>SUM(N2854:Y2854)</f>
        <v/>
      </c>
      <c r="AB2854" s="14">
        <f>IFERROR(IF(UPPER($E2854)="L",SUMPRODUCT(N2854:Y2854,$N$3:$Y$3,$N$2:$Y$2),SUMPRODUCT(N2854:Y2854,$N$4:$Y$4,$N$2:$Y$2))/(Z2854/($K2854*$L2854*$M2854)),"")</f>
        <v/>
      </c>
      <c r="AC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inlineStr">
        <is>
          <t>C</t>
        </is>
      </c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1" t="n">
        <v>1</v>
      </c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/>
      <c r="Y2855" s="17" t="n">
        <v>1</v>
      </c>
      <c r="Z2855" s="13">
        <f>SUMPRODUCT(N2855:Y2855,$N$2:$Y$2)*$K2855*$L2855*$M2855</f>
        <v/>
      </c>
      <c r="AA2855" s="14">
        <f>SUM(N2855:Y2855)</f>
        <v/>
      </c>
      <c r="AB2855" s="14">
        <f>IFERROR(IF(UPPER($E2855)="L",SUMPRODUCT(N2855:Y2855,$N$3:$Y$3,$N$2:$Y$2),SUMPRODUCT(N2855:Y2855,$N$4:$Y$4,$N$2:$Y$2))/(Z2855/($K2855*$L2855*$M2855)),"")</f>
        <v/>
      </c>
      <c r="AC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inlineStr">
        <is>
          <t>LF</t>
        </is>
      </c>
      <c r="G2856" s="9" t="n">
        <v>233</v>
      </c>
      <c r="H2856" s="9" t="n">
        <v>409</v>
      </c>
      <c r="I2856" s="9" t="inlineStr">
        <is>
          <t>Strong Side Platoon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1" t="n">
        <v>1</v>
      </c>
      <c r="N2856" s="17" t="n"/>
      <c r="O2856" s="17" t="n"/>
      <c r="P2856" s="17" t="n">
        <v>0.6</v>
      </c>
      <c r="Q2856" s="17" t="n"/>
      <c r="R2856" s="17" t="n"/>
      <c r="S2856" s="17" t="n"/>
      <c r="T2856" s="17" t="n"/>
      <c r="U2856" s="17" t="n"/>
      <c r="V2856" s="17" t="n">
        <v>0.4</v>
      </c>
      <c r="W2856" s="17" t="n"/>
      <c r="X2856" s="17" t="n"/>
      <c r="Y2856" s="17" t="n"/>
      <c r="Z2856" s="13">
        <f>SUMPRODUCT(N2856:Y2856,$N$2:$Y$2)*$K2856*$L2856*$M2856</f>
        <v/>
      </c>
      <c r="AA2856" s="14">
        <f>SUM(N2856:Y2856)</f>
        <v/>
      </c>
      <c r="AB2856" s="14">
        <f>IFERROR(IF(UPPER($E2856)="L",SUMPRODUCT(N2856:Y2856,$N$3:$Y$3,$N$2:$Y$2),SUMPRODUCT(N2856:Y2856,$N$4:$Y$4,$N$2:$Y$2))/(Z2856/($K2856*$L2856*$M2856)),"")</f>
        <v/>
      </c>
      <c r="AC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inlineStr">
        <is>
          <t>2B</t>
        </is>
      </c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1" t="n">
        <v>1</v>
      </c>
      <c r="N2857" s="17" t="n"/>
      <c r="O2857" s="17" t="n"/>
      <c r="P2857" s="17" t="n"/>
      <c r="Q2857" s="17" t="n"/>
      <c r="R2857" s="17" t="n"/>
      <c r="S2857" s="17" t="n"/>
      <c r="T2857" s="17" t="n"/>
      <c r="U2857" s="17" t="n">
        <v>0.4</v>
      </c>
      <c r="V2857" s="17" t="n"/>
      <c r="W2857" s="17" t="n">
        <v>0.6</v>
      </c>
      <c r="X2857" s="17" t="n"/>
      <c r="Y2857" s="17" t="n"/>
      <c r="Z2857" s="13">
        <f>SUMPRODUCT(N2857:Y2857,$N$2:$Y$2)*$K2857*$L2857*$M2857</f>
        <v/>
      </c>
      <c r="AA2857" s="14">
        <f>SUM(N2857:Y2857)</f>
        <v/>
      </c>
      <c r="AB2857" s="14">
        <f>IFERROR(IF(UPPER($E2857)="L",SUMPRODUCT(N2857:Y2857,$N$3:$Y$3,$N$2:$Y$2),SUMPRODUCT(N2857:Y2857,$N$4:$Y$4,$N$2:$Y$2))/(Z2857/($K2857*$L2857*$M2857)),"")</f>
        <v/>
      </c>
      <c r="AC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inlineStr">
        <is>
          <t>1B</t>
        </is>
      </c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1" t="n">
        <v>1</v>
      </c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/>
      <c r="Y2858" s="17" t="n">
        <v>1</v>
      </c>
      <c r="Z2858" s="13">
        <f>SUMPRODUCT(N2858:Y2858,$N$2:$Y$2)*$K2858*$L2858*$M2858</f>
        <v/>
      </c>
      <c r="AA2858" s="14">
        <f>SUM(N2858:Y2858)</f>
        <v/>
      </c>
      <c r="AB2858" s="14">
        <f>IFERROR(IF(UPPER($E2858)="L",SUMPRODUCT(N2858:Y2858,$N$3:$Y$3,$N$2:$Y$2),SUMPRODUCT(N2858:Y2858,$N$4:$Y$4,$N$2:$Y$2))/(Z2858/($K2858*$L2858*$M2858)),"")</f>
        <v/>
      </c>
      <c r="AC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inlineStr">
        <is>
          <t>SS</t>
        </is>
      </c>
      <c r="G2859" s="9" t="n">
        <v>224</v>
      </c>
      <c r="H2859" s="9" t="n">
        <v>457</v>
      </c>
      <c r="I2859" s="9" t="inlineStr">
        <is>
          <t>Utility IF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1" t="n">
        <v>0.9352137896735886</v>
      </c>
      <c r="N2859" s="17" t="n"/>
      <c r="O2859" s="17" t="n"/>
      <c r="P2859" s="17" t="n"/>
      <c r="Q2859" s="17" t="n"/>
      <c r="R2859" s="17" t="n"/>
      <c r="S2859" s="17" t="n"/>
      <c r="T2859" s="17" t="n"/>
      <c r="U2859" s="17" t="n">
        <v>0.7</v>
      </c>
      <c r="V2859" s="17" t="n"/>
      <c r="W2859" s="17" t="n">
        <v>0.3</v>
      </c>
      <c r="X2859" s="17" t="n"/>
      <c r="Y2859" s="17" t="n"/>
      <c r="Z2859" s="13">
        <f>SUMPRODUCT(N2859:Y2859,$N$2:$Y$2)*$K2859*$L2859*$M2859</f>
        <v/>
      </c>
      <c r="AA2859" s="14">
        <f>SUM(N2859:Y2859)</f>
        <v/>
      </c>
      <c r="AB2859" s="14">
        <f>IFERROR(IF(UPPER($E2859)="L",SUMPRODUCT(N2859:Y2859,$N$3:$Y$3,$N$2:$Y$2),SUMPRODUCT(N2859:Y2859,$N$4:$Y$4,$N$2:$Y$2))/(Z2859/($K2859*$L2859*$M2859)),"")</f>
        <v/>
      </c>
      <c r="AC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inlineStr">
        <is>
          <t>RF</t>
        </is>
      </c>
      <c r="G2860" s="9" t="n">
        <v>212</v>
      </c>
      <c r="H2860" s="9" t="n">
        <v>212</v>
      </c>
      <c r="I2860" s="9" t="inlineStr">
        <is>
          <t>Full Time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1" t="n">
        <v>1</v>
      </c>
      <c r="N2860" s="17" t="n">
        <v>0.68</v>
      </c>
      <c r="O2860" s="17" t="n"/>
      <c r="P2860" s="17" t="n">
        <v>0.32</v>
      </c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7" t="n"/>
      <c r="Z2860" s="13">
        <f>SUMPRODUCT(N2860:Y2860,$N$2:$Y$2)*$K2860*$L2860*$M2860</f>
        <v/>
      </c>
      <c r="AA2860" s="14">
        <f>SUM(N2860:Y2860)</f>
        <v/>
      </c>
      <c r="AB2860" s="14">
        <f>IFERROR(IF(UPPER($E2860)="L",SUMPRODUCT(N2860:Y2860,$N$3:$Y$3,$N$2:$Y$2),SUMPRODUCT(N2860:Y2860,$N$4:$Y$4,$N$2:$Y$2))/(Z2860/($K2860*$L2860*$M2860)),"")</f>
        <v/>
      </c>
      <c r="AC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inlineStr">
        <is>
          <t>2B</t>
        </is>
      </c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1" t="n">
        <v>1</v>
      </c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/>
      <c r="W2861" s="17" t="n">
        <v>1</v>
      </c>
      <c r="X2861" s="17" t="n"/>
      <c r="Y2861" s="17" t="n"/>
      <c r="Z2861" s="13">
        <f>SUMPRODUCT(N2861:Y2861,$N$2:$Y$2)*$K2861*$L2861*$M2861</f>
        <v/>
      </c>
      <c r="AA2861" s="14">
        <f>SUM(N2861:Y2861)</f>
        <v/>
      </c>
      <c r="AB2861" s="14">
        <f>IFERROR(IF(UPPER($E2861)="L",SUMPRODUCT(N2861:Y2861,$N$3:$Y$3,$N$2:$Y$2),SUMPRODUCT(N2861:Y2861,$N$4:$Y$4,$N$2:$Y$2))/(Z2861/($K2861*$L2861*$M2861)),"")</f>
        <v/>
      </c>
      <c r="AC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inlineStr">
        <is>
          <t>2B</t>
        </is>
      </c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1" t="n">
        <v>1</v>
      </c>
      <c r="N2862" s="17" t="n"/>
      <c r="O2862" s="17" t="n"/>
      <c r="P2862" s="17" t="n"/>
      <c r="Q2862" s="17" t="n"/>
      <c r="R2862" s="17" t="n"/>
      <c r="S2862" s="17" t="n"/>
      <c r="T2862" s="17" t="n"/>
      <c r="U2862" s="17" t="n">
        <v>0.4</v>
      </c>
      <c r="V2862" s="17" t="n"/>
      <c r="W2862" s="17" t="n">
        <v>0.6</v>
      </c>
      <c r="X2862" s="17" t="n"/>
      <c r="Y2862" s="17" t="n"/>
      <c r="Z2862" s="13">
        <f>SUMPRODUCT(N2862:Y2862,$N$2:$Y$2)*$K2862*$L2862*$M2862</f>
        <v/>
      </c>
      <c r="AA2862" s="14">
        <f>SUM(N2862:Y2862)</f>
        <v/>
      </c>
      <c r="AB2862" s="14">
        <f>IFERROR(IF(UPPER($E2862)="L",SUMPRODUCT(N2862:Y2862,$N$3:$Y$3,$N$2:$Y$2),SUMPRODUCT(N2862:Y2862,$N$4:$Y$4,$N$2:$Y$2))/(Z2862/($K2862*$L2862*$M2862)),"")</f>
        <v/>
      </c>
      <c r="AC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inlineStr">
        <is>
          <t>3B</t>
        </is>
      </c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1" t="n">
        <v>1</v>
      </c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/>
      <c r="Y2863" s="17" t="n">
        <v>1</v>
      </c>
      <c r="Z2863" s="13">
        <f>SUMPRODUCT(N2863:Y2863,$N$2:$Y$2)*$K2863*$L2863*$M2863</f>
        <v/>
      </c>
      <c r="AA2863" s="14">
        <f>SUM(N2863:Y2863)</f>
        <v/>
      </c>
      <c r="AB2863" s="14">
        <f>IFERROR(IF(UPPER($E2863)="L",SUMPRODUCT(N2863:Y2863,$N$3:$Y$3,$N$2:$Y$2),SUMPRODUCT(N2863:Y2863,$N$4:$Y$4,$N$2:$Y$2))/(Z2863/($K2863*$L2863*$M2863)),"")</f>
        <v/>
      </c>
      <c r="AC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inlineStr">
        <is>
          <t>LF</t>
        </is>
      </c>
      <c r="G2864" s="9" t="n">
        <v>175</v>
      </c>
      <c r="H2864" s="9" t="n">
        <v>258</v>
      </c>
      <c r="I2864" s="9" t="inlineStr">
        <is>
          <t>Weak Side Platoon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1" t="n">
        <v>1</v>
      </c>
      <c r="N2864" s="17" t="n"/>
      <c r="O2864" s="17" t="n"/>
      <c r="P2864" s="17" t="n"/>
      <c r="Q2864" s="17" t="n">
        <v>0.6</v>
      </c>
      <c r="R2864" s="17" t="n"/>
      <c r="S2864" s="17" t="n"/>
      <c r="T2864" s="17" t="n"/>
      <c r="U2864" s="17" t="n"/>
      <c r="V2864" s="17" t="n">
        <v>0.4</v>
      </c>
      <c r="W2864" s="17" t="n"/>
      <c r="X2864" s="17" t="n"/>
      <c r="Y2864" s="17" t="n"/>
      <c r="Z2864" s="13">
        <f>SUMPRODUCT(N2864:Y2864,$N$2:$Y$2)*$K2864*$L2864*$M2864</f>
        <v/>
      </c>
      <c r="AA2864" s="14">
        <f>SUM(N2864:Y2864)</f>
        <v/>
      </c>
      <c r="AB2864" s="14">
        <f>IFERROR(IF(UPPER($E2864)="L",SUMPRODUCT(N2864:Y2864,$N$3:$Y$3,$N$2:$Y$2),SUMPRODUCT(N2864:Y2864,$N$4:$Y$4,$N$2:$Y$2))/(Z2864/($K2864*$L2864*$M2864)),"")</f>
        <v/>
      </c>
      <c r="AC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inlineStr">
        <is>
          <t>CF</t>
        </is>
      </c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1" t="n">
        <v>1</v>
      </c>
      <c r="N2865" s="17" t="n"/>
      <c r="O2865" s="17" t="n"/>
      <c r="P2865" s="17" t="n"/>
      <c r="Q2865" s="17" t="n"/>
      <c r="R2865" s="17" t="n"/>
      <c r="S2865" s="17" t="n"/>
      <c r="T2865" s="17" t="n"/>
      <c r="U2865" s="17" t="n">
        <v>0.4</v>
      </c>
      <c r="V2865" s="17" t="n"/>
      <c r="W2865" s="17" t="n">
        <v>0.6</v>
      </c>
      <c r="X2865" s="17" t="n"/>
      <c r="Y2865" s="17" t="n"/>
      <c r="Z2865" s="13">
        <f>SUMPRODUCT(N2865:Y2865,$N$2:$Y$2)*$K2865*$L2865*$M2865</f>
        <v/>
      </c>
      <c r="AA2865" s="14">
        <f>SUM(N2865:Y2865)</f>
        <v/>
      </c>
      <c r="AB2865" s="14">
        <f>IFERROR(IF(UPPER($E2865)="L",SUMPRODUCT(N2865:Y2865,$N$3:$Y$3,$N$2:$Y$2),SUMPRODUCT(N2865:Y2865,$N$4:$Y$4,$N$2:$Y$2))/(Z2865/($K2865*$L2865*$M2865)),"")</f>
        <v/>
      </c>
      <c r="AC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inlineStr">
        <is>
          <t>1B</t>
        </is>
      </c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1" t="n">
        <v>1</v>
      </c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/>
      <c r="Y2866" s="17" t="n">
        <v>1</v>
      </c>
      <c r="Z2866" s="13">
        <f>SUMPRODUCT(N2866:Y2866,$N$2:$Y$2)*$K2866*$L2866*$M2866</f>
        <v/>
      </c>
      <c r="AA2866" s="14">
        <f>SUM(N2866:Y2866)</f>
        <v/>
      </c>
      <c r="AB2866" s="14">
        <f>IFERROR(IF(UPPER($E2866)="L",SUMPRODUCT(N2866:Y2866,$N$3:$Y$3,$N$2:$Y$2),SUMPRODUCT(N2866:Y2866,$N$4:$Y$4,$N$2:$Y$2))/(Z2866/($K2866*$L2866*$M2866)),"")</f>
        <v/>
      </c>
      <c r="AC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inlineStr">
        <is>
          <t>3B</t>
        </is>
      </c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1" t="n">
        <v>1</v>
      </c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/>
      <c r="W2867" s="17" t="n">
        <v>1</v>
      </c>
      <c r="X2867" s="17" t="n"/>
      <c r="Y2867" s="17" t="n"/>
      <c r="Z2867" s="13">
        <f>SUMPRODUCT(N2867:Y2867,$N$2:$Y$2)*$K2867*$L2867*$M2867</f>
        <v/>
      </c>
      <c r="AA2867" s="14">
        <f>SUM(N2867:Y2867)</f>
        <v/>
      </c>
      <c r="AB2867" s="14">
        <f>IFERROR(IF(UPPER($E2867)="L",SUMPRODUCT(N2867:Y2867,$N$3:$Y$3,$N$2:$Y$2),SUMPRODUCT(N2867:Y2867,$N$4:$Y$4,$N$2:$Y$2))/(Z2867/($K2867*$L2867*$M2867)),"")</f>
        <v/>
      </c>
      <c r="AC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inlineStr">
        <is>
          <t>C</t>
        </is>
      </c>
      <c r="G2868" s="9" t="n">
        <v>26</v>
      </c>
      <c r="H2868" s="9" t="n">
        <v>164</v>
      </c>
      <c r="I2868" s="9" t="inlineStr">
        <is>
          <t>Catcher - Backup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1" t="n">
        <v>1</v>
      </c>
      <c r="N2868" s="17" t="n"/>
      <c r="O2868" s="17" t="n"/>
      <c r="P2868" s="17" t="n"/>
      <c r="Q2868" s="17" t="n"/>
      <c r="R2868" s="17" t="n"/>
      <c r="S2868" s="17" t="n"/>
      <c r="T2868" s="17" t="n">
        <v>1</v>
      </c>
      <c r="U2868" s="17" t="n"/>
      <c r="V2868" s="17" t="n"/>
      <c r="W2868" s="17" t="n"/>
      <c r="X2868" s="17" t="n"/>
      <c r="Y2868" s="17" t="n"/>
      <c r="Z2868" s="13">
        <f>SUMPRODUCT(N2868:Y2868,$N$2:$Y$2)*$K2868*$L2868*$M2868</f>
        <v/>
      </c>
      <c r="AA2868" s="14">
        <f>SUM(N2868:Y2868)</f>
        <v/>
      </c>
      <c r="AB2868" s="14">
        <f>IFERROR(IF(UPPER($E2868)="L",SUMPRODUCT(N2868:Y2868,$N$3:$Y$3,$N$2:$Y$2),SUMPRODUCT(N2868:Y2868,$N$4:$Y$4,$N$2:$Y$2))/(Z2868/($K2868*$L2868*$M2868)),"")</f>
        <v/>
      </c>
      <c r="AC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inlineStr">
        <is>
          <t>CF</t>
        </is>
      </c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1" t="n">
        <v>1</v>
      </c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/>
      <c r="W2869" s="17" t="n">
        <v>1</v>
      </c>
      <c r="X2869" s="17" t="n"/>
      <c r="Y2869" s="17" t="n"/>
      <c r="Z2869" s="13">
        <f>SUMPRODUCT(N2869:Y2869,$N$2:$Y$2)*$K2869*$L2869*$M2869</f>
        <v/>
      </c>
      <c r="AA2869" s="14">
        <f>SUM(N2869:Y2869)</f>
        <v/>
      </c>
      <c r="AB2869" s="14">
        <f>IFERROR(IF(UPPER($E2869)="L",SUMPRODUCT(N2869:Y2869,$N$3:$Y$3,$N$2:$Y$2),SUMPRODUCT(N2869:Y2869,$N$4:$Y$4,$N$2:$Y$2))/(Z2869/($K2869*$L2869*$M2869)),"")</f>
        <v/>
      </c>
      <c r="AC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inlineStr">
        <is>
          <t>C</t>
        </is>
      </c>
      <c r="G2870" s="9" t="n">
        <v>51</v>
      </c>
      <c r="H2870" s="9" t="n">
        <v>147</v>
      </c>
      <c r="I2870" s="9" t="inlineStr">
        <is>
          <t>Catcher - Backup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1" t="n">
        <v>1</v>
      </c>
      <c r="N2870" s="17" t="n"/>
      <c r="O2870" s="17" t="n"/>
      <c r="P2870" s="17" t="n"/>
      <c r="Q2870" s="17" t="n"/>
      <c r="R2870" s="17" t="n"/>
      <c r="S2870" s="17" t="n"/>
      <c r="T2870" s="17" t="n">
        <v>1</v>
      </c>
      <c r="U2870" s="17" t="n"/>
      <c r="V2870" s="17" t="n"/>
      <c r="W2870" s="17" t="n"/>
      <c r="X2870" s="17" t="n"/>
      <c r="Y2870" s="17" t="n"/>
      <c r="Z2870" s="13">
        <f>SUMPRODUCT(N2870:Y2870,$N$2:$Y$2)*$K2870*$L2870*$M2870</f>
        <v/>
      </c>
      <c r="AA2870" s="14">
        <f>SUM(N2870:Y2870)</f>
        <v/>
      </c>
      <c r="AB2870" s="14">
        <f>IFERROR(IF(UPPER($E2870)="L",SUMPRODUCT(N2870:Y2870,$N$3:$Y$3,$N$2:$Y$2),SUMPRODUCT(N2870:Y2870,$N$4:$Y$4,$N$2:$Y$2))/(Z2870/($K2870*$L2870*$M2870)),"")</f>
        <v/>
      </c>
      <c r="AC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inlineStr">
        <is>
          <t>3B</t>
        </is>
      </c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1" t="n">
        <v>0.6650954222178471</v>
      </c>
      <c r="N2871" s="17" t="n"/>
      <c r="O2871" s="17" t="n"/>
      <c r="P2871" s="17" t="n"/>
      <c r="Q2871" s="17" t="n"/>
      <c r="R2871" s="17" t="n"/>
      <c r="S2871" s="17" t="n"/>
      <c r="T2871" s="17" t="n"/>
      <c r="U2871" s="17" t="n">
        <v>0.4</v>
      </c>
      <c r="V2871" s="17" t="n"/>
      <c r="W2871" s="17" t="n">
        <v>0.6</v>
      </c>
      <c r="X2871" s="17" t="n"/>
      <c r="Y2871" s="17" t="n"/>
      <c r="Z2871" s="13">
        <f>SUMPRODUCT(N2871:Y2871,$N$2:$Y$2)*$K2871*$L2871*$M2871</f>
        <v/>
      </c>
      <c r="AA2871" s="14">
        <f>SUM(N2871:Y2871)</f>
        <v/>
      </c>
      <c r="AB2871" s="14">
        <f>IFERROR(IF(UPPER($E2871)="L",SUMPRODUCT(N2871:Y2871,$N$3:$Y$3,$N$2:$Y$2),SUMPRODUCT(N2871:Y2871,$N$4:$Y$4,$N$2:$Y$2))/(Z2871/($K2871*$L2871*$M2871)),"")</f>
        <v/>
      </c>
      <c r="AC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inlineStr">
        <is>
          <t>3B</t>
        </is>
      </c>
      <c r="G2872" s="9" t="n">
        <v>60</v>
      </c>
      <c r="H2872" s="9" t="n">
        <v>1524</v>
      </c>
      <c r="I2872" s="9" t="inlineStr">
        <is>
          <t>Utility IF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1" t="n">
        <v>0.887214390450225</v>
      </c>
      <c r="N2872" s="17" t="n"/>
      <c r="O2872" s="17" t="n"/>
      <c r="P2872" s="17" t="n"/>
      <c r="Q2872" s="17" t="n"/>
      <c r="R2872" s="17" t="n"/>
      <c r="S2872" s="17" t="n"/>
      <c r="T2872" s="17" t="n"/>
      <c r="U2872" s="17" t="n">
        <v>1</v>
      </c>
      <c r="V2872" s="17" t="n"/>
      <c r="W2872" s="17" t="n"/>
      <c r="X2872" s="17" t="n"/>
      <c r="Y2872" s="17" t="n"/>
      <c r="Z2872" s="13">
        <f>SUMPRODUCT(N2872:Y2872,$N$2:$Y$2)*$K2872*$L2872*$M2872</f>
        <v/>
      </c>
      <c r="AA2872" s="14">
        <f>SUM(N2872:Y2872)</f>
        <v/>
      </c>
      <c r="AB2872" s="14">
        <f>IFERROR(IF(UPPER($E2872)="L",SUMPRODUCT(N2872:Y2872,$N$3:$Y$3,$N$2:$Y$2),SUMPRODUCT(N2872:Y2872,$N$4:$Y$4,$N$2:$Y$2))/(Z2872/($K2872*$L2872*$M2872)),"")</f>
        <v/>
      </c>
      <c r="AC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inlineStr">
        <is>
          <t>CF</t>
        </is>
      </c>
      <c r="G2873" s="9" t="n">
        <v>181</v>
      </c>
      <c r="H2873" s="9" t="n">
        <v>181</v>
      </c>
      <c r="I2873" s="9" t="inlineStr">
        <is>
          <t>Full Time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1" t="n">
        <v>1</v>
      </c>
      <c r="N2873" s="17" t="n">
        <v>0.9</v>
      </c>
      <c r="O2873" s="17" t="n"/>
      <c r="P2873" s="17" t="n">
        <v>0.1</v>
      </c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7" t="n"/>
      <c r="Z2873" s="13">
        <f>SUMPRODUCT(N2873:Y2873,$N$2:$Y$2)*$K2873*$L2873*$M2873</f>
        <v/>
      </c>
      <c r="AA2873" s="14">
        <f>SUM(N2873:Y2873)</f>
        <v/>
      </c>
      <c r="AB2873" s="14">
        <f>IFERROR(IF(UPPER($E2873)="L",SUMPRODUCT(N2873:Y2873,$N$3:$Y$3,$N$2:$Y$2),SUMPRODUCT(N2873:Y2873,$N$4:$Y$4,$N$2:$Y$2))/(Z2873/($K2873*$L2873*$M2873)),"")</f>
        <v/>
      </c>
      <c r="AC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inlineStr">
        <is>
          <t>RF</t>
        </is>
      </c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1" t="n">
        <v>1</v>
      </c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/>
      <c r="Y2874" s="17" t="n">
        <v>1</v>
      </c>
      <c r="Z2874" s="13">
        <f>SUMPRODUCT(N2874:Y2874,$N$2:$Y$2)*$K2874*$L2874*$M2874</f>
        <v/>
      </c>
      <c r="AA2874" s="14">
        <f>SUM(N2874:Y2874)</f>
        <v/>
      </c>
      <c r="AB2874" s="14">
        <f>IFERROR(IF(UPPER($E2874)="L",SUMPRODUCT(N2874:Y2874,$N$3:$Y$3,$N$2:$Y$2),SUMPRODUCT(N2874:Y2874,$N$4:$Y$4,$N$2:$Y$2))/(Z2874/($K2874*$L2874*$M2874)),"")</f>
        <v/>
      </c>
      <c r="AC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inlineStr">
        <is>
          <t>2B</t>
        </is>
      </c>
      <c r="G2875" s="9" t="n">
        <v>91</v>
      </c>
      <c r="H2875" s="9" t="n">
        <v>800</v>
      </c>
      <c r="I2875" s="9" t="inlineStr">
        <is>
          <t>Weak Side Platoon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1" t="n">
        <v>0.9875367519344082</v>
      </c>
      <c r="N2875" s="17" t="n"/>
      <c r="O2875" s="17" t="n"/>
      <c r="P2875" s="17" t="n"/>
      <c r="Q2875" s="17" t="n">
        <v>1</v>
      </c>
      <c r="R2875" s="17" t="n"/>
      <c r="S2875" s="17" t="n"/>
      <c r="T2875" s="17" t="n"/>
      <c r="U2875" s="17" t="n"/>
      <c r="V2875" s="17" t="n"/>
      <c r="W2875" s="17" t="n"/>
      <c r="X2875" s="17" t="n"/>
      <c r="Y2875" s="17" t="n"/>
      <c r="Z2875" s="13">
        <f>SUMPRODUCT(N2875:Y2875,$N$2:$Y$2)*$K2875*$L2875*$M2875</f>
        <v/>
      </c>
      <c r="AA2875" s="14">
        <f>SUM(N2875:Y2875)</f>
        <v/>
      </c>
      <c r="AB2875" s="14">
        <f>IFERROR(IF(UPPER($E2875)="L",SUMPRODUCT(N2875:Y2875,$N$3:$Y$3,$N$2:$Y$2),SUMPRODUCT(N2875:Y2875,$N$4:$Y$4,$N$2:$Y$2))/(Z2875/($K2875*$L2875*$M2875)),"")</f>
        <v/>
      </c>
      <c r="AC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inlineStr">
        <is>
          <t>SS</t>
        </is>
      </c>
      <c r="G2876" s="9" t="n">
        <v>162</v>
      </c>
      <c r="H2876" s="9" t="n">
        <v>1338</v>
      </c>
      <c r="I2876" s="9" t="inlineStr">
        <is>
          <t>Bench Bat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1" t="n">
        <v>1.048076008179008</v>
      </c>
      <c r="N2876" s="17" t="n"/>
      <c r="O2876" s="17" t="n"/>
      <c r="P2876" s="17" t="n"/>
      <c r="Q2876" s="17" t="n"/>
      <c r="R2876" s="17" t="n"/>
      <c r="S2876" s="17" t="n"/>
      <c r="T2876" s="17" t="n"/>
      <c r="U2876" s="17" t="n">
        <v>0.4</v>
      </c>
      <c r="V2876" s="17" t="n"/>
      <c r="W2876" s="17" t="n">
        <v>0.6</v>
      </c>
      <c r="X2876" s="17" t="n"/>
      <c r="Y2876" s="17" t="n"/>
      <c r="Z2876" s="13">
        <f>SUMPRODUCT(N2876:Y2876,$N$2:$Y$2)*$K2876*$L2876*$M2876</f>
        <v/>
      </c>
      <c r="AA2876" s="14">
        <f>SUM(N2876:Y2876)</f>
        <v/>
      </c>
      <c r="AB2876" s="14">
        <f>IFERROR(IF(UPPER($E2876)="L",SUMPRODUCT(N2876:Y2876,$N$3:$Y$3,$N$2:$Y$2),SUMPRODUCT(N2876:Y2876,$N$4:$Y$4,$N$2:$Y$2))/(Z2876/($K2876*$L2876*$M2876)),"")</f>
        <v/>
      </c>
      <c r="AC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inlineStr">
        <is>
          <t>3B</t>
        </is>
      </c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1" t="n">
        <v>1</v>
      </c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/>
      <c r="Y2877" s="17" t="n">
        <v>1</v>
      </c>
      <c r="Z2877" s="13">
        <f>SUMPRODUCT(N2877:Y2877,$N$2:$Y$2)*$K2877*$L2877*$M2877</f>
        <v/>
      </c>
      <c r="AA2877" s="14">
        <f>SUM(N2877:Y2877)</f>
        <v/>
      </c>
      <c r="AB2877" s="14">
        <f>IFERROR(IF(UPPER($E2877)="L",SUMPRODUCT(N2877:Y2877,$N$3:$Y$3,$N$2:$Y$2),SUMPRODUCT(N2877:Y2877,$N$4:$Y$4,$N$2:$Y$2))/(Z2877/($K2877*$L2877*$M2877)),"")</f>
        <v/>
      </c>
      <c r="AC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inlineStr">
        <is>
          <t>C</t>
        </is>
      </c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1" t="n">
        <v>1</v>
      </c>
      <c r="N2878" s="17" t="n"/>
      <c r="O2878" s="17" t="n"/>
      <c r="P2878" s="17" t="n"/>
      <c r="Q2878" s="17" t="n"/>
      <c r="R2878" s="17" t="n"/>
      <c r="S2878" s="17" t="n"/>
      <c r="T2878" s="17" t="n">
        <v>0.4</v>
      </c>
      <c r="U2878" s="17" t="n"/>
      <c r="V2878" s="17" t="n"/>
      <c r="W2878" s="17" t="n">
        <v>0.6</v>
      </c>
      <c r="X2878" s="17" t="n"/>
      <c r="Y2878" s="17" t="n"/>
      <c r="Z2878" s="13">
        <f>SUMPRODUCT(N2878:Y2878,$N$2:$Y$2)*$K2878*$L2878*$M2878</f>
        <v/>
      </c>
      <c r="AA2878" s="14">
        <f>SUM(N2878:Y2878)</f>
        <v/>
      </c>
      <c r="AB2878" s="14">
        <f>IFERROR(IF(UPPER($E2878)="L",SUMPRODUCT(N2878:Y2878,$N$3:$Y$3,$N$2:$Y$2),SUMPRODUCT(N2878:Y2878,$N$4:$Y$4,$N$2:$Y$2))/(Z2878/($K2878*$L2878*$M2878)),"")</f>
        <v/>
      </c>
      <c r="AC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inlineStr">
        <is>
          <t>2B</t>
        </is>
      </c>
      <c r="G2879" s="9" t="n">
        <v>183</v>
      </c>
      <c r="H2879" s="9" t="n">
        <v>2030</v>
      </c>
      <c r="I2879" s="9" t="inlineStr">
        <is>
          <t>Bench Bat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1" t="n">
        <v>1.102932643833922</v>
      </c>
      <c r="N2879" s="17" t="n"/>
      <c r="O2879" s="17" t="n"/>
      <c r="P2879" s="17" t="n"/>
      <c r="Q2879" s="17" t="n"/>
      <c r="R2879" s="17" t="n"/>
      <c r="S2879" s="17" t="n"/>
      <c r="T2879" s="17" t="n"/>
      <c r="U2879" s="17" t="n">
        <v>0.4</v>
      </c>
      <c r="V2879" s="17" t="n"/>
      <c r="W2879" s="17" t="n">
        <v>0.6</v>
      </c>
      <c r="X2879" s="17" t="n"/>
      <c r="Y2879" s="17" t="n"/>
      <c r="Z2879" s="13">
        <f>SUMPRODUCT(N2879:Y2879,$N$2:$Y$2)*$K2879*$L2879*$M2879</f>
        <v/>
      </c>
      <c r="AA2879" s="14">
        <f>SUM(N2879:Y2879)</f>
        <v/>
      </c>
      <c r="AB2879" s="14">
        <f>IFERROR(IF(UPPER($E2879)="L",SUMPRODUCT(N2879:Y2879,$N$3:$Y$3,$N$2:$Y$2),SUMPRODUCT(N2879:Y2879,$N$4:$Y$4,$N$2:$Y$2))/(Z2879/($K2879*$L2879*$M2879)),"")</f>
        <v/>
      </c>
      <c r="AC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inlineStr">
        <is>
          <t>1B</t>
        </is>
      </c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1" t="n">
        <v>1</v>
      </c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/>
      <c r="W2880" s="17" t="n">
        <v>1</v>
      </c>
      <c r="X2880" s="17" t="n"/>
      <c r="Y2880" s="17" t="n"/>
      <c r="Z2880" s="13">
        <f>SUMPRODUCT(N2880:Y2880,$N$2:$Y$2)*$K2880*$L2880*$M2880</f>
        <v/>
      </c>
      <c r="AA2880" s="14">
        <f>SUM(N2880:Y2880)</f>
        <v/>
      </c>
      <c r="AB2880" s="14">
        <f>IFERROR(IF(UPPER($E2880)="L",SUMPRODUCT(N2880:Y2880,$N$3:$Y$3,$N$2:$Y$2),SUMPRODUCT(N2880:Y2880,$N$4:$Y$4,$N$2:$Y$2))/(Z2880/($K2880*$L2880*$M2880)),"")</f>
        <v/>
      </c>
      <c r="AC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inlineStr">
        <is>
          <t>2B</t>
        </is>
      </c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1" t="n">
        <v>1</v>
      </c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/>
      <c r="Y2881" s="17" t="n">
        <v>1</v>
      </c>
      <c r="Z2881" s="13">
        <f>SUMPRODUCT(N2881:Y2881,$N$2:$Y$2)*$K2881*$L2881*$M2881</f>
        <v/>
      </c>
      <c r="AA2881" s="14">
        <f>SUM(N2881:Y2881)</f>
        <v/>
      </c>
      <c r="AB2881" s="14">
        <f>IFERROR(IF(UPPER($E2881)="L",SUMPRODUCT(N2881:Y2881,$N$3:$Y$3,$N$2:$Y$2),SUMPRODUCT(N2881:Y2881,$N$4:$Y$4,$N$2:$Y$2))/(Z2881/($K2881*$L2881*$M2881)),"")</f>
        <v/>
      </c>
      <c r="AC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inlineStr">
        <is>
          <t>CF</t>
        </is>
      </c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1" t="n">
        <v>0.982478991729133</v>
      </c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/>
      <c r="W2882" s="17" t="n">
        <v>0.85</v>
      </c>
      <c r="X2882" s="17" t="n">
        <v>0.15</v>
      </c>
      <c r="Y2882" s="17" t="n"/>
      <c r="Z2882" s="13">
        <f>SUMPRODUCT(N2882:Y2882,$N$2:$Y$2)*$K2882*$L2882*$M2882</f>
        <v/>
      </c>
      <c r="AA2882" s="14">
        <f>SUM(N2882:Y2882)</f>
        <v/>
      </c>
      <c r="AB2882" s="14">
        <f>IFERROR(IF(UPPER($E2882)="L",SUMPRODUCT(N2882:Y2882,$N$3:$Y$3,$N$2:$Y$2),SUMPRODUCT(N2882:Y2882,$N$4:$Y$4,$N$2:$Y$2))/(Z2882/($K2882*$L2882*$M2882)),"")</f>
        <v/>
      </c>
      <c r="AC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inlineStr">
        <is>
          <t>2B</t>
        </is>
      </c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1" t="n">
        <v>1</v>
      </c>
      <c r="N2883" s="17" t="n"/>
      <c r="O2883" s="17" t="n"/>
      <c r="P2883" s="17" t="n"/>
      <c r="Q2883" s="17" t="n"/>
      <c r="R2883" s="17" t="n"/>
      <c r="S2883" s="17" t="n"/>
      <c r="T2883" s="17" t="n"/>
      <c r="U2883" s="17" t="n">
        <v>0.4</v>
      </c>
      <c r="V2883" s="17" t="n"/>
      <c r="W2883" s="17" t="n">
        <v>0.6</v>
      </c>
      <c r="X2883" s="17" t="n"/>
      <c r="Y2883" s="17" t="n"/>
      <c r="Z2883" s="13">
        <f>SUMPRODUCT(N2883:Y2883,$N$2:$Y$2)*$K2883*$L2883*$M2883</f>
        <v/>
      </c>
      <c r="AA2883" s="14">
        <f>SUM(N2883:Y2883)</f>
        <v/>
      </c>
      <c r="AB2883" s="14">
        <f>IFERROR(IF(UPPER($E2883)="L",SUMPRODUCT(N2883:Y2883,$N$3:$Y$3,$N$2:$Y$2),SUMPRODUCT(N2883:Y2883,$N$4:$Y$4,$N$2:$Y$2))/(Z2883/($K2883*$L2883*$M2883)),"")</f>
        <v/>
      </c>
      <c r="AC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inlineStr">
        <is>
          <t>3B</t>
        </is>
      </c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1" t="n">
        <v>1</v>
      </c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/>
      <c r="W2884" s="17" t="n">
        <v>1</v>
      </c>
      <c r="X2884" s="17" t="n"/>
      <c r="Y2884" s="17" t="n"/>
      <c r="Z2884" s="13">
        <f>SUMPRODUCT(N2884:Y2884,$N$2:$Y$2)*$K2884*$L2884*$M2884</f>
        <v/>
      </c>
      <c r="AA2884" s="14">
        <f>SUM(N2884:Y2884)</f>
        <v/>
      </c>
      <c r="AB2884" s="14">
        <f>IFERROR(IF(UPPER($E2884)="L",SUMPRODUCT(N2884:Y2884,$N$3:$Y$3,$N$2:$Y$2),SUMPRODUCT(N2884:Y2884,$N$4:$Y$4,$N$2:$Y$2))/(Z2884/($K2884*$L2884*$M2884)),"")</f>
        <v/>
      </c>
      <c r="AC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inlineStr">
        <is>
          <t>SS</t>
        </is>
      </c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1" t="n">
        <v>1</v>
      </c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/>
      <c r="W2885" s="17" t="n">
        <v>1</v>
      </c>
      <c r="X2885" s="17" t="n"/>
      <c r="Y2885" s="17" t="n"/>
      <c r="Z2885" s="13">
        <f>SUMPRODUCT(N2885:Y2885,$N$2:$Y$2)*$K2885*$L2885*$M2885</f>
        <v/>
      </c>
      <c r="AA2885" s="14">
        <f>SUM(N2885:Y2885)</f>
        <v/>
      </c>
      <c r="AB2885" s="14">
        <f>IFERROR(IF(UPPER($E2885)="L",SUMPRODUCT(N2885:Y2885,$N$3:$Y$3,$N$2:$Y$2),SUMPRODUCT(N2885:Y2885,$N$4:$Y$4,$N$2:$Y$2))/(Z2885/($K2885*$L2885*$M2885)),"")</f>
        <v/>
      </c>
      <c r="AC2885" s="18" t="n"/>
    </row>
    <row r="2886">
      <c r="A2886" s="9" t="n">
        <v>695238</v>
      </c>
      <c r="B2886" s="9" t="inlineStr">
        <is>
          <t>Will Wagner</t>
        </is>
      </c>
      <c r="C2886" s="9" t="inlineStr">
        <is>
          <t>SD</t>
        </is>
      </c>
      <c r="D2886" s="9" t="n">
        <v>28</v>
      </c>
      <c r="E2886" s="16" t="inlineStr">
        <is>
          <t>L</t>
        </is>
      </c>
      <c r="F2886" s="16" t="inlineStr">
        <is>
          <t>2B</t>
        </is>
      </c>
      <c r="G2886" s="9" t="n">
        <v>45</v>
      </c>
      <c r="H2886" s="9" t="n">
        <v>280</v>
      </c>
      <c r="I2886" s="9" t="inlineStr">
        <is>
          <t>Bench Bat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1" t="n">
        <v>1</v>
      </c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/>
      <c r="W2886" s="17" t="n">
        <v>1</v>
      </c>
      <c r="X2886" s="17" t="n"/>
      <c r="Y2886" s="17" t="n"/>
      <c r="Z2886" s="13">
        <f>SUMPRODUCT(N2886:Y2886,$N$2:$Y$2)*$K2886*$L2886*$M2886</f>
        <v/>
      </c>
      <c r="AA2886" s="14">
        <f>SUM(N2886:Y2886)</f>
        <v/>
      </c>
      <c r="AB2886" s="14">
        <f>IFERROR(IF(UPPER($E2886)="L",SUMPRODUCT(N2886:Y2886,$N$3:$Y$3,$N$2:$Y$2),SUMPRODUCT(N2886:Y2886,$N$4:$Y$4,$N$2:$Y$2))/(Z2886/($K2886*$L2886*$M2886)),"")</f>
        <v/>
      </c>
      <c r="AC2886" s="18" t="n"/>
    </row>
    <row r="2887">
      <c r="A2887" s="9" t="n">
        <v>623520</v>
      </c>
      <c r="B2887" s="9" t="inlineStr">
        <is>
          <t>David Bote</t>
        </is>
      </c>
      <c r="C2887" s="9" t="inlineStr">
        <is>
          <t>CHC</t>
        </is>
      </c>
      <c r="D2887" s="9" t="n">
        <v>34</v>
      </c>
      <c r="E2887" s="16" t="inlineStr">
        <is>
          <t>R</t>
        </is>
      </c>
      <c r="F2887" s="16" t="inlineStr">
        <is>
          <t>3B</t>
        </is>
      </c>
      <c r="G2887" s="9" t="n">
        <v>48</v>
      </c>
      <c r="H2887" s="9" t="n">
        <v>175</v>
      </c>
      <c r="I2887" s="9" t="inlineStr">
        <is>
          <t>Depth (no MLB PA)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1" t="n">
        <v>1</v>
      </c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/>
      <c r="Y2887" s="17" t="n">
        <v>1</v>
      </c>
      <c r="Z2887" s="13">
        <f>SUMPRODUCT(N2887:Y2887,$N$2:$Y$2)*$K2887*$L2887*$M2887</f>
        <v/>
      </c>
      <c r="AA2887" s="14">
        <f>SUM(N2887:Y2887)</f>
        <v/>
      </c>
      <c r="AB2887" s="14">
        <f>IFERROR(IF(UPPER($E2887)="L",SUMPRODUCT(N2887:Y2887,$N$3:$Y$3,$N$2:$Y$2),SUMPRODUCT(N2887:Y2887,$N$4:$Y$4,$N$2:$Y$2))/(Z2887/($K2887*$L2887*$M2887)),"")</f>
        <v/>
      </c>
      <c r="AC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inlineStr">
        <is>
          <t>LF</t>
        </is>
      </c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1" t="n">
        <v>1</v>
      </c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>
        <v>0.4</v>
      </c>
      <c r="W2888" s="17" t="n">
        <v>0.6</v>
      </c>
      <c r="X2888" s="17" t="n"/>
      <c r="Y2888" s="17" t="n"/>
      <c r="Z2888" s="13">
        <f>SUMPRODUCT(N2888:Y2888,$N$2:$Y$2)*$K2888*$L2888*$M2888</f>
        <v/>
      </c>
      <c r="AA2888" s="14">
        <f>SUM(N2888:Y2888)</f>
        <v/>
      </c>
      <c r="AB2888" s="14">
        <f>IFERROR(IF(UPPER($E2888)="L",SUMPRODUCT(N2888:Y2888,$N$3:$Y$3,$N$2:$Y$2),SUMPRODUCT(N2888:Y2888,$N$4:$Y$4,$N$2:$Y$2))/(Z2888/($K2888*$L2888*$M2888)),"")</f>
        <v/>
      </c>
      <c r="AC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inlineStr">
        <is>
          <t>RF</t>
        </is>
      </c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1" t="n">
        <v>1</v>
      </c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/>
      <c r="W2889" s="17" t="n">
        <v>1</v>
      </c>
      <c r="X2889" s="17" t="n"/>
      <c r="Y2889" s="17" t="n"/>
      <c r="Z2889" s="13">
        <f>SUMPRODUCT(N2889:Y2889,$N$2:$Y$2)*$K2889*$L2889*$M2889</f>
        <v/>
      </c>
      <c r="AA2889" s="14">
        <f>SUM(N2889:Y2889)</f>
        <v/>
      </c>
      <c r="AB2889" s="14">
        <f>IFERROR(IF(UPPER($E2889)="L",SUMPRODUCT(N2889:Y2889,$N$3:$Y$3,$N$2:$Y$2),SUMPRODUCT(N2889:Y2889,$N$4:$Y$4,$N$2:$Y$2))/(Z2889/($K2889*$L2889*$M2889)),"")</f>
        <v/>
      </c>
      <c r="AC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inlineStr">
        <is>
          <t>RF</t>
        </is>
      </c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1" t="n">
        <v>1</v>
      </c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/>
      <c r="Y2890" s="17" t="n">
        <v>1</v>
      </c>
      <c r="Z2890" s="13">
        <f>SUMPRODUCT(N2890:Y2890,$N$2:$Y$2)*$K2890*$L2890*$M2890</f>
        <v/>
      </c>
      <c r="AA2890" s="14">
        <f>SUM(N2890:Y2890)</f>
        <v/>
      </c>
      <c r="AB2890" s="14">
        <f>IFERROR(IF(UPPER($E2890)="L",SUMPRODUCT(N2890:Y2890,$N$3:$Y$3,$N$2:$Y$2),SUMPRODUCT(N2890:Y2890,$N$4:$Y$4,$N$2:$Y$2))/(Z2890/($K2890*$L2890*$M2890)),"")</f>
        <v/>
      </c>
      <c r="AC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inlineStr">
        <is>
          <t>RF</t>
        </is>
      </c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1" t="n">
        <v>1</v>
      </c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/>
      <c r="Y2891" s="17" t="n">
        <v>1</v>
      </c>
      <c r="Z2891" s="13">
        <f>SUMPRODUCT(N2891:Y2891,$N$2:$Y$2)*$K2891*$L2891*$M2891</f>
        <v/>
      </c>
      <c r="AA2891" s="14">
        <f>SUM(N2891:Y2891)</f>
        <v/>
      </c>
      <c r="AB2891" s="14">
        <f>IFERROR(IF(UPPER($E2891)="L",SUMPRODUCT(N2891:Y2891,$N$3:$Y$3,$N$2:$Y$2),SUMPRODUCT(N2891:Y2891,$N$4:$Y$4,$N$2:$Y$2))/(Z2891/($K2891*$L2891*$M2891)),"")</f>
        <v/>
      </c>
      <c r="AC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inlineStr">
        <is>
          <t>3B</t>
        </is>
      </c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1" t="n">
        <v>1</v>
      </c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/>
      <c r="Y2892" s="17" t="n">
        <v>1</v>
      </c>
      <c r="Z2892" s="13">
        <f>SUMPRODUCT(N2892:Y2892,$N$2:$Y$2)*$K2892*$L2892*$M2892</f>
        <v/>
      </c>
      <c r="AA2892" s="14">
        <f>SUM(N2892:Y2892)</f>
        <v/>
      </c>
      <c r="AB2892" s="14">
        <f>IFERROR(IF(UPPER($E2892)="L",SUMPRODUCT(N2892:Y2892,$N$3:$Y$3,$N$2:$Y$2),SUMPRODUCT(N2892:Y2892,$N$4:$Y$4,$N$2:$Y$2))/(Z2892/($K2892*$L2892*$M2892)),"")</f>
        <v/>
      </c>
      <c r="AC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inlineStr">
        <is>
          <t>3B</t>
        </is>
      </c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1" t="n">
        <v>1</v>
      </c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/>
      <c r="Y2893" s="17" t="n">
        <v>1</v>
      </c>
      <c r="Z2893" s="13">
        <f>SUMPRODUCT(N2893:Y2893,$N$2:$Y$2)*$K2893*$L2893*$M2893</f>
        <v/>
      </c>
      <c r="AA2893" s="14">
        <f>SUM(N2893:Y2893)</f>
        <v/>
      </c>
      <c r="AB2893" s="14">
        <f>IFERROR(IF(UPPER($E2893)="L",SUMPRODUCT(N2893:Y2893,$N$3:$Y$3,$N$2:$Y$2),SUMPRODUCT(N2893:Y2893,$N$4:$Y$4,$N$2:$Y$2))/(Z2893/($K2893*$L2893*$M2893)),"")</f>
        <v/>
      </c>
      <c r="AC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inlineStr">
        <is>
          <t>2B</t>
        </is>
      </c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1" t="n">
        <v>1</v>
      </c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/>
      <c r="W2894" s="17" t="n">
        <v>1</v>
      </c>
      <c r="X2894" s="17" t="n"/>
      <c r="Y2894" s="17" t="n"/>
      <c r="Z2894" s="13">
        <f>SUMPRODUCT(N2894:Y2894,$N$2:$Y$2)*$K2894*$L2894*$M2894</f>
        <v/>
      </c>
      <c r="AA2894" s="14">
        <f>SUM(N2894:Y2894)</f>
        <v/>
      </c>
      <c r="AB2894" s="14">
        <f>IFERROR(IF(UPPER($E2894)="L",SUMPRODUCT(N2894:Y2894,$N$3:$Y$3,$N$2:$Y$2),SUMPRODUCT(N2894:Y2894,$N$4:$Y$4,$N$2:$Y$2))/(Z2894/($K2894*$L2894*$M2894)),"")</f>
        <v/>
      </c>
      <c r="AC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inlineStr">
        <is>
          <t>2B</t>
        </is>
      </c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1" t="n">
        <v>1</v>
      </c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/>
      <c r="W2895" s="17" t="n">
        <v>1</v>
      </c>
      <c r="X2895" s="17" t="n"/>
      <c r="Y2895" s="17" t="n"/>
      <c r="Z2895" s="13">
        <f>SUMPRODUCT(N2895:Y2895,$N$2:$Y$2)*$K2895*$L2895*$M2895</f>
        <v/>
      </c>
      <c r="AA2895" s="14">
        <f>SUM(N2895:Y2895)</f>
        <v/>
      </c>
      <c r="AB2895" s="14">
        <f>IFERROR(IF(UPPER($E2895)="L",SUMPRODUCT(N2895:Y2895,$N$3:$Y$3,$N$2:$Y$2),SUMPRODUCT(N2895:Y2895,$N$4:$Y$4,$N$2:$Y$2))/(Z2895/($K2895*$L2895*$M2895)),"")</f>
        <v/>
      </c>
      <c r="AC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inlineStr">
        <is>
          <t>2B</t>
        </is>
      </c>
      <c r="G2896" s="9" t="n">
        <v>270</v>
      </c>
      <c r="H2896" s="9" t="n">
        <v>1485</v>
      </c>
      <c r="I2896" s="9" t="inlineStr">
        <is>
          <t>Strong Side Platoon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1" t="n">
        <v>0.8172663726721672</v>
      </c>
      <c r="N2896" s="17" t="n"/>
      <c r="O2896" s="17" t="n"/>
      <c r="P2896" s="17" t="n">
        <v>0.6</v>
      </c>
      <c r="Q2896" s="17" t="n"/>
      <c r="R2896" s="17" t="n"/>
      <c r="S2896" s="17" t="n"/>
      <c r="T2896" s="17" t="n"/>
      <c r="U2896" s="17" t="n">
        <v>0.4</v>
      </c>
      <c r="V2896" s="17" t="n"/>
      <c r="W2896" s="17" t="n"/>
      <c r="X2896" s="17" t="n"/>
      <c r="Y2896" s="17" t="n"/>
      <c r="Z2896" s="13">
        <f>SUMPRODUCT(N2896:Y2896,$N$2:$Y$2)*$K2896*$L2896*$M2896</f>
        <v/>
      </c>
      <c r="AA2896" s="14">
        <f>SUM(N2896:Y2896)</f>
        <v/>
      </c>
      <c r="AB2896" s="14">
        <f>IFERROR(IF(UPPER($E2896)="L",SUMPRODUCT(N2896:Y2896,$N$3:$Y$3,$N$2:$Y$2),SUMPRODUCT(N2896:Y2896,$N$4:$Y$4,$N$2:$Y$2))/(Z2896/($K2896*$L2896*$M2896)),"")</f>
        <v/>
      </c>
      <c r="AC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inlineStr">
        <is>
          <t>SS</t>
        </is>
      </c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1" t="n">
        <v>1</v>
      </c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/>
      <c r="W2897" s="17" t="n">
        <v>1</v>
      </c>
      <c r="X2897" s="17" t="n"/>
      <c r="Y2897" s="17" t="n"/>
      <c r="Z2897" s="13">
        <f>SUMPRODUCT(N2897:Y2897,$N$2:$Y$2)*$K2897*$L2897*$M2897</f>
        <v/>
      </c>
      <c r="AA2897" s="14">
        <f>SUM(N2897:Y2897)</f>
        <v/>
      </c>
      <c r="AB2897" s="14">
        <f>IFERROR(IF(UPPER($E2897)="L",SUMPRODUCT(N2897:Y2897,$N$3:$Y$3,$N$2:$Y$2),SUMPRODUCT(N2897:Y2897,$N$4:$Y$4,$N$2:$Y$2))/(Z2897/($K2897*$L2897*$M2897)),"")</f>
        <v/>
      </c>
      <c r="AC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inlineStr">
        <is>
          <t>LF</t>
        </is>
      </c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1" t="n">
        <v>1</v>
      </c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/>
      <c r="Y2898" s="17" t="n">
        <v>1</v>
      </c>
      <c r="Z2898" s="13">
        <f>SUMPRODUCT(N2898:Y2898,$N$2:$Y$2)*$K2898*$L2898*$M2898</f>
        <v/>
      </c>
      <c r="AA2898" s="14">
        <f>SUM(N2898:Y2898)</f>
        <v/>
      </c>
      <c r="AB2898" s="14">
        <f>IFERROR(IF(UPPER($E2898)="L",SUMPRODUCT(N2898:Y2898,$N$3:$Y$3,$N$2:$Y$2),SUMPRODUCT(N2898:Y2898,$N$4:$Y$4,$N$2:$Y$2))/(Z2898/($K2898*$L2898*$M2898)),"")</f>
        <v/>
      </c>
      <c r="AC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inlineStr">
        <is>
          <t>LF</t>
        </is>
      </c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1" t="n">
        <v>1.047259820928346</v>
      </c>
      <c r="N2899" s="17" t="n">
        <v>1</v>
      </c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7" t="n"/>
      <c r="Z2899" s="13">
        <f>SUMPRODUCT(N2899:Y2899,$N$2:$Y$2)*$K2899*$L2899*$M2899</f>
        <v/>
      </c>
      <c r="AA2899" s="14">
        <f>SUM(N2899:Y2899)</f>
        <v/>
      </c>
      <c r="AB2899" s="14">
        <f>IFERROR(IF(UPPER($E2899)="L",SUMPRODUCT(N2899:Y2899,$N$3:$Y$3,$N$2:$Y$2),SUMPRODUCT(N2899:Y2899,$N$4:$Y$4,$N$2:$Y$2))/(Z2899/($K2899*$L2899*$M2899)),"")</f>
        <v/>
      </c>
      <c r="AC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2026-10-06T19:54:54Z</dcterms:created>
  <dcterms:modified xsi:type="dcterms:W3CDTF">2026-10-06T19:54:56Z</dcterms:modified>
</cp:coreProperties>
</file>