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IP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IP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IP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IP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76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46" customWidth="1" min="31" max="31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Ace (SP1)</t>
        </is>
      </c>
      <c r="N1" s="3" t="inlineStr">
        <is>
          <t>Mid-Rotation Starter (SP2-3)</t>
        </is>
      </c>
      <c r="O1" s="3" t="inlineStr">
        <is>
          <t>End-of-Rotation Starter (SP4-5)</t>
        </is>
      </c>
      <c r="P1" s="3" t="inlineStr">
        <is>
          <t>Innings-Limited Starter</t>
        </is>
      </c>
      <c r="Q1" s="3" t="inlineStr">
        <is>
          <t>Swing Arm / Long Relief</t>
        </is>
      </c>
      <c r="R1" s="3" t="inlineStr">
        <is>
          <t>Opener</t>
        </is>
      </c>
      <c r="S1" s="3" t="inlineStr">
        <is>
          <t>Closer</t>
        </is>
      </c>
      <c r="T1" s="3" t="inlineStr">
        <is>
          <t>Late Inning RP (Setup)</t>
        </is>
      </c>
      <c r="U1" s="3" t="inlineStr">
        <is>
          <t>Middle Relief</t>
        </is>
      </c>
      <c r="V1" s="3" t="inlineStr">
        <is>
          <t>Bullpen Depth Arm</t>
        </is>
      </c>
      <c r="W1" s="3" t="inlineStr">
        <is>
          <t>Rehab / Injury Return</t>
        </is>
      </c>
      <c r="X1" s="3" t="inlineStr">
        <is>
          <t>Depth (no MLB IP)</t>
        </is>
      </c>
      <c r="Y1" s="3" t="inlineStr">
        <is>
          <t>Proj IP</t>
        </is>
      </c>
      <c r="Z1" s="3" t="inlineStr">
        <is>
          <t>Role Prob Sum</t>
        </is>
      </c>
      <c r="AA1" s="3" t="inlineStr">
        <is>
          <t>Proj GS</t>
        </is>
      </c>
      <c r="AB1" s="3" t="inlineStr">
        <is>
          <t>Proj G</t>
        </is>
      </c>
      <c r="AC1" s="3" t="inlineStr">
        <is>
          <t>Save Wt</t>
        </is>
      </c>
      <c r="AD1" s="3" t="inlineStr">
        <is>
          <t>Hold Wt</t>
        </is>
      </c>
      <c r="AE1" s="3" t="inlineStr">
        <is>
          <t>Notes</t>
        </is>
      </c>
    </row>
    <row r="2">
      <c r="A2" s="4" t="inlineStr">
        <is>
          <t>ANCHORS -&gt;</t>
        </is>
      </c>
      <c r="M2" s="5" t="n">
        <v>195</v>
      </c>
      <c r="N2" s="5" t="n">
        <v>170</v>
      </c>
      <c r="O2" s="5" t="n">
        <v>130</v>
      </c>
      <c r="P2" s="5" t="n">
        <v>110</v>
      </c>
      <c r="Q2" s="5" t="n">
        <v>95</v>
      </c>
      <c r="R2" s="5" t="n">
        <v>55</v>
      </c>
      <c r="S2" s="5" t="n">
        <v>62</v>
      </c>
      <c r="T2" s="5" t="n">
        <v>65</v>
      </c>
      <c r="U2" s="5" t="n">
        <v>60</v>
      </c>
      <c r="V2" s="5" t="n">
        <v>40</v>
      </c>
      <c r="W2" s="5" t="n">
        <v>60</v>
      </c>
      <c r="X2" s="5" t="n">
        <v>1</v>
      </c>
      <c r="Y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M3" s="8" t="n">
        <v>32</v>
      </c>
      <c r="N3" s="8" t="n">
        <v>30</v>
      </c>
      <c r="O3" s="8" t="n">
        <v>25</v>
      </c>
      <c r="P3" s="8" t="n">
        <v>22</v>
      </c>
      <c r="Q3" s="8" t="n">
        <v>8</v>
      </c>
      <c r="R3" s="8" t="n">
        <v>18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10</v>
      </c>
      <c r="X3" s="8" t="n">
        <v>0</v>
      </c>
    </row>
    <row r="4" hidden="1" outlineLevel="1">
      <c r="A4" s="7" t="inlineStr">
        <is>
          <t>anchor:g</t>
        </is>
      </c>
      <c r="M4" s="8" t="n">
        <v>32</v>
      </c>
      <c r="N4" s="8" t="n">
        <v>30</v>
      </c>
      <c r="O4" s="8" t="n">
        <v>26</v>
      </c>
      <c r="P4" s="8" t="n">
        <v>22</v>
      </c>
      <c r="Q4" s="8" t="n">
        <v>30</v>
      </c>
      <c r="R4" s="8" t="n">
        <v>45</v>
      </c>
      <c r="S4" s="8" t="n">
        <v>60</v>
      </c>
      <c r="T4" s="8" t="n">
        <v>65</v>
      </c>
      <c r="U4" s="8" t="n">
        <v>58</v>
      </c>
      <c r="V4" s="8" t="n">
        <v>35</v>
      </c>
      <c r="W4" s="8" t="n">
        <v>14</v>
      </c>
      <c r="X4" s="8" t="n">
        <v>1</v>
      </c>
    </row>
    <row r="5" hidden="1" outlineLevel="1">
      <c r="A5" s="7" t="inlineStr">
        <is>
          <t>anchor:sv</t>
        </is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0.01</v>
      </c>
      <c r="R5" s="8" t="n">
        <v>0</v>
      </c>
      <c r="S5" s="8" t="n">
        <v>0.65</v>
      </c>
      <c r="T5" s="8" t="n">
        <v>0.12</v>
      </c>
      <c r="U5" s="8" t="n">
        <v>0.04</v>
      </c>
      <c r="V5" s="8" t="n">
        <v>0.01</v>
      </c>
      <c r="W5" s="8" t="n">
        <v>0.02</v>
      </c>
      <c r="X5" s="8" t="n">
        <v>0</v>
      </c>
    </row>
    <row r="6" hidden="1" outlineLevel="1">
      <c r="A6" s="7" t="inlineStr">
        <is>
          <t>anchor:hld</t>
        </is>
      </c>
      <c r="M6" s="8" t="n">
        <v>0</v>
      </c>
      <c r="N6" s="8" t="n">
        <v>0</v>
      </c>
      <c r="O6" s="8" t="n">
        <v>0.01</v>
      </c>
      <c r="P6" s="8" t="n">
        <v>0</v>
      </c>
      <c r="Q6" s="8" t="n">
        <v>0.04</v>
      </c>
      <c r="R6" s="8" t="n">
        <v>0.03</v>
      </c>
      <c r="S6" s="8" t="n">
        <v>0.05</v>
      </c>
      <c r="T6" s="8" t="n">
        <v>0.28</v>
      </c>
      <c r="U6" s="8" t="n">
        <v>0.14</v>
      </c>
      <c r="V6" s="8" t="n">
        <v>0.05</v>
      </c>
      <c r="W6" s="8" t="n">
        <v>0.03</v>
      </c>
      <c r="X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2" t="n"/>
      <c r="N7" s="12" t="n"/>
      <c r="O7" s="12" t="n"/>
      <c r="P7" s="12" t="n"/>
      <c r="Q7" s="12" t="n"/>
      <c r="R7" s="12" t="n"/>
      <c r="S7" s="12" t="n">
        <v>0.7</v>
      </c>
      <c r="T7" s="12" t="n">
        <v>0.3</v>
      </c>
      <c r="U7" s="12" t="n"/>
      <c r="V7" s="12" t="n"/>
      <c r="W7" s="12" t="n"/>
      <c r="X7" s="12" t="n"/>
      <c r="Y7" s="13">
        <f>SUMPRODUCT(M7:X7,$M$2:$X$2)*$K7*$L7</f>
        <v/>
      </c>
      <c r="Z7" s="14">
        <f>SUM(M7:X7)</f>
        <v/>
      </c>
      <c r="AA7" s="13">
        <f>SUMPRODUCT(M7:X7,$M$3:$X$3)*$K7*$L7</f>
        <v/>
      </c>
      <c r="AB7" s="13">
        <f>SUMPRODUCT(M7:X7,$M$4:$X$4)*$K7*$L7</f>
        <v/>
      </c>
      <c r="AC7" s="15">
        <f>SUMPRODUCT(M7:X7,$M$5:$X$5)*$K7*$L7</f>
        <v/>
      </c>
      <c r="AD7" s="15">
        <f>SUMPRODUCT(M7:X7,$M$6:$X$6)*$K7*$L7</f>
        <v/>
      </c>
      <c r="AE7" s="16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7" t="inlineStr">
        <is>
          <t>R</t>
        </is>
      </c>
      <c r="F8" s="17" t="n"/>
      <c r="G8" s="9" t="n">
        <v>110</v>
      </c>
      <c r="H8" s="9" t="n">
        <v>732</v>
      </c>
      <c r="I8" s="9" t="inlineStr">
        <is>
          <t>Closer</t>
        </is>
      </c>
      <c r="J8" s="17" t="inlineStr">
        <is>
          <t>Opening Day</t>
        </is>
      </c>
      <c r="K8" s="11">
        <f>IFERROR(INDEX(Roles!$B$17:$B$20,MATCH(J8,Roles!$A$17:$A$20,0)),1)</f>
        <v/>
      </c>
      <c r="L8" s="18" t="n">
        <v>1</v>
      </c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3">
        <f>SUMPRODUCT(M8:X8,$M$2:$X$2)*$K8*$L8</f>
        <v/>
      </c>
      <c r="Z8" s="14">
        <f>SUM(M8:X8)</f>
        <v/>
      </c>
      <c r="AA8" s="13">
        <f>SUMPRODUCT(M8:X8,$M$3:$X$3)*$K8*$L8</f>
        <v/>
      </c>
      <c r="AB8" s="13">
        <f>SUMPRODUCT(M8:X8,$M$4:$X$4)*$K8*$L8</f>
        <v/>
      </c>
      <c r="AC8" s="15">
        <f>SUMPRODUCT(M8:X8,$M$5:$X$5)*$K8*$L8</f>
        <v/>
      </c>
      <c r="AD8" s="15">
        <f>SUMPRODUCT(M8:X8,$M$6:$X$6)*$K8*$L8</f>
        <v/>
      </c>
      <c r="AE8" s="19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7" t="inlineStr">
        <is>
          <t>R</t>
        </is>
      </c>
      <c r="F9" s="17" t="n"/>
      <c r="G9" s="9" t="n">
        <v>33</v>
      </c>
      <c r="H9" s="9" t="n">
        <v>742</v>
      </c>
      <c r="I9" s="9" t="inlineStr">
        <is>
          <t>Closer</t>
        </is>
      </c>
      <c r="J9" s="17" t="inlineStr">
        <is>
          <t>Opening Day</t>
        </is>
      </c>
      <c r="K9" s="11">
        <f>IFERROR(INDEX(Roles!$B$17:$B$20,MATCH(J9,Roles!$A$17:$A$20,0)),1)</f>
        <v/>
      </c>
      <c r="L9" s="18" t="n">
        <v>1</v>
      </c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3">
        <f>SUMPRODUCT(M9:X9,$M$2:$X$2)*$K9*$L9</f>
        <v/>
      </c>
      <c r="Z9" s="14">
        <f>SUM(M9:X9)</f>
        <v/>
      </c>
      <c r="AA9" s="13">
        <f>SUMPRODUCT(M9:X9,$M$3:$X$3)*$K9*$L9</f>
        <v/>
      </c>
      <c r="AB9" s="13">
        <f>SUMPRODUCT(M9:X9,$M$4:$X$4)*$K9*$L9</f>
        <v/>
      </c>
      <c r="AC9" s="15">
        <f>SUMPRODUCT(M9:X9,$M$5:$X$5)*$K9*$L9</f>
        <v/>
      </c>
      <c r="AD9" s="15">
        <f>SUMPRODUCT(M9:X9,$M$6:$X$6)*$K9*$L9</f>
        <v/>
      </c>
      <c r="AE9" s="19" t="n"/>
    </row>
    <row r="10">
      <c r="A10" s="9" t="n">
        <v>642207</v>
      </c>
      <c r="B10" s="9" t="inlineStr">
        <is>
          <t>Devin Williams</t>
        </is>
      </c>
      <c r="C10" s="9" t="inlineStr">
        <is>
          <t>NYM</t>
        </is>
      </c>
      <c r="D10" s="9" t="n">
        <v>32</v>
      </c>
      <c r="E10" s="17" t="inlineStr">
        <is>
          <t>R</t>
        </is>
      </c>
      <c r="F10" s="17" t="n"/>
      <c r="G10" s="9" t="n">
        <v>94</v>
      </c>
      <c r="H10" s="9" t="n">
        <v>912</v>
      </c>
      <c r="I10" s="9" t="inlineStr">
        <is>
          <t>Closer</t>
        </is>
      </c>
      <c r="J10" s="17" t="inlineStr">
        <is>
          <t>Opening Day</t>
        </is>
      </c>
      <c r="K10" s="11">
        <f>IFERROR(INDEX(Roles!$B$17:$B$20,MATCH(J10,Roles!$A$17:$A$20,0)),1)</f>
        <v/>
      </c>
      <c r="L10" s="18" t="n">
        <v>1</v>
      </c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3">
        <f>SUMPRODUCT(M10:X10,$M$2:$X$2)*$K10*$L10</f>
        <v/>
      </c>
      <c r="Z10" s="14">
        <f>SUM(M10:X10)</f>
        <v/>
      </c>
      <c r="AA10" s="13">
        <f>SUMPRODUCT(M10:X10,$M$3:$X$3)*$K10*$L10</f>
        <v/>
      </c>
      <c r="AB10" s="13">
        <f>SUMPRODUCT(M10:X10,$M$4:$X$4)*$K10*$L10</f>
        <v/>
      </c>
      <c r="AC10" s="15">
        <f>SUMPRODUCT(M10:X10,$M$5:$X$5)*$K10*$L10</f>
        <v/>
      </c>
      <c r="AD10" s="15">
        <f>SUMPRODUCT(M10:X10,$M$6:$X$6)*$K10*$L10</f>
        <v/>
      </c>
      <c r="AE10" s="19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7" t="inlineStr">
        <is>
          <t>R</t>
        </is>
      </c>
      <c r="F11" s="17" t="n"/>
      <c r="G11" s="9" t="n">
        <v>142</v>
      </c>
      <c r="H11" s="9" t="n">
        <v>632</v>
      </c>
      <c r="I11" s="9" t="inlineStr">
        <is>
          <t>Closer</t>
        </is>
      </c>
      <c r="J11" s="17" t="inlineStr">
        <is>
          <t>Opening Day</t>
        </is>
      </c>
      <c r="K11" s="11">
        <f>IFERROR(INDEX(Roles!$B$17:$B$20,MATCH(J11,Roles!$A$17:$A$20,0)),1)</f>
        <v/>
      </c>
      <c r="L11" s="18" t="n">
        <v>1</v>
      </c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3">
        <f>SUMPRODUCT(M11:X11,$M$2:$X$2)*$K11*$L11</f>
        <v/>
      </c>
      <c r="Z11" s="14">
        <f>SUM(M11:X11)</f>
        <v/>
      </c>
      <c r="AA11" s="13">
        <f>SUMPRODUCT(M11:X11,$M$3:$X$3)*$K11*$L11</f>
        <v/>
      </c>
      <c r="AB11" s="13">
        <f>SUMPRODUCT(M11:X11,$M$4:$X$4)*$K11*$L11</f>
        <v/>
      </c>
      <c r="AC11" s="15">
        <f>SUMPRODUCT(M11:X11,$M$5:$X$5)*$K11*$L11</f>
        <v/>
      </c>
      <c r="AD11" s="15">
        <f>SUMPRODUCT(M11:X11,$M$6:$X$6)*$K11*$L11</f>
        <v/>
      </c>
      <c r="AE11" s="19" t="n"/>
    </row>
    <row r="12">
      <c r="A12" s="9" t="n">
        <v>547973</v>
      </c>
      <c r="B12" s="9" t="inlineStr">
        <is>
          <t>Aroldis Chapman</t>
        </is>
      </c>
      <c r="C12" s="9" t="inlineStr">
        <is>
          <t>BOS</t>
        </is>
      </c>
      <c r="D12" s="9" t="n">
        <v>39</v>
      </c>
      <c r="E12" s="17" t="inlineStr">
        <is>
          <t>L</t>
        </is>
      </c>
      <c r="F12" s="17" t="n"/>
      <c r="G12" s="9" t="n">
        <v>77</v>
      </c>
      <c r="H12" s="9" t="n">
        <v>979</v>
      </c>
      <c r="I12" s="9" t="inlineStr">
        <is>
          <t>Closer</t>
        </is>
      </c>
      <c r="J12" s="17" t="inlineStr">
        <is>
          <t>Opening Day</t>
        </is>
      </c>
      <c r="K12" s="11">
        <f>IFERROR(INDEX(Roles!$B$17:$B$20,MATCH(J12,Roles!$A$17:$A$20,0)),1)</f>
        <v/>
      </c>
      <c r="L12" s="18" t="n">
        <v>1</v>
      </c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3">
        <f>SUMPRODUCT(M12:X12,$M$2:$X$2)*$K12*$L12</f>
        <v/>
      </c>
      <c r="Z12" s="14">
        <f>SUM(M12:X12)</f>
        <v/>
      </c>
      <c r="AA12" s="13">
        <f>SUMPRODUCT(M12:X12,$M$3:$X$3)*$K12*$L12</f>
        <v/>
      </c>
      <c r="AB12" s="13">
        <f>SUMPRODUCT(M12:X12,$M$4:$X$4)*$K12*$L12</f>
        <v/>
      </c>
      <c r="AC12" s="15">
        <f>SUMPRODUCT(M12:X12,$M$5:$X$5)*$K12*$L12</f>
        <v/>
      </c>
      <c r="AD12" s="15">
        <f>SUMPRODUCT(M12:X12,$M$6:$X$6)*$K12*$L12</f>
        <v/>
      </c>
      <c r="AE12" s="19" t="n"/>
    </row>
    <row r="13">
      <c r="A13" s="9" t="n">
        <v>518585</v>
      </c>
      <c r="B13" s="9" t="inlineStr">
        <is>
          <t>Fernando Cruz</t>
        </is>
      </c>
      <c r="C13" s="9" t="inlineStr">
        <is>
          <t>NYY</t>
        </is>
      </c>
      <c r="D13" s="9" t="n">
        <v>37</v>
      </c>
      <c r="E13" s="17" t="inlineStr">
        <is>
          <t>R</t>
        </is>
      </c>
      <c r="F13" s="17" t="n"/>
      <c r="G13" s="9" t="n">
        <v>120</v>
      </c>
      <c r="H13" s="9" t="n">
        <v>951</v>
      </c>
      <c r="I13" s="9" t="inlineStr">
        <is>
          <t>Late Inning RP (Setup)</t>
        </is>
      </c>
      <c r="J13" s="17" t="inlineStr">
        <is>
          <t>Opening Day</t>
        </is>
      </c>
      <c r="K13" s="11">
        <f>IFERROR(INDEX(Roles!$B$17:$B$20,MATCH(J13,Roles!$A$17:$A$20,0)),1)</f>
        <v/>
      </c>
      <c r="L13" s="18" t="n">
        <v>1</v>
      </c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3">
        <f>SUMPRODUCT(M13:X13,$M$2:$X$2)*$K13*$L13</f>
        <v/>
      </c>
      <c r="Z13" s="14">
        <f>SUM(M13:X13)</f>
        <v/>
      </c>
      <c r="AA13" s="13">
        <f>SUMPRODUCT(M13:X13,$M$3:$X$3)*$K13*$L13</f>
        <v/>
      </c>
      <c r="AB13" s="13">
        <f>SUMPRODUCT(M13:X13,$M$4:$X$4)*$K13*$L13</f>
        <v/>
      </c>
      <c r="AC13" s="15">
        <f>SUMPRODUCT(M13:X13,$M$5:$X$5)*$K13*$L13</f>
        <v/>
      </c>
      <c r="AD13" s="15">
        <f>SUMPRODUCT(M13:X13,$M$6:$X$6)*$K13*$L13</f>
        <v/>
      </c>
      <c r="AE13" s="19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7" t="inlineStr">
        <is>
          <t>R</t>
        </is>
      </c>
      <c r="F14" s="17" t="n"/>
      <c r="G14" s="9" t="n">
        <v>120</v>
      </c>
      <c r="H14" s="9" t="n">
        <v>709</v>
      </c>
      <c r="I14" s="9" t="inlineStr">
        <is>
          <t>Closer</t>
        </is>
      </c>
      <c r="J14" s="17" t="inlineStr">
        <is>
          <t>Opening Day</t>
        </is>
      </c>
      <c r="K14" s="11">
        <f>IFERROR(INDEX(Roles!$B$17:$B$20,MATCH(J14,Roles!$A$17:$A$20,0)),1)</f>
        <v/>
      </c>
      <c r="L14" s="18" t="n">
        <v>1</v>
      </c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3">
        <f>SUMPRODUCT(M14:X14,$M$2:$X$2)*$K14*$L14</f>
        <v/>
      </c>
      <c r="Z14" s="14">
        <f>SUM(M14:X14)</f>
        <v/>
      </c>
      <c r="AA14" s="13">
        <f>SUMPRODUCT(M14:X14,$M$3:$X$3)*$K14*$L14</f>
        <v/>
      </c>
      <c r="AB14" s="13">
        <f>SUMPRODUCT(M14:X14,$M$4:$X$4)*$K14*$L14</f>
        <v/>
      </c>
      <c r="AC14" s="15">
        <f>SUMPRODUCT(M14:X14,$M$5:$X$5)*$K14*$L14</f>
        <v/>
      </c>
      <c r="AD14" s="15">
        <f>SUMPRODUCT(M14:X14,$M$6:$X$6)*$K14*$L14</f>
        <v/>
      </c>
      <c r="AE14" s="19" t="n"/>
    </row>
    <row r="15">
      <c r="A15" s="9" t="n">
        <v>681870</v>
      </c>
      <c r="B15" s="9" t="inlineStr">
        <is>
          <t>Erik Sabrowski</t>
        </is>
      </c>
      <c r="C15" s="9" t="inlineStr">
        <is>
          <t>CLE</t>
        </is>
      </c>
      <c r="D15" s="9" t="n">
        <v>29</v>
      </c>
      <c r="E15" s="17" t="inlineStr">
        <is>
          <t>L</t>
        </is>
      </c>
      <c r="F15" s="17" t="n"/>
      <c r="G15" s="9" t="n">
        <v>83</v>
      </c>
      <c r="H15" s="9" t="n">
        <v>251</v>
      </c>
      <c r="I15" s="9" t="inlineStr">
        <is>
          <t>Late Inning RP (Setup)</t>
        </is>
      </c>
      <c r="J15" s="17" t="inlineStr">
        <is>
          <t>Opening Day</t>
        </is>
      </c>
      <c r="K15" s="11">
        <f>IFERROR(INDEX(Roles!$B$17:$B$20,MATCH(J15,Roles!$A$17:$A$20,0)),1)</f>
        <v/>
      </c>
      <c r="L15" s="18" t="n">
        <v>1</v>
      </c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3">
        <f>SUMPRODUCT(M15:X15,$M$2:$X$2)*$K15*$L15</f>
        <v/>
      </c>
      <c r="Z15" s="14">
        <f>SUM(M15:X15)</f>
        <v/>
      </c>
      <c r="AA15" s="13">
        <f>SUMPRODUCT(M15:X15,$M$3:$X$3)*$K15*$L15</f>
        <v/>
      </c>
      <c r="AB15" s="13">
        <f>SUMPRODUCT(M15:X15,$M$4:$X$4)*$K15*$L15</f>
        <v/>
      </c>
      <c r="AC15" s="15">
        <f>SUMPRODUCT(M15:X15,$M$5:$X$5)*$K15*$L15</f>
        <v/>
      </c>
      <c r="AD15" s="15">
        <f>SUMPRODUCT(M15:X15,$M$6:$X$6)*$K15*$L15</f>
        <v/>
      </c>
      <c r="AE15" s="19" t="n"/>
    </row>
    <row r="16">
      <c r="A16" s="9" t="n">
        <v>694819</v>
      </c>
      <c r="B16" s="9" t="inlineStr">
        <is>
          <t>Jacob Misiorowski</t>
        </is>
      </c>
      <c r="C16" s="9" t="inlineStr">
        <is>
          <t>MIL</t>
        </is>
      </c>
      <c r="D16" s="9" t="n">
        <v>25</v>
      </c>
      <c r="E16" s="17" t="inlineStr">
        <is>
          <t>R</t>
        </is>
      </c>
      <c r="F16" s="17" t="n"/>
      <c r="G16" s="9" t="n">
        <v>302</v>
      </c>
      <c r="H16" s="9" t="n">
        <v>575</v>
      </c>
      <c r="I16" s="9" t="inlineStr">
        <is>
          <t>Mid-Rotation Starter (SP2-3)</t>
        </is>
      </c>
      <c r="J16" s="17" t="inlineStr">
        <is>
          <t>Opening Day</t>
        </is>
      </c>
      <c r="K16" s="11">
        <f>IFERROR(INDEX(Roles!$B$17:$B$20,MATCH(J16,Roles!$A$17:$A$20,0)),1)</f>
        <v/>
      </c>
      <c r="L16" s="18" t="n">
        <v>1</v>
      </c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3">
        <f>SUMPRODUCT(M16:X16,$M$2:$X$2)*$K16*$L16</f>
        <v/>
      </c>
      <c r="Z16" s="14">
        <f>SUM(M16:X16)</f>
        <v/>
      </c>
      <c r="AA16" s="13">
        <f>SUMPRODUCT(M16:X16,$M$3:$X$3)*$K16*$L16</f>
        <v/>
      </c>
      <c r="AB16" s="13">
        <f>SUMPRODUCT(M16:X16,$M$4:$X$4)*$K16*$L16</f>
        <v/>
      </c>
      <c r="AC16" s="15">
        <f>SUMPRODUCT(M16:X16,$M$5:$X$5)*$K16*$L16</f>
        <v/>
      </c>
      <c r="AD16" s="15">
        <f>SUMPRODUCT(M16:X16,$M$6:$X$6)*$K16*$L16</f>
        <v/>
      </c>
      <c r="AE16" s="19" t="n"/>
    </row>
    <row r="17">
      <c r="A17" s="9" t="n">
        <v>650556</v>
      </c>
      <c r="B17" s="9" t="inlineStr">
        <is>
          <t>Bryan Abreu</t>
        </is>
      </c>
      <c r="C17" s="9" t="inlineStr">
        <is>
          <t>HOU</t>
        </is>
      </c>
      <c r="D17" s="9" t="n">
        <v>30</v>
      </c>
      <c r="E17" s="17" t="inlineStr">
        <is>
          <t>R</t>
        </is>
      </c>
      <c r="F17" s="17" t="n"/>
      <c r="G17" s="9" t="n">
        <v>108</v>
      </c>
      <c r="H17" s="9" t="n">
        <v>1264</v>
      </c>
      <c r="I17" s="9" t="inlineStr">
        <is>
          <t>Late Inning RP (Setup)</t>
        </is>
      </c>
      <c r="J17" s="17" t="inlineStr">
        <is>
          <t>Opening Day</t>
        </is>
      </c>
      <c r="K17" s="11">
        <f>IFERROR(INDEX(Roles!$B$17:$B$20,MATCH(J17,Roles!$A$17:$A$20,0)),1)</f>
        <v/>
      </c>
      <c r="L17" s="18" t="n">
        <v>1</v>
      </c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3">
        <f>SUMPRODUCT(M17:X17,$M$2:$X$2)*$K17*$L17</f>
        <v/>
      </c>
      <c r="Z17" s="14">
        <f>SUM(M17:X17)</f>
        <v/>
      </c>
      <c r="AA17" s="13">
        <f>SUMPRODUCT(M17:X17,$M$3:$X$3)*$K17*$L17</f>
        <v/>
      </c>
      <c r="AB17" s="13">
        <f>SUMPRODUCT(M17:X17,$M$4:$X$4)*$K17*$L17</f>
        <v/>
      </c>
      <c r="AC17" s="15">
        <f>SUMPRODUCT(M17:X17,$M$5:$X$5)*$K17*$L17</f>
        <v/>
      </c>
      <c r="AD17" s="15">
        <f>SUMPRODUCT(M17:X17,$M$6:$X$6)*$K17*$L17</f>
        <v/>
      </c>
      <c r="AE17" s="19" t="n"/>
    </row>
    <row r="18">
      <c r="A18" s="9" t="n">
        <v>662253</v>
      </c>
      <c r="B18" s="9" t="inlineStr">
        <is>
          <t>Andrés Muñoz</t>
        </is>
      </c>
      <c r="C18" s="9" t="inlineStr">
        <is>
          <t>SEA</t>
        </is>
      </c>
      <c r="D18" s="9" t="n">
        <v>28</v>
      </c>
      <c r="E18" s="17" t="inlineStr">
        <is>
          <t>R</t>
        </is>
      </c>
      <c r="F18" s="17" t="n"/>
      <c r="G18" s="9" t="n">
        <v>108</v>
      </c>
      <c r="H18" s="9" t="n">
        <v>1053</v>
      </c>
      <c r="I18" s="9" t="inlineStr">
        <is>
          <t>Closer</t>
        </is>
      </c>
      <c r="J18" s="17" t="inlineStr">
        <is>
          <t>Opening Day</t>
        </is>
      </c>
      <c r="K18" s="11">
        <f>IFERROR(INDEX(Roles!$B$17:$B$20,MATCH(J18,Roles!$A$17:$A$20,0)),1)</f>
        <v/>
      </c>
      <c r="L18" s="18" t="n">
        <v>1</v>
      </c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3">
        <f>SUMPRODUCT(M18:X18,$M$2:$X$2)*$K18*$L18</f>
        <v/>
      </c>
      <c r="Z18" s="14">
        <f>SUM(M18:X18)</f>
        <v/>
      </c>
      <c r="AA18" s="13">
        <f>SUMPRODUCT(M18:X18,$M$3:$X$3)*$K18*$L18</f>
        <v/>
      </c>
      <c r="AB18" s="13">
        <f>SUMPRODUCT(M18:X18,$M$4:$X$4)*$K18*$L18</f>
        <v/>
      </c>
      <c r="AC18" s="15">
        <f>SUMPRODUCT(M18:X18,$M$5:$X$5)*$K18*$L18</f>
        <v/>
      </c>
      <c r="AD18" s="15">
        <f>SUMPRODUCT(M18:X18,$M$6:$X$6)*$K18*$L18</f>
        <v/>
      </c>
      <c r="AE18" s="19" t="n"/>
    </row>
    <row r="19">
      <c r="A19" s="9" t="n">
        <v>669093</v>
      </c>
      <c r="B19" s="9" t="inlineStr">
        <is>
          <t>Jeremiah Estrada</t>
        </is>
      </c>
      <c r="C19" s="9" t="inlineStr">
        <is>
          <t>SD</t>
        </is>
      </c>
      <c r="D19" s="9" t="n">
        <v>28</v>
      </c>
      <c r="E19" s="17" t="inlineStr">
        <is>
          <t>R</t>
        </is>
      </c>
      <c r="F19" s="17" t="n"/>
      <c r="G19" s="9" t="n">
        <v>82</v>
      </c>
      <c r="H19" s="9" t="n">
        <v>719</v>
      </c>
      <c r="I19" s="9" t="inlineStr">
        <is>
          <t>Late Inning RP (Setup)</t>
        </is>
      </c>
      <c r="J19" s="17" t="inlineStr">
        <is>
          <t>Opening Day</t>
        </is>
      </c>
      <c r="K19" s="11">
        <f>IFERROR(INDEX(Roles!$B$17:$B$20,MATCH(J19,Roles!$A$17:$A$20,0)),1)</f>
        <v/>
      </c>
      <c r="L19" s="18" t="n">
        <v>1</v>
      </c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3">
        <f>SUMPRODUCT(M19:X19,$M$2:$X$2)*$K19*$L19</f>
        <v/>
      </c>
      <c r="Z19" s="14">
        <f>SUM(M19:X19)</f>
        <v/>
      </c>
      <c r="AA19" s="13">
        <f>SUMPRODUCT(M19:X19,$M$3:$X$3)*$K19*$L19</f>
        <v/>
      </c>
      <c r="AB19" s="13">
        <f>SUMPRODUCT(M19:X19,$M$4:$X$4)*$K19*$L19</f>
        <v/>
      </c>
      <c r="AC19" s="15">
        <f>SUMPRODUCT(M19:X19,$M$5:$X$5)*$K19*$L19</f>
        <v/>
      </c>
      <c r="AD19" s="15">
        <f>SUMPRODUCT(M19:X19,$M$6:$X$6)*$K19*$L19</f>
        <v/>
      </c>
      <c r="AE19" s="19" t="n"/>
    </row>
    <row r="20">
      <c r="A20" s="9" t="n">
        <v>681911</v>
      </c>
      <c r="B20" s="9" t="inlineStr">
        <is>
          <t>Alex Vesia</t>
        </is>
      </c>
      <c r="C20" s="9" t="inlineStr">
        <is>
          <t>LAD</t>
        </is>
      </c>
      <c r="D20" s="9" t="n">
        <v>31</v>
      </c>
      <c r="E20" s="17" t="inlineStr">
        <is>
          <t>L</t>
        </is>
      </c>
      <c r="F20" s="17" t="n"/>
      <c r="G20" s="9" t="n">
        <v>88</v>
      </c>
      <c r="H20" s="9" t="n">
        <v>1032</v>
      </c>
      <c r="I20" s="9" t="inlineStr">
        <is>
          <t>Late Inning RP (Setup)</t>
        </is>
      </c>
      <c r="J20" s="17" t="inlineStr">
        <is>
          <t>Opening Day</t>
        </is>
      </c>
      <c r="K20" s="11">
        <f>IFERROR(INDEX(Roles!$B$17:$B$20,MATCH(J20,Roles!$A$17:$A$20,0)),1)</f>
        <v/>
      </c>
      <c r="L20" s="18" t="n">
        <v>1</v>
      </c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3">
        <f>SUMPRODUCT(M20:X20,$M$2:$X$2)*$K20*$L20</f>
        <v/>
      </c>
      <c r="Z20" s="14">
        <f>SUM(M20:X20)</f>
        <v/>
      </c>
      <c r="AA20" s="13">
        <f>SUMPRODUCT(M20:X20,$M$3:$X$3)*$K20*$L20</f>
        <v/>
      </c>
      <c r="AB20" s="13">
        <f>SUMPRODUCT(M20:X20,$M$4:$X$4)*$K20*$L20</f>
        <v/>
      </c>
      <c r="AC20" s="15">
        <f>SUMPRODUCT(M20:X20,$M$5:$X$5)*$K20*$L20</f>
        <v/>
      </c>
      <c r="AD20" s="15">
        <f>SUMPRODUCT(M20:X20,$M$6:$X$6)*$K20*$L20</f>
        <v/>
      </c>
      <c r="AE20" s="19" t="n"/>
    </row>
    <row r="21">
      <c r="A21" s="9" t="n">
        <v>675911</v>
      </c>
      <c r="B21" s="9" t="inlineStr">
        <is>
          <t>Spencer Strider</t>
        </is>
      </c>
      <c r="C21" s="9" t="inlineStr">
        <is>
          <t>ATL</t>
        </is>
      </c>
      <c r="D21" s="9" t="n">
        <v>28</v>
      </c>
      <c r="E21" s="17" t="inlineStr">
        <is>
          <t>R</t>
        </is>
      </c>
      <c r="F21" s="17" t="n"/>
      <c r="G21" s="9" t="n">
        <v>148</v>
      </c>
      <c r="H21" s="9" t="n">
        <v>2020</v>
      </c>
      <c r="I21" s="9" t="inlineStr">
        <is>
          <t>Mid-Rotation Starter (SP2-3)</t>
        </is>
      </c>
      <c r="J21" s="17" t="inlineStr">
        <is>
          <t>Opening Day</t>
        </is>
      </c>
      <c r="K21" s="11">
        <f>IFERROR(INDEX(Roles!$B$17:$B$20,MATCH(J21,Roles!$A$17:$A$20,0)),1)</f>
        <v/>
      </c>
      <c r="L21" s="18" t="n">
        <v>1</v>
      </c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3">
        <f>SUMPRODUCT(M21:X21,$M$2:$X$2)*$K21*$L21</f>
        <v/>
      </c>
      <c r="Z21" s="14">
        <f>SUM(M21:X21)</f>
        <v/>
      </c>
      <c r="AA21" s="13">
        <f>SUMPRODUCT(M21:X21,$M$3:$X$3)*$K21*$L21</f>
        <v/>
      </c>
      <c r="AB21" s="13">
        <f>SUMPRODUCT(M21:X21,$M$4:$X$4)*$K21*$L21</f>
        <v/>
      </c>
      <c r="AC21" s="15">
        <f>SUMPRODUCT(M21:X21,$M$5:$X$5)*$K21*$L21</f>
        <v/>
      </c>
      <c r="AD21" s="15">
        <f>SUMPRODUCT(M21:X21,$M$6:$X$6)*$K21*$L21</f>
        <v/>
      </c>
      <c r="AE21" s="19" t="n"/>
    </row>
    <row r="22">
      <c r="A22" s="9" t="n">
        <v>676979</v>
      </c>
      <c r="B22" s="9" t="inlineStr">
        <is>
          <t>Garrett Crochet</t>
        </is>
      </c>
      <c r="C22" s="9" t="inlineStr">
        <is>
          <t>BOS</t>
        </is>
      </c>
      <c r="D22" s="9" t="n">
        <v>28</v>
      </c>
      <c r="E22" s="17" t="inlineStr">
        <is>
          <t>L</t>
        </is>
      </c>
      <c r="F22" s="17" t="n"/>
      <c r="G22" s="9" t="n">
        <v>138</v>
      </c>
      <c r="H22" s="9" t="n">
        <v>1611</v>
      </c>
      <c r="I22" s="9" t="inlineStr">
        <is>
          <t>Mid-Rotation Starter (SP2-3)</t>
        </is>
      </c>
      <c r="J22" s="17" t="inlineStr">
        <is>
          <t>Opening Day</t>
        </is>
      </c>
      <c r="K22" s="11">
        <f>IFERROR(INDEX(Roles!$B$17:$B$20,MATCH(J22,Roles!$A$17:$A$20,0)),1)</f>
        <v/>
      </c>
      <c r="L22" s="18" t="n">
        <v>1</v>
      </c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3">
        <f>SUMPRODUCT(M22:X22,$M$2:$X$2)*$K22*$L22</f>
        <v/>
      </c>
      <c r="Z22" s="14">
        <f>SUM(M22:X22)</f>
        <v/>
      </c>
      <c r="AA22" s="13">
        <f>SUMPRODUCT(M22:X22,$M$3:$X$3)*$K22*$L22</f>
        <v/>
      </c>
      <c r="AB22" s="13">
        <f>SUMPRODUCT(M22:X22,$M$4:$X$4)*$K22*$L22</f>
        <v/>
      </c>
      <c r="AC22" s="15">
        <f>SUMPRODUCT(M22:X22,$M$5:$X$5)*$K22*$L22</f>
        <v/>
      </c>
      <c r="AD22" s="15">
        <f>SUMPRODUCT(M22:X22,$M$6:$X$6)*$K22*$L22</f>
        <v/>
      </c>
      <c r="AE22" s="19" t="n"/>
    </row>
    <row r="23">
      <c r="A23" s="9" t="n">
        <v>607192</v>
      </c>
      <c r="B23" s="9" t="inlineStr">
        <is>
          <t>Tyler Glasnow</t>
        </is>
      </c>
      <c r="C23" s="9" t="inlineStr">
        <is>
          <t>LAD</t>
        </is>
      </c>
      <c r="D23" s="9" t="n">
        <v>33</v>
      </c>
      <c r="E23" s="17" t="inlineStr">
        <is>
          <t>R</t>
        </is>
      </c>
      <c r="F23" s="17" t="n"/>
      <c r="G23" s="9" t="n">
        <v>148</v>
      </c>
      <c r="H23" s="9" t="n">
        <v>1547</v>
      </c>
      <c r="I23" s="9" t="inlineStr">
        <is>
          <t>Mid-Rotation Starter (SP2-3)</t>
        </is>
      </c>
      <c r="J23" s="17" t="inlineStr">
        <is>
          <t>Opening Day</t>
        </is>
      </c>
      <c r="K23" s="11">
        <f>IFERROR(INDEX(Roles!$B$17:$B$20,MATCH(J23,Roles!$A$17:$A$20,0)),1)</f>
        <v/>
      </c>
      <c r="L23" s="18" t="n">
        <v>1</v>
      </c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3">
        <f>SUMPRODUCT(M23:X23,$M$2:$X$2)*$K23*$L23</f>
        <v/>
      </c>
      <c r="Z23" s="14">
        <f>SUM(M23:X23)</f>
        <v/>
      </c>
      <c r="AA23" s="13">
        <f>SUMPRODUCT(M23:X23,$M$3:$X$3)*$K23*$L23</f>
        <v/>
      </c>
      <c r="AB23" s="13">
        <f>SUMPRODUCT(M23:X23,$M$4:$X$4)*$K23*$L23</f>
        <v/>
      </c>
      <c r="AC23" s="15">
        <f>SUMPRODUCT(M23:X23,$M$5:$X$5)*$K23*$L23</f>
        <v/>
      </c>
      <c r="AD23" s="15">
        <f>SUMPRODUCT(M23:X23,$M$6:$X$6)*$K23*$L23</f>
        <v/>
      </c>
      <c r="AE23" s="19" t="n"/>
    </row>
    <row r="24">
      <c r="A24" s="9" t="n">
        <v>691799</v>
      </c>
      <c r="B24" s="9" t="inlineStr">
        <is>
          <t>Grant Taylor</t>
        </is>
      </c>
      <c r="C24" s="9" t="inlineStr">
        <is>
          <t>CWS</t>
        </is>
      </c>
      <c r="D24" s="9" t="n">
        <v>25</v>
      </c>
      <c r="E24" s="17" t="inlineStr">
        <is>
          <t>R</t>
        </is>
      </c>
      <c r="F24" s="17" t="n"/>
      <c r="G24" s="9" t="n">
        <v>140</v>
      </c>
      <c r="H24" s="9" t="n">
        <v>297</v>
      </c>
      <c r="I24" s="9" t="inlineStr">
        <is>
          <t>Closer</t>
        </is>
      </c>
      <c r="J24" s="17" t="inlineStr">
        <is>
          <t>Opening Day</t>
        </is>
      </c>
      <c r="K24" s="11">
        <f>IFERROR(INDEX(Roles!$B$17:$B$20,MATCH(J24,Roles!$A$17:$A$20,0)),1)</f>
        <v/>
      </c>
      <c r="L24" s="18" t="n">
        <v>1</v>
      </c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3">
        <f>SUMPRODUCT(M24:X24,$M$2:$X$2)*$K24*$L24</f>
        <v/>
      </c>
      <c r="Z24" s="14">
        <f>SUM(M24:X24)</f>
        <v/>
      </c>
      <c r="AA24" s="13">
        <f>SUMPRODUCT(M24:X24,$M$3:$X$3)*$K24*$L24</f>
        <v/>
      </c>
      <c r="AB24" s="13">
        <f>SUMPRODUCT(M24:X24,$M$4:$X$4)*$K24*$L24</f>
        <v/>
      </c>
      <c r="AC24" s="15">
        <f>SUMPRODUCT(M24:X24,$M$5:$X$5)*$K24*$L24</f>
        <v/>
      </c>
      <c r="AD24" s="15">
        <f>SUMPRODUCT(M24:X24,$M$6:$X$6)*$K24*$L24</f>
        <v/>
      </c>
      <c r="AE24" s="19" t="n"/>
    </row>
    <row r="25">
      <c r="A25" s="9" t="n">
        <v>660271</v>
      </c>
      <c r="B25" s="9" t="inlineStr">
        <is>
          <t>Shohei Ohtani</t>
        </is>
      </c>
      <c r="C25" s="9" t="inlineStr">
        <is>
          <t>LAD</t>
        </is>
      </c>
      <c r="D25" s="9" t="n">
        <v>32</v>
      </c>
      <c r="E25" s="17" t="inlineStr">
        <is>
          <t>R</t>
        </is>
      </c>
      <c r="F25" s="17" t="n"/>
      <c r="G25" s="9" t="n">
        <v>233</v>
      </c>
      <c r="H25" s="9" t="n">
        <v>1612</v>
      </c>
      <c r="I25" s="9" t="inlineStr">
        <is>
          <t>Mid-Rotation Starter (SP2-3)</t>
        </is>
      </c>
      <c r="J25" s="17" t="inlineStr">
        <is>
          <t>Opening Day</t>
        </is>
      </c>
      <c r="K25" s="11">
        <f>IFERROR(INDEX(Roles!$B$17:$B$20,MATCH(J25,Roles!$A$17:$A$20,0)),1)</f>
        <v/>
      </c>
      <c r="L25" s="18" t="n">
        <v>1</v>
      </c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3">
        <f>SUMPRODUCT(M25:X25,$M$2:$X$2)*$K25*$L25</f>
        <v/>
      </c>
      <c r="Z25" s="14">
        <f>SUM(M25:X25)</f>
        <v/>
      </c>
      <c r="AA25" s="13">
        <f>SUMPRODUCT(M25:X25,$M$3:$X$3)*$K25*$L25</f>
        <v/>
      </c>
      <c r="AB25" s="13">
        <f>SUMPRODUCT(M25:X25,$M$4:$X$4)*$K25*$L25</f>
        <v/>
      </c>
      <c r="AC25" s="15">
        <f>SUMPRODUCT(M25:X25,$M$5:$X$5)*$K25*$L25</f>
        <v/>
      </c>
      <c r="AD25" s="15">
        <f>SUMPRODUCT(M25:X25,$M$6:$X$6)*$K25*$L25</f>
        <v/>
      </c>
      <c r="AE25" s="19" t="n"/>
    </row>
    <row r="26">
      <c r="A26" s="9" t="n">
        <v>519242</v>
      </c>
      <c r="B26" s="9" t="inlineStr">
        <is>
          <t>Chris Sale</t>
        </is>
      </c>
      <c r="C26" s="9" t="inlineStr">
        <is>
          <t>ATL</t>
        </is>
      </c>
      <c r="D26" s="9" t="n">
        <v>38</v>
      </c>
      <c r="E26" s="17" t="inlineStr">
        <is>
          <t>L</t>
        </is>
      </c>
      <c r="F26" s="17" t="n"/>
      <c r="G26" s="9" t="n">
        <v>294</v>
      </c>
      <c r="H26" s="9" t="n">
        <v>1956</v>
      </c>
      <c r="I26" s="9" t="inlineStr">
        <is>
          <t>Ace (SP1)</t>
        </is>
      </c>
      <c r="J26" s="17" t="inlineStr">
        <is>
          <t>Opening Day</t>
        </is>
      </c>
      <c r="K26" s="11">
        <f>IFERROR(INDEX(Roles!$B$17:$B$20,MATCH(J26,Roles!$A$17:$A$20,0)),1)</f>
        <v/>
      </c>
      <c r="L26" s="18" t="n">
        <v>1</v>
      </c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3">
        <f>SUMPRODUCT(M26:X26,$M$2:$X$2)*$K26*$L26</f>
        <v/>
      </c>
      <c r="Z26" s="14">
        <f>SUM(M26:X26)</f>
        <v/>
      </c>
      <c r="AA26" s="13">
        <f>SUMPRODUCT(M26:X26,$M$3:$X$3)*$K26*$L26</f>
        <v/>
      </c>
      <c r="AB26" s="13">
        <f>SUMPRODUCT(M26:X26,$M$4:$X$4)*$K26*$L26</f>
        <v/>
      </c>
      <c r="AC26" s="15">
        <f>SUMPRODUCT(M26:X26,$M$5:$X$5)*$K26*$L26</f>
        <v/>
      </c>
      <c r="AD26" s="15">
        <f>SUMPRODUCT(M26:X26,$M$6:$X$6)*$K26*$L26</f>
        <v/>
      </c>
      <c r="AE26" s="19" t="n"/>
    </row>
    <row r="27">
      <c r="A27" s="9" t="n">
        <v>656546</v>
      </c>
      <c r="B27" s="9" t="inlineStr">
        <is>
          <t>Jeff Hoffman</t>
        </is>
      </c>
      <c r="C27" s="9" t="inlineStr">
        <is>
          <t>TOR</t>
        </is>
      </c>
      <c r="D27" s="9" t="n">
        <v>34</v>
      </c>
      <c r="E27" s="17" t="inlineStr">
        <is>
          <t>R</t>
        </is>
      </c>
      <c r="F27" s="17" t="n"/>
      <c r="G27" s="9" t="n">
        <v>133</v>
      </c>
      <c r="H27" s="9" t="n">
        <v>1090</v>
      </c>
      <c r="I27" s="9" t="inlineStr">
        <is>
          <t>Late Inning RP (Setup)</t>
        </is>
      </c>
      <c r="J27" s="17" t="inlineStr">
        <is>
          <t>Opening Day</t>
        </is>
      </c>
      <c r="K27" s="11">
        <f>IFERROR(INDEX(Roles!$B$17:$B$20,MATCH(J27,Roles!$A$17:$A$20,0)),1)</f>
        <v/>
      </c>
      <c r="L27" s="18" t="n">
        <v>1</v>
      </c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3">
        <f>SUMPRODUCT(M27:X27,$M$2:$X$2)*$K27*$L27</f>
        <v/>
      </c>
      <c r="Z27" s="14">
        <f>SUM(M27:X27)</f>
        <v/>
      </c>
      <c r="AA27" s="13">
        <f>SUMPRODUCT(M27:X27,$M$3:$X$3)*$K27*$L27</f>
        <v/>
      </c>
      <c r="AB27" s="13">
        <f>SUMPRODUCT(M27:X27,$M$4:$X$4)*$K27*$L27</f>
        <v/>
      </c>
      <c r="AC27" s="15">
        <f>SUMPRODUCT(M27:X27,$M$5:$X$5)*$K27*$L27</f>
        <v/>
      </c>
      <c r="AD27" s="15">
        <f>SUMPRODUCT(M27:X27,$M$6:$X$6)*$K27*$L27</f>
        <v/>
      </c>
      <c r="AE27" s="19" t="n"/>
    </row>
    <row r="28">
      <c r="A28" s="9" t="n">
        <v>661395</v>
      </c>
      <c r="B28" s="9" t="inlineStr">
        <is>
          <t>Jhoan Duran</t>
        </is>
      </c>
      <c r="C28" s="9" t="inlineStr">
        <is>
          <t>PHI</t>
        </is>
      </c>
      <c r="D28" s="9" t="n">
        <v>29</v>
      </c>
      <c r="E28" s="17" t="inlineStr">
        <is>
          <t>R</t>
        </is>
      </c>
      <c r="F28" s="17" t="n"/>
      <c r="G28" s="9" t="n">
        <v>84</v>
      </c>
      <c r="H28" s="9" t="n">
        <v>1120</v>
      </c>
      <c r="I28" s="9" t="inlineStr">
        <is>
          <t>Closer</t>
        </is>
      </c>
      <c r="J28" s="17" t="inlineStr">
        <is>
          <t>Opening Day</t>
        </is>
      </c>
      <c r="K28" s="11">
        <f>IFERROR(INDEX(Roles!$B$17:$B$20,MATCH(J28,Roles!$A$17:$A$20,0)),1)</f>
        <v/>
      </c>
      <c r="L28" s="18" t="n">
        <v>1</v>
      </c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3">
        <f>SUMPRODUCT(M28:X28,$M$2:$X$2)*$K28*$L28</f>
        <v/>
      </c>
      <c r="Z28" s="14">
        <f>SUM(M28:X28)</f>
        <v/>
      </c>
      <c r="AA28" s="13">
        <f>SUMPRODUCT(M28:X28,$M$3:$X$3)*$K28*$L28</f>
        <v/>
      </c>
      <c r="AB28" s="13">
        <f>SUMPRODUCT(M28:X28,$M$4:$X$4)*$K28*$L28</f>
        <v/>
      </c>
      <c r="AC28" s="15">
        <f>SUMPRODUCT(M28:X28,$M$5:$X$5)*$K28*$L28</f>
        <v/>
      </c>
      <c r="AD28" s="15">
        <f>SUMPRODUCT(M28:X28,$M$6:$X$6)*$K28*$L28</f>
        <v/>
      </c>
      <c r="AE28" s="19" t="n"/>
    </row>
    <row r="29">
      <c r="A29" s="9" t="n">
        <v>594798</v>
      </c>
      <c r="B29" s="9" t="inlineStr">
        <is>
          <t>Jacob deGrom</t>
        </is>
      </c>
      <c r="C29" s="9" t="inlineStr">
        <is>
          <t>TEX</t>
        </is>
      </c>
      <c r="D29" s="9" t="n">
        <v>39</v>
      </c>
      <c r="E29" s="17" t="inlineStr">
        <is>
          <t>R</t>
        </is>
      </c>
      <c r="F29" s="17" t="n"/>
      <c r="G29" s="9" t="n">
        <v>282</v>
      </c>
      <c r="H29" s="9" t="n">
        <v>1349</v>
      </c>
      <c r="I29" s="9" t="inlineStr">
        <is>
          <t>Mid-Rotation Starter (SP2-3)</t>
        </is>
      </c>
      <c r="J29" s="17" t="inlineStr">
        <is>
          <t>Opening Day</t>
        </is>
      </c>
      <c r="K29" s="11">
        <f>IFERROR(INDEX(Roles!$B$17:$B$20,MATCH(J29,Roles!$A$17:$A$20,0)),1)</f>
        <v/>
      </c>
      <c r="L29" s="18" t="n">
        <v>1</v>
      </c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3">
        <f>SUMPRODUCT(M29:X29,$M$2:$X$2)*$K29*$L29</f>
        <v/>
      </c>
      <c r="Z29" s="14">
        <f>SUM(M29:X29)</f>
        <v/>
      </c>
      <c r="AA29" s="13">
        <f>SUMPRODUCT(M29:X29,$M$3:$X$3)*$K29*$L29</f>
        <v/>
      </c>
      <c r="AB29" s="13">
        <f>SUMPRODUCT(M29:X29,$M$4:$X$4)*$K29*$L29</f>
        <v/>
      </c>
      <c r="AC29" s="15">
        <f>SUMPRODUCT(M29:X29,$M$5:$X$5)*$K29*$L29</f>
        <v/>
      </c>
      <c r="AD29" s="15">
        <f>SUMPRODUCT(M29:X29,$M$6:$X$6)*$K29*$L29</f>
        <v/>
      </c>
      <c r="AE29" s="19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7" t="inlineStr">
        <is>
          <t>R</t>
        </is>
      </c>
      <c r="F30" s="17" t="n"/>
      <c r="G30" s="9" t="n">
        <v>280</v>
      </c>
      <c r="H30" s="9" t="n">
        <v>3295</v>
      </c>
      <c r="I30" s="9" t="inlineStr">
        <is>
          <t>Mid-Rotation Starter (SP2-3)</t>
        </is>
      </c>
      <c r="J30" s="17" t="inlineStr">
        <is>
          <t>Opening Day</t>
        </is>
      </c>
      <c r="K30" s="11">
        <f>IFERROR(INDEX(Roles!$B$17:$B$20,MATCH(J30,Roles!$A$17:$A$20,0)),1)</f>
        <v/>
      </c>
      <c r="L30" s="18" t="n">
        <v>1</v>
      </c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3">
        <f>SUMPRODUCT(M30:X30,$M$2:$X$2)*$K30*$L30</f>
        <v/>
      </c>
      <c r="Z30" s="14">
        <f>SUM(M30:X30)</f>
        <v/>
      </c>
      <c r="AA30" s="13">
        <f>SUMPRODUCT(M30:X30,$M$3:$X$3)*$K30*$L30</f>
        <v/>
      </c>
      <c r="AB30" s="13">
        <f>SUMPRODUCT(M30:X30,$M$4:$X$4)*$K30*$L30</f>
        <v/>
      </c>
      <c r="AC30" s="15">
        <f>SUMPRODUCT(M30:X30,$M$5:$X$5)*$K30*$L30</f>
        <v/>
      </c>
      <c r="AD30" s="15">
        <f>SUMPRODUCT(M30:X30,$M$6:$X$6)*$K30*$L30</f>
        <v/>
      </c>
      <c r="AE30" s="19" t="n"/>
    </row>
    <row r="31">
      <c r="A31" s="9" t="n">
        <v>694973</v>
      </c>
      <c r="B31" s="9" t="inlineStr">
        <is>
          <t>Paul Skenes</t>
        </is>
      </c>
      <c r="C31" s="9" t="inlineStr">
        <is>
          <t>PIT</t>
        </is>
      </c>
      <c r="D31" s="9" t="n">
        <v>25</v>
      </c>
      <c r="E31" s="17" t="inlineStr">
        <is>
          <t>R</t>
        </is>
      </c>
      <c r="F31" s="17" t="n"/>
      <c r="G31" s="9" t="n">
        <v>303</v>
      </c>
      <c r="H31" s="9" t="n">
        <v>1550</v>
      </c>
      <c r="I31" s="9" t="inlineStr">
        <is>
          <t>Mid-Rotation Starter (SP2-3)</t>
        </is>
      </c>
      <c r="J31" s="17" t="inlineStr">
        <is>
          <t>Opening Day</t>
        </is>
      </c>
      <c r="K31" s="11">
        <f>IFERROR(INDEX(Roles!$B$17:$B$20,MATCH(J31,Roles!$A$17:$A$20,0)),1)</f>
        <v/>
      </c>
      <c r="L31" s="18" t="n">
        <v>1</v>
      </c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3">
        <f>SUMPRODUCT(M31:X31,$M$2:$X$2)*$K31*$L31</f>
        <v/>
      </c>
      <c r="Z31" s="14">
        <f>SUM(M31:X31)</f>
        <v/>
      </c>
      <c r="AA31" s="13">
        <f>SUMPRODUCT(M31:X31,$M$3:$X$3)*$K31*$L31</f>
        <v/>
      </c>
      <c r="AB31" s="13">
        <f>SUMPRODUCT(M31:X31,$M$4:$X$4)*$K31*$L31</f>
        <v/>
      </c>
      <c r="AC31" s="15">
        <f>SUMPRODUCT(M31:X31,$M$5:$X$5)*$K31*$L31</f>
        <v/>
      </c>
      <c r="AD31" s="15">
        <f>SUMPRODUCT(M31:X31,$M$6:$X$6)*$K31*$L31</f>
        <v/>
      </c>
      <c r="AE31" s="19" t="n"/>
    </row>
    <row r="32">
      <c r="A32" s="9" t="n">
        <v>669373</v>
      </c>
      <c r="B32" s="9" t="inlineStr">
        <is>
          <t>Tarik Skubal</t>
        </is>
      </c>
      <c r="C32" s="9" t="inlineStr">
        <is>
          <t>DET</t>
        </is>
      </c>
      <c r="D32" s="9" t="n">
        <v>30</v>
      </c>
      <c r="E32" s="17" t="inlineStr">
        <is>
          <t>L</t>
        </is>
      </c>
      <c r="F32" s="17" t="n"/>
      <c r="G32" s="9" t="n">
        <v>166</v>
      </c>
      <c r="H32" s="9" t="n">
        <v>2454</v>
      </c>
      <c r="I32" s="9" t="inlineStr">
        <is>
          <t>Ace (SP1)</t>
        </is>
      </c>
      <c r="J32" s="17" t="inlineStr">
        <is>
          <t>Opening Day</t>
        </is>
      </c>
      <c r="K32" s="11">
        <f>IFERROR(INDEX(Roles!$B$17:$B$20,MATCH(J32,Roles!$A$17:$A$20,0)),1)</f>
        <v/>
      </c>
      <c r="L32" s="18" t="n">
        <v>1</v>
      </c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3">
        <f>SUMPRODUCT(M32:X32,$M$2:$X$2)*$K32*$L32</f>
        <v/>
      </c>
      <c r="Z32" s="14">
        <f>SUM(M32:X32)</f>
        <v/>
      </c>
      <c r="AA32" s="13">
        <f>SUMPRODUCT(M32:X32,$M$3:$X$3)*$K32*$L32</f>
        <v/>
      </c>
      <c r="AB32" s="13">
        <f>SUMPRODUCT(M32:X32,$M$4:$X$4)*$K32*$L32</f>
        <v/>
      </c>
      <c r="AC32" s="15">
        <f>SUMPRODUCT(M32:X32,$M$5:$X$5)*$K32*$L32</f>
        <v/>
      </c>
      <c r="AD32" s="15">
        <f>SUMPRODUCT(M32:X32,$M$6:$X$6)*$K32*$L32</f>
        <v/>
      </c>
      <c r="AE32" s="19" t="n"/>
    </row>
    <row r="33">
      <c r="A33" s="9" t="n">
        <v>489446</v>
      </c>
      <c r="B33" s="9" t="inlineStr">
        <is>
          <t>Kirby Yates</t>
        </is>
      </c>
      <c r="C33" s="9" t="inlineStr">
        <is>
          <t>LAA</t>
        </is>
      </c>
      <c r="D33" s="9" t="n">
        <v>40</v>
      </c>
      <c r="E33" s="17" t="inlineStr">
        <is>
          <t>R</t>
        </is>
      </c>
      <c r="F33" s="17" t="n"/>
      <c r="G33" s="9" t="n">
        <v>50</v>
      </c>
      <c r="H33" s="9" t="n">
        <v>752</v>
      </c>
      <c r="I33" s="9" t="inlineStr">
        <is>
          <t>Late Inning RP (Setup)</t>
        </is>
      </c>
      <c r="J33" s="17" t="inlineStr">
        <is>
          <t>Opening Day</t>
        </is>
      </c>
      <c r="K33" s="11">
        <f>IFERROR(INDEX(Roles!$B$17:$B$20,MATCH(J33,Roles!$A$17:$A$20,0)),1)</f>
        <v/>
      </c>
      <c r="L33" s="18" t="n">
        <v>1</v>
      </c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3">
        <f>SUMPRODUCT(M33:X33,$M$2:$X$2)*$K33*$L33</f>
        <v/>
      </c>
      <c r="Z33" s="14">
        <f>SUM(M33:X33)</f>
        <v/>
      </c>
      <c r="AA33" s="13">
        <f>SUMPRODUCT(M33:X33,$M$3:$X$3)*$K33*$L33</f>
        <v/>
      </c>
      <c r="AB33" s="13">
        <f>SUMPRODUCT(M33:X33,$M$4:$X$4)*$K33*$L33</f>
        <v/>
      </c>
      <c r="AC33" s="15">
        <f>SUMPRODUCT(M33:X33,$M$5:$X$5)*$K33*$L33</f>
        <v/>
      </c>
      <c r="AD33" s="15">
        <f>SUMPRODUCT(M33:X33,$M$6:$X$6)*$K33*$L33</f>
        <v/>
      </c>
      <c r="AE33" s="19" t="n"/>
    </row>
    <row r="34">
      <c r="A34" s="9" t="n">
        <v>664854</v>
      </c>
      <c r="B34" s="9" t="inlineStr">
        <is>
          <t>Ryan Helsley</t>
        </is>
      </c>
      <c r="C34" s="9" t="inlineStr">
        <is>
          <t>BAL</t>
        </is>
      </c>
      <c r="D34" s="9" t="n">
        <v>32</v>
      </c>
      <c r="E34" s="17" t="inlineStr">
        <is>
          <t>R</t>
        </is>
      </c>
      <c r="F34" s="17" t="n"/>
      <c r="G34" s="9" t="n">
        <v>46</v>
      </c>
      <c r="H34" s="9" t="n">
        <v>949</v>
      </c>
      <c r="I34" s="9" t="inlineStr">
        <is>
          <t>Late Inning RP (Setup)</t>
        </is>
      </c>
      <c r="J34" s="17" t="inlineStr">
        <is>
          <t>Opening Day</t>
        </is>
      </c>
      <c r="K34" s="11">
        <f>IFERROR(INDEX(Roles!$B$17:$B$20,MATCH(J34,Roles!$A$17:$A$20,0)),1)</f>
        <v/>
      </c>
      <c r="L34" s="18" t="n">
        <v>1</v>
      </c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3">
        <f>SUMPRODUCT(M34:X34,$M$2:$X$2)*$K34*$L34</f>
        <v/>
      </c>
      <c r="Z34" s="14">
        <f>SUM(M34:X34)</f>
        <v/>
      </c>
      <c r="AA34" s="13">
        <f>SUMPRODUCT(M34:X34,$M$3:$X$3)*$K34*$L34</f>
        <v/>
      </c>
      <c r="AB34" s="13">
        <f>SUMPRODUCT(M34:X34,$M$4:$X$4)*$K34*$L34</f>
        <v/>
      </c>
      <c r="AC34" s="15">
        <f>SUMPRODUCT(M34:X34,$M$5:$X$5)*$K34*$L34</f>
        <v/>
      </c>
      <c r="AD34" s="15">
        <f>SUMPRODUCT(M34:X34,$M$6:$X$6)*$K34*$L34</f>
        <v/>
      </c>
      <c r="AE34" s="19" t="n"/>
    </row>
    <row r="35">
      <c r="A35" s="9" t="n">
        <v>695505</v>
      </c>
      <c r="B35" s="9" t="inlineStr">
        <is>
          <t>Chase Burns</t>
        </is>
      </c>
      <c r="C35" s="9" t="inlineStr">
        <is>
          <t>CIN</t>
        </is>
      </c>
      <c r="D35" s="9" t="n">
        <v>24</v>
      </c>
      <c r="E35" s="17" t="inlineStr">
        <is>
          <t>R</t>
        </is>
      </c>
      <c r="F35" s="17" t="n"/>
      <c r="G35" s="9" t="n">
        <v>297</v>
      </c>
      <c r="H35" s="9" t="n">
        <v>485</v>
      </c>
      <c r="I35" s="9" t="inlineStr">
        <is>
          <t>Mid-Rotation Starter (SP2-3)</t>
        </is>
      </c>
      <c r="J35" s="17" t="inlineStr">
        <is>
          <t>Opening Day</t>
        </is>
      </c>
      <c r="K35" s="11">
        <f>IFERROR(INDEX(Roles!$B$17:$B$20,MATCH(J35,Roles!$A$17:$A$20,0)),1)</f>
        <v/>
      </c>
      <c r="L35" s="18" t="n">
        <v>1</v>
      </c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3">
        <f>SUMPRODUCT(M35:X35,$M$2:$X$2)*$K35*$L35</f>
        <v/>
      </c>
      <c r="Z35" s="14">
        <f>SUM(M35:X35)</f>
        <v/>
      </c>
      <c r="AA35" s="13">
        <f>SUMPRODUCT(M35:X35,$M$3:$X$3)*$K35*$L35</f>
        <v/>
      </c>
      <c r="AB35" s="13">
        <f>SUMPRODUCT(M35:X35,$M$4:$X$4)*$K35*$L35</f>
        <v/>
      </c>
      <c r="AC35" s="15">
        <f>SUMPRODUCT(M35:X35,$M$5:$X$5)*$K35*$L35</f>
        <v/>
      </c>
      <c r="AD35" s="15">
        <f>SUMPRODUCT(M35:X35,$M$6:$X$6)*$K35*$L35</f>
        <v/>
      </c>
      <c r="AE35" s="19" t="n"/>
    </row>
    <row r="36">
      <c r="A36" s="9" t="n">
        <v>670955</v>
      </c>
      <c r="B36" s="9" t="inlineStr">
        <is>
          <t>Edwin Uceta</t>
        </is>
      </c>
      <c r="C36" s="9" t="inlineStr">
        <is>
          <t>TB</t>
        </is>
      </c>
      <c r="D36" s="9" t="n">
        <v>29</v>
      </c>
      <c r="E36" s="17" t="inlineStr">
        <is>
          <t>R</t>
        </is>
      </c>
      <c r="F36" s="17" t="n"/>
      <c r="G36" s="9" t="n">
        <v>321</v>
      </c>
      <c r="H36" s="9" t="n">
        <v>564</v>
      </c>
      <c r="I36" s="9" t="inlineStr">
        <is>
          <t>Late Inning RP (Setup)</t>
        </is>
      </c>
      <c r="J36" s="17" t="inlineStr">
        <is>
          <t>Opening Day</t>
        </is>
      </c>
      <c r="K36" s="11">
        <f>IFERROR(INDEX(Roles!$B$17:$B$20,MATCH(J36,Roles!$A$17:$A$20,0)),1)</f>
        <v/>
      </c>
      <c r="L36" s="18" t="n">
        <v>1</v>
      </c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3">
        <f>SUMPRODUCT(M36:X36,$M$2:$X$2)*$K36*$L36</f>
        <v/>
      </c>
      <c r="Z36" s="14">
        <f>SUM(M36:X36)</f>
        <v/>
      </c>
      <c r="AA36" s="13">
        <f>SUMPRODUCT(M36:X36,$M$3:$X$3)*$K36*$L36</f>
        <v/>
      </c>
      <c r="AB36" s="13">
        <f>SUMPRODUCT(M36:X36,$M$4:$X$4)*$K36*$L36</f>
        <v/>
      </c>
      <c r="AC36" s="15">
        <f>SUMPRODUCT(M36:X36,$M$5:$X$5)*$K36*$L36</f>
        <v/>
      </c>
      <c r="AD36" s="15">
        <f>SUMPRODUCT(M36:X36,$M$6:$X$6)*$K36*$L36</f>
        <v/>
      </c>
      <c r="AE36" s="19" t="n"/>
    </row>
    <row r="37">
      <c r="A37" s="9" t="n">
        <v>668881</v>
      </c>
      <c r="B37" s="9" t="inlineStr">
        <is>
          <t>Hunter Greene</t>
        </is>
      </c>
      <c r="C37" s="9" t="inlineStr">
        <is>
          <t>CIN</t>
        </is>
      </c>
      <c r="D37" s="9" t="n">
        <v>27</v>
      </c>
      <c r="E37" s="17" t="inlineStr">
        <is>
          <t>R</t>
        </is>
      </c>
      <c r="F37" s="17" t="n"/>
      <c r="G37" s="9" t="n">
        <v>420</v>
      </c>
      <c r="H37" s="9" t="n">
        <v>2060</v>
      </c>
      <c r="I37" s="9" t="inlineStr">
        <is>
          <t>Mid-Rotation Starter (SP2-3)</t>
        </is>
      </c>
      <c r="J37" s="17" t="inlineStr">
        <is>
          <t>Opening Day</t>
        </is>
      </c>
      <c r="K37" s="11">
        <f>IFERROR(INDEX(Roles!$B$17:$B$20,MATCH(J37,Roles!$A$17:$A$20,0)),1)</f>
        <v/>
      </c>
      <c r="L37" s="18" t="n">
        <v>1</v>
      </c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3">
        <f>SUMPRODUCT(M37:X37,$M$2:$X$2)*$K37*$L37</f>
        <v/>
      </c>
      <c r="Z37" s="14">
        <f>SUM(M37:X37)</f>
        <v/>
      </c>
      <c r="AA37" s="13">
        <f>SUMPRODUCT(M37:X37,$M$3:$X$3)*$K37*$L37</f>
        <v/>
      </c>
      <c r="AB37" s="13">
        <f>SUMPRODUCT(M37:X37,$M$4:$X$4)*$K37*$L37</f>
        <v/>
      </c>
      <c r="AC37" s="15">
        <f>SUMPRODUCT(M37:X37,$M$5:$X$5)*$K37*$L37</f>
        <v/>
      </c>
      <c r="AD37" s="15">
        <f>SUMPRODUCT(M37:X37,$M$6:$X$6)*$K37*$L37</f>
        <v/>
      </c>
      <c r="AE37" s="19" t="n"/>
    </row>
    <row r="38">
      <c r="A38" s="9" t="n">
        <v>502085</v>
      </c>
      <c r="B38" s="9" t="inlineStr">
        <is>
          <t>David Robertson</t>
        </is>
      </c>
      <c r="C38" s="9" t="inlineStr">
        <is>
          <t>PHI</t>
        </is>
      </c>
      <c r="D38" s="9" t="n">
        <v>42</v>
      </c>
      <c r="E38" s="17" t="inlineStr">
        <is>
          <t>R</t>
        </is>
      </c>
      <c r="F38" s="17" t="n"/>
      <c r="G38" s="9" t="n">
        <v>78</v>
      </c>
      <c r="H38" s="9" t="n">
        <v>907</v>
      </c>
      <c r="I38" s="9" t="inlineStr">
        <is>
          <t>Late Inning RP (Setup)</t>
        </is>
      </c>
      <c r="J38" s="17" t="inlineStr">
        <is>
          <t>Opening Day</t>
        </is>
      </c>
      <c r="K38" s="11">
        <f>IFERROR(INDEX(Roles!$B$17:$B$20,MATCH(J38,Roles!$A$17:$A$20,0)),1)</f>
        <v/>
      </c>
      <c r="L38" s="18" t="n">
        <v>1</v>
      </c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3">
        <f>SUMPRODUCT(M38:X38,$M$2:$X$2)*$K38*$L38</f>
        <v/>
      </c>
      <c r="Z38" s="14">
        <f>SUM(M38:X38)</f>
        <v/>
      </c>
      <c r="AA38" s="13">
        <f>SUMPRODUCT(M38:X38,$M$3:$X$3)*$K38*$L38</f>
        <v/>
      </c>
      <c r="AB38" s="13">
        <f>SUMPRODUCT(M38:X38,$M$4:$X$4)*$K38*$L38</f>
        <v/>
      </c>
      <c r="AC38" s="15">
        <f>SUMPRODUCT(M38:X38,$M$5:$X$5)*$K38*$L38</f>
        <v/>
      </c>
      <c r="AD38" s="15">
        <f>SUMPRODUCT(M38:X38,$M$6:$X$6)*$K38*$L38</f>
        <v/>
      </c>
      <c r="AE38" s="19" t="n"/>
    </row>
    <row r="39">
      <c r="A39" s="9" t="n">
        <v>666142</v>
      </c>
      <c r="B39" s="9" t="inlineStr">
        <is>
          <t>Cole Ragans</t>
        </is>
      </c>
      <c r="C39" s="9" t="inlineStr">
        <is>
          <t>KC</t>
        </is>
      </c>
      <c r="D39" s="9" t="n">
        <v>29</v>
      </c>
      <c r="E39" s="17" t="inlineStr">
        <is>
          <t>L</t>
        </is>
      </c>
      <c r="F39" s="17" t="n"/>
      <c r="G39" s="9" t="n">
        <v>151</v>
      </c>
      <c r="H39" s="9" t="n">
        <v>1736</v>
      </c>
      <c r="I39" s="9" t="inlineStr">
        <is>
          <t>Mid-Rotation Starter (SP2-3)</t>
        </is>
      </c>
      <c r="J39" s="17" t="inlineStr">
        <is>
          <t>Opening Day</t>
        </is>
      </c>
      <c r="K39" s="11">
        <f>IFERROR(INDEX(Roles!$B$17:$B$20,MATCH(J39,Roles!$A$17:$A$20,0)),1)</f>
        <v/>
      </c>
      <c r="L39" s="18" t="n">
        <v>1</v>
      </c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3">
        <f>SUMPRODUCT(M39:X39,$M$2:$X$2)*$K39*$L39</f>
        <v/>
      </c>
      <c r="Z39" s="14">
        <f>SUM(M39:X39)</f>
        <v/>
      </c>
      <c r="AA39" s="13">
        <f>SUMPRODUCT(M39:X39,$M$3:$X$3)*$K39*$L39</f>
        <v/>
      </c>
      <c r="AB39" s="13">
        <f>SUMPRODUCT(M39:X39,$M$4:$X$4)*$K39*$L39</f>
        <v/>
      </c>
      <c r="AC39" s="15">
        <f>SUMPRODUCT(M39:X39,$M$5:$X$5)*$K39*$L39</f>
        <v/>
      </c>
      <c r="AD39" s="15">
        <f>SUMPRODUCT(M39:X39,$M$6:$X$6)*$K39*$L39</f>
        <v/>
      </c>
      <c r="AE39" s="19" t="n"/>
    </row>
    <row r="40">
      <c r="A40" s="9" t="n">
        <v>518886</v>
      </c>
      <c r="B40" s="9" t="inlineStr">
        <is>
          <t>Craig Kimbrel</t>
        </is>
      </c>
      <c r="C40" s="9" t="inlineStr">
        <is>
          <t>TB</t>
        </is>
      </c>
      <c r="D40" s="9" t="n">
        <v>39</v>
      </c>
      <c r="E40" s="17" t="inlineStr">
        <is>
          <t>R</t>
        </is>
      </c>
      <c r="F40" s="17" t="n"/>
      <c r="G40" s="9" t="n">
        <v>68</v>
      </c>
      <c r="H40" s="9" t="n">
        <v>887</v>
      </c>
      <c r="I40" s="9" t="inlineStr">
        <is>
          <t>Middle Relief</t>
        </is>
      </c>
      <c r="J40" s="17" t="inlineStr">
        <is>
          <t>Opening Day</t>
        </is>
      </c>
      <c r="K40" s="11">
        <f>IFERROR(INDEX(Roles!$B$17:$B$20,MATCH(J40,Roles!$A$17:$A$20,0)),1)</f>
        <v/>
      </c>
      <c r="L40" s="18" t="n">
        <v>1</v>
      </c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3">
        <f>SUMPRODUCT(M40:X40,$M$2:$X$2)*$K40*$L40</f>
        <v/>
      </c>
      <c r="Z40" s="14">
        <f>SUM(M40:X40)</f>
        <v/>
      </c>
      <c r="AA40" s="13">
        <f>SUMPRODUCT(M40:X40,$M$3:$X$3)*$K40*$L40</f>
        <v/>
      </c>
      <c r="AB40" s="13">
        <f>SUMPRODUCT(M40:X40,$M$4:$X$4)*$K40*$L40</f>
        <v/>
      </c>
      <c r="AC40" s="15">
        <f>SUMPRODUCT(M40:X40,$M$5:$X$5)*$K40*$L40</f>
        <v/>
      </c>
      <c r="AD40" s="15">
        <f>SUMPRODUCT(M40:X40,$M$6:$X$6)*$K40*$L40</f>
        <v/>
      </c>
      <c r="AE40" s="19" t="n"/>
    </row>
    <row r="41">
      <c r="A41" s="9" t="n">
        <v>664076</v>
      </c>
      <c r="B41" s="9" t="inlineStr">
        <is>
          <t>Garrett Cleavinger</t>
        </is>
      </c>
      <c r="C41" s="9" t="inlineStr">
        <is>
          <t>TB</t>
        </is>
      </c>
      <c r="D41" s="9" t="n">
        <v>33</v>
      </c>
      <c r="E41" s="17" t="inlineStr">
        <is>
          <t>L</t>
        </is>
      </c>
      <c r="F41" s="17" t="n"/>
      <c r="G41" s="9" t="n">
        <v>63</v>
      </c>
      <c r="H41" s="9" t="n">
        <v>712</v>
      </c>
      <c r="I41" s="9" t="inlineStr">
        <is>
          <t>Closer</t>
        </is>
      </c>
      <c r="J41" s="17" t="inlineStr">
        <is>
          <t>Opening Day</t>
        </is>
      </c>
      <c r="K41" s="11">
        <f>IFERROR(INDEX(Roles!$B$17:$B$20,MATCH(J41,Roles!$A$17:$A$20,0)),1)</f>
        <v/>
      </c>
      <c r="L41" s="18" t="n">
        <v>1</v>
      </c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3">
        <f>SUMPRODUCT(M41:X41,$M$2:$X$2)*$K41*$L41</f>
        <v/>
      </c>
      <c r="Z41" s="14">
        <f>SUM(M41:X41)</f>
        <v/>
      </c>
      <c r="AA41" s="13">
        <f>SUMPRODUCT(M41:X41,$M$3:$X$3)*$K41*$L41</f>
        <v/>
      </c>
      <c r="AB41" s="13">
        <f>SUMPRODUCT(M41:X41,$M$4:$X$4)*$K41*$L41</f>
        <v/>
      </c>
      <c r="AC41" s="15">
        <f>SUMPRODUCT(M41:X41,$M$5:$X$5)*$K41*$L41</f>
        <v/>
      </c>
      <c r="AD41" s="15">
        <f>SUMPRODUCT(M41:X41,$M$6:$X$6)*$K41*$L41</f>
        <v/>
      </c>
      <c r="AE41" s="19" t="n"/>
    </row>
    <row r="42">
      <c r="A42" s="9" t="n">
        <v>656945</v>
      </c>
      <c r="B42" s="9" t="inlineStr">
        <is>
          <t>Tanner Scott</t>
        </is>
      </c>
      <c r="C42" s="9" t="inlineStr">
        <is>
          <t>LAD</t>
        </is>
      </c>
      <c r="D42" s="9" t="n">
        <v>32</v>
      </c>
      <c r="E42" s="17" t="inlineStr">
        <is>
          <t>L</t>
        </is>
      </c>
      <c r="F42" s="17" t="n"/>
      <c r="G42" s="9" t="n">
        <v>104</v>
      </c>
      <c r="H42" s="9" t="n">
        <v>1232</v>
      </c>
      <c r="I42" s="9" t="inlineStr">
        <is>
          <t>Middle Relief</t>
        </is>
      </c>
      <c r="J42" s="17" t="inlineStr">
        <is>
          <t>Opening Day</t>
        </is>
      </c>
      <c r="K42" s="11">
        <f>IFERROR(INDEX(Roles!$B$17:$B$20,MATCH(J42,Roles!$A$17:$A$20,0)),1)</f>
        <v/>
      </c>
      <c r="L42" s="18" t="n">
        <v>1</v>
      </c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3">
        <f>SUMPRODUCT(M42:X42,$M$2:$X$2)*$K42*$L42</f>
        <v/>
      </c>
      <c r="Z42" s="14">
        <f>SUM(M42:X42)</f>
        <v/>
      </c>
      <c r="AA42" s="13">
        <f>SUMPRODUCT(M42:X42,$M$3:$X$3)*$K42*$L42</f>
        <v/>
      </c>
      <c r="AB42" s="13">
        <f>SUMPRODUCT(M42:X42,$M$4:$X$4)*$K42*$L42</f>
        <v/>
      </c>
      <c r="AC42" s="15">
        <f>SUMPRODUCT(M42:X42,$M$5:$X$5)*$K42*$L42</f>
        <v/>
      </c>
      <c r="AD42" s="15">
        <f>SUMPRODUCT(M42:X42,$M$6:$X$6)*$K42*$L42</f>
        <v/>
      </c>
      <c r="AE42" s="19" t="n"/>
    </row>
    <row r="43">
      <c r="A43" s="9" t="n">
        <v>669276</v>
      </c>
      <c r="B43" s="9" t="inlineStr">
        <is>
          <t>Dylan Lee</t>
        </is>
      </c>
      <c r="C43" s="9" t="inlineStr">
        <is>
          <t>ATL</t>
        </is>
      </c>
      <c r="D43" s="9" t="n">
        <v>32</v>
      </c>
      <c r="E43" s="17" t="inlineStr">
        <is>
          <t>L</t>
        </is>
      </c>
      <c r="F43" s="17" t="n"/>
      <c r="G43" s="9" t="n">
        <v>111</v>
      </c>
      <c r="H43" s="9" t="n">
        <v>919</v>
      </c>
      <c r="I43" s="9" t="inlineStr">
        <is>
          <t>Closer</t>
        </is>
      </c>
      <c r="J43" s="17" t="inlineStr">
        <is>
          <t>Opening Day</t>
        </is>
      </c>
      <c r="K43" s="11">
        <f>IFERROR(INDEX(Roles!$B$17:$B$20,MATCH(J43,Roles!$A$17:$A$20,0)),1)</f>
        <v/>
      </c>
      <c r="L43" s="18" t="n">
        <v>1</v>
      </c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3">
        <f>SUMPRODUCT(M43:X43,$M$2:$X$2)*$K43*$L43</f>
        <v/>
      </c>
      <c r="Z43" s="14">
        <f>SUM(M43:X43)</f>
        <v/>
      </c>
      <c r="AA43" s="13">
        <f>SUMPRODUCT(M43:X43,$M$3:$X$3)*$K43*$L43</f>
        <v/>
      </c>
      <c r="AB43" s="13">
        <f>SUMPRODUCT(M43:X43,$M$4:$X$4)*$K43*$L43</f>
        <v/>
      </c>
      <c r="AC43" s="15">
        <f>SUMPRODUCT(M43:X43,$M$5:$X$5)*$K43*$L43</f>
        <v/>
      </c>
      <c r="AD43" s="15">
        <f>SUMPRODUCT(M43:X43,$M$6:$X$6)*$K43*$L43</f>
        <v/>
      </c>
      <c r="AE43" s="19" t="n"/>
    </row>
    <row r="44">
      <c r="A44" s="9" t="n">
        <v>621237</v>
      </c>
      <c r="B44" s="9" t="inlineStr">
        <is>
          <t>José Alvarado</t>
        </is>
      </c>
      <c r="C44" s="9" t="inlineStr">
        <is>
          <t>PHI</t>
        </is>
      </c>
      <c r="D44" s="9" t="n">
        <v>32</v>
      </c>
      <c r="E44" s="17" t="inlineStr">
        <is>
          <t>L</t>
        </is>
      </c>
      <c r="F44" s="17" t="n"/>
      <c r="G44" s="9" t="n">
        <v>111</v>
      </c>
      <c r="H44" s="9" t="n">
        <v>869</v>
      </c>
      <c r="I44" s="9" t="inlineStr">
        <is>
          <t>Late Inning RP (Setup)</t>
        </is>
      </c>
      <c r="J44" s="17" t="inlineStr">
        <is>
          <t>Opening Day</t>
        </is>
      </c>
      <c r="K44" s="11">
        <f>IFERROR(INDEX(Roles!$B$17:$B$20,MATCH(J44,Roles!$A$17:$A$20,0)),1)</f>
        <v/>
      </c>
      <c r="L44" s="18" t="n">
        <v>1</v>
      </c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3">
        <f>SUMPRODUCT(M44:X44,$M$2:$X$2)*$K44*$L44</f>
        <v/>
      </c>
      <c r="Z44" s="14">
        <f>SUM(M44:X44)</f>
        <v/>
      </c>
      <c r="AA44" s="13">
        <f>SUMPRODUCT(M44:X44,$M$3:$X$3)*$K44*$L44</f>
        <v/>
      </c>
      <c r="AB44" s="13">
        <f>SUMPRODUCT(M44:X44,$M$4:$X$4)*$K44*$L44</f>
        <v/>
      </c>
      <c r="AC44" s="15">
        <f>SUMPRODUCT(M44:X44,$M$5:$X$5)*$K44*$L44</f>
        <v/>
      </c>
      <c r="AD44" s="15">
        <f>SUMPRODUCT(M44:X44,$M$6:$X$6)*$K44*$L44</f>
        <v/>
      </c>
      <c r="AE44" s="19" t="n"/>
    </row>
    <row r="45">
      <c r="A45" s="9" t="n">
        <v>677053</v>
      </c>
      <c r="B45" s="9" t="inlineStr">
        <is>
          <t>Andrew Nardi</t>
        </is>
      </c>
      <c r="C45" s="9" t="inlineStr">
        <is>
          <t>MIA</t>
        </is>
      </c>
      <c r="D45" s="9" t="n">
        <v>28</v>
      </c>
      <c r="E45" s="17" t="inlineStr">
        <is>
          <t>L</t>
        </is>
      </c>
      <c r="F45" s="17" t="n"/>
      <c r="G45" s="9" t="n">
        <v>99</v>
      </c>
      <c r="H45" s="9" t="n">
        <v>629</v>
      </c>
      <c r="I45" s="9" t="inlineStr">
        <is>
          <t>Late Inning RP (Setup)</t>
        </is>
      </c>
      <c r="J45" s="17" t="inlineStr">
        <is>
          <t>Opening Day</t>
        </is>
      </c>
      <c r="K45" s="11">
        <f>IFERROR(INDEX(Roles!$B$17:$B$20,MATCH(J45,Roles!$A$17:$A$20,0)),1)</f>
        <v/>
      </c>
      <c r="L45" s="18" t="n">
        <v>1</v>
      </c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3">
        <f>SUMPRODUCT(M45:X45,$M$2:$X$2)*$K45*$L45</f>
        <v/>
      </c>
      <c r="Z45" s="14">
        <f>SUM(M45:X45)</f>
        <v/>
      </c>
      <c r="AA45" s="13">
        <f>SUMPRODUCT(M45:X45,$M$3:$X$3)*$K45*$L45</f>
        <v/>
      </c>
      <c r="AB45" s="13">
        <f>SUMPRODUCT(M45:X45,$M$4:$X$4)*$K45*$L45</f>
        <v/>
      </c>
      <c r="AC45" s="15">
        <f>SUMPRODUCT(M45:X45,$M$5:$X$5)*$K45*$L45</f>
        <v/>
      </c>
      <c r="AD45" s="15">
        <f>SUMPRODUCT(M45:X45,$M$6:$X$6)*$K45*$L45</f>
        <v/>
      </c>
      <c r="AE45" s="19" t="n"/>
    </row>
    <row r="46">
      <c r="A46" s="9" t="n">
        <v>682254</v>
      </c>
      <c r="B46" s="9" t="inlineStr">
        <is>
          <t>Mason Montgomery</t>
        </is>
      </c>
      <c r="C46" s="9" t="inlineStr">
        <is>
          <t>PIT</t>
        </is>
      </c>
      <c r="D46" s="9" t="n">
        <v>27</v>
      </c>
      <c r="E46" s="17" t="inlineStr">
        <is>
          <t>L</t>
        </is>
      </c>
      <c r="F46" s="17" t="n"/>
      <c r="G46" s="9" t="n">
        <v>112</v>
      </c>
      <c r="H46" s="9" t="n">
        <v>358</v>
      </c>
      <c r="I46" s="9" t="inlineStr">
        <is>
          <t>Late Inning RP (Setup)</t>
        </is>
      </c>
      <c r="J46" s="17" t="inlineStr">
        <is>
          <t>Opening Day</t>
        </is>
      </c>
      <c r="K46" s="11">
        <f>IFERROR(INDEX(Roles!$B$17:$B$20,MATCH(J46,Roles!$A$17:$A$20,0)),1)</f>
        <v/>
      </c>
      <c r="L46" s="18" t="n">
        <v>1</v>
      </c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3">
        <f>SUMPRODUCT(M46:X46,$M$2:$X$2)*$K46*$L46</f>
        <v/>
      </c>
      <c r="Z46" s="14">
        <f>SUM(M46:X46)</f>
        <v/>
      </c>
      <c r="AA46" s="13">
        <f>SUMPRODUCT(M46:X46,$M$3:$X$3)*$K46*$L46</f>
        <v/>
      </c>
      <c r="AB46" s="13">
        <f>SUMPRODUCT(M46:X46,$M$4:$X$4)*$K46*$L46</f>
        <v/>
      </c>
      <c r="AC46" s="15">
        <f>SUMPRODUCT(M46:X46,$M$5:$X$5)*$K46*$L46</f>
        <v/>
      </c>
      <c r="AD46" s="15">
        <f>SUMPRODUCT(M46:X46,$M$6:$X$6)*$K46*$L46</f>
        <v/>
      </c>
      <c r="AE46" s="19" t="n"/>
    </row>
    <row r="47">
      <c r="A47" s="9" t="n">
        <v>666374</v>
      </c>
      <c r="B47" s="9" t="inlineStr">
        <is>
          <t>Matt Brash</t>
        </is>
      </c>
      <c r="C47" s="9" t="inlineStr">
        <is>
          <t>SEA</t>
        </is>
      </c>
      <c r="D47" s="9" t="n">
        <v>29</v>
      </c>
      <c r="E47" s="17" t="inlineStr">
        <is>
          <t>R</t>
        </is>
      </c>
      <c r="F47" s="17" t="n"/>
      <c r="G47" s="9" t="n">
        <v>64</v>
      </c>
      <c r="H47" s="9" t="n">
        <v>793</v>
      </c>
      <c r="I47" s="9" t="inlineStr">
        <is>
          <t>Late Inning RP (Setup)</t>
        </is>
      </c>
      <c r="J47" s="17" t="inlineStr">
        <is>
          <t>Opening Day</t>
        </is>
      </c>
      <c r="K47" s="11">
        <f>IFERROR(INDEX(Roles!$B$17:$B$20,MATCH(J47,Roles!$A$17:$A$20,0)),1)</f>
        <v/>
      </c>
      <c r="L47" s="18" t="n">
        <v>1</v>
      </c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3">
        <f>SUMPRODUCT(M47:X47,$M$2:$X$2)*$K47*$L47</f>
        <v/>
      </c>
      <c r="Z47" s="14">
        <f>SUM(M47:X47)</f>
        <v/>
      </c>
      <c r="AA47" s="13">
        <f>SUMPRODUCT(M47:X47,$M$3:$X$3)*$K47*$L47</f>
        <v/>
      </c>
      <c r="AB47" s="13">
        <f>SUMPRODUCT(M47:X47,$M$4:$X$4)*$K47*$L47</f>
        <v/>
      </c>
      <c r="AC47" s="15">
        <f>SUMPRODUCT(M47:X47,$M$5:$X$5)*$K47*$L47</f>
        <v/>
      </c>
      <c r="AD47" s="15">
        <f>SUMPRODUCT(M47:X47,$M$6:$X$6)*$K47*$L47</f>
        <v/>
      </c>
      <c r="AE47" s="19" t="n"/>
    </row>
    <row r="48">
      <c r="A48" s="9" t="n">
        <v>643377</v>
      </c>
      <c r="B48" s="9" t="inlineStr">
        <is>
          <t>Griffin Jax</t>
        </is>
      </c>
      <c r="C48" s="9" t="inlineStr">
        <is>
          <t>TB</t>
        </is>
      </c>
      <c r="D48" s="9" t="n">
        <v>32</v>
      </c>
      <c r="E48" s="17" t="inlineStr">
        <is>
          <t>R</t>
        </is>
      </c>
      <c r="F48" s="17" t="n"/>
      <c r="G48" s="9" t="n">
        <v>164</v>
      </c>
      <c r="H48" s="9" t="n">
        <v>1287</v>
      </c>
      <c r="I48" s="9" t="inlineStr">
        <is>
          <t>Late Inning RP (Setup)</t>
        </is>
      </c>
      <c r="J48" s="17" t="inlineStr">
        <is>
          <t>Opening Day</t>
        </is>
      </c>
      <c r="K48" s="11">
        <f>IFERROR(INDEX(Roles!$B$17:$B$20,MATCH(J48,Roles!$A$17:$A$20,0)),1)</f>
        <v/>
      </c>
      <c r="L48" s="18" t="n">
        <v>1</v>
      </c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3">
        <f>SUMPRODUCT(M48:X48,$M$2:$X$2)*$K48*$L48</f>
        <v/>
      </c>
      <c r="Z48" s="14">
        <f>SUM(M48:X48)</f>
        <v/>
      </c>
      <c r="AA48" s="13">
        <f>SUMPRODUCT(M48:X48,$M$3:$X$3)*$K48*$L48</f>
        <v/>
      </c>
      <c r="AB48" s="13">
        <f>SUMPRODUCT(M48:X48,$M$4:$X$4)*$K48*$L48</f>
        <v/>
      </c>
      <c r="AC48" s="15">
        <f>SUMPRODUCT(M48:X48,$M$5:$X$5)*$K48*$L48</f>
        <v/>
      </c>
      <c r="AD48" s="15">
        <f>SUMPRODUCT(M48:X48,$M$6:$X$6)*$K48*$L48</f>
        <v/>
      </c>
      <c r="AE48" s="19" t="n"/>
    </row>
    <row r="49">
      <c r="A49" s="9" t="n">
        <v>640462</v>
      </c>
      <c r="B49" s="9" t="inlineStr">
        <is>
          <t>A.J. Puk</t>
        </is>
      </c>
      <c r="C49" s="9" t="inlineStr">
        <is>
          <t>ARI</t>
        </is>
      </c>
      <c r="D49" s="9" t="n">
        <v>32</v>
      </c>
      <c r="E49" s="17" t="inlineStr">
        <is>
          <t>L</t>
        </is>
      </c>
      <c r="F49" s="17" t="n"/>
      <c r="G49" s="9" t="n">
        <v>35</v>
      </c>
      <c r="H49" s="9" t="n">
        <v>852</v>
      </c>
      <c r="I49" s="9" t="inlineStr">
        <is>
          <t>Closer</t>
        </is>
      </c>
      <c r="J49" s="17" t="inlineStr">
        <is>
          <t>Opening Day</t>
        </is>
      </c>
      <c r="K49" s="11">
        <f>IFERROR(INDEX(Roles!$B$17:$B$20,MATCH(J49,Roles!$A$17:$A$20,0)),1)</f>
        <v/>
      </c>
      <c r="L49" s="18" t="n">
        <v>1</v>
      </c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3">
        <f>SUMPRODUCT(M49:X49,$M$2:$X$2)*$K49*$L49</f>
        <v/>
      </c>
      <c r="Z49" s="14">
        <f>SUM(M49:X49)</f>
        <v/>
      </c>
      <c r="AA49" s="13">
        <f>SUMPRODUCT(M49:X49,$M$3:$X$3)*$K49*$L49</f>
        <v/>
      </c>
      <c r="AB49" s="13">
        <f>SUMPRODUCT(M49:X49,$M$4:$X$4)*$K49*$L49</f>
        <v/>
      </c>
      <c r="AC49" s="15">
        <f>SUMPRODUCT(M49:X49,$M$5:$X$5)*$K49*$L49</f>
        <v/>
      </c>
      <c r="AD49" s="15">
        <f>SUMPRODUCT(M49:X49,$M$6:$X$6)*$K49*$L49</f>
        <v/>
      </c>
      <c r="AE49" s="19" t="n"/>
    </row>
    <row r="50">
      <c r="A50" s="9" t="n">
        <v>554430</v>
      </c>
      <c r="B50" s="9" t="inlineStr">
        <is>
          <t>Zack Wheeler</t>
        </is>
      </c>
      <c r="C50" s="9" t="inlineStr">
        <is>
          <t>PHI</t>
        </is>
      </c>
      <c r="D50" s="9" t="n">
        <v>37</v>
      </c>
      <c r="E50" s="17" t="inlineStr">
        <is>
          <t>R</t>
        </is>
      </c>
      <c r="F50" s="17" t="n"/>
      <c r="G50" s="9" t="n">
        <v>213</v>
      </c>
      <c r="H50" s="9" t="n">
        <v>2979</v>
      </c>
      <c r="I50" s="9" t="inlineStr">
        <is>
          <t>Ace (SP1)</t>
        </is>
      </c>
      <c r="J50" s="17" t="inlineStr">
        <is>
          <t>Opening Day</t>
        </is>
      </c>
      <c r="K50" s="11">
        <f>IFERROR(INDEX(Roles!$B$17:$B$20,MATCH(J50,Roles!$A$17:$A$20,0)),1)</f>
        <v/>
      </c>
      <c r="L50" s="18" t="n">
        <v>1</v>
      </c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3">
        <f>SUMPRODUCT(M50:X50,$M$2:$X$2)*$K50*$L50</f>
        <v/>
      </c>
      <c r="Z50" s="14">
        <f>SUM(M50:X50)</f>
        <v/>
      </c>
      <c r="AA50" s="13">
        <f>SUMPRODUCT(M50:X50,$M$3:$X$3)*$K50*$L50</f>
        <v/>
      </c>
      <c r="AB50" s="13">
        <f>SUMPRODUCT(M50:X50,$M$4:$X$4)*$K50*$L50</f>
        <v/>
      </c>
      <c r="AC50" s="15">
        <f>SUMPRODUCT(M50:X50,$M$5:$X$5)*$K50*$L50</f>
        <v/>
      </c>
      <c r="AD50" s="15">
        <f>SUMPRODUCT(M50:X50,$M$6:$X$6)*$K50*$L50</f>
        <v/>
      </c>
      <c r="AE50" s="19" t="n"/>
    </row>
    <row r="51">
      <c r="A51" s="9" t="n">
        <v>605540</v>
      </c>
      <c r="B51" s="9" t="inlineStr">
        <is>
          <t>Brandon Woodruff</t>
        </is>
      </c>
      <c r="C51" s="9" t="inlineStr">
        <is>
          <t>MIL</t>
        </is>
      </c>
      <c r="D51" s="9" t="n">
        <v>34</v>
      </c>
      <c r="E51" s="17" t="inlineStr">
        <is>
          <t>R</t>
        </is>
      </c>
      <c r="F51" s="17" t="n"/>
      <c r="G51" s="9" t="n">
        <v>121</v>
      </c>
      <c r="H51" s="9" t="n">
        <v>1251</v>
      </c>
      <c r="I51" s="9" t="inlineStr">
        <is>
          <t>Mid-Rotation Starter (SP2-3)</t>
        </is>
      </c>
      <c r="J51" s="17" t="inlineStr">
        <is>
          <t>Opening Day</t>
        </is>
      </c>
      <c r="K51" s="11">
        <f>IFERROR(INDEX(Roles!$B$17:$B$20,MATCH(J51,Roles!$A$17:$A$20,0)),1)</f>
        <v/>
      </c>
      <c r="L51" s="18" t="n">
        <v>1</v>
      </c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3">
        <f>SUMPRODUCT(M51:X51,$M$2:$X$2)*$K51*$L51</f>
        <v/>
      </c>
      <c r="Z51" s="14">
        <f>SUM(M51:X51)</f>
        <v/>
      </c>
      <c r="AA51" s="13">
        <f>SUMPRODUCT(M51:X51,$M$3:$X$3)*$K51*$L51</f>
        <v/>
      </c>
      <c r="AB51" s="13">
        <f>SUMPRODUCT(M51:X51,$M$4:$X$4)*$K51*$L51</f>
        <v/>
      </c>
      <c r="AC51" s="15">
        <f>SUMPRODUCT(M51:X51,$M$5:$X$5)*$K51*$L51</f>
        <v/>
      </c>
      <c r="AD51" s="15">
        <f>SUMPRODUCT(M51:X51,$M$6:$X$6)*$K51*$L51</f>
        <v/>
      </c>
      <c r="AE51" s="19" t="n"/>
    </row>
    <row r="52">
      <c r="A52" s="9" t="n">
        <v>656730</v>
      </c>
      <c r="B52" s="9" t="inlineStr">
        <is>
          <t>Trevor Megill</t>
        </is>
      </c>
      <c r="C52" s="9" t="inlineStr">
        <is>
          <t>MIL</t>
        </is>
      </c>
      <c r="D52" s="9" t="n">
        <v>33</v>
      </c>
      <c r="E52" s="17" t="inlineStr">
        <is>
          <t>R</t>
        </is>
      </c>
      <c r="F52" s="17" t="n"/>
      <c r="G52" s="9" t="n">
        <v>97</v>
      </c>
      <c r="H52" s="9" t="n">
        <v>816</v>
      </c>
      <c r="I52" s="9" t="inlineStr">
        <is>
          <t>Late Inning RP (Setup)</t>
        </is>
      </c>
      <c r="J52" s="17" t="inlineStr">
        <is>
          <t>Opening Day</t>
        </is>
      </c>
      <c r="K52" s="11">
        <f>IFERROR(INDEX(Roles!$B$17:$B$20,MATCH(J52,Roles!$A$17:$A$20,0)),1)</f>
        <v/>
      </c>
      <c r="L52" s="18" t="n">
        <v>1</v>
      </c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3">
        <f>SUMPRODUCT(M52:X52,$M$2:$X$2)*$K52*$L52</f>
        <v/>
      </c>
      <c r="Z52" s="14">
        <f>SUM(M52:X52)</f>
        <v/>
      </c>
      <c r="AA52" s="13">
        <f>SUMPRODUCT(M52:X52,$M$3:$X$3)*$K52*$L52</f>
        <v/>
      </c>
      <c r="AB52" s="13">
        <f>SUMPRODUCT(M52:X52,$M$4:$X$4)*$K52*$L52</f>
        <v/>
      </c>
      <c r="AC52" s="15">
        <f>SUMPRODUCT(M52:X52,$M$5:$X$5)*$K52*$L52</f>
        <v/>
      </c>
      <c r="AD52" s="15">
        <f>SUMPRODUCT(M52:X52,$M$6:$X$6)*$K52*$L52</f>
        <v/>
      </c>
      <c r="AE52" s="19" t="n"/>
    </row>
    <row r="53">
      <c r="A53" s="9" t="n">
        <v>701656</v>
      </c>
      <c r="B53" s="9" t="inlineStr">
        <is>
          <t>Logan Henderson</t>
        </is>
      </c>
      <c r="C53" s="9" t="inlineStr">
        <is>
          <t>MIL</t>
        </is>
      </c>
      <c r="D53" s="9" t="n">
        <v>25</v>
      </c>
      <c r="E53" s="17" t="inlineStr">
        <is>
          <t>R</t>
        </is>
      </c>
      <c r="F53" s="17" t="n"/>
      <c r="G53" s="9" t="n">
        <v>90</v>
      </c>
      <c r="H53" s="9" t="n">
        <v>189</v>
      </c>
      <c r="I53" s="9" t="inlineStr">
        <is>
          <t>End-of-Rotation Starter (SP4-5)</t>
        </is>
      </c>
      <c r="J53" s="17" t="inlineStr">
        <is>
          <t>Opening Day</t>
        </is>
      </c>
      <c r="K53" s="11">
        <f>IFERROR(INDEX(Roles!$B$17:$B$20,MATCH(J53,Roles!$A$17:$A$20,0)),1)</f>
        <v/>
      </c>
      <c r="L53" s="18" t="n">
        <v>1</v>
      </c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3">
        <f>SUMPRODUCT(M53:X53,$M$2:$X$2)*$K53*$L53</f>
        <v/>
      </c>
      <c r="Z53" s="14">
        <f>SUM(M53:X53)</f>
        <v/>
      </c>
      <c r="AA53" s="13">
        <f>SUMPRODUCT(M53:X53,$M$3:$X$3)*$K53*$L53</f>
        <v/>
      </c>
      <c r="AB53" s="13">
        <f>SUMPRODUCT(M53:X53,$M$4:$X$4)*$K53*$L53</f>
        <v/>
      </c>
      <c r="AC53" s="15">
        <f>SUMPRODUCT(M53:X53,$M$5:$X$5)*$K53*$L53</f>
        <v/>
      </c>
      <c r="AD53" s="15">
        <f>SUMPRODUCT(M53:X53,$M$6:$X$6)*$K53*$L53</f>
        <v/>
      </c>
      <c r="AE53" s="19" t="n"/>
    </row>
    <row r="54">
      <c r="A54" s="9" t="n">
        <v>642100</v>
      </c>
      <c r="B54" s="9" t="inlineStr">
        <is>
          <t>Gabe Speier</t>
        </is>
      </c>
      <c r="C54" s="9" t="inlineStr">
        <is>
          <t>SEA</t>
        </is>
      </c>
      <c r="D54" s="9" t="n">
        <v>32</v>
      </c>
      <c r="E54" s="17" t="inlineStr">
        <is>
          <t>L</t>
        </is>
      </c>
      <c r="F54" s="17" t="n"/>
      <c r="G54" s="9" t="n">
        <v>75</v>
      </c>
      <c r="H54" s="9" t="n">
        <v>715</v>
      </c>
      <c r="I54" s="9" t="inlineStr">
        <is>
          <t>Late Inning RP (Setup)</t>
        </is>
      </c>
      <c r="J54" s="17" t="inlineStr">
        <is>
          <t>Opening Day</t>
        </is>
      </c>
      <c r="K54" s="11">
        <f>IFERROR(INDEX(Roles!$B$17:$B$20,MATCH(J54,Roles!$A$17:$A$20,0)),1)</f>
        <v/>
      </c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3">
        <f>SUMPRODUCT(M54:X54,$M$2:$X$2)*$K54*$L54</f>
        <v/>
      </c>
      <c r="Z54" s="14">
        <f>SUM(M54:X54)</f>
        <v/>
      </c>
      <c r="AA54" s="13">
        <f>SUMPRODUCT(M54:X54,$M$3:$X$3)*$K54*$L54</f>
        <v/>
      </c>
      <c r="AB54" s="13">
        <f>SUMPRODUCT(M54:X54,$M$4:$X$4)*$K54*$L54</f>
        <v/>
      </c>
      <c r="AC54" s="15">
        <f>SUMPRODUCT(M54:X54,$M$5:$X$5)*$K54*$L54</f>
        <v/>
      </c>
      <c r="AD54" s="15">
        <f>SUMPRODUCT(M54:X54,$M$6:$X$6)*$K54*$L54</f>
        <v/>
      </c>
      <c r="AE54" s="19" t="n"/>
    </row>
    <row r="55">
      <c r="A55" s="9" t="n">
        <v>670280</v>
      </c>
      <c r="B55" s="9" t="inlineStr">
        <is>
          <t>David Bednar</t>
        </is>
      </c>
      <c r="C55" s="9" t="inlineStr">
        <is>
          <t>NYY</t>
        </is>
      </c>
      <c r="D55" s="9" t="n">
        <v>32</v>
      </c>
      <c r="E55" s="17" t="inlineStr">
        <is>
          <t>R</t>
        </is>
      </c>
      <c r="F55" s="17" t="n"/>
      <c r="G55" s="9" t="n">
        <v>123</v>
      </c>
      <c r="H55" s="9" t="n">
        <v>1123</v>
      </c>
      <c r="I55" s="9" t="inlineStr">
        <is>
          <t>Closer</t>
        </is>
      </c>
      <c r="J55" s="17" t="inlineStr">
        <is>
          <t>Opening Day</t>
        </is>
      </c>
      <c r="K55" s="11">
        <f>IFERROR(INDEX(Roles!$B$17:$B$20,MATCH(J55,Roles!$A$17:$A$20,0)),1)</f>
        <v/>
      </c>
      <c r="L55" s="18" t="n">
        <v>1</v>
      </c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3">
        <f>SUMPRODUCT(M55:X55,$M$2:$X$2)*$K55*$L55</f>
        <v/>
      </c>
      <c r="Z55" s="14">
        <f>SUM(M55:X55)</f>
        <v/>
      </c>
      <c r="AA55" s="13">
        <f>SUMPRODUCT(M55:X55,$M$3:$X$3)*$K55*$L55</f>
        <v/>
      </c>
      <c r="AB55" s="13">
        <f>SUMPRODUCT(M55:X55,$M$4:$X$4)*$K55*$L55</f>
        <v/>
      </c>
      <c r="AC55" s="15">
        <f>SUMPRODUCT(M55:X55,$M$5:$X$5)*$K55*$L55</f>
        <v/>
      </c>
      <c r="AD55" s="15">
        <f>SUMPRODUCT(M55:X55,$M$6:$X$6)*$K55*$L55</f>
        <v/>
      </c>
      <c r="AE55" s="19" t="n"/>
    </row>
    <row r="56">
      <c r="A56" s="9" t="n">
        <v>621381</v>
      </c>
      <c r="B56" s="9" t="inlineStr">
        <is>
          <t>Matt Strahm</t>
        </is>
      </c>
      <c r="C56" s="9" t="inlineStr">
        <is>
          <t>KC</t>
        </is>
      </c>
      <c r="D56" s="9" t="n">
        <v>35</v>
      </c>
      <c r="E56" s="17" t="inlineStr">
        <is>
          <t>L</t>
        </is>
      </c>
      <c r="F56" s="17" t="n"/>
      <c r="G56" s="9" t="n">
        <v>82</v>
      </c>
      <c r="H56" s="9" t="n">
        <v>1119</v>
      </c>
      <c r="I56" s="9" t="inlineStr">
        <is>
          <t>Closer</t>
        </is>
      </c>
      <c r="J56" s="17" t="inlineStr">
        <is>
          <t>Opening Day</t>
        </is>
      </c>
      <c r="K56" s="11">
        <f>IFERROR(INDEX(Roles!$B$17:$B$20,MATCH(J56,Roles!$A$17:$A$20,0)),1)</f>
        <v/>
      </c>
      <c r="L56" s="18" t="n">
        <v>1</v>
      </c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3">
        <f>SUMPRODUCT(M56:X56,$M$2:$X$2)*$K56*$L56</f>
        <v/>
      </c>
      <c r="Z56" s="14">
        <f>SUM(M56:X56)</f>
        <v/>
      </c>
      <c r="AA56" s="13">
        <f>SUMPRODUCT(M56:X56,$M$3:$X$3)*$K56*$L56</f>
        <v/>
      </c>
      <c r="AB56" s="13">
        <f>SUMPRODUCT(M56:X56,$M$4:$X$4)*$K56*$L56</f>
        <v/>
      </c>
      <c r="AC56" s="15">
        <f>SUMPRODUCT(M56:X56,$M$5:$X$5)*$K56*$L56</f>
        <v/>
      </c>
      <c r="AD56" s="15">
        <f>SUMPRODUCT(M56:X56,$M$6:$X$6)*$K56*$L56</f>
        <v/>
      </c>
      <c r="AE56" s="19" t="n"/>
    </row>
    <row r="57">
      <c r="A57" s="9" t="n">
        <v>628452</v>
      </c>
      <c r="B57" s="9" t="inlineStr">
        <is>
          <t>Raisel Iglesias</t>
        </is>
      </c>
      <c r="C57" s="9" t="inlineStr">
        <is>
          <t>ATL</t>
        </is>
      </c>
      <c r="D57" s="9" t="n">
        <v>37</v>
      </c>
      <c r="E57" s="17" t="inlineStr">
        <is>
          <t>R</t>
        </is>
      </c>
      <c r="F57" s="17" t="n"/>
      <c r="G57" s="9" t="n">
        <v>85</v>
      </c>
      <c r="H57" s="9" t="n">
        <v>1087</v>
      </c>
      <c r="I57" s="9" t="inlineStr">
        <is>
          <t>Late Inning RP (Setup)</t>
        </is>
      </c>
      <c r="J57" s="17" t="inlineStr">
        <is>
          <t>Opening Day</t>
        </is>
      </c>
      <c r="K57" s="11">
        <f>IFERROR(INDEX(Roles!$B$17:$B$20,MATCH(J57,Roles!$A$17:$A$20,0)),1)</f>
        <v/>
      </c>
      <c r="L57" s="18" t="n">
        <v>1</v>
      </c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3">
        <f>SUMPRODUCT(M57:X57,$M$2:$X$2)*$K57*$L57</f>
        <v/>
      </c>
      <c r="Z57" s="14">
        <f>SUM(M57:X57)</f>
        <v/>
      </c>
      <c r="AA57" s="13">
        <f>SUMPRODUCT(M57:X57,$M$3:$X$3)*$K57*$L57</f>
        <v/>
      </c>
      <c r="AB57" s="13">
        <f>SUMPRODUCT(M57:X57,$M$4:$X$4)*$K57*$L57</f>
        <v/>
      </c>
      <c r="AC57" s="15">
        <f>SUMPRODUCT(M57:X57,$M$5:$X$5)*$K57*$L57</f>
        <v/>
      </c>
      <c r="AD57" s="15">
        <f>SUMPRODUCT(M57:X57,$M$6:$X$6)*$K57*$L57</f>
        <v/>
      </c>
      <c r="AE57" s="19" t="n"/>
    </row>
    <row r="58">
      <c r="A58" s="9" t="n">
        <v>664126</v>
      </c>
      <c r="B58" s="9" t="inlineStr">
        <is>
          <t>Pete Fairbanks</t>
        </is>
      </c>
      <c r="C58" s="9" t="inlineStr">
        <is>
          <t>MIA</t>
        </is>
      </c>
      <c r="D58" s="9" t="n">
        <v>33</v>
      </c>
      <c r="E58" s="17" t="inlineStr">
        <is>
          <t>R</t>
        </is>
      </c>
      <c r="F58" s="17" t="n"/>
      <c r="G58" s="9" t="n">
        <v>83</v>
      </c>
      <c r="H58" s="9" t="n">
        <v>783</v>
      </c>
      <c r="I58" s="9" t="inlineStr">
        <is>
          <t>Late Inning RP (Setup)</t>
        </is>
      </c>
      <c r="J58" s="17" t="inlineStr">
        <is>
          <t>Opening Day</t>
        </is>
      </c>
      <c r="K58" s="11">
        <f>IFERROR(INDEX(Roles!$B$17:$B$20,MATCH(J58,Roles!$A$17:$A$20,0)),1)</f>
        <v/>
      </c>
      <c r="L58" s="18" t="n">
        <v>1</v>
      </c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3">
        <f>SUMPRODUCT(M58:X58,$M$2:$X$2)*$K58*$L58</f>
        <v/>
      </c>
      <c r="Z58" s="14">
        <f>SUM(M58:X58)</f>
        <v/>
      </c>
      <c r="AA58" s="13">
        <f>SUMPRODUCT(M58:X58,$M$3:$X$3)*$K58*$L58</f>
        <v/>
      </c>
      <c r="AB58" s="13">
        <f>SUMPRODUCT(M58:X58,$M$4:$X$4)*$K58*$L58</f>
        <v/>
      </c>
      <c r="AC58" s="15">
        <f>SUMPRODUCT(M58:X58,$M$5:$X$5)*$K58*$L58</f>
        <v/>
      </c>
      <c r="AD58" s="15">
        <f>SUMPRODUCT(M58:X58,$M$6:$X$6)*$K58*$L58</f>
        <v/>
      </c>
      <c r="AE58" s="19" t="n"/>
    </row>
    <row r="59">
      <c r="A59" s="9" t="n">
        <v>676879</v>
      </c>
      <c r="B59" s="9" t="inlineStr">
        <is>
          <t>Aaron Ashby</t>
        </is>
      </c>
      <c r="C59" s="9" t="inlineStr">
        <is>
          <t>MIL</t>
        </is>
      </c>
      <c r="D59" s="9" t="n">
        <v>29</v>
      </c>
      <c r="E59" s="17" t="inlineStr">
        <is>
          <t>L</t>
        </is>
      </c>
      <c r="F59" s="17" t="n"/>
      <c r="G59" s="9" t="n">
        <v>172</v>
      </c>
      <c r="H59" s="9" t="n">
        <v>1036</v>
      </c>
      <c r="I59" s="9" t="inlineStr">
        <is>
          <t>Closer</t>
        </is>
      </c>
      <c r="J59" s="17" t="inlineStr">
        <is>
          <t>Opening Day</t>
        </is>
      </c>
      <c r="K59" s="11">
        <f>IFERROR(INDEX(Roles!$B$17:$B$20,MATCH(J59,Roles!$A$17:$A$20,0)),1)</f>
        <v/>
      </c>
      <c r="L59" s="18" t="n">
        <v>1</v>
      </c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3">
        <f>SUMPRODUCT(M59:X59,$M$2:$X$2)*$K59*$L59</f>
        <v/>
      </c>
      <c r="Z59" s="14">
        <f>SUM(M59:X59)</f>
        <v/>
      </c>
      <c r="AA59" s="13">
        <f>SUMPRODUCT(M59:X59,$M$3:$X$3)*$K59*$L59</f>
        <v/>
      </c>
      <c r="AB59" s="13">
        <f>SUMPRODUCT(M59:X59,$M$4:$X$4)*$K59*$L59</f>
        <v/>
      </c>
      <c r="AC59" s="15">
        <f>SUMPRODUCT(M59:X59,$M$5:$X$5)*$K59*$L59</f>
        <v/>
      </c>
      <c r="AD59" s="15">
        <f>SUMPRODUCT(M59:X59,$M$6:$X$6)*$K59*$L59</f>
        <v/>
      </c>
      <c r="AE59" s="19" t="n"/>
    </row>
    <row r="60">
      <c r="A60" s="9" t="n">
        <v>623149</v>
      </c>
      <c r="B60" s="9" t="inlineStr">
        <is>
          <t>Paul Sewald</t>
        </is>
      </c>
      <c r="C60" s="9" t="inlineStr">
        <is>
          <t>ARI</t>
        </is>
      </c>
      <c r="D60" s="9" t="n">
        <v>37</v>
      </c>
      <c r="E60" s="17" t="inlineStr">
        <is>
          <t>R</t>
        </is>
      </c>
      <c r="F60" s="17" t="n"/>
      <c r="G60" s="9" t="n">
        <v>88</v>
      </c>
      <c r="H60" s="9" t="n">
        <v>825</v>
      </c>
      <c r="I60" s="9" t="inlineStr">
        <is>
          <t>Middle Relief</t>
        </is>
      </c>
      <c r="J60" s="17" t="inlineStr">
        <is>
          <t>Opening Day</t>
        </is>
      </c>
      <c r="K60" s="11">
        <f>IFERROR(INDEX(Roles!$B$17:$B$20,MATCH(J60,Roles!$A$17:$A$20,0)),1)</f>
        <v/>
      </c>
      <c r="L60" s="18" t="n">
        <v>1</v>
      </c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3">
        <f>SUMPRODUCT(M60:X60,$M$2:$X$2)*$K60*$L60</f>
        <v/>
      </c>
      <c r="Z60" s="14">
        <f>SUM(M60:X60)</f>
        <v/>
      </c>
      <c r="AA60" s="13">
        <f>SUMPRODUCT(M60:X60,$M$3:$X$3)*$K60*$L60</f>
        <v/>
      </c>
      <c r="AB60" s="13">
        <f>SUMPRODUCT(M60:X60,$M$4:$X$4)*$K60*$L60</f>
        <v/>
      </c>
      <c r="AC60" s="15">
        <f>SUMPRODUCT(M60:X60,$M$5:$X$5)*$K60*$L60</f>
        <v/>
      </c>
      <c r="AD60" s="15">
        <f>SUMPRODUCT(M60:X60,$M$6:$X$6)*$K60*$L60</f>
        <v/>
      </c>
      <c r="AE60" s="19" t="n"/>
    </row>
    <row r="61">
      <c r="A61" s="9" t="n">
        <v>671305</v>
      </c>
      <c r="B61" s="9" t="inlineStr">
        <is>
          <t>Michel Otañez</t>
        </is>
      </c>
      <c r="C61" s="9" t="inlineStr">
        <is>
          <t>OAK</t>
        </is>
      </c>
      <c r="D61" s="9" t="n">
        <v>29</v>
      </c>
      <c r="E61" s="17" t="inlineStr">
        <is>
          <t>R</t>
        </is>
      </c>
      <c r="F61" s="17" t="n"/>
      <c r="G61" s="9" t="n">
        <v>28</v>
      </c>
      <c r="H61" s="9" t="n">
        <v>179</v>
      </c>
      <c r="I61" s="9" t="inlineStr">
        <is>
          <t>Late Inning RP (Setup)</t>
        </is>
      </c>
      <c r="J61" s="17" t="inlineStr">
        <is>
          <t>Opening Day</t>
        </is>
      </c>
      <c r="K61" s="11">
        <f>IFERROR(INDEX(Roles!$B$17:$B$20,MATCH(J61,Roles!$A$17:$A$20,0)),1)</f>
        <v/>
      </c>
      <c r="L61" s="18" t="n">
        <v>1</v>
      </c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3">
        <f>SUMPRODUCT(M61:X61,$M$2:$X$2)*$K61*$L61</f>
        <v/>
      </c>
      <c r="Z61" s="14">
        <f>SUM(M61:X61)</f>
        <v/>
      </c>
      <c r="AA61" s="13">
        <f>SUMPRODUCT(M61:X61,$M$3:$X$3)*$K61*$L61</f>
        <v/>
      </c>
      <c r="AB61" s="13">
        <f>SUMPRODUCT(M61:X61,$M$4:$X$4)*$K61*$L61</f>
        <v/>
      </c>
      <c r="AC61" s="15">
        <f>SUMPRODUCT(M61:X61,$M$5:$X$5)*$K61*$L61</f>
        <v/>
      </c>
      <c r="AD61" s="15">
        <f>SUMPRODUCT(M61:X61,$M$6:$X$6)*$K61*$L61</f>
        <v/>
      </c>
      <c r="AE61" s="19" t="n"/>
    </row>
    <row r="62">
      <c r="A62" s="9" t="n">
        <v>642547</v>
      </c>
      <c r="B62" s="9" t="inlineStr">
        <is>
          <t>Freddy Peralta</t>
        </is>
      </c>
      <c r="C62" s="9" t="inlineStr">
        <is>
          <t>NYM</t>
        </is>
      </c>
      <c r="D62" s="9" t="n">
        <v>31</v>
      </c>
      <c r="E62" s="17" t="inlineStr">
        <is>
          <t>R</t>
        </is>
      </c>
      <c r="F62" s="17" t="n"/>
      <c r="G62" s="9" t="n">
        <v>337</v>
      </c>
      <c r="H62" s="9" t="n">
        <v>2782</v>
      </c>
      <c r="I62" s="9" t="inlineStr">
        <is>
          <t>Mid-Rotation Starter (SP2-3)</t>
        </is>
      </c>
      <c r="J62" s="17" t="inlineStr">
        <is>
          <t>Opening Day</t>
        </is>
      </c>
      <c r="K62" s="11">
        <f>IFERROR(INDEX(Roles!$B$17:$B$20,MATCH(J62,Roles!$A$17:$A$20,0)),1)</f>
        <v/>
      </c>
      <c r="L62" s="18" t="n">
        <v>1</v>
      </c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3">
        <f>SUMPRODUCT(M62:X62,$M$2:$X$2)*$K62*$L62</f>
        <v/>
      </c>
      <c r="Z62" s="14">
        <f>SUM(M62:X62)</f>
        <v/>
      </c>
      <c r="AA62" s="13">
        <f>SUMPRODUCT(M62:X62,$M$3:$X$3)*$K62*$L62</f>
        <v/>
      </c>
      <c r="AB62" s="13">
        <f>SUMPRODUCT(M62:X62,$M$4:$X$4)*$K62*$L62</f>
        <v/>
      </c>
      <c r="AC62" s="15">
        <f>SUMPRODUCT(M62:X62,$M$5:$X$5)*$K62*$L62</f>
        <v/>
      </c>
      <c r="AD62" s="15">
        <f>SUMPRODUCT(M62:X62,$M$6:$X$6)*$K62*$L62</f>
        <v/>
      </c>
      <c r="AE62" s="19" t="n"/>
    </row>
    <row r="63">
      <c r="A63" s="9" t="n">
        <v>543037</v>
      </c>
      <c r="B63" s="9" t="inlineStr">
        <is>
          <t>Gerrit Cole</t>
        </is>
      </c>
      <c r="C63" s="9" t="inlineStr">
        <is>
          <t>NYY</t>
        </is>
      </c>
      <c r="D63" s="9" t="n">
        <v>36</v>
      </c>
      <c r="E63" s="17" t="inlineStr">
        <is>
          <t>R</t>
        </is>
      </c>
      <c r="F63" s="17" t="n"/>
      <c r="G63" s="9" t="n">
        <v>89</v>
      </c>
      <c r="H63" s="9" t="n">
        <v>2093</v>
      </c>
      <c r="I63" s="9" t="inlineStr">
        <is>
          <t>Mid-Rotation Starter (SP2-3)</t>
        </is>
      </c>
      <c r="J63" s="17" t="inlineStr">
        <is>
          <t>Opening Day</t>
        </is>
      </c>
      <c r="K63" s="11">
        <f>IFERROR(INDEX(Roles!$B$17:$B$20,MATCH(J63,Roles!$A$17:$A$20,0)),1)</f>
        <v/>
      </c>
      <c r="L63" s="18" t="n">
        <v>1</v>
      </c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3">
        <f>SUMPRODUCT(M63:X63,$M$2:$X$2)*$K63*$L63</f>
        <v/>
      </c>
      <c r="Z63" s="14">
        <f>SUM(M63:X63)</f>
        <v/>
      </c>
      <c r="AA63" s="13">
        <f>SUMPRODUCT(M63:X63,$M$3:$X$3)*$K63*$L63</f>
        <v/>
      </c>
      <c r="AB63" s="13">
        <f>SUMPRODUCT(M63:X63,$M$4:$X$4)*$K63*$L63</f>
        <v/>
      </c>
      <c r="AC63" s="15">
        <f>SUMPRODUCT(M63:X63,$M$5:$X$5)*$K63*$L63</f>
        <v/>
      </c>
      <c r="AD63" s="15">
        <f>SUMPRODUCT(M63:X63,$M$6:$X$6)*$K63*$L63</f>
        <v/>
      </c>
      <c r="AE63" s="19" t="n"/>
    </row>
    <row r="64">
      <c r="A64" s="9" t="n">
        <v>808967</v>
      </c>
      <c r="B64" s="9" t="inlineStr">
        <is>
          <t>Yoshinobu Yamamoto</t>
        </is>
      </c>
      <c r="C64" s="9" t="inlineStr">
        <is>
          <t>LAD</t>
        </is>
      </c>
      <c r="D64" s="9" t="n">
        <v>28</v>
      </c>
      <c r="E64" s="17" t="inlineStr">
        <is>
          <t>R</t>
        </is>
      </c>
      <c r="F64" s="17" t="n"/>
      <c r="G64" s="9" t="n">
        <v>296</v>
      </c>
      <c r="H64" s="9" t="n">
        <v>1348</v>
      </c>
      <c r="I64" s="9" t="inlineStr">
        <is>
          <t>Mid-Rotation Starter (SP2-3)</t>
        </is>
      </c>
      <c r="J64" s="17" t="inlineStr">
        <is>
          <t>Opening Day</t>
        </is>
      </c>
      <c r="K64" s="11">
        <f>IFERROR(INDEX(Roles!$B$17:$B$20,MATCH(J64,Roles!$A$17:$A$20,0)),1)</f>
        <v/>
      </c>
      <c r="L64" s="18" t="n">
        <v>1</v>
      </c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3">
        <f>SUMPRODUCT(M64:X64,$M$2:$X$2)*$K64*$L64</f>
        <v/>
      </c>
      <c r="Z64" s="14">
        <f>SUM(M64:X64)</f>
        <v/>
      </c>
      <c r="AA64" s="13">
        <f>SUMPRODUCT(M64:X64,$M$3:$X$3)*$K64*$L64</f>
        <v/>
      </c>
      <c r="AB64" s="13">
        <f>SUMPRODUCT(M64:X64,$M$4:$X$4)*$K64*$L64</f>
        <v/>
      </c>
      <c r="AC64" s="15">
        <f>SUMPRODUCT(M64:X64,$M$5:$X$5)*$K64*$L64</f>
        <v/>
      </c>
      <c r="AD64" s="15">
        <f>SUMPRODUCT(M64:X64,$M$6:$X$6)*$K64*$L64</f>
        <v/>
      </c>
      <c r="AE64" s="19" t="n"/>
    </row>
    <row r="65">
      <c r="A65" s="9" t="n">
        <v>657746</v>
      </c>
      <c r="B65" s="9" t="inlineStr">
        <is>
          <t>Joe Ryan</t>
        </is>
      </c>
      <c r="C65" s="9" t="inlineStr">
        <is>
          <t>MIN</t>
        </is>
      </c>
      <c r="D65" s="9" t="n">
        <v>31</v>
      </c>
      <c r="E65" s="17" t="inlineStr">
        <is>
          <t>R</t>
        </is>
      </c>
      <c r="F65" s="17" t="n"/>
      <c r="G65" s="9" t="n">
        <v>308</v>
      </c>
      <c r="H65" s="9" t="n">
        <v>2811</v>
      </c>
      <c r="I65" s="9" t="inlineStr">
        <is>
          <t>Mid-Rotation Starter (SP2-3)</t>
        </is>
      </c>
      <c r="J65" s="17" t="inlineStr">
        <is>
          <t>Opening Day</t>
        </is>
      </c>
      <c r="K65" s="11">
        <f>IFERROR(INDEX(Roles!$B$17:$B$20,MATCH(J65,Roles!$A$17:$A$20,0)),1)</f>
        <v/>
      </c>
      <c r="L65" s="18" t="n">
        <v>1</v>
      </c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3">
        <f>SUMPRODUCT(M65:X65,$M$2:$X$2)*$K65*$L65</f>
        <v/>
      </c>
      <c r="Z65" s="14">
        <f>SUM(M65:X65)</f>
        <v/>
      </c>
      <c r="AA65" s="13">
        <f>SUMPRODUCT(M65:X65,$M$3:$X$3)*$K65*$L65</f>
        <v/>
      </c>
      <c r="AB65" s="13">
        <f>SUMPRODUCT(M65:X65,$M$4:$X$4)*$K65*$L65</f>
        <v/>
      </c>
      <c r="AC65" s="15">
        <f>SUMPRODUCT(M65:X65,$M$5:$X$5)*$K65*$L65</f>
        <v/>
      </c>
      <c r="AD65" s="15">
        <f>SUMPRODUCT(M65:X65,$M$6:$X$6)*$K65*$L65</f>
        <v/>
      </c>
      <c r="AE65" s="19" t="n"/>
    </row>
    <row r="66">
      <c r="A66" s="9" t="n">
        <v>673380</v>
      </c>
      <c r="B66" s="9" t="inlineStr">
        <is>
          <t>Dedniel Núñez</t>
        </is>
      </c>
      <c r="C66" s="9" t="inlineStr">
        <is>
          <t>NYM</t>
        </is>
      </c>
      <c r="D66" s="9" t="n">
        <v>31</v>
      </c>
      <c r="E66" s="17" t="inlineStr">
        <is>
          <t>R</t>
        </is>
      </c>
      <c r="F66" s="17" t="n"/>
      <c r="G66" s="9" t="n">
        <v>41</v>
      </c>
      <c r="H66" s="9" t="n">
        <v>176</v>
      </c>
      <c r="I66" s="9" t="inlineStr">
        <is>
          <t>Late Inning RP (Setup)</t>
        </is>
      </c>
      <c r="J66" s="17" t="inlineStr">
        <is>
          <t>Opening Day</t>
        </is>
      </c>
      <c r="K66" s="11">
        <f>IFERROR(INDEX(Roles!$B$17:$B$20,MATCH(J66,Roles!$A$17:$A$20,0)),1)</f>
        <v/>
      </c>
      <c r="L66" s="18" t="n">
        <v>1</v>
      </c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3">
        <f>SUMPRODUCT(M66:X66,$M$2:$X$2)*$K66*$L66</f>
        <v/>
      </c>
      <c r="Z66" s="14">
        <f>SUM(M66:X66)</f>
        <v/>
      </c>
      <c r="AA66" s="13">
        <f>SUMPRODUCT(M66:X66,$M$3:$X$3)*$K66*$L66</f>
        <v/>
      </c>
      <c r="AB66" s="13">
        <f>SUMPRODUCT(M66:X66,$M$4:$X$4)*$K66*$L66</f>
        <v/>
      </c>
      <c r="AC66" s="15">
        <f>SUMPRODUCT(M66:X66,$M$5:$X$5)*$K66*$L66</f>
        <v/>
      </c>
      <c r="AD66" s="15">
        <f>SUMPRODUCT(M66:X66,$M$6:$X$6)*$K66*$L66</f>
        <v/>
      </c>
      <c r="AE66" s="19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7" t="inlineStr">
        <is>
          <t>R</t>
        </is>
      </c>
      <c r="F67" s="17" t="n"/>
      <c r="G67" s="9" t="n">
        <v>67</v>
      </c>
      <c r="H67" s="9" t="n">
        <v>432</v>
      </c>
      <c r="I67" s="9" t="inlineStr">
        <is>
          <t>Late Inning RP (Setup)</t>
        </is>
      </c>
      <c r="J67" s="17" t="inlineStr">
        <is>
          <t>Opening Day</t>
        </is>
      </c>
      <c r="K67" s="11">
        <f>IFERROR(INDEX(Roles!$B$17:$B$20,MATCH(J67,Roles!$A$17:$A$20,0)),1)</f>
        <v/>
      </c>
      <c r="L67" s="18" t="n">
        <v>1</v>
      </c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3">
        <f>SUMPRODUCT(M67:X67,$M$2:$X$2)*$K67*$L67</f>
        <v/>
      </c>
      <c r="Z67" s="14">
        <f>SUM(M67:X67)</f>
        <v/>
      </c>
      <c r="AA67" s="13">
        <f>SUMPRODUCT(M67:X67,$M$3:$X$3)*$K67*$L67</f>
        <v/>
      </c>
      <c r="AB67" s="13">
        <f>SUMPRODUCT(M67:X67,$M$4:$X$4)*$K67*$L67</f>
        <v/>
      </c>
      <c r="AC67" s="15">
        <f>SUMPRODUCT(M67:X67,$M$5:$X$5)*$K67*$L67</f>
        <v/>
      </c>
      <c r="AD67" s="15">
        <f>SUMPRODUCT(M67:X67,$M$6:$X$6)*$K67*$L67</f>
        <v/>
      </c>
      <c r="AE67" s="19" t="n"/>
    </row>
    <row r="68">
      <c r="A68" s="9" t="n">
        <v>601713</v>
      </c>
      <c r="B68" s="9" t="inlineStr">
        <is>
          <t>Nick Pivetta</t>
        </is>
      </c>
      <c r="C68" s="9" t="inlineStr">
        <is>
          <t>SD</t>
        </is>
      </c>
      <c r="D68" s="9" t="n">
        <v>34</v>
      </c>
      <c r="E68" s="17" t="inlineStr">
        <is>
          <t>R</t>
        </is>
      </c>
      <c r="F68" s="17" t="n"/>
      <c r="G68" s="9" t="n">
        <v>66</v>
      </c>
      <c r="H68" s="9" t="n">
        <v>2742</v>
      </c>
      <c r="I68" s="9" t="inlineStr">
        <is>
          <t>Mid-Rotation Starter (SP2-3)</t>
        </is>
      </c>
      <c r="J68" s="17" t="inlineStr">
        <is>
          <t>Opening Day</t>
        </is>
      </c>
      <c r="K68" s="11">
        <f>IFERROR(INDEX(Roles!$B$17:$B$20,MATCH(J68,Roles!$A$17:$A$20,0)),1)</f>
        <v/>
      </c>
      <c r="L68" s="18" t="n">
        <v>1</v>
      </c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3">
        <f>SUMPRODUCT(M68:X68,$M$2:$X$2)*$K68*$L68</f>
        <v/>
      </c>
      <c r="Z68" s="14">
        <f>SUM(M68:X68)</f>
        <v/>
      </c>
      <c r="AA68" s="13">
        <f>SUMPRODUCT(M68:X68,$M$3:$X$3)*$K68*$L68</f>
        <v/>
      </c>
      <c r="AB68" s="13">
        <f>SUMPRODUCT(M68:X68,$M$4:$X$4)*$K68*$L68</f>
        <v/>
      </c>
      <c r="AC68" s="15">
        <f>SUMPRODUCT(M68:X68,$M$5:$X$5)*$K68*$L68</f>
        <v/>
      </c>
      <c r="AD68" s="15">
        <f>SUMPRODUCT(M68:X68,$M$6:$X$6)*$K68*$L68</f>
        <v/>
      </c>
      <c r="AE68" s="19" t="n"/>
    </row>
    <row r="69">
      <c r="A69" s="9" t="n">
        <v>445276</v>
      </c>
      <c r="B69" s="9" t="inlineStr">
        <is>
          <t>Kenley Jansen</t>
        </is>
      </c>
      <c r="C69" s="9" t="inlineStr">
        <is>
          <t>DET</t>
        </is>
      </c>
      <c r="D69" s="9" t="n">
        <v>39</v>
      </c>
      <c r="E69" s="17" t="inlineStr">
        <is>
          <t>R</t>
        </is>
      </c>
      <c r="F69" s="17" t="n"/>
      <c r="G69" s="9" t="n">
        <v>62</v>
      </c>
      <c r="H69" s="9" t="n">
        <v>962</v>
      </c>
      <c r="I69" s="9" t="inlineStr">
        <is>
          <t>Bullpen Depth Arm</t>
        </is>
      </c>
      <c r="J69" s="17" t="inlineStr">
        <is>
          <t>Opening Day</t>
        </is>
      </c>
      <c r="K69" s="11">
        <f>IFERROR(INDEX(Roles!$B$17:$B$20,MATCH(J69,Roles!$A$17:$A$20,0)),1)</f>
        <v/>
      </c>
      <c r="L69" s="18" t="n">
        <v>1</v>
      </c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3">
        <f>SUMPRODUCT(M69:X69,$M$2:$X$2)*$K69*$L69</f>
        <v/>
      </c>
      <c r="Z69" s="14">
        <f>SUM(M69:X69)</f>
        <v/>
      </c>
      <c r="AA69" s="13">
        <f>SUMPRODUCT(M69:X69,$M$3:$X$3)*$K69*$L69</f>
        <v/>
      </c>
      <c r="AB69" s="13">
        <f>SUMPRODUCT(M69:X69,$M$4:$X$4)*$K69*$L69</f>
        <v/>
      </c>
      <c r="AC69" s="15">
        <f>SUMPRODUCT(M69:X69,$M$5:$X$5)*$K69*$L69</f>
        <v/>
      </c>
      <c r="AD69" s="15">
        <f>SUMPRODUCT(M69:X69,$M$6:$X$6)*$K69*$L69</f>
        <v/>
      </c>
      <c r="AE69" s="19" t="n"/>
    </row>
    <row r="70">
      <c r="A70" s="9" t="n">
        <v>600917</v>
      </c>
      <c r="B70" s="9" t="inlineStr">
        <is>
          <t>José Leclerc</t>
        </is>
      </c>
      <c r="C70" s="9" t="inlineStr">
        <is>
          <t>OAK</t>
        </is>
      </c>
      <c r="D70" s="9" t="n">
        <v>33</v>
      </c>
      <c r="E70" s="17" t="inlineStr">
        <is>
          <t>R</t>
        </is>
      </c>
      <c r="F70" s="17" t="n"/>
      <c r="G70" s="9" t="n">
        <v>46</v>
      </c>
      <c r="H70" s="9" t="n">
        <v>765</v>
      </c>
      <c r="I70" s="9" t="inlineStr">
        <is>
          <t>Middle Relief</t>
        </is>
      </c>
      <c r="J70" s="17" t="inlineStr">
        <is>
          <t>Opening Day</t>
        </is>
      </c>
      <c r="K70" s="11">
        <f>IFERROR(INDEX(Roles!$B$17:$B$20,MATCH(J70,Roles!$A$17:$A$20,0)),1)</f>
        <v/>
      </c>
      <c r="L70" s="18" t="n">
        <v>1</v>
      </c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3">
        <f>SUMPRODUCT(M70:X70,$M$2:$X$2)*$K70*$L70</f>
        <v/>
      </c>
      <c r="Z70" s="14">
        <f>SUM(M70:X70)</f>
        <v/>
      </c>
      <c r="AA70" s="13">
        <f>SUMPRODUCT(M70:X70,$M$3:$X$3)*$K70*$L70</f>
        <v/>
      </c>
      <c r="AB70" s="13">
        <f>SUMPRODUCT(M70:X70,$M$4:$X$4)*$K70*$L70</f>
        <v/>
      </c>
      <c r="AC70" s="15">
        <f>SUMPRODUCT(M70:X70,$M$5:$X$5)*$K70*$L70</f>
        <v/>
      </c>
      <c r="AD70" s="15">
        <f>SUMPRODUCT(M70:X70,$M$6:$X$6)*$K70*$L70</f>
        <v/>
      </c>
      <c r="AE70" s="19" t="n"/>
    </row>
    <row r="71">
      <c r="A71" s="9" t="n">
        <v>680755</v>
      </c>
      <c r="B71" s="9" t="inlineStr">
        <is>
          <t>Braydon Fisher</t>
        </is>
      </c>
      <c r="C71" s="9" t="inlineStr">
        <is>
          <t>TOR</t>
        </is>
      </c>
      <c r="D71" s="9" t="n">
        <v>26</v>
      </c>
      <c r="E71" s="17" t="inlineStr">
        <is>
          <t>R</t>
        </is>
      </c>
      <c r="F71" s="17" t="n"/>
      <c r="G71" s="9" t="n">
        <v>134</v>
      </c>
      <c r="H71" s="9" t="n">
        <v>336</v>
      </c>
      <c r="I71" s="9" t="inlineStr">
        <is>
          <t>Closer</t>
        </is>
      </c>
      <c r="J71" s="17" t="inlineStr">
        <is>
          <t>Opening Day</t>
        </is>
      </c>
      <c r="K71" s="11">
        <f>IFERROR(INDEX(Roles!$B$17:$B$20,MATCH(J71,Roles!$A$17:$A$20,0)),1)</f>
        <v/>
      </c>
      <c r="L71" s="18" t="n">
        <v>1</v>
      </c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3">
        <f>SUMPRODUCT(M71:X71,$M$2:$X$2)*$K71*$L71</f>
        <v/>
      </c>
      <c r="Z71" s="14">
        <f>SUM(M71:X71)</f>
        <v/>
      </c>
      <c r="AA71" s="13">
        <f>SUMPRODUCT(M71:X71,$M$3:$X$3)*$K71*$L71</f>
        <v/>
      </c>
      <c r="AB71" s="13">
        <f>SUMPRODUCT(M71:X71,$M$4:$X$4)*$K71*$L71</f>
        <v/>
      </c>
      <c r="AC71" s="15">
        <f>SUMPRODUCT(M71:X71,$M$5:$X$5)*$K71*$L71</f>
        <v/>
      </c>
      <c r="AD71" s="15">
        <f>SUMPRODUCT(M71:X71,$M$6:$X$6)*$K71*$L71</f>
        <v/>
      </c>
      <c r="AE71" s="19" t="n"/>
    </row>
    <row r="72">
      <c r="A72" s="9" t="n">
        <v>643410</v>
      </c>
      <c r="B72" s="9" t="inlineStr">
        <is>
          <t>Mark Leiter Jr.</t>
        </is>
      </c>
      <c r="C72" s="9" t="inlineStr">
        <is>
          <t>OAK</t>
        </is>
      </c>
      <c r="D72" s="9" t="n">
        <v>36</v>
      </c>
      <c r="E72" s="17" t="inlineStr">
        <is>
          <t>R</t>
        </is>
      </c>
      <c r="F72" s="17" t="n"/>
      <c r="G72" s="9" t="n">
        <v>120</v>
      </c>
      <c r="H72" s="9" t="n">
        <v>1146</v>
      </c>
      <c r="I72" s="9" t="inlineStr">
        <is>
          <t>Closer</t>
        </is>
      </c>
      <c r="J72" s="17" t="inlineStr">
        <is>
          <t>Opening Day</t>
        </is>
      </c>
      <c r="K72" s="11">
        <f>IFERROR(INDEX(Roles!$B$17:$B$20,MATCH(J72,Roles!$A$17:$A$20,0)),1)</f>
        <v/>
      </c>
      <c r="L72" s="18" t="n">
        <v>1</v>
      </c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3">
        <f>SUMPRODUCT(M72:X72,$M$2:$X$2)*$K72*$L72</f>
        <v/>
      </c>
      <c r="Z72" s="14">
        <f>SUM(M72:X72)</f>
        <v/>
      </c>
      <c r="AA72" s="13">
        <f>SUMPRODUCT(M72:X72,$M$3:$X$3)*$K72*$L72</f>
        <v/>
      </c>
      <c r="AB72" s="13">
        <f>SUMPRODUCT(M72:X72,$M$4:$X$4)*$K72*$L72</f>
        <v/>
      </c>
      <c r="AC72" s="15">
        <f>SUMPRODUCT(M72:X72,$M$5:$X$5)*$K72*$L72</f>
        <v/>
      </c>
      <c r="AD72" s="15">
        <f>SUMPRODUCT(M72:X72,$M$6:$X$6)*$K72*$L72</f>
        <v/>
      </c>
      <c r="AE72" s="19" t="n"/>
    </row>
    <row r="73">
      <c r="A73" s="9" t="n">
        <v>666200</v>
      </c>
      <c r="B73" s="9" t="inlineStr">
        <is>
          <t>Jesús Luzardo</t>
        </is>
      </c>
      <c r="C73" s="9" t="inlineStr">
        <is>
          <t>PHI</t>
        </is>
      </c>
      <c r="D73" s="9" t="n">
        <v>29</v>
      </c>
      <c r="E73" s="17" t="inlineStr">
        <is>
          <t>L</t>
        </is>
      </c>
      <c r="F73" s="17" t="n"/>
      <c r="G73" s="9" t="n">
        <v>312</v>
      </c>
      <c r="H73" s="9" t="n">
        <v>2485</v>
      </c>
      <c r="I73" s="9" t="inlineStr">
        <is>
          <t>Mid-Rotation Starter (SP2-3)</t>
        </is>
      </c>
      <c r="J73" s="17" t="inlineStr">
        <is>
          <t>Opening Day</t>
        </is>
      </c>
      <c r="K73" s="11">
        <f>IFERROR(INDEX(Roles!$B$17:$B$20,MATCH(J73,Roles!$A$17:$A$20,0)),1)</f>
        <v/>
      </c>
      <c r="L73" s="18" t="n">
        <v>1</v>
      </c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3">
        <f>SUMPRODUCT(M73:X73,$M$2:$X$2)*$K73*$L73</f>
        <v/>
      </c>
      <c r="Z73" s="14">
        <f>SUM(M73:X73)</f>
        <v/>
      </c>
      <c r="AA73" s="13">
        <f>SUMPRODUCT(M73:X73,$M$3:$X$3)*$K73*$L73</f>
        <v/>
      </c>
      <c r="AB73" s="13">
        <f>SUMPRODUCT(M73:X73,$M$4:$X$4)*$K73*$L73</f>
        <v/>
      </c>
      <c r="AC73" s="15">
        <f>SUMPRODUCT(M73:X73,$M$5:$X$5)*$K73*$L73</f>
        <v/>
      </c>
      <c r="AD73" s="15">
        <f>SUMPRODUCT(M73:X73,$M$6:$X$6)*$K73*$L73</f>
        <v/>
      </c>
      <c r="AE73" s="19" t="n"/>
    </row>
    <row r="74">
      <c r="A74" s="9" t="n">
        <v>690997</v>
      </c>
      <c r="B74" s="9" t="inlineStr">
        <is>
          <t>Nolan McLean</t>
        </is>
      </c>
      <c r="C74" s="9" t="inlineStr">
        <is>
          <t>NYM</t>
        </is>
      </c>
      <c r="D74" s="9" t="n">
        <v>25</v>
      </c>
      <c r="E74" s="17" t="inlineStr">
        <is>
          <t>R</t>
        </is>
      </c>
      <c r="F74" s="17" t="n"/>
      <c r="G74" s="9" t="n">
        <v>299</v>
      </c>
      <c r="H74" s="9" t="n">
        <v>487</v>
      </c>
      <c r="I74" s="9" t="inlineStr">
        <is>
          <t>Mid-Rotation Starter (SP2-3)</t>
        </is>
      </c>
      <c r="J74" s="17" t="inlineStr">
        <is>
          <t>Opening Day</t>
        </is>
      </c>
      <c r="K74" s="11">
        <f>IFERROR(INDEX(Roles!$B$17:$B$20,MATCH(J74,Roles!$A$17:$A$20,0)),1)</f>
        <v/>
      </c>
      <c r="L74" s="18" t="n">
        <v>1</v>
      </c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3">
        <f>SUMPRODUCT(M74:X74,$M$2:$X$2)*$K74*$L74</f>
        <v/>
      </c>
      <c r="Z74" s="14">
        <f>SUM(M74:X74)</f>
        <v/>
      </c>
      <c r="AA74" s="13">
        <f>SUMPRODUCT(M74:X74,$M$3:$X$3)*$K74*$L74</f>
        <v/>
      </c>
      <c r="AB74" s="13">
        <f>SUMPRODUCT(M74:X74,$M$4:$X$4)*$K74*$L74</f>
        <v/>
      </c>
      <c r="AC74" s="15">
        <f>SUMPRODUCT(M74:X74,$M$5:$X$5)*$K74*$L74</f>
        <v/>
      </c>
      <c r="AD74" s="15">
        <f>SUMPRODUCT(M74:X74,$M$6:$X$6)*$K74*$L74</f>
        <v/>
      </c>
      <c r="AE74" s="19" t="n"/>
    </row>
    <row r="75">
      <c r="A75" s="9" t="n">
        <v>691587</v>
      </c>
      <c r="B75" s="9" t="inlineStr">
        <is>
          <t>Eury Pérez</t>
        </is>
      </c>
      <c r="C75" s="9" t="inlineStr">
        <is>
          <t>MIA</t>
        </is>
      </c>
      <c r="D75" s="9" t="n">
        <v>24</v>
      </c>
      <c r="E75" s="17" t="inlineStr">
        <is>
          <t>R</t>
        </is>
      </c>
      <c r="F75" s="17" t="n"/>
      <c r="G75" s="9" t="n">
        <v>265</v>
      </c>
      <c r="H75" s="9" t="n">
        <v>1024</v>
      </c>
      <c r="I75" s="9" t="inlineStr">
        <is>
          <t>End-of-Rotation Starter (SP4-5)</t>
        </is>
      </c>
      <c r="J75" s="17" t="inlineStr">
        <is>
          <t>Opening Day</t>
        </is>
      </c>
      <c r="K75" s="11">
        <f>IFERROR(INDEX(Roles!$B$17:$B$20,MATCH(J75,Roles!$A$17:$A$20,0)),1)</f>
        <v/>
      </c>
      <c r="L75" s="18" t="n">
        <v>1</v>
      </c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3">
        <f>SUMPRODUCT(M75:X75,$M$2:$X$2)*$K75*$L75</f>
        <v/>
      </c>
      <c r="Z75" s="14">
        <f>SUM(M75:X75)</f>
        <v/>
      </c>
      <c r="AA75" s="13">
        <f>SUMPRODUCT(M75:X75,$M$3:$X$3)*$K75*$L75</f>
        <v/>
      </c>
      <c r="AB75" s="13">
        <f>SUMPRODUCT(M75:X75,$M$4:$X$4)*$K75*$L75</f>
        <v/>
      </c>
      <c r="AC75" s="15">
        <f>SUMPRODUCT(M75:X75,$M$5:$X$5)*$K75*$L75</f>
        <v/>
      </c>
      <c r="AD75" s="15">
        <f>SUMPRODUCT(M75:X75,$M$6:$X$6)*$K75*$L75</f>
        <v/>
      </c>
      <c r="AE75" s="19" t="n"/>
    </row>
    <row r="76">
      <c r="A76" s="9" t="n">
        <v>678495</v>
      </c>
      <c r="B76" s="9" t="inlineStr">
        <is>
          <t>Randy Rodríguez</t>
        </is>
      </c>
      <c r="C76" s="9" t="inlineStr">
        <is>
          <t>SF</t>
        </is>
      </c>
      <c r="D76" s="9" t="n">
        <v>27</v>
      </c>
      <c r="E76" s="17" t="inlineStr">
        <is>
          <t>R</t>
        </is>
      </c>
      <c r="F76" s="17" t="n"/>
      <c r="G76" s="9" t="n">
        <v>198</v>
      </c>
      <c r="H76" s="9" t="n">
        <v>419</v>
      </c>
      <c r="I76" s="9" t="inlineStr">
        <is>
          <t>Closer</t>
        </is>
      </c>
      <c r="J76" s="17" t="inlineStr">
        <is>
          <t>Opening Day</t>
        </is>
      </c>
      <c r="K76" s="11">
        <f>IFERROR(INDEX(Roles!$B$17:$B$20,MATCH(J76,Roles!$A$17:$A$20,0)),1)</f>
        <v/>
      </c>
      <c r="L76" s="18" t="n">
        <v>1</v>
      </c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3">
        <f>SUMPRODUCT(M76:X76,$M$2:$X$2)*$K76*$L76</f>
        <v/>
      </c>
      <c r="Z76" s="14">
        <f>SUM(M76:X76)</f>
        <v/>
      </c>
      <c r="AA76" s="13">
        <f>SUMPRODUCT(M76:X76,$M$3:$X$3)*$K76*$L76</f>
        <v/>
      </c>
      <c r="AB76" s="13">
        <f>SUMPRODUCT(M76:X76,$M$4:$X$4)*$K76*$L76</f>
        <v/>
      </c>
      <c r="AC76" s="15">
        <f>SUMPRODUCT(M76:X76,$M$5:$X$5)*$K76*$L76</f>
        <v/>
      </c>
      <c r="AD76" s="15">
        <f>SUMPRODUCT(M76:X76,$M$6:$X$6)*$K76*$L76</f>
        <v/>
      </c>
      <c r="AE76" s="19" t="n"/>
    </row>
    <row r="77">
      <c r="A77" s="9" t="n">
        <v>607074</v>
      </c>
      <c r="B77" s="9" t="inlineStr">
        <is>
          <t>Carlos Rodón</t>
        </is>
      </c>
      <c r="C77" s="9" t="inlineStr">
        <is>
          <t>NYY</t>
        </is>
      </c>
      <c r="D77" s="9" t="n">
        <v>34</v>
      </c>
      <c r="E77" s="17" t="inlineStr">
        <is>
          <t>L</t>
        </is>
      </c>
      <c r="F77" s="17" t="n"/>
      <c r="G77" s="9" t="n">
        <v>104</v>
      </c>
      <c r="H77" s="9" t="n">
        <v>2625</v>
      </c>
      <c r="I77" s="9" t="inlineStr">
        <is>
          <t>Mid-Rotation Starter (SP2-3)</t>
        </is>
      </c>
      <c r="J77" s="17" t="inlineStr">
        <is>
          <t>Opening Day</t>
        </is>
      </c>
      <c r="K77" s="11">
        <f>IFERROR(INDEX(Roles!$B$17:$B$20,MATCH(J77,Roles!$A$17:$A$20,0)),1)</f>
        <v/>
      </c>
      <c r="L77" s="18" t="n">
        <v>1</v>
      </c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3">
        <f>SUMPRODUCT(M77:X77,$M$2:$X$2)*$K77*$L77</f>
        <v/>
      </c>
      <c r="Z77" s="14">
        <f>SUM(M77:X77)</f>
        <v/>
      </c>
      <c r="AA77" s="13">
        <f>SUMPRODUCT(M77:X77,$M$3:$X$3)*$K77*$L77</f>
        <v/>
      </c>
      <c r="AB77" s="13">
        <f>SUMPRODUCT(M77:X77,$M$4:$X$4)*$K77*$L77</f>
        <v/>
      </c>
      <c r="AC77" s="15">
        <f>SUMPRODUCT(M77:X77,$M$5:$X$5)*$K77*$L77</f>
        <v/>
      </c>
      <c r="AD77" s="15">
        <f>SUMPRODUCT(M77:X77,$M$6:$X$6)*$K77*$L77</f>
        <v/>
      </c>
      <c r="AE77" s="19" t="n"/>
    </row>
    <row r="78">
      <c r="A78" s="9" t="n">
        <v>641329</v>
      </c>
      <c r="B78" s="9" t="inlineStr">
        <is>
          <t>Bryan Baker</t>
        </is>
      </c>
      <c r="C78" s="9" t="inlineStr">
        <is>
          <t>TB</t>
        </is>
      </c>
      <c r="D78" s="9" t="n">
        <v>32</v>
      </c>
      <c r="E78" s="17" t="inlineStr">
        <is>
          <t>R</t>
        </is>
      </c>
      <c r="F78" s="17" t="n"/>
      <c r="G78" s="9" t="n">
        <v>109</v>
      </c>
      <c r="H78" s="9" t="n">
        <v>953</v>
      </c>
      <c r="I78" s="9" t="inlineStr">
        <is>
          <t>Bullpen Depth Arm</t>
        </is>
      </c>
      <c r="J78" s="17" t="inlineStr">
        <is>
          <t>Opening Day</t>
        </is>
      </c>
      <c r="K78" s="11">
        <f>IFERROR(INDEX(Roles!$B$17:$B$20,MATCH(J78,Roles!$A$17:$A$20,0)),1)</f>
        <v/>
      </c>
      <c r="L78" s="18" t="n">
        <v>1</v>
      </c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3">
        <f>SUMPRODUCT(M78:X78,$M$2:$X$2)*$K78*$L78</f>
        <v/>
      </c>
      <c r="Z78" s="14">
        <f>SUM(M78:X78)</f>
        <v/>
      </c>
      <c r="AA78" s="13">
        <f>SUMPRODUCT(M78:X78,$M$3:$X$3)*$K78*$L78</f>
        <v/>
      </c>
      <c r="AB78" s="13">
        <f>SUMPRODUCT(M78:X78,$M$4:$X$4)*$K78*$L78</f>
        <v/>
      </c>
      <c r="AC78" s="15">
        <f>SUMPRODUCT(M78:X78,$M$5:$X$5)*$K78*$L78</f>
        <v/>
      </c>
      <c r="AD78" s="15">
        <f>SUMPRODUCT(M78:X78,$M$6:$X$6)*$K78*$L78</f>
        <v/>
      </c>
      <c r="AE78" s="19" t="n"/>
    </row>
    <row r="79">
      <c r="A79" s="9" t="n">
        <v>596112</v>
      </c>
      <c r="B79" s="9" t="inlineStr">
        <is>
          <t>Robert Stephenson</t>
        </is>
      </c>
      <c r="C79" s="9" t="inlineStr">
        <is>
          <t>LAA</t>
        </is>
      </c>
      <c r="D79" s="9" t="n">
        <v>34</v>
      </c>
      <c r="E79" s="17" t="inlineStr">
        <is>
          <t>R</t>
        </is>
      </c>
      <c r="F79" s="17" t="n"/>
      <c r="G79" s="9" t="n">
        <v>42</v>
      </c>
      <c r="H79" s="9" t="n">
        <v>490</v>
      </c>
      <c r="I79" s="9" t="inlineStr">
        <is>
          <t>Closer</t>
        </is>
      </c>
      <c r="J79" s="17" t="inlineStr">
        <is>
          <t>Opening Day</t>
        </is>
      </c>
      <c r="K79" s="11">
        <f>IFERROR(INDEX(Roles!$B$17:$B$20,MATCH(J79,Roles!$A$17:$A$20,0)),1)</f>
        <v/>
      </c>
      <c r="L79" s="18" t="n">
        <v>1</v>
      </c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3">
        <f>SUMPRODUCT(M79:X79,$M$2:$X$2)*$K79*$L79</f>
        <v/>
      </c>
      <c r="Z79" s="14">
        <f>SUM(M79:X79)</f>
        <v/>
      </c>
      <c r="AA79" s="13">
        <f>SUMPRODUCT(M79:X79,$M$3:$X$3)*$K79*$L79</f>
        <v/>
      </c>
      <c r="AB79" s="13">
        <f>SUMPRODUCT(M79:X79,$M$4:$X$4)*$K79*$L79</f>
        <v/>
      </c>
      <c r="AC79" s="15">
        <f>SUMPRODUCT(M79:X79,$M$5:$X$5)*$K79*$L79</f>
        <v/>
      </c>
      <c r="AD79" s="15">
        <f>SUMPRODUCT(M79:X79,$M$6:$X$6)*$K79*$L79</f>
        <v/>
      </c>
      <c r="AE79" s="19" t="n"/>
    </row>
    <row r="80">
      <c r="A80" s="9" t="n">
        <v>682842</v>
      </c>
      <c r="B80" s="9" t="inlineStr">
        <is>
          <t>Abner Uribe</t>
        </is>
      </c>
      <c r="C80" s="9" t="inlineStr">
        <is>
          <t>MIL</t>
        </is>
      </c>
      <c r="D80" s="9" t="n">
        <v>27</v>
      </c>
      <c r="E80" s="17" t="inlineStr">
        <is>
          <t>R</t>
        </is>
      </c>
      <c r="F80" s="17" t="n"/>
      <c r="G80" s="9" t="n">
        <v>100</v>
      </c>
      <c r="H80" s="9" t="n">
        <v>591</v>
      </c>
      <c r="I80" s="9" t="inlineStr">
        <is>
          <t>Late Inning RP (Setup)</t>
        </is>
      </c>
      <c r="J80" s="17" t="inlineStr">
        <is>
          <t>Opening Day</t>
        </is>
      </c>
      <c r="K80" s="11">
        <f>IFERROR(INDEX(Roles!$B$17:$B$20,MATCH(J80,Roles!$A$17:$A$20,0)),1)</f>
        <v/>
      </c>
      <c r="L80" s="18" t="n">
        <v>1</v>
      </c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3">
        <f>SUMPRODUCT(M80:X80,$M$2:$X$2)*$K80*$L80</f>
        <v/>
      </c>
      <c r="Z80" s="14">
        <f>SUM(M80:X80)</f>
        <v/>
      </c>
      <c r="AA80" s="13">
        <f>SUMPRODUCT(M80:X80,$M$3:$X$3)*$K80*$L80</f>
        <v/>
      </c>
      <c r="AB80" s="13">
        <f>SUMPRODUCT(M80:X80,$M$4:$X$4)*$K80*$L80</f>
        <v/>
      </c>
      <c r="AC80" s="15">
        <f>SUMPRODUCT(M80:X80,$M$5:$X$5)*$K80*$L80</f>
        <v/>
      </c>
      <c r="AD80" s="15">
        <f>SUMPRODUCT(M80:X80,$M$6:$X$6)*$K80*$L80</f>
        <v/>
      </c>
      <c r="AE80" s="19" t="n"/>
    </row>
    <row r="81">
      <c r="A81" s="9" t="n">
        <v>681895</v>
      </c>
      <c r="B81" s="9" t="inlineStr">
        <is>
          <t>Evan Sisk</t>
        </is>
      </c>
      <c r="C81" s="9" t="inlineStr">
        <is>
          <t>PIT</t>
        </is>
      </c>
      <c r="D81" s="9" t="n">
        <v>30</v>
      </c>
      <c r="E81" s="17" t="inlineStr">
        <is>
          <t>L</t>
        </is>
      </c>
      <c r="F81" s="17" t="n"/>
      <c r="G81" s="9" t="n">
        <v>111</v>
      </c>
      <c r="H81" s="9" t="n">
        <v>191</v>
      </c>
      <c r="I81" s="9" t="inlineStr">
        <is>
          <t>Middle Relief</t>
        </is>
      </c>
      <c r="J81" s="17" t="inlineStr">
        <is>
          <t>Opening Day</t>
        </is>
      </c>
      <c r="K81" s="11">
        <f>IFERROR(INDEX(Roles!$B$17:$B$20,MATCH(J81,Roles!$A$17:$A$20,0)),1)</f>
        <v/>
      </c>
      <c r="L81" s="18" t="n">
        <v>1</v>
      </c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3">
        <f>SUMPRODUCT(M81:X81,$M$2:$X$2)*$K81*$L81</f>
        <v/>
      </c>
      <c r="Z81" s="14">
        <f>SUM(M81:X81)</f>
        <v/>
      </c>
      <c r="AA81" s="13">
        <f>SUMPRODUCT(M81:X81,$M$3:$X$3)*$K81*$L81</f>
        <v/>
      </c>
      <c r="AB81" s="13">
        <f>SUMPRODUCT(M81:X81,$M$4:$X$4)*$K81*$L81</f>
        <v/>
      </c>
      <c r="AC81" s="15">
        <f>SUMPRODUCT(M81:X81,$M$5:$X$5)*$K81*$L81</f>
        <v/>
      </c>
      <c r="AD81" s="15">
        <f>SUMPRODUCT(M81:X81,$M$6:$X$6)*$K81*$L81</f>
        <v/>
      </c>
      <c r="AE81" s="19" t="n"/>
    </row>
    <row r="82">
      <c r="A82" s="9" t="n">
        <v>686613</v>
      </c>
      <c r="B82" s="9" t="inlineStr">
        <is>
          <t>Hunter Brown</t>
        </is>
      </c>
      <c r="C82" s="9" t="inlineStr">
        <is>
          <t>HOU</t>
        </is>
      </c>
      <c r="D82" s="9" t="n">
        <v>28</v>
      </c>
      <c r="E82" s="17" t="inlineStr">
        <is>
          <t>R</t>
        </is>
      </c>
      <c r="F82" s="17" t="n"/>
      <c r="G82" s="9" t="n">
        <v>43</v>
      </c>
      <c r="H82" s="9" t="n">
        <v>2229</v>
      </c>
      <c r="I82" s="9" t="inlineStr">
        <is>
          <t>Mid-Rotation Starter (SP2-3)</t>
        </is>
      </c>
      <c r="J82" s="17" t="inlineStr">
        <is>
          <t>Opening Day</t>
        </is>
      </c>
      <c r="K82" s="11">
        <f>IFERROR(INDEX(Roles!$B$17:$B$20,MATCH(J82,Roles!$A$17:$A$20,0)),1)</f>
        <v/>
      </c>
      <c r="L82" s="18" t="n">
        <v>1</v>
      </c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3">
        <f>SUMPRODUCT(M82:X82,$M$2:$X$2)*$K82*$L82</f>
        <v/>
      </c>
      <c r="Z82" s="14">
        <f>SUM(M82:X82)</f>
        <v/>
      </c>
      <c r="AA82" s="13">
        <f>SUMPRODUCT(M82:X82,$M$3:$X$3)*$K82*$L82</f>
        <v/>
      </c>
      <c r="AB82" s="13">
        <f>SUMPRODUCT(M82:X82,$M$4:$X$4)*$K82*$L82</f>
        <v/>
      </c>
      <c r="AC82" s="15">
        <f>SUMPRODUCT(M82:X82,$M$5:$X$5)*$K82*$L82</f>
        <v/>
      </c>
      <c r="AD82" s="15">
        <f>SUMPRODUCT(M82:X82,$M$6:$X$6)*$K82*$L82</f>
        <v/>
      </c>
      <c r="AE82" s="19" t="n"/>
    </row>
    <row r="83">
      <c r="A83" s="9" t="n">
        <v>678692</v>
      </c>
      <c r="B83" s="9" t="inlineStr">
        <is>
          <t>Ronny Henriquez</t>
        </is>
      </c>
      <c r="C83" s="9" t="inlineStr">
        <is>
          <t>MIA</t>
        </is>
      </c>
      <c r="D83" s="9" t="n">
        <v>27</v>
      </c>
      <c r="E83" s="17" t="inlineStr">
        <is>
          <t>R</t>
        </is>
      </c>
      <c r="F83" s="17" t="n"/>
      <c r="G83" s="9" t="n">
        <v>303</v>
      </c>
      <c r="H83" s="9" t="n">
        <v>435</v>
      </c>
      <c r="I83" s="9" t="inlineStr">
        <is>
          <t>Middle Relief</t>
        </is>
      </c>
      <c r="J83" s="17" t="inlineStr">
        <is>
          <t>Opening Day</t>
        </is>
      </c>
      <c r="K83" s="11">
        <f>IFERROR(INDEX(Roles!$B$17:$B$20,MATCH(J83,Roles!$A$17:$A$20,0)),1)</f>
        <v/>
      </c>
      <c r="L83" s="18" t="n">
        <v>1</v>
      </c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3">
        <f>SUMPRODUCT(M83:X83,$M$2:$X$2)*$K83*$L83</f>
        <v/>
      </c>
      <c r="Z83" s="14">
        <f>SUM(M83:X83)</f>
        <v/>
      </c>
      <c r="AA83" s="13">
        <f>SUMPRODUCT(M83:X83,$M$3:$X$3)*$K83*$L83</f>
        <v/>
      </c>
      <c r="AB83" s="13">
        <f>SUMPRODUCT(M83:X83,$M$4:$X$4)*$K83*$L83</f>
        <v/>
      </c>
      <c r="AC83" s="15">
        <f>SUMPRODUCT(M83:X83,$M$5:$X$5)*$K83*$L83</f>
        <v/>
      </c>
      <c r="AD83" s="15">
        <f>SUMPRODUCT(M83:X83,$M$6:$X$6)*$K83*$L83</f>
        <v/>
      </c>
      <c r="AE83" s="19" t="n"/>
    </row>
    <row r="84">
      <c r="A84" s="9" t="n">
        <v>693645</v>
      </c>
      <c r="B84" s="9" t="inlineStr">
        <is>
          <t>Cam Schlittler</t>
        </is>
      </c>
      <c r="C84" s="9" t="inlineStr">
        <is>
          <t>NYY</t>
        </is>
      </c>
      <c r="D84" s="9" t="n">
        <v>26</v>
      </c>
      <c r="E84" s="17" t="inlineStr">
        <is>
          <t>R</t>
        </is>
      </c>
      <c r="F84" s="17" t="n"/>
      <c r="G84" s="9" t="n">
        <v>317</v>
      </c>
      <c r="H84" s="9" t="n">
        <v>621</v>
      </c>
      <c r="I84" s="9" t="inlineStr">
        <is>
          <t>Mid-Rotation Starter (SP2-3)</t>
        </is>
      </c>
      <c r="J84" s="17" t="inlineStr">
        <is>
          <t>Opening Day</t>
        </is>
      </c>
      <c r="K84" s="11">
        <f>IFERROR(INDEX(Roles!$B$17:$B$20,MATCH(J84,Roles!$A$17:$A$20,0)),1)</f>
        <v/>
      </c>
      <c r="L84" s="18" t="n">
        <v>1</v>
      </c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3">
        <f>SUMPRODUCT(M84:X84,$M$2:$X$2)*$K84*$L84</f>
        <v/>
      </c>
      <c r="Z84" s="14">
        <f>SUM(M84:X84)</f>
        <v/>
      </c>
      <c r="AA84" s="13">
        <f>SUMPRODUCT(M84:X84,$M$3:$X$3)*$K84*$L84</f>
        <v/>
      </c>
      <c r="AB84" s="13">
        <f>SUMPRODUCT(M84:X84,$M$4:$X$4)*$K84*$L84</f>
        <v/>
      </c>
      <c r="AC84" s="15">
        <f>SUMPRODUCT(M84:X84,$M$5:$X$5)*$K84*$L84</f>
        <v/>
      </c>
      <c r="AD84" s="15">
        <f>SUMPRODUCT(M84:X84,$M$6:$X$6)*$K84*$L84</f>
        <v/>
      </c>
      <c r="AE84" s="19" t="n"/>
    </row>
    <row r="85">
      <c r="A85" s="9" t="n">
        <v>521230</v>
      </c>
      <c r="B85" s="9" t="inlineStr">
        <is>
          <t>Liam Hendriks</t>
        </is>
      </c>
      <c r="C85" s="9" t="inlineStr">
        <is>
          <t>BOS</t>
        </is>
      </c>
      <c r="D85" s="9" t="n">
        <v>38</v>
      </c>
      <c r="E85" s="17" t="inlineStr">
        <is>
          <t>R</t>
        </is>
      </c>
      <c r="F85" s="17" t="n"/>
      <c r="G85" s="9" t="n">
        <v>59</v>
      </c>
      <c r="H85" s="9" t="n">
        <v>314</v>
      </c>
      <c r="I85" s="9" t="inlineStr">
        <is>
          <t>Bullpen Depth Arm</t>
        </is>
      </c>
      <c r="J85" s="17" t="inlineStr">
        <is>
          <t>Opening Day</t>
        </is>
      </c>
      <c r="K85" s="11">
        <f>IFERROR(INDEX(Roles!$B$17:$B$20,MATCH(J85,Roles!$A$17:$A$20,0)),1)</f>
        <v/>
      </c>
      <c r="L85" s="18" t="n">
        <v>1</v>
      </c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3">
        <f>SUMPRODUCT(M85:X85,$M$2:$X$2)*$K85*$L85</f>
        <v/>
      </c>
      <c r="Z85" s="14">
        <f>SUM(M85:X85)</f>
        <v/>
      </c>
      <c r="AA85" s="13">
        <f>SUMPRODUCT(M85:X85,$M$3:$X$3)*$K85*$L85</f>
        <v/>
      </c>
      <c r="AB85" s="13">
        <f>SUMPRODUCT(M85:X85,$M$4:$X$4)*$K85*$L85</f>
        <v/>
      </c>
      <c r="AC85" s="15">
        <f>SUMPRODUCT(M85:X85,$M$5:$X$5)*$K85*$L85</f>
        <v/>
      </c>
      <c r="AD85" s="15">
        <f>SUMPRODUCT(M85:X85,$M$6:$X$6)*$K85*$L85</f>
        <v/>
      </c>
      <c r="AE85" s="19" t="n"/>
    </row>
    <row r="86">
      <c r="A86" s="9" t="n">
        <v>572955</v>
      </c>
      <c r="B86" s="9" t="inlineStr">
        <is>
          <t>Pierce Johnson</t>
        </is>
      </c>
      <c r="C86" s="9" t="inlineStr">
        <is>
          <t>CIN</t>
        </is>
      </c>
      <c r="D86" s="9" t="n">
        <v>36</v>
      </c>
      <c r="E86" s="17" t="inlineStr">
        <is>
          <t>R</t>
        </is>
      </c>
      <c r="F86" s="17" t="n"/>
      <c r="G86" s="9" t="n">
        <v>92</v>
      </c>
      <c r="H86" s="9" t="n">
        <v>907</v>
      </c>
      <c r="I86" s="9" t="inlineStr">
        <is>
          <t>Middle Relief</t>
        </is>
      </c>
      <c r="J86" s="17" t="inlineStr">
        <is>
          <t>Opening Day</t>
        </is>
      </c>
      <c r="K86" s="11">
        <f>IFERROR(INDEX(Roles!$B$17:$B$20,MATCH(J86,Roles!$A$17:$A$20,0)),1)</f>
        <v/>
      </c>
      <c r="L86" s="18" t="n">
        <v>1</v>
      </c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3">
        <f>SUMPRODUCT(M86:X86,$M$2:$X$2)*$K86*$L86</f>
        <v/>
      </c>
      <c r="Z86" s="14">
        <f>SUM(M86:X86)</f>
        <v/>
      </c>
      <c r="AA86" s="13">
        <f>SUMPRODUCT(M86:X86,$M$3:$X$3)*$K86*$L86</f>
        <v/>
      </c>
      <c r="AB86" s="13">
        <f>SUMPRODUCT(M86:X86,$M$4:$X$4)*$K86*$L86</f>
        <v/>
      </c>
      <c r="AC86" s="15">
        <f>SUMPRODUCT(M86:X86,$M$5:$X$5)*$K86*$L86</f>
        <v/>
      </c>
      <c r="AD86" s="15">
        <f>SUMPRODUCT(M86:X86,$M$6:$X$6)*$K86*$L86</f>
        <v/>
      </c>
      <c r="AE86" s="19" t="n"/>
    </row>
    <row r="87">
      <c r="A87" s="9" t="n">
        <v>663558</v>
      </c>
      <c r="B87" s="9" t="inlineStr">
        <is>
          <t>Jovani Morán</t>
        </is>
      </c>
      <c r="C87" s="9" t="inlineStr">
        <is>
          <t>BOS</t>
        </is>
      </c>
      <c r="D87" s="9" t="n">
        <v>30</v>
      </c>
      <c r="E87" s="17" t="inlineStr">
        <is>
          <t>L</t>
        </is>
      </c>
      <c r="F87" s="17" t="n"/>
      <c r="G87" s="9" t="n">
        <v>134</v>
      </c>
      <c r="H87" s="9" t="n">
        <v>502</v>
      </c>
      <c r="I87" s="9" t="inlineStr">
        <is>
          <t>Bullpen Depth Arm</t>
        </is>
      </c>
      <c r="J87" s="17" t="inlineStr">
        <is>
          <t>Opening Day</t>
        </is>
      </c>
      <c r="K87" s="11">
        <f>IFERROR(INDEX(Roles!$B$17:$B$20,MATCH(J87,Roles!$A$17:$A$20,0)),1)</f>
        <v/>
      </c>
      <c r="L87" s="18" t="n">
        <v>1</v>
      </c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3">
        <f>SUMPRODUCT(M87:X87,$M$2:$X$2)*$K87*$L87</f>
        <v/>
      </c>
      <c r="Z87" s="14">
        <f>SUM(M87:X87)</f>
        <v/>
      </c>
      <c r="AA87" s="13">
        <f>SUMPRODUCT(M87:X87,$M$3:$X$3)*$K87*$L87</f>
        <v/>
      </c>
      <c r="AB87" s="13">
        <f>SUMPRODUCT(M87:X87,$M$4:$X$4)*$K87*$L87</f>
        <v/>
      </c>
      <c r="AC87" s="15">
        <f>SUMPRODUCT(M87:X87,$M$5:$X$5)*$K87*$L87</f>
        <v/>
      </c>
      <c r="AD87" s="15">
        <f>SUMPRODUCT(M87:X87,$M$6:$X$6)*$K87*$L87</f>
        <v/>
      </c>
      <c r="AE87" s="19" t="n"/>
    </row>
    <row r="88">
      <c r="A88" s="9" t="n">
        <v>686218</v>
      </c>
      <c r="B88" s="9" t="inlineStr">
        <is>
          <t>Emmet Sheehan</t>
        </is>
      </c>
      <c r="C88" s="9" t="inlineStr">
        <is>
          <t>LAD</t>
        </is>
      </c>
      <c r="D88" s="9" t="n">
        <v>27</v>
      </c>
      <c r="E88" s="17" t="inlineStr">
        <is>
          <t>R</t>
        </is>
      </c>
      <c r="F88" s="17" t="n"/>
      <c r="G88" s="9" t="n">
        <v>248</v>
      </c>
      <c r="H88" s="9" t="n">
        <v>787</v>
      </c>
      <c r="I88" s="9" t="inlineStr">
        <is>
          <t>End-of-Rotation Starter (SP4-5)</t>
        </is>
      </c>
      <c r="J88" s="17" t="inlineStr">
        <is>
          <t>Opening Day</t>
        </is>
      </c>
      <c r="K88" s="11">
        <f>IFERROR(INDEX(Roles!$B$17:$B$20,MATCH(J88,Roles!$A$17:$A$20,0)),1)</f>
        <v/>
      </c>
      <c r="L88" s="18" t="n">
        <v>1</v>
      </c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3">
        <f>SUMPRODUCT(M88:X88,$M$2:$X$2)*$K88*$L88</f>
        <v/>
      </c>
      <c r="Z88" s="14">
        <f>SUM(M88:X88)</f>
        <v/>
      </c>
      <c r="AA88" s="13">
        <f>SUMPRODUCT(M88:X88,$M$3:$X$3)*$K88*$L88</f>
        <v/>
      </c>
      <c r="AB88" s="13">
        <f>SUMPRODUCT(M88:X88,$M$4:$X$4)*$K88*$L88</f>
        <v/>
      </c>
      <c r="AC88" s="15">
        <f>SUMPRODUCT(M88:X88,$M$5:$X$5)*$K88*$L88</f>
        <v/>
      </c>
      <c r="AD88" s="15">
        <f>SUMPRODUCT(M88:X88,$M$6:$X$6)*$K88*$L88</f>
        <v/>
      </c>
      <c r="AE88" s="19" t="n"/>
    </row>
    <row r="89">
      <c r="A89" s="9" t="n">
        <v>676477</v>
      </c>
      <c r="B89" s="9" t="inlineStr">
        <is>
          <t>Garrett Whitlock</t>
        </is>
      </c>
      <c r="C89" s="9" t="inlineStr">
        <is>
          <t>BOS</t>
        </is>
      </c>
      <c r="D89" s="9" t="n">
        <v>31</v>
      </c>
      <c r="E89" s="17" t="inlineStr">
        <is>
          <t>R</t>
        </is>
      </c>
      <c r="F89" s="17" t="n"/>
      <c r="G89" s="9" t="n">
        <v>85</v>
      </c>
      <c r="H89" s="9" t="n">
        <v>1068</v>
      </c>
      <c r="I89" s="9" t="inlineStr">
        <is>
          <t>Late Inning RP (Setup)</t>
        </is>
      </c>
      <c r="J89" s="17" t="inlineStr">
        <is>
          <t>Opening Day</t>
        </is>
      </c>
      <c r="K89" s="11">
        <f>IFERROR(INDEX(Roles!$B$17:$B$20,MATCH(J89,Roles!$A$17:$A$20,0)),1)</f>
        <v/>
      </c>
      <c r="L89" s="18" t="n">
        <v>1</v>
      </c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3">
        <f>SUMPRODUCT(M89:X89,$M$2:$X$2)*$K89*$L89</f>
        <v/>
      </c>
      <c r="Z89" s="14">
        <f>SUM(M89:X89)</f>
        <v/>
      </c>
      <c r="AA89" s="13">
        <f>SUMPRODUCT(M89:X89,$M$3:$X$3)*$K89*$L89</f>
        <v/>
      </c>
      <c r="AB89" s="13">
        <f>SUMPRODUCT(M89:X89,$M$4:$X$4)*$K89*$L89</f>
        <v/>
      </c>
      <c r="AC89" s="15">
        <f>SUMPRODUCT(M89:X89,$M$5:$X$5)*$K89*$L89</f>
        <v/>
      </c>
      <c r="AD89" s="15">
        <f>SUMPRODUCT(M89:X89,$M$6:$X$6)*$K89*$L89</f>
        <v/>
      </c>
      <c r="AE89" s="19" t="n"/>
    </row>
    <row r="90">
      <c r="A90" s="9" t="n">
        <v>687863</v>
      </c>
      <c r="B90" s="9" t="inlineStr">
        <is>
          <t>Porter Hodge</t>
        </is>
      </c>
      <c r="C90" s="9" t="inlineStr">
        <is>
          <t>CHC</t>
        </is>
      </c>
      <c r="D90" s="9" t="n">
        <v>26</v>
      </c>
      <c r="E90" s="17" t="inlineStr">
        <is>
          <t>R</t>
        </is>
      </c>
      <c r="F90" s="17" t="n"/>
      <c r="G90" s="9" t="n">
        <v>147</v>
      </c>
      <c r="H90" s="9" t="n">
        <v>311</v>
      </c>
      <c r="I90" s="9" t="inlineStr">
        <is>
          <t>Middle Relief</t>
        </is>
      </c>
      <c r="J90" s="17" t="inlineStr">
        <is>
          <t>Opening Day</t>
        </is>
      </c>
      <c r="K90" s="11">
        <f>IFERROR(INDEX(Roles!$B$17:$B$20,MATCH(J90,Roles!$A$17:$A$20,0)),1)</f>
        <v/>
      </c>
      <c r="L90" s="18" t="n">
        <v>1</v>
      </c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3">
        <f>SUMPRODUCT(M90:X90,$M$2:$X$2)*$K90*$L90</f>
        <v/>
      </c>
      <c r="Z90" s="14">
        <f>SUM(M90:X90)</f>
        <v/>
      </c>
      <c r="AA90" s="13">
        <f>SUMPRODUCT(M90:X90,$M$3:$X$3)*$K90*$L90</f>
        <v/>
      </c>
      <c r="AB90" s="13">
        <f>SUMPRODUCT(M90:X90,$M$4:$X$4)*$K90*$L90</f>
        <v/>
      </c>
      <c r="AC90" s="15">
        <f>SUMPRODUCT(M90:X90,$M$5:$X$5)*$K90*$L90</f>
        <v/>
      </c>
      <c r="AD90" s="15">
        <f>SUMPRODUCT(M90:X90,$M$6:$X$6)*$K90*$L90</f>
        <v/>
      </c>
      <c r="AE90" s="19" t="n"/>
    </row>
    <row r="91">
      <c r="A91" s="9" t="n">
        <v>622554</v>
      </c>
      <c r="B91" s="9" t="inlineStr">
        <is>
          <t>Seranthony Domínguez</t>
        </is>
      </c>
      <c r="C91" s="9" t="inlineStr">
        <is>
          <t>CWS</t>
        </is>
      </c>
      <c r="D91" s="9" t="n">
        <v>32</v>
      </c>
      <c r="E91" s="17" t="inlineStr">
        <is>
          <t>R</t>
        </is>
      </c>
      <c r="F91" s="17" t="n"/>
      <c r="G91" s="9" t="n">
        <v>102</v>
      </c>
      <c r="H91" s="9" t="n">
        <v>1049</v>
      </c>
      <c r="I91" s="9" t="inlineStr">
        <is>
          <t>Late Inning RP (Setup)</t>
        </is>
      </c>
      <c r="J91" s="17" t="inlineStr">
        <is>
          <t>Opening Day</t>
        </is>
      </c>
      <c r="K91" s="11">
        <f>IFERROR(INDEX(Roles!$B$17:$B$20,MATCH(J91,Roles!$A$17:$A$20,0)),1)</f>
        <v/>
      </c>
      <c r="L91" s="18" t="n">
        <v>1</v>
      </c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3">
        <f>SUMPRODUCT(M91:X91,$M$2:$X$2)*$K91*$L91</f>
        <v/>
      </c>
      <c r="Z91" s="14">
        <f>SUM(M91:X91)</f>
        <v/>
      </c>
      <c r="AA91" s="13">
        <f>SUMPRODUCT(M91:X91,$M$3:$X$3)*$K91*$L91</f>
        <v/>
      </c>
      <c r="AB91" s="13">
        <f>SUMPRODUCT(M91:X91,$M$4:$X$4)*$K91*$L91</f>
        <v/>
      </c>
      <c r="AC91" s="15">
        <f>SUMPRODUCT(M91:X91,$M$5:$X$5)*$K91*$L91</f>
        <v/>
      </c>
      <c r="AD91" s="15">
        <f>SUMPRODUCT(M91:X91,$M$6:$X$6)*$K91*$L91</f>
        <v/>
      </c>
      <c r="AE91" s="19" t="n"/>
    </row>
    <row r="92">
      <c r="A92" s="9" t="n">
        <v>650633</v>
      </c>
      <c r="B92" s="9" t="inlineStr">
        <is>
          <t>Michael King</t>
        </is>
      </c>
      <c r="C92" s="9" t="inlineStr">
        <is>
          <t>SD</t>
        </is>
      </c>
      <c r="D92" s="9" t="n">
        <v>32</v>
      </c>
      <c r="E92" s="17" t="inlineStr">
        <is>
          <t>R</t>
        </is>
      </c>
      <c r="F92" s="17" t="n"/>
      <c r="G92" s="9" t="n">
        <v>296</v>
      </c>
      <c r="H92" s="9" t="n">
        <v>1960</v>
      </c>
      <c r="I92" s="9" t="inlineStr">
        <is>
          <t>Mid-Rotation Starter (SP2-3)</t>
        </is>
      </c>
      <c r="J92" s="17" t="inlineStr">
        <is>
          <t>Opening Day</t>
        </is>
      </c>
      <c r="K92" s="11">
        <f>IFERROR(INDEX(Roles!$B$17:$B$20,MATCH(J92,Roles!$A$17:$A$20,0)),1)</f>
        <v/>
      </c>
      <c r="L92" s="18" t="n">
        <v>1</v>
      </c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3">
        <f>SUMPRODUCT(M92:X92,$M$2:$X$2)*$K92*$L92</f>
        <v/>
      </c>
      <c r="Z92" s="14">
        <f>SUM(M92:X92)</f>
        <v/>
      </c>
      <c r="AA92" s="13">
        <f>SUMPRODUCT(M92:X92,$M$3:$X$3)*$K92*$L92</f>
        <v/>
      </c>
      <c r="AB92" s="13">
        <f>SUMPRODUCT(M92:X92,$M$4:$X$4)*$K92*$L92</f>
        <v/>
      </c>
      <c r="AC92" s="15">
        <f>SUMPRODUCT(M92:X92,$M$5:$X$5)*$K92*$L92</f>
        <v/>
      </c>
      <c r="AD92" s="15">
        <f>SUMPRODUCT(M92:X92,$M$6:$X$6)*$K92*$L92</f>
        <v/>
      </c>
      <c r="AE92" s="19" t="n"/>
    </row>
    <row r="93">
      <c r="A93" s="9" t="n">
        <v>664294</v>
      </c>
      <c r="B93" s="9" t="inlineStr">
        <is>
          <t>Dauri Moreta</t>
        </is>
      </c>
      <c r="C93" s="9" t="inlineStr">
        <is>
          <t>PIT</t>
        </is>
      </c>
      <c r="D93" s="9" t="n">
        <v>31</v>
      </c>
      <c r="E93" s="17" t="inlineStr">
        <is>
          <t>R</t>
        </is>
      </c>
      <c r="F93" s="17" t="n"/>
      <c r="G93" s="9" t="n">
        <v>68</v>
      </c>
      <c r="H93" s="9" t="n">
        <v>467</v>
      </c>
      <c r="I93" s="9" t="inlineStr">
        <is>
          <t>Late Inning RP (Setup)</t>
        </is>
      </c>
      <c r="J93" s="17" t="inlineStr">
        <is>
          <t>Opening Day</t>
        </is>
      </c>
      <c r="K93" s="11">
        <f>IFERROR(INDEX(Roles!$B$17:$B$20,MATCH(J93,Roles!$A$17:$A$20,0)),1)</f>
        <v/>
      </c>
      <c r="L93" s="18" t="n">
        <v>1</v>
      </c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3">
        <f>SUMPRODUCT(M93:X93,$M$2:$X$2)*$K93*$L93</f>
        <v/>
      </c>
      <c r="Z93" s="14">
        <f>SUM(M93:X93)</f>
        <v/>
      </c>
      <c r="AA93" s="13">
        <f>SUMPRODUCT(M93:X93,$M$3:$X$3)*$K93*$L93</f>
        <v/>
      </c>
      <c r="AB93" s="13">
        <f>SUMPRODUCT(M93:X93,$M$4:$X$4)*$K93*$L93</f>
        <v/>
      </c>
      <c r="AC93" s="15">
        <f>SUMPRODUCT(M93:X93,$M$5:$X$5)*$K93*$L93</f>
        <v/>
      </c>
      <c r="AD93" s="15">
        <f>SUMPRODUCT(M93:X93,$M$6:$X$6)*$K93*$L93</f>
        <v/>
      </c>
      <c r="AE93" s="19" t="n"/>
    </row>
    <row r="94">
      <c r="A94" s="9" t="n">
        <v>666808</v>
      </c>
      <c r="B94" s="9" t="inlineStr">
        <is>
          <t>Camilo Doval</t>
        </is>
      </c>
      <c r="C94" s="9" t="inlineStr">
        <is>
          <t>NYY</t>
        </is>
      </c>
      <c r="D94" s="9" t="n">
        <v>29</v>
      </c>
      <c r="E94" s="17" t="inlineStr">
        <is>
          <t>R</t>
        </is>
      </c>
      <c r="F94" s="17" t="n"/>
      <c r="G94" s="9" t="n">
        <v>103</v>
      </c>
      <c r="H94" s="9" t="n">
        <v>1219</v>
      </c>
      <c r="I94" s="9" t="inlineStr">
        <is>
          <t>Middle Relief</t>
        </is>
      </c>
      <c r="J94" s="17" t="inlineStr">
        <is>
          <t>Opening Day</t>
        </is>
      </c>
      <c r="K94" s="11">
        <f>IFERROR(INDEX(Roles!$B$17:$B$20,MATCH(J94,Roles!$A$17:$A$20,0)),1)</f>
        <v/>
      </c>
      <c r="L94" s="18" t="n">
        <v>1</v>
      </c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3">
        <f>SUMPRODUCT(M94:X94,$M$2:$X$2)*$K94*$L94</f>
        <v/>
      </c>
      <c r="Z94" s="14">
        <f>SUM(M94:X94)</f>
        <v/>
      </c>
      <c r="AA94" s="13">
        <f>SUMPRODUCT(M94:X94,$M$3:$X$3)*$K94*$L94</f>
        <v/>
      </c>
      <c r="AB94" s="13">
        <f>SUMPRODUCT(M94:X94,$M$4:$X$4)*$K94*$L94</f>
        <v/>
      </c>
      <c r="AC94" s="15">
        <f>SUMPRODUCT(M94:X94,$M$5:$X$5)*$K94*$L94</f>
        <v/>
      </c>
      <c r="AD94" s="15">
        <f>SUMPRODUCT(M94:X94,$M$6:$X$6)*$K94*$L94</f>
        <v/>
      </c>
      <c r="AE94" s="19" t="n"/>
    </row>
    <row r="95">
      <c r="A95" s="9" t="n">
        <v>592094</v>
      </c>
      <c r="B95" s="9" t="inlineStr">
        <is>
          <t>Jason Adam</t>
        </is>
      </c>
      <c r="C95" s="9" t="inlineStr">
        <is>
          <t>SD</t>
        </is>
      </c>
      <c r="D95" s="9" t="n">
        <v>35</v>
      </c>
      <c r="E95" s="17" t="inlineStr">
        <is>
          <t>R</t>
        </is>
      </c>
      <c r="F95" s="17" t="n"/>
      <c r="G95" s="9" t="n">
        <v>100</v>
      </c>
      <c r="H95" s="9" t="n">
        <v>1111</v>
      </c>
      <c r="I95" s="9" t="inlineStr">
        <is>
          <t>Middle Relief</t>
        </is>
      </c>
      <c r="J95" s="17" t="inlineStr">
        <is>
          <t>Opening Day</t>
        </is>
      </c>
      <c r="K95" s="11">
        <f>IFERROR(INDEX(Roles!$B$17:$B$20,MATCH(J95,Roles!$A$17:$A$20,0)),1)</f>
        <v/>
      </c>
      <c r="L95" s="18" t="n">
        <v>1</v>
      </c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3">
        <f>SUMPRODUCT(M95:X95,$M$2:$X$2)*$K95*$L95</f>
        <v/>
      </c>
      <c r="Z95" s="14">
        <f>SUM(M95:X95)</f>
        <v/>
      </c>
      <c r="AA95" s="13">
        <f>SUMPRODUCT(M95:X95,$M$3:$X$3)*$K95*$L95</f>
        <v/>
      </c>
      <c r="AB95" s="13">
        <f>SUMPRODUCT(M95:X95,$M$4:$X$4)*$K95*$L95</f>
        <v/>
      </c>
      <c r="AC95" s="15">
        <f>SUMPRODUCT(M95:X95,$M$5:$X$5)*$K95*$L95</f>
        <v/>
      </c>
      <c r="AD95" s="15">
        <f>SUMPRODUCT(M95:X95,$M$6:$X$6)*$K95*$L95</f>
        <v/>
      </c>
      <c r="AE95" s="19" t="n"/>
    </row>
    <row r="96">
      <c r="A96" s="9" t="n">
        <v>672282</v>
      </c>
      <c r="B96" s="9" t="inlineStr">
        <is>
          <t>Reid Detmers</t>
        </is>
      </c>
      <c r="C96" s="9" t="inlineStr">
        <is>
          <t>LAA</t>
        </is>
      </c>
      <c r="D96" s="9" t="n">
        <v>27</v>
      </c>
      <c r="E96" s="17" t="inlineStr">
        <is>
          <t>L</t>
        </is>
      </c>
      <c r="F96" s="17" t="n"/>
      <c r="G96" s="9" t="n">
        <v>309</v>
      </c>
      <c r="H96" s="9" t="n">
        <v>2149</v>
      </c>
      <c r="I96" s="9" t="inlineStr">
        <is>
          <t>End-of-Rotation Starter (SP4-5)</t>
        </is>
      </c>
      <c r="J96" s="17" t="inlineStr">
        <is>
          <t>Opening Day</t>
        </is>
      </c>
      <c r="K96" s="11">
        <f>IFERROR(INDEX(Roles!$B$17:$B$20,MATCH(J96,Roles!$A$17:$A$20,0)),1)</f>
        <v/>
      </c>
      <c r="L96" s="18" t="n">
        <v>1</v>
      </c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3">
        <f>SUMPRODUCT(M96:X96,$M$2:$X$2)*$K96*$L96</f>
        <v/>
      </c>
      <c r="Z96" s="14">
        <f>SUM(M96:X96)</f>
        <v/>
      </c>
      <c r="AA96" s="13">
        <f>SUMPRODUCT(M96:X96,$M$3:$X$3)*$K96*$L96</f>
        <v/>
      </c>
      <c r="AB96" s="13">
        <f>SUMPRODUCT(M96:X96,$M$4:$X$4)*$K96*$L96</f>
        <v/>
      </c>
      <c r="AC96" s="15">
        <f>SUMPRODUCT(M96:X96,$M$5:$X$5)*$K96*$L96</f>
        <v/>
      </c>
      <c r="AD96" s="15">
        <f>SUMPRODUCT(M96:X96,$M$6:$X$6)*$K96*$L96</f>
        <v/>
      </c>
      <c r="AE96" s="19" t="n"/>
    </row>
    <row r="97">
      <c r="A97" s="9" t="n">
        <v>669302</v>
      </c>
      <c r="B97" s="9" t="inlineStr">
        <is>
          <t>Logan Gilbert</t>
        </is>
      </c>
      <c r="C97" s="9" t="inlineStr">
        <is>
          <t>SEA</t>
        </is>
      </c>
      <c r="D97" s="9" t="n">
        <v>30</v>
      </c>
      <c r="E97" s="17" t="inlineStr">
        <is>
          <t>R</t>
        </is>
      </c>
      <c r="F97" s="17" t="n"/>
      <c r="G97" s="9" t="n">
        <v>321</v>
      </c>
      <c r="H97" s="9" t="n">
        <v>3195</v>
      </c>
      <c r="I97" s="9" t="inlineStr">
        <is>
          <t>Ace (SP1)</t>
        </is>
      </c>
      <c r="J97" s="17" t="inlineStr">
        <is>
          <t>Opening Day</t>
        </is>
      </c>
      <c r="K97" s="11">
        <f>IFERROR(INDEX(Roles!$B$17:$B$20,MATCH(J97,Roles!$A$17:$A$20,0)),1)</f>
        <v/>
      </c>
      <c r="L97" s="18" t="n">
        <v>1</v>
      </c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3">
        <f>SUMPRODUCT(M97:X97,$M$2:$X$2)*$K97*$L97</f>
        <v/>
      </c>
      <c r="Z97" s="14">
        <f>SUM(M97:X97)</f>
        <v/>
      </c>
      <c r="AA97" s="13">
        <f>SUMPRODUCT(M97:X97,$M$3:$X$3)*$K97*$L97</f>
        <v/>
      </c>
      <c r="AB97" s="13">
        <f>SUMPRODUCT(M97:X97,$M$4:$X$4)*$K97*$L97</f>
        <v/>
      </c>
      <c r="AC97" s="15">
        <f>SUMPRODUCT(M97:X97,$M$5:$X$5)*$K97*$L97</f>
        <v/>
      </c>
      <c r="AD97" s="15">
        <f>SUMPRODUCT(M97:X97,$M$6:$X$6)*$K97*$L97</f>
        <v/>
      </c>
      <c r="AE97" s="19" t="n"/>
    </row>
    <row r="98">
      <c r="A98" s="9" t="n">
        <v>593576</v>
      </c>
      <c r="B98" s="9" t="inlineStr">
        <is>
          <t>Héctor Neris</t>
        </is>
      </c>
      <c r="C98" s="9" t="inlineStr">
        <is>
          <t>HOU</t>
        </is>
      </c>
      <c r="D98" s="9" t="n">
        <v>38</v>
      </c>
      <c r="E98" s="17" t="inlineStr">
        <is>
          <t>R</t>
        </is>
      </c>
      <c r="F98" s="17" t="n"/>
      <c r="G98" s="9" t="n">
        <v>124</v>
      </c>
      <c r="H98" s="9" t="n">
        <v>920</v>
      </c>
      <c r="I98" s="9" t="inlineStr">
        <is>
          <t>Bullpen Depth Arm</t>
        </is>
      </c>
      <c r="J98" s="17" t="inlineStr">
        <is>
          <t>Opening Day</t>
        </is>
      </c>
      <c r="K98" s="11">
        <f>IFERROR(INDEX(Roles!$B$17:$B$20,MATCH(J98,Roles!$A$17:$A$20,0)),1)</f>
        <v/>
      </c>
      <c r="L98" s="18" t="n">
        <v>1</v>
      </c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3">
        <f>SUMPRODUCT(M98:X98,$M$2:$X$2)*$K98*$L98</f>
        <v/>
      </c>
      <c r="Z98" s="14">
        <f>SUM(M98:X98)</f>
        <v/>
      </c>
      <c r="AA98" s="13">
        <f>SUMPRODUCT(M98:X98,$M$3:$X$3)*$K98*$L98</f>
        <v/>
      </c>
      <c r="AB98" s="13">
        <f>SUMPRODUCT(M98:X98,$M$4:$X$4)*$K98*$L98</f>
        <v/>
      </c>
      <c r="AC98" s="15">
        <f>SUMPRODUCT(M98:X98,$M$5:$X$5)*$K98*$L98</f>
        <v/>
      </c>
      <c r="AD98" s="15">
        <f>SUMPRODUCT(M98:X98,$M$6:$X$6)*$K98*$L98</f>
        <v/>
      </c>
      <c r="AE98" s="19" t="n"/>
    </row>
    <row r="99">
      <c r="A99" s="9" t="n">
        <v>641941</v>
      </c>
      <c r="B99" s="9" t="inlineStr">
        <is>
          <t>Emilio Pagán</t>
        </is>
      </c>
      <c r="C99" s="9" t="inlineStr">
        <is>
          <t>CIN</t>
        </is>
      </c>
      <c r="D99" s="9" t="n">
        <v>36</v>
      </c>
      <c r="E99" s="17" t="inlineStr">
        <is>
          <t>R</t>
        </is>
      </c>
      <c r="F99" s="17" t="n"/>
      <c r="G99" s="9" t="n">
        <v>62</v>
      </c>
      <c r="H99" s="9" t="n">
        <v>1037</v>
      </c>
      <c r="I99" s="9" t="inlineStr">
        <is>
          <t>Late Inning RP (Setup)</t>
        </is>
      </c>
      <c r="J99" s="17" t="inlineStr">
        <is>
          <t>Opening Day</t>
        </is>
      </c>
      <c r="K99" s="11">
        <f>IFERROR(INDEX(Roles!$B$17:$B$20,MATCH(J99,Roles!$A$17:$A$20,0)),1)</f>
        <v/>
      </c>
      <c r="L99" s="18" t="n">
        <v>1</v>
      </c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3">
        <f>SUMPRODUCT(M99:X99,$M$2:$X$2)*$K99*$L99</f>
        <v/>
      </c>
      <c r="Z99" s="14">
        <f>SUM(M99:X99)</f>
        <v/>
      </c>
      <c r="AA99" s="13">
        <f>SUMPRODUCT(M99:X99,$M$3:$X$3)*$K99*$L99</f>
        <v/>
      </c>
      <c r="AB99" s="13">
        <f>SUMPRODUCT(M99:X99,$M$4:$X$4)*$K99*$L99</f>
        <v/>
      </c>
      <c r="AC99" s="15">
        <f>SUMPRODUCT(M99:X99,$M$5:$X$5)*$K99*$L99</f>
        <v/>
      </c>
      <c r="AD99" s="15">
        <f>SUMPRODUCT(M99:X99,$M$6:$X$6)*$K99*$L99</f>
        <v/>
      </c>
      <c r="AE99" s="19" t="n"/>
    </row>
    <row r="100">
      <c r="A100" s="9" t="n">
        <v>554340</v>
      </c>
      <c r="B100" s="9" t="inlineStr">
        <is>
          <t>Yimi García</t>
        </is>
      </c>
      <c r="C100" s="9" t="inlineStr">
        <is>
          <t>TOR</t>
        </is>
      </c>
      <c r="D100" s="9" t="n">
        <v>36</v>
      </c>
      <c r="E100" s="17" t="inlineStr">
        <is>
          <t>R</t>
        </is>
      </c>
      <c r="F100" s="17" t="n"/>
      <c r="G100" s="9" t="n">
        <v>90</v>
      </c>
      <c r="H100" s="9" t="n">
        <v>772</v>
      </c>
      <c r="I100" s="9" t="inlineStr">
        <is>
          <t>Middle Relief</t>
        </is>
      </c>
      <c r="J100" s="17" t="inlineStr">
        <is>
          <t>Opening Day</t>
        </is>
      </c>
      <c r="K100" s="11">
        <f>IFERROR(INDEX(Roles!$B$17:$B$20,MATCH(J100,Roles!$A$17:$A$20,0)),1)</f>
        <v/>
      </c>
      <c r="L100" s="18" t="n">
        <v>1</v>
      </c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3">
        <f>SUMPRODUCT(M100:X100,$M$2:$X$2)*$K100*$L100</f>
        <v/>
      </c>
      <c r="Z100" s="14">
        <f>SUM(M100:X100)</f>
        <v/>
      </c>
      <c r="AA100" s="13">
        <f>SUMPRODUCT(M100:X100,$M$3:$X$3)*$K100*$L100</f>
        <v/>
      </c>
      <c r="AB100" s="13">
        <f>SUMPRODUCT(M100:X100,$M$4:$X$4)*$K100*$L100</f>
        <v/>
      </c>
      <c r="AC100" s="15">
        <f>SUMPRODUCT(M100:X100,$M$5:$X$5)*$K100*$L100</f>
        <v/>
      </c>
      <c r="AD100" s="15">
        <f>SUMPRODUCT(M100:X100,$M$6:$X$6)*$K100*$L100</f>
        <v/>
      </c>
      <c r="AE100" s="19" t="n"/>
    </row>
    <row r="101">
      <c r="A101" s="9" t="n">
        <v>595014</v>
      </c>
      <c r="B101" s="9" t="inlineStr">
        <is>
          <t>Blake Treinen</t>
        </is>
      </c>
      <c r="C101" s="9" t="inlineStr">
        <is>
          <t>LAD</t>
        </is>
      </c>
      <c r="D101" s="9" t="n">
        <v>39</v>
      </c>
      <c r="E101" s="17" t="inlineStr">
        <is>
          <t>R</t>
        </is>
      </c>
      <c r="F101" s="17" t="n"/>
      <c r="G101" s="9" t="n">
        <v>89</v>
      </c>
      <c r="H101" s="9" t="n">
        <v>419</v>
      </c>
      <c r="I101" s="9" t="inlineStr">
        <is>
          <t>Bullpen Depth Arm</t>
        </is>
      </c>
      <c r="J101" s="17" t="inlineStr">
        <is>
          <t>Opening Day</t>
        </is>
      </c>
      <c r="K101" s="11">
        <f>IFERROR(INDEX(Roles!$B$17:$B$20,MATCH(J101,Roles!$A$17:$A$20,0)),1)</f>
        <v/>
      </c>
      <c r="L101" s="18" t="n">
        <v>1</v>
      </c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3">
        <f>SUMPRODUCT(M101:X101,$M$2:$X$2)*$K101*$L101</f>
        <v/>
      </c>
      <c r="Z101" s="14">
        <f>SUM(M101:X101)</f>
        <v/>
      </c>
      <c r="AA101" s="13">
        <f>SUMPRODUCT(M101:X101,$M$3:$X$3)*$K101*$L101</f>
        <v/>
      </c>
      <c r="AB101" s="13">
        <f>SUMPRODUCT(M101:X101,$M$4:$X$4)*$K101*$L101</f>
        <v/>
      </c>
      <c r="AC101" s="15">
        <f>SUMPRODUCT(M101:X101,$M$5:$X$5)*$K101*$L101</f>
        <v/>
      </c>
      <c r="AD101" s="15">
        <f>SUMPRODUCT(M101:X101,$M$6:$X$6)*$K101*$L101</f>
        <v/>
      </c>
      <c r="AE101" s="19" t="n"/>
    </row>
    <row r="102">
      <c r="A102" s="9" t="n">
        <v>605177</v>
      </c>
      <c r="B102" s="9" t="inlineStr">
        <is>
          <t>Andrew Chafin</t>
        </is>
      </c>
      <c r="C102" s="9" t="inlineStr">
        <is>
          <t>LAA</t>
        </is>
      </c>
      <c r="D102" s="9" t="n">
        <v>37</v>
      </c>
      <c r="E102" s="17" t="inlineStr">
        <is>
          <t>L</t>
        </is>
      </c>
      <c r="F102" s="17" t="n"/>
      <c r="G102" s="9" t="n">
        <v>143</v>
      </c>
      <c r="H102" s="9" t="n">
        <v>856</v>
      </c>
      <c r="I102" s="9" t="inlineStr">
        <is>
          <t>Late Inning RP (Setup)</t>
        </is>
      </c>
      <c r="J102" s="17" t="inlineStr">
        <is>
          <t>Opening Day</t>
        </is>
      </c>
      <c r="K102" s="11">
        <f>IFERROR(INDEX(Roles!$B$17:$B$20,MATCH(J102,Roles!$A$17:$A$20,0)),1)</f>
        <v/>
      </c>
      <c r="L102" s="18" t="n">
        <v>1</v>
      </c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3">
        <f>SUMPRODUCT(M102:X102,$M$2:$X$2)*$K102*$L102</f>
        <v/>
      </c>
      <c r="Z102" s="14">
        <f>SUM(M102:X102)</f>
        <v/>
      </c>
      <c r="AA102" s="13">
        <f>SUMPRODUCT(M102:X102,$M$3:$X$3)*$K102*$L102</f>
        <v/>
      </c>
      <c r="AB102" s="13">
        <f>SUMPRODUCT(M102:X102,$M$4:$X$4)*$K102*$L102</f>
        <v/>
      </c>
      <c r="AC102" s="15">
        <f>SUMPRODUCT(M102:X102,$M$5:$X$5)*$K102*$L102</f>
        <v/>
      </c>
      <c r="AD102" s="15">
        <f>SUMPRODUCT(M102:X102,$M$6:$X$6)*$K102*$L102</f>
        <v/>
      </c>
      <c r="AE102" s="19" t="n"/>
    </row>
    <row r="103">
      <c r="A103" s="9" t="n">
        <v>657585</v>
      </c>
      <c r="B103" s="9" t="inlineStr">
        <is>
          <t>Reed Garrett</t>
        </is>
      </c>
      <c r="C103" s="9" t="inlineStr">
        <is>
          <t>NYM</t>
        </is>
      </c>
      <c r="D103" s="9" t="n">
        <v>34</v>
      </c>
      <c r="E103" s="17" t="inlineStr">
        <is>
          <t>R</t>
        </is>
      </c>
      <c r="F103" s="17" t="n"/>
      <c r="G103" s="9" t="n">
        <v>238</v>
      </c>
      <c r="H103" s="9" t="n">
        <v>621</v>
      </c>
      <c r="I103" s="9" t="inlineStr">
        <is>
          <t>Middle Relief</t>
        </is>
      </c>
      <c r="J103" s="17" t="inlineStr">
        <is>
          <t>Opening Day</t>
        </is>
      </c>
      <c r="K103" s="11">
        <f>IFERROR(INDEX(Roles!$B$17:$B$20,MATCH(J103,Roles!$A$17:$A$20,0)),1)</f>
        <v/>
      </c>
      <c r="L103" s="18" t="n">
        <v>1</v>
      </c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3">
        <f>SUMPRODUCT(M103:X103,$M$2:$X$2)*$K103*$L103</f>
        <v/>
      </c>
      <c r="Z103" s="14">
        <f>SUM(M103:X103)</f>
        <v/>
      </c>
      <c r="AA103" s="13">
        <f>SUMPRODUCT(M103:X103,$M$3:$X$3)*$K103*$L103</f>
        <v/>
      </c>
      <c r="AB103" s="13">
        <f>SUMPRODUCT(M103:X103,$M$4:$X$4)*$K103*$L103</f>
        <v/>
      </c>
      <c r="AC103" s="15">
        <f>SUMPRODUCT(M103:X103,$M$5:$X$5)*$K103*$L103</f>
        <v/>
      </c>
      <c r="AD103" s="15">
        <f>SUMPRODUCT(M103:X103,$M$6:$X$6)*$K103*$L103</f>
        <v/>
      </c>
      <c r="AE103" s="19" t="n"/>
    </row>
    <row r="104">
      <c r="A104" s="9" t="n">
        <v>666171</v>
      </c>
      <c r="B104" s="9" t="inlineStr">
        <is>
          <t>Ryan Zeferjahn</t>
        </is>
      </c>
      <c r="C104" s="9" t="inlineStr">
        <is>
          <t>LAA</t>
        </is>
      </c>
      <c r="D104" s="9" t="n">
        <v>29</v>
      </c>
      <c r="E104" s="17" t="inlineStr">
        <is>
          <t>R</t>
        </is>
      </c>
      <c r="F104" s="17" t="n"/>
      <c r="G104" s="9" t="n">
        <v>141</v>
      </c>
      <c r="H104" s="9" t="n">
        <v>462</v>
      </c>
      <c r="I104" s="9" t="inlineStr">
        <is>
          <t>Middle Relief</t>
        </is>
      </c>
      <c r="J104" s="17" t="inlineStr">
        <is>
          <t>Opening Day</t>
        </is>
      </c>
      <c r="K104" s="11">
        <f>IFERROR(INDEX(Roles!$B$17:$B$20,MATCH(J104,Roles!$A$17:$A$20,0)),1)</f>
        <v/>
      </c>
      <c r="L104" s="18" t="n">
        <v>1</v>
      </c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3">
        <f>SUMPRODUCT(M104:X104,$M$2:$X$2)*$K104*$L104</f>
        <v/>
      </c>
      <c r="Z104" s="14">
        <f>SUM(M104:X104)</f>
        <v/>
      </c>
      <c r="AA104" s="13">
        <f>SUMPRODUCT(M104:X104,$M$3:$X$3)*$K104*$L104</f>
        <v/>
      </c>
      <c r="AB104" s="13">
        <f>SUMPRODUCT(M104:X104,$M$4:$X$4)*$K104*$L104</f>
        <v/>
      </c>
      <c r="AC104" s="15">
        <f>SUMPRODUCT(M104:X104,$M$5:$X$5)*$K104*$L104</f>
        <v/>
      </c>
      <c r="AD104" s="15">
        <f>SUMPRODUCT(M104:X104,$M$6:$X$6)*$K104*$L104</f>
        <v/>
      </c>
      <c r="AE104" s="19" t="n"/>
    </row>
    <row r="105">
      <c r="A105" s="9" t="n">
        <v>573204</v>
      </c>
      <c r="B105" s="9" t="inlineStr">
        <is>
          <t>Caleb Thielbar</t>
        </is>
      </c>
      <c r="C105" s="9" t="inlineStr">
        <is>
          <t>CHC</t>
        </is>
      </c>
      <c r="D105" s="9" t="n">
        <v>40</v>
      </c>
      <c r="E105" s="17" t="inlineStr">
        <is>
          <t>L</t>
        </is>
      </c>
      <c r="F105" s="17" t="n"/>
      <c r="G105" s="9" t="n">
        <v>66</v>
      </c>
      <c r="H105" s="9" t="n">
        <v>867</v>
      </c>
      <c r="I105" s="9" t="inlineStr">
        <is>
          <t>Closer</t>
        </is>
      </c>
      <c r="J105" s="17" t="inlineStr">
        <is>
          <t>Opening Day</t>
        </is>
      </c>
      <c r="K105" s="11">
        <f>IFERROR(INDEX(Roles!$B$17:$B$20,MATCH(J105,Roles!$A$17:$A$20,0)),1)</f>
        <v/>
      </c>
      <c r="L105" s="18" t="n">
        <v>1</v>
      </c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3">
        <f>SUMPRODUCT(M105:X105,$M$2:$X$2)*$K105*$L105</f>
        <v/>
      </c>
      <c r="Z105" s="14">
        <f>SUM(M105:X105)</f>
        <v/>
      </c>
      <c r="AA105" s="13">
        <f>SUMPRODUCT(M105:X105,$M$3:$X$3)*$K105*$L105</f>
        <v/>
      </c>
      <c r="AB105" s="13">
        <f>SUMPRODUCT(M105:X105,$M$4:$X$4)*$K105*$L105</f>
        <v/>
      </c>
      <c r="AC105" s="15">
        <f>SUMPRODUCT(M105:X105,$M$5:$X$5)*$K105*$L105</f>
        <v/>
      </c>
      <c r="AD105" s="15">
        <f>SUMPRODUCT(M105:X105,$M$6:$X$6)*$K105*$L105</f>
        <v/>
      </c>
      <c r="AE105" s="19" t="n"/>
    </row>
    <row r="106">
      <c r="A106" s="9" t="n">
        <v>663556</v>
      </c>
      <c r="B106" s="9" t="inlineStr">
        <is>
          <t>Shane McClanahan</t>
        </is>
      </c>
      <c r="C106" s="9" t="inlineStr">
        <is>
          <t>TB</t>
        </is>
      </c>
      <c r="D106" s="9" t="n">
        <v>30</v>
      </c>
      <c r="E106" s="17" t="inlineStr">
        <is>
          <t>L</t>
        </is>
      </c>
      <c r="F106" s="17" t="n"/>
      <c r="G106" s="9" t="n">
        <v>247</v>
      </c>
      <c r="H106" s="9" t="n">
        <v>1357</v>
      </c>
      <c r="I106" s="9" t="inlineStr">
        <is>
          <t>Mid-Rotation Starter (SP2-3)</t>
        </is>
      </c>
      <c r="J106" s="17" t="inlineStr">
        <is>
          <t>Opening Day</t>
        </is>
      </c>
      <c r="K106" s="11">
        <f>IFERROR(INDEX(Roles!$B$17:$B$20,MATCH(J106,Roles!$A$17:$A$20,0)),1)</f>
        <v/>
      </c>
      <c r="L106" s="18" t="n">
        <v>1</v>
      </c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3">
        <f>SUMPRODUCT(M106:X106,$M$2:$X$2)*$K106*$L106</f>
        <v/>
      </c>
      <c r="Z106" s="14">
        <f>SUM(M106:X106)</f>
        <v/>
      </c>
      <c r="AA106" s="13">
        <f>SUMPRODUCT(M106:X106,$M$3:$X$3)*$K106*$L106</f>
        <v/>
      </c>
      <c r="AB106" s="13">
        <f>SUMPRODUCT(M106:X106,$M$4:$X$4)*$K106*$L106</f>
        <v/>
      </c>
      <c r="AC106" s="15">
        <f>SUMPRODUCT(M106:X106,$M$5:$X$5)*$K106*$L106</f>
        <v/>
      </c>
      <c r="AD106" s="15">
        <f>SUMPRODUCT(M106:X106,$M$6:$X$6)*$K106*$L106</f>
        <v/>
      </c>
      <c r="AE106" s="19" t="n"/>
    </row>
    <row r="107">
      <c r="A107" s="9" t="n">
        <v>595345</v>
      </c>
      <c r="B107" s="9" t="inlineStr">
        <is>
          <t>Steven Okert</t>
        </is>
      </c>
      <c r="C107" s="9" t="inlineStr">
        <is>
          <t>HOU</t>
        </is>
      </c>
      <c r="D107" s="9" t="n">
        <v>35</v>
      </c>
      <c r="E107" s="17" t="inlineStr">
        <is>
          <t>L</t>
        </is>
      </c>
      <c r="F107" s="17" t="n"/>
      <c r="G107" s="9" t="n">
        <v>117</v>
      </c>
      <c r="H107" s="9" t="n">
        <v>1021</v>
      </c>
      <c r="I107" s="9" t="inlineStr">
        <is>
          <t>Late Inning RP (Setup)</t>
        </is>
      </c>
      <c r="J107" s="17" t="inlineStr">
        <is>
          <t>Opening Day</t>
        </is>
      </c>
      <c r="K107" s="11">
        <f>IFERROR(INDEX(Roles!$B$17:$B$20,MATCH(J107,Roles!$A$17:$A$20,0)),1)</f>
        <v/>
      </c>
      <c r="L107" s="18" t="n">
        <v>1</v>
      </c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3">
        <f>SUMPRODUCT(M107:X107,$M$2:$X$2)*$K107*$L107</f>
        <v/>
      </c>
      <c r="Z107" s="14">
        <f>SUM(M107:X107)</f>
        <v/>
      </c>
      <c r="AA107" s="13">
        <f>SUMPRODUCT(M107:X107,$M$3:$X$3)*$K107*$L107</f>
        <v/>
      </c>
      <c r="AB107" s="13">
        <f>SUMPRODUCT(M107:X107,$M$4:$X$4)*$K107*$L107</f>
        <v/>
      </c>
      <c r="AC107" s="15">
        <f>SUMPRODUCT(M107:X107,$M$5:$X$5)*$K107*$L107</f>
        <v/>
      </c>
      <c r="AD107" s="15">
        <f>SUMPRODUCT(M107:X107,$M$6:$X$6)*$K107*$L107</f>
        <v/>
      </c>
      <c r="AE107" s="19" t="n"/>
    </row>
    <row r="108">
      <c r="A108" s="9" t="n">
        <v>656427</v>
      </c>
      <c r="B108" s="9" t="inlineStr">
        <is>
          <t>Jack Flaherty</t>
        </is>
      </c>
      <c r="C108" s="9" t="inlineStr">
        <is>
          <t>DET</t>
        </is>
      </c>
      <c r="D108" s="9" t="n">
        <v>31</v>
      </c>
      <c r="E108" s="17" t="inlineStr">
        <is>
          <t>R</t>
        </is>
      </c>
      <c r="F108" s="17" t="n"/>
      <c r="G108" s="9" t="n">
        <v>293</v>
      </c>
      <c r="H108" s="9" t="n">
        <v>2440</v>
      </c>
      <c r="I108" s="9" t="inlineStr">
        <is>
          <t>Mid-Rotation Starter (SP2-3)</t>
        </is>
      </c>
      <c r="J108" s="17" t="inlineStr">
        <is>
          <t>Opening Day</t>
        </is>
      </c>
      <c r="K108" s="11">
        <f>IFERROR(INDEX(Roles!$B$17:$B$20,MATCH(J108,Roles!$A$17:$A$20,0)),1)</f>
        <v/>
      </c>
      <c r="L108" s="18" t="n">
        <v>1</v>
      </c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3">
        <f>SUMPRODUCT(M108:X108,$M$2:$X$2)*$K108*$L108</f>
        <v/>
      </c>
      <c r="Z108" s="14">
        <f>SUM(M108:X108)</f>
        <v/>
      </c>
      <c r="AA108" s="13">
        <f>SUMPRODUCT(M108:X108,$M$3:$X$3)*$K108*$L108</f>
        <v/>
      </c>
      <c r="AB108" s="13">
        <f>SUMPRODUCT(M108:X108,$M$4:$X$4)*$K108*$L108</f>
        <v/>
      </c>
      <c r="AC108" s="15">
        <f>SUMPRODUCT(M108:X108,$M$5:$X$5)*$K108*$L108</f>
        <v/>
      </c>
      <c r="AD108" s="15">
        <f>SUMPRODUCT(M108:X108,$M$6:$X$6)*$K108*$L108</f>
        <v/>
      </c>
      <c r="AE108" s="19" t="n"/>
    </row>
    <row r="109">
      <c r="A109" s="9" t="n">
        <v>687396</v>
      </c>
      <c r="B109" s="9" t="inlineStr">
        <is>
          <t>Brent Headrick</t>
        </is>
      </c>
      <c r="C109" s="9" t="inlineStr">
        <is>
          <t>NYY</t>
        </is>
      </c>
      <c r="D109" s="9" t="n">
        <v>29</v>
      </c>
      <c r="E109" s="17" t="inlineStr">
        <is>
          <t>L</t>
        </is>
      </c>
      <c r="F109" s="17" t="n"/>
      <c r="G109" s="9" t="n">
        <v>132</v>
      </c>
      <c r="H109" s="9" t="n">
        <v>354</v>
      </c>
      <c r="I109" s="9" t="inlineStr">
        <is>
          <t>Late Inning RP (Setup)</t>
        </is>
      </c>
      <c r="J109" s="17" t="inlineStr">
        <is>
          <t>Opening Day</t>
        </is>
      </c>
      <c r="K109" s="11">
        <f>IFERROR(INDEX(Roles!$B$17:$B$20,MATCH(J109,Roles!$A$17:$A$20,0)),1)</f>
        <v/>
      </c>
      <c r="L109" s="18" t="n">
        <v>1</v>
      </c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3">
        <f>SUMPRODUCT(M109:X109,$M$2:$X$2)*$K109*$L109</f>
        <v/>
      </c>
      <c r="Z109" s="14">
        <f>SUM(M109:X109)</f>
        <v/>
      </c>
      <c r="AA109" s="13">
        <f>SUMPRODUCT(M109:X109,$M$3:$X$3)*$K109*$L109</f>
        <v/>
      </c>
      <c r="AB109" s="13">
        <f>SUMPRODUCT(M109:X109,$M$4:$X$4)*$K109*$L109</f>
        <v/>
      </c>
      <c r="AC109" s="15">
        <f>SUMPRODUCT(M109:X109,$M$5:$X$5)*$K109*$L109</f>
        <v/>
      </c>
      <c r="AD109" s="15">
        <f>SUMPRODUCT(M109:X109,$M$6:$X$6)*$K109*$L109</f>
        <v/>
      </c>
      <c r="AE109" s="19" t="n"/>
    </row>
    <row r="110">
      <c r="A110" s="9" t="n">
        <v>664849</v>
      </c>
      <c r="B110" s="9" t="inlineStr">
        <is>
          <t>Danny Young</t>
        </is>
      </c>
      <c r="C110" s="9" t="inlineStr">
        <is>
          <t>NYM</t>
        </is>
      </c>
      <c r="D110" s="9" t="n">
        <v>33</v>
      </c>
      <c r="E110" s="17" t="inlineStr">
        <is>
          <t>L</t>
        </is>
      </c>
      <c r="F110" s="17" t="n"/>
      <c r="G110" s="9" t="n">
        <v>37</v>
      </c>
      <c r="H110" s="9" t="n">
        <v>269</v>
      </c>
      <c r="I110" s="9" t="inlineStr">
        <is>
          <t>Bullpen Depth Arm</t>
        </is>
      </c>
      <c r="J110" s="17" t="inlineStr">
        <is>
          <t>Opening Day</t>
        </is>
      </c>
      <c r="K110" s="11">
        <f>IFERROR(INDEX(Roles!$B$17:$B$20,MATCH(J110,Roles!$A$17:$A$20,0)),1)</f>
        <v/>
      </c>
      <c r="L110" s="18" t="n">
        <v>1</v>
      </c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3">
        <f>SUMPRODUCT(M110:X110,$M$2:$X$2)*$K110*$L110</f>
        <v/>
      </c>
      <c r="Z110" s="14">
        <f>SUM(M110:X110)</f>
        <v/>
      </c>
      <c r="AA110" s="13">
        <f>SUMPRODUCT(M110:X110,$M$3:$X$3)*$K110*$L110</f>
        <v/>
      </c>
      <c r="AB110" s="13">
        <f>SUMPRODUCT(M110:X110,$M$4:$X$4)*$K110*$L110</f>
        <v/>
      </c>
      <c r="AC110" s="15">
        <f>SUMPRODUCT(M110:X110,$M$5:$X$5)*$K110*$L110</f>
        <v/>
      </c>
      <c r="AD110" s="15">
        <f>SUMPRODUCT(M110:X110,$M$6:$X$6)*$K110*$L110</f>
        <v/>
      </c>
      <c r="AE110" s="19" t="n"/>
    </row>
    <row r="111">
      <c r="A111" s="9" t="n">
        <v>664208</v>
      </c>
      <c r="B111" s="9" t="inlineStr">
        <is>
          <t>Phil Maton</t>
        </is>
      </c>
      <c r="C111" s="9" t="inlineStr">
        <is>
          <t>CHC</t>
        </is>
      </c>
      <c r="D111" s="9" t="n">
        <v>34</v>
      </c>
      <c r="E111" s="17" t="inlineStr">
        <is>
          <t>R</t>
        </is>
      </c>
      <c r="F111" s="17" t="n"/>
      <c r="G111" s="9" t="n">
        <v>97</v>
      </c>
      <c r="H111" s="9" t="n">
        <v>1165</v>
      </c>
      <c r="I111" s="9" t="inlineStr">
        <is>
          <t>Bullpen Depth Arm</t>
        </is>
      </c>
      <c r="J111" s="17" t="inlineStr">
        <is>
          <t>Opening Day</t>
        </is>
      </c>
      <c r="K111" s="11">
        <f>IFERROR(INDEX(Roles!$B$17:$B$20,MATCH(J111,Roles!$A$17:$A$20,0)),1)</f>
        <v/>
      </c>
      <c r="L111" s="18" t="n">
        <v>1</v>
      </c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3">
        <f>SUMPRODUCT(M111:X111,$M$2:$X$2)*$K111*$L111</f>
        <v/>
      </c>
      <c r="Z111" s="14">
        <f>SUM(M111:X111)</f>
        <v/>
      </c>
      <c r="AA111" s="13">
        <f>SUMPRODUCT(M111:X111,$M$3:$X$3)*$K111*$L111</f>
        <v/>
      </c>
      <c r="AB111" s="13">
        <f>SUMPRODUCT(M111:X111,$M$4:$X$4)*$K111*$L111</f>
        <v/>
      </c>
      <c r="AC111" s="15">
        <f>SUMPRODUCT(M111:X111,$M$5:$X$5)*$K111*$L111</f>
        <v/>
      </c>
      <c r="AD111" s="15">
        <f>SUMPRODUCT(M111:X111,$M$6:$X$6)*$K111*$L111</f>
        <v/>
      </c>
      <c r="AE111" s="19" t="n"/>
    </row>
    <row r="112">
      <c r="A112" s="9" t="n">
        <v>676254</v>
      </c>
      <c r="B112" s="9" t="inlineStr">
        <is>
          <t>Ryan Walker</t>
        </is>
      </c>
      <c r="C112" s="9" t="inlineStr">
        <is>
          <t>SF</t>
        </is>
      </c>
      <c r="D112" s="9" t="n">
        <v>31</v>
      </c>
      <c r="E112" s="17" t="inlineStr">
        <is>
          <t>R</t>
        </is>
      </c>
      <c r="F112" s="17" t="n"/>
      <c r="G112" s="9" t="n">
        <v>73</v>
      </c>
      <c r="H112" s="9" t="n">
        <v>910</v>
      </c>
      <c r="I112" s="9" t="inlineStr">
        <is>
          <t>Late Inning RP (Setup)</t>
        </is>
      </c>
      <c r="J112" s="17" t="inlineStr">
        <is>
          <t>Opening Day</t>
        </is>
      </c>
      <c r="K112" s="11">
        <f>IFERROR(INDEX(Roles!$B$17:$B$20,MATCH(J112,Roles!$A$17:$A$20,0)),1)</f>
        <v/>
      </c>
      <c r="L112" s="18" t="n">
        <v>1</v>
      </c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3">
        <f>SUMPRODUCT(M112:X112,$M$2:$X$2)*$K112*$L112</f>
        <v/>
      </c>
      <c r="Z112" s="14">
        <f>SUM(M112:X112)</f>
        <v/>
      </c>
      <c r="AA112" s="13">
        <f>SUMPRODUCT(M112:X112,$M$3:$X$3)*$K112*$L112</f>
        <v/>
      </c>
      <c r="AB112" s="13">
        <f>SUMPRODUCT(M112:X112,$M$4:$X$4)*$K112*$L112</f>
        <v/>
      </c>
      <c r="AC112" s="15">
        <f>SUMPRODUCT(M112:X112,$M$5:$X$5)*$K112*$L112</f>
        <v/>
      </c>
      <c r="AD112" s="15">
        <f>SUMPRODUCT(M112:X112,$M$6:$X$6)*$K112*$L112</f>
        <v/>
      </c>
      <c r="AE112" s="19" t="n"/>
    </row>
    <row r="113">
      <c r="A113" s="9" t="n">
        <v>656638</v>
      </c>
      <c r="B113" s="9" t="inlineStr">
        <is>
          <t>Alex Lange</t>
        </is>
      </c>
      <c r="C113" s="9" t="inlineStr">
        <is>
          <t>KC</t>
        </is>
      </c>
      <c r="D113" s="9" t="n">
        <v>31</v>
      </c>
      <c r="E113" s="17" t="inlineStr">
        <is>
          <t>R</t>
        </is>
      </c>
      <c r="F113" s="17" t="n"/>
      <c r="G113" s="9" t="n">
        <v>128</v>
      </c>
      <c r="H113" s="9" t="n">
        <v>783</v>
      </c>
      <c r="I113" s="9" t="inlineStr">
        <is>
          <t>Bullpen Depth Arm</t>
        </is>
      </c>
      <c r="J113" s="17" t="inlineStr">
        <is>
          <t>Opening Day</t>
        </is>
      </c>
      <c r="K113" s="11">
        <f>IFERROR(INDEX(Roles!$B$17:$B$20,MATCH(J113,Roles!$A$17:$A$20,0)),1)</f>
        <v/>
      </c>
      <c r="L113" s="18" t="n">
        <v>1</v>
      </c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3">
        <f>SUMPRODUCT(M113:X113,$M$2:$X$2)*$K113*$L113</f>
        <v/>
      </c>
      <c r="Z113" s="14">
        <f>SUM(M113:X113)</f>
        <v/>
      </c>
      <c r="AA113" s="13">
        <f>SUMPRODUCT(M113:X113,$M$3:$X$3)*$K113*$L113</f>
        <v/>
      </c>
      <c r="AB113" s="13">
        <f>SUMPRODUCT(M113:X113,$M$4:$X$4)*$K113*$L113</f>
        <v/>
      </c>
      <c r="AC113" s="15">
        <f>SUMPRODUCT(M113:X113,$M$5:$X$5)*$K113*$L113</f>
        <v/>
      </c>
      <c r="AD113" s="15">
        <f>SUMPRODUCT(M113:X113,$M$6:$X$6)*$K113*$L113</f>
        <v/>
      </c>
      <c r="AE113" s="19" t="n"/>
    </row>
    <row r="114">
      <c r="A114" s="9" t="n">
        <v>689254</v>
      </c>
      <c r="B114" s="9" t="inlineStr">
        <is>
          <t>Mason Fluharty</t>
        </is>
      </c>
      <c r="C114" s="9" t="inlineStr">
        <is>
          <t>TOR</t>
        </is>
      </c>
      <c r="D114" s="9" t="n">
        <v>25</v>
      </c>
      <c r="E114" s="17" t="inlineStr">
        <is>
          <t>L</t>
        </is>
      </c>
      <c r="F114" s="17" t="n"/>
      <c r="G114" s="9" t="n">
        <v>112</v>
      </c>
      <c r="H114" s="9" t="n">
        <v>327</v>
      </c>
      <c r="I114" s="9" t="inlineStr">
        <is>
          <t>Bullpen Depth Arm</t>
        </is>
      </c>
      <c r="J114" s="17" t="inlineStr">
        <is>
          <t>Opening Day</t>
        </is>
      </c>
      <c r="K114" s="11">
        <f>IFERROR(INDEX(Roles!$B$17:$B$20,MATCH(J114,Roles!$A$17:$A$20,0)),1)</f>
        <v/>
      </c>
      <c r="L114" s="18" t="n">
        <v>1</v>
      </c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3">
        <f>SUMPRODUCT(M114:X114,$M$2:$X$2)*$K114*$L114</f>
        <v/>
      </c>
      <c r="Z114" s="14">
        <f>SUM(M114:X114)</f>
        <v/>
      </c>
      <c r="AA114" s="13">
        <f>SUMPRODUCT(M114:X114,$M$3:$X$3)*$K114*$L114</f>
        <v/>
      </c>
      <c r="AB114" s="13">
        <f>SUMPRODUCT(M114:X114,$M$4:$X$4)*$K114*$L114</f>
        <v/>
      </c>
      <c r="AC114" s="15">
        <f>SUMPRODUCT(M114:X114,$M$5:$X$5)*$K114*$L114</f>
        <v/>
      </c>
      <c r="AD114" s="15">
        <f>SUMPRODUCT(M114:X114,$M$6:$X$6)*$K114*$L114</f>
        <v/>
      </c>
      <c r="AE114" s="19" t="n"/>
    </row>
    <row r="115">
      <c r="A115" s="9" t="n">
        <v>664747</v>
      </c>
      <c r="B115" s="9" t="inlineStr">
        <is>
          <t>Alexis Díaz</t>
        </is>
      </c>
      <c r="C115" s="9" t="inlineStr">
        <is>
          <t>ATL</t>
        </is>
      </c>
      <c r="D115" s="9" t="n">
        <v>30</v>
      </c>
      <c r="E115" s="17" t="inlineStr">
        <is>
          <t>R</t>
        </is>
      </c>
      <c r="F115" s="17" t="n"/>
      <c r="G115" s="9" t="n">
        <v>85</v>
      </c>
      <c r="H115" s="9" t="n">
        <v>868</v>
      </c>
      <c r="I115" s="9" t="inlineStr">
        <is>
          <t>Bullpen Depth Arm</t>
        </is>
      </c>
      <c r="J115" s="17" t="inlineStr">
        <is>
          <t>Opening Day</t>
        </is>
      </c>
      <c r="K115" s="11">
        <f>IFERROR(INDEX(Roles!$B$17:$B$20,MATCH(J115,Roles!$A$17:$A$20,0)),1)</f>
        <v/>
      </c>
      <c r="L115" s="18" t="n">
        <v>1</v>
      </c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3">
        <f>SUMPRODUCT(M115:X115,$M$2:$X$2)*$K115*$L115</f>
        <v/>
      </c>
      <c r="Z115" s="14">
        <f>SUM(M115:X115)</f>
        <v/>
      </c>
      <c r="AA115" s="13">
        <f>SUMPRODUCT(M115:X115,$M$3:$X$3)*$K115*$L115</f>
        <v/>
      </c>
      <c r="AB115" s="13">
        <f>SUMPRODUCT(M115:X115,$M$4:$X$4)*$K115*$L115</f>
        <v/>
      </c>
      <c r="AC115" s="15">
        <f>SUMPRODUCT(M115:X115,$M$5:$X$5)*$K115*$L115</f>
        <v/>
      </c>
      <c r="AD115" s="15">
        <f>SUMPRODUCT(M115:X115,$M$6:$X$6)*$K115*$L115</f>
        <v/>
      </c>
      <c r="AE115" s="19" t="n"/>
    </row>
    <row r="116">
      <c r="A116" s="9" t="n">
        <v>548384</v>
      </c>
      <c r="B116" s="9" t="inlineStr">
        <is>
          <t>Brooks Raley</t>
        </is>
      </c>
      <c r="C116" s="9" t="inlineStr">
        <is>
          <t>NYM</t>
        </is>
      </c>
      <c r="D116" s="9" t="n">
        <v>39</v>
      </c>
      <c r="E116" s="17" t="inlineStr">
        <is>
          <t>L</t>
        </is>
      </c>
      <c r="F116" s="17" t="n"/>
      <c r="G116" s="9" t="n">
        <v>103</v>
      </c>
      <c r="H116" s="9" t="n">
        <v>682</v>
      </c>
      <c r="I116" s="9" t="inlineStr">
        <is>
          <t>Late Inning RP (Setup)</t>
        </is>
      </c>
      <c r="J116" s="17" t="inlineStr">
        <is>
          <t>Opening Day</t>
        </is>
      </c>
      <c r="K116" s="11">
        <f>IFERROR(INDEX(Roles!$B$17:$B$20,MATCH(J116,Roles!$A$17:$A$20,0)),1)</f>
        <v/>
      </c>
      <c r="L116" s="18" t="n">
        <v>1</v>
      </c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3">
        <f>SUMPRODUCT(M116:X116,$M$2:$X$2)*$K116*$L116</f>
        <v/>
      </c>
      <c r="Z116" s="14">
        <f>SUM(M116:X116)</f>
        <v/>
      </c>
      <c r="AA116" s="13">
        <f>SUMPRODUCT(M116:X116,$M$3:$X$3)*$K116*$L116</f>
        <v/>
      </c>
      <c r="AB116" s="13">
        <f>SUMPRODUCT(M116:X116,$M$4:$X$4)*$K116*$L116</f>
        <v/>
      </c>
      <c r="AC116" s="15">
        <f>SUMPRODUCT(M116:X116,$M$5:$X$5)*$K116*$L116</f>
        <v/>
      </c>
      <c r="AD116" s="15">
        <f>SUMPRODUCT(M116:X116,$M$6:$X$6)*$K116*$L116</f>
        <v/>
      </c>
      <c r="AE116" s="19" t="n"/>
    </row>
    <row r="117">
      <c r="A117" s="9" t="n">
        <v>605447</v>
      </c>
      <c r="B117" s="9" t="inlineStr">
        <is>
          <t>Jordan Romano</t>
        </is>
      </c>
      <c r="C117" s="9" t="inlineStr">
        <is>
          <t>LAA</t>
        </is>
      </c>
      <c r="D117" s="9" t="n">
        <v>34</v>
      </c>
      <c r="E117" s="17" t="inlineStr">
        <is>
          <t>R</t>
        </is>
      </c>
      <c r="F117" s="17" t="n"/>
      <c r="G117" s="9" t="n">
        <v>42</v>
      </c>
      <c r="H117" s="9" t="n">
        <v>797</v>
      </c>
      <c r="I117" s="9" t="inlineStr">
        <is>
          <t>Middle Relief</t>
        </is>
      </c>
      <c r="J117" s="17" t="inlineStr">
        <is>
          <t>Opening Day</t>
        </is>
      </c>
      <c r="K117" s="11">
        <f>IFERROR(INDEX(Roles!$B$17:$B$20,MATCH(J117,Roles!$A$17:$A$20,0)),1)</f>
        <v/>
      </c>
      <c r="L117" s="18" t="n">
        <v>1</v>
      </c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3">
        <f>SUMPRODUCT(M117:X117,$M$2:$X$2)*$K117*$L117</f>
        <v/>
      </c>
      <c r="Z117" s="14">
        <f>SUM(M117:X117)</f>
        <v/>
      </c>
      <c r="AA117" s="13">
        <f>SUMPRODUCT(M117:X117,$M$3:$X$3)*$K117*$L117</f>
        <v/>
      </c>
      <c r="AB117" s="13">
        <f>SUMPRODUCT(M117:X117,$M$4:$X$4)*$K117*$L117</f>
        <v/>
      </c>
      <c r="AC117" s="15">
        <f>SUMPRODUCT(M117:X117,$M$5:$X$5)*$K117*$L117</f>
        <v/>
      </c>
      <c r="AD117" s="15">
        <f>SUMPRODUCT(M117:X117,$M$6:$X$6)*$K117*$L117</f>
        <v/>
      </c>
      <c r="AE117" s="19" t="n"/>
    </row>
    <row r="118">
      <c r="A118" s="9" t="n">
        <v>676962</v>
      </c>
      <c r="B118" s="9" t="inlineStr">
        <is>
          <t>Ben Brown</t>
        </is>
      </c>
      <c r="C118" s="9" t="inlineStr">
        <is>
          <t>CHC</t>
        </is>
      </c>
      <c r="D118" s="9" t="n">
        <v>27</v>
      </c>
      <c r="E118" s="17" t="inlineStr">
        <is>
          <t>R</t>
        </is>
      </c>
      <c r="F118" s="17" t="n"/>
      <c r="G118" s="9" t="n">
        <v>220</v>
      </c>
      <c r="H118" s="9" t="n">
        <v>914</v>
      </c>
      <c r="I118" s="9" t="inlineStr">
        <is>
          <t>End-of-Rotation Starter (SP4-5)</t>
        </is>
      </c>
      <c r="J118" s="17" t="inlineStr">
        <is>
          <t>Opening Day</t>
        </is>
      </c>
      <c r="K118" s="11">
        <f>IFERROR(INDEX(Roles!$B$17:$B$20,MATCH(J118,Roles!$A$17:$A$20,0)),1)</f>
        <v/>
      </c>
      <c r="L118" s="18" t="n">
        <v>1</v>
      </c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3">
        <f>SUMPRODUCT(M118:X118,$M$2:$X$2)*$K118*$L118</f>
        <v/>
      </c>
      <c r="Z118" s="14">
        <f>SUM(M118:X118)</f>
        <v/>
      </c>
      <c r="AA118" s="13">
        <f>SUMPRODUCT(M118:X118,$M$3:$X$3)*$K118*$L118</f>
        <v/>
      </c>
      <c r="AB118" s="13">
        <f>SUMPRODUCT(M118:X118,$M$4:$X$4)*$K118*$L118</f>
        <v/>
      </c>
      <c r="AC118" s="15">
        <f>SUMPRODUCT(M118:X118,$M$5:$X$5)*$K118*$L118</f>
        <v/>
      </c>
      <c r="AD118" s="15">
        <f>SUMPRODUCT(M118:X118,$M$6:$X$6)*$K118*$L118</f>
        <v/>
      </c>
      <c r="AE118" s="19" t="n"/>
    </row>
    <row r="119">
      <c r="A119" s="9" t="n">
        <v>623454</v>
      </c>
      <c r="B119" s="9" t="inlineStr">
        <is>
          <t>Drew Anderson</t>
        </is>
      </c>
      <c r="C119" s="9" t="inlineStr">
        <is>
          <t>DET</t>
        </is>
      </c>
      <c r="D119" s="9" t="n">
        <v>33</v>
      </c>
      <c r="E119" s="17" t="inlineStr">
        <is>
          <t>R</t>
        </is>
      </c>
      <c r="F119" s="17" t="n"/>
      <c r="G119" s="9" t="n">
        <v>180</v>
      </c>
      <c r="H119" s="9" t="n">
        <v>180</v>
      </c>
      <c r="I119" s="9" t="inlineStr">
        <is>
          <t>Late Inning RP (Setup)</t>
        </is>
      </c>
      <c r="J119" s="17" t="inlineStr">
        <is>
          <t>Opening Day</t>
        </is>
      </c>
      <c r="K119" s="11">
        <f>IFERROR(INDEX(Roles!$B$17:$B$20,MATCH(J119,Roles!$A$17:$A$20,0)),1)</f>
        <v/>
      </c>
      <c r="L119" s="18" t="n">
        <v>1</v>
      </c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3">
        <f>SUMPRODUCT(M119:X119,$M$2:$X$2)*$K119*$L119</f>
        <v/>
      </c>
      <c r="Z119" s="14">
        <f>SUM(M119:X119)</f>
        <v/>
      </c>
      <c r="AA119" s="13">
        <f>SUMPRODUCT(M119:X119,$M$3:$X$3)*$K119*$L119</f>
        <v/>
      </c>
      <c r="AB119" s="13">
        <f>SUMPRODUCT(M119:X119,$M$4:$X$4)*$K119*$L119</f>
        <v/>
      </c>
      <c r="AC119" s="15">
        <f>SUMPRODUCT(M119:X119,$M$5:$X$5)*$K119*$L119</f>
        <v/>
      </c>
      <c r="AD119" s="15">
        <f>SUMPRODUCT(M119:X119,$M$6:$X$6)*$K119*$L119</f>
        <v/>
      </c>
      <c r="AE119" s="19" t="n"/>
    </row>
    <row r="120">
      <c r="A120" s="9" t="n">
        <v>670950</v>
      </c>
      <c r="B120" s="9" t="inlineStr">
        <is>
          <t>Trevor Richards</t>
        </is>
      </c>
      <c r="C120" s="9" t="inlineStr">
        <is>
          <t>CWS</t>
        </is>
      </c>
      <c r="D120" s="9" t="n">
        <v>34</v>
      </c>
      <c r="E120" s="17" t="inlineStr">
        <is>
          <t>R</t>
        </is>
      </c>
      <c r="F120" s="17" t="n"/>
      <c r="G120" s="9" t="n">
        <v>83</v>
      </c>
      <c r="H120" s="9" t="n">
        <v>985</v>
      </c>
      <c r="I120" s="9" t="inlineStr">
        <is>
          <t>Middle Relief</t>
        </is>
      </c>
      <c r="J120" s="17" t="inlineStr">
        <is>
          <t>Opening Day</t>
        </is>
      </c>
      <c r="K120" s="11">
        <f>IFERROR(INDEX(Roles!$B$17:$B$20,MATCH(J120,Roles!$A$17:$A$20,0)),1)</f>
        <v/>
      </c>
      <c r="L120" s="18" t="n">
        <v>1</v>
      </c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3">
        <f>SUMPRODUCT(M120:X120,$M$2:$X$2)*$K120*$L120</f>
        <v/>
      </c>
      <c r="Z120" s="14">
        <f>SUM(M120:X120)</f>
        <v/>
      </c>
      <c r="AA120" s="13">
        <f>SUMPRODUCT(M120:X120,$M$3:$X$3)*$K120*$L120</f>
        <v/>
      </c>
      <c r="AB120" s="13">
        <f>SUMPRODUCT(M120:X120,$M$4:$X$4)*$K120*$L120</f>
        <v/>
      </c>
      <c r="AC120" s="15">
        <f>SUMPRODUCT(M120:X120,$M$5:$X$5)*$K120*$L120</f>
        <v/>
      </c>
      <c r="AD120" s="15">
        <f>SUMPRODUCT(M120:X120,$M$6:$X$6)*$K120*$L120</f>
        <v/>
      </c>
      <c r="AE120" s="19" t="n"/>
    </row>
    <row r="121">
      <c r="A121" s="9" t="n">
        <v>656464</v>
      </c>
      <c r="B121" s="9" t="inlineStr">
        <is>
          <t>Kevin Ginkel</t>
        </is>
      </c>
      <c r="C121" s="9" t="inlineStr">
        <is>
          <t>ARI</t>
        </is>
      </c>
      <c r="D121" s="9" t="n">
        <v>33</v>
      </c>
      <c r="E121" s="17" t="inlineStr">
        <is>
          <t>R</t>
        </is>
      </c>
      <c r="F121" s="17" t="n"/>
      <c r="G121" s="9" t="n">
        <v>102</v>
      </c>
      <c r="H121" s="9" t="n">
        <v>892</v>
      </c>
      <c r="I121" s="9" t="inlineStr">
        <is>
          <t>Middle Relief</t>
        </is>
      </c>
      <c r="J121" s="17" t="inlineStr">
        <is>
          <t>Opening Day</t>
        </is>
      </c>
      <c r="K121" s="11">
        <f>IFERROR(INDEX(Roles!$B$17:$B$20,MATCH(J121,Roles!$A$17:$A$20,0)),1)</f>
        <v/>
      </c>
      <c r="L121" s="18" t="n">
        <v>1</v>
      </c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3">
        <f>SUMPRODUCT(M121:X121,$M$2:$X$2)*$K121*$L121</f>
        <v/>
      </c>
      <c r="Z121" s="14">
        <f>SUM(M121:X121)</f>
        <v/>
      </c>
      <c r="AA121" s="13">
        <f>SUMPRODUCT(M121:X121,$M$3:$X$3)*$K121*$L121</f>
        <v/>
      </c>
      <c r="AB121" s="13">
        <f>SUMPRODUCT(M121:X121,$M$4:$X$4)*$K121*$L121</f>
        <v/>
      </c>
      <c r="AC121" s="15">
        <f>SUMPRODUCT(M121:X121,$M$5:$X$5)*$K121*$L121</f>
        <v/>
      </c>
      <c r="AD121" s="15">
        <f>SUMPRODUCT(M121:X121,$M$6:$X$6)*$K121*$L121</f>
        <v/>
      </c>
      <c r="AE121" s="19" t="n"/>
    </row>
    <row r="122">
      <c r="A122" s="9" t="n">
        <v>656529</v>
      </c>
      <c r="B122" s="9" t="inlineStr">
        <is>
          <t>Sam Hentges</t>
        </is>
      </c>
      <c r="C122" s="9" t="inlineStr">
        <is>
          <t>SF</t>
        </is>
      </c>
      <c r="D122" s="9" t="n">
        <v>30</v>
      </c>
      <c r="E122" s="17" t="inlineStr">
        <is>
          <t>L</t>
        </is>
      </c>
      <c r="F122" s="17" t="n"/>
      <c r="G122" s="9" t="n">
        <v>47</v>
      </c>
      <c r="H122" s="9" t="n">
        <v>606</v>
      </c>
      <c r="I122" s="9" t="inlineStr">
        <is>
          <t>Late Inning RP (Setup)</t>
        </is>
      </c>
      <c r="J122" s="17" t="inlineStr">
        <is>
          <t>Opening Day</t>
        </is>
      </c>
      <c r="K122" s="11">
        <f>IFERROR(INDEX(Roles!$B$17:$B$20,MATCH(J122,Roles!$A$17:$A$20,0)),1)</f>
        <v/>
      </c>
      <c r="L122" s="18" t="n">
        <v>1</v>
      </c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3">
        <f>SUMPRODUCT(M122:X122,$M$2:$X$2)*$K122*$L122</f>
        <v/>
      </c>
      <c r="Z122" s="14">
        <f>SUM(M122:X122)</f>
        <v/>
      </c>
      <c r="AA122" s="13">
        <f>SUMPRODUCT(M122:X122,$M$3:$X$3)*$K122*$L122</f>
        <v/>
      </c>
      <c r="AB122" s="13">
        <f>SUMPRODUCT(M122:X122,$M$4:$X$4)*$K122*$L122</f>
        <v/>
      </c>
      <c r="AC122" s="15">
        <f>SUMPRODUCT(M122:X122,$M$5:$X$5)*$K122*$L122</f>
        <v/>
      </c>
      <c r="AD122" s="15">
        <f>SUMPRODUCT(M122:X122,$M$6:$X$6)*$K122*$L122</f>
        <v/>
      </c>
      <c r="AE122" s="19" t="n"/>
    </row>
    <row r="123">
      <c r="A123" s="9" t="n">
        <v>689147</v>
      </c>
      <c r="B123" s="9" t="inlineStr">
        <is>
          <t>Orion Kerkering</t>
        </is>
      </c>
      <c r="C123" s="9" t="inlineStr">
        <is>
          <t>PHI</t>
        </is>
      </c>
      <c r="D123" s="9" t="n">
        <v>26</v>
      </c>
      <c r="E123" s="17" t="inlineStr">
        <is>
          <t>R</t>
        </is>
      </c>
      <c r="F123" s="17" t="n"/>
      <c r="G123" s="9" t="n">
        <v>109</v>
      </c>
      <c r="H123" s="9" t="n">
        <v>646</v>
      </c>
      <c r="I123" s="9" t="inlineStr">
        <is>
          <t>Middle Relief</t>
        </is>
      </c>
      <c r="J123" s="17" t="inlineStr">
        <is>
          <t>Opening Day</t>
        </is>
      </c>
      <c r="K123" s="11">
        <f>IFERROR(INDEX(Roles!$B$17:$B$20,MATCH(J123,Roles!$A$17:$A$20,0)),1)</f>
        <v/>
      </c>
      <c r="L123" s="18" t="n">
        <v>1</v>
      </c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3">
        <f>SUMPRODUCT(M123:X123,$M$2:$X$2)*$K123*$L123</f>
        <v/>
      </c>
      <c r="Z123" s="14">
        <f>SUM(M123:X123)</f>
        <v/>
      </c>
      <c r="AA123" s="13">
        <f>SUMPRODUCT(M123:X123,$M$3:$X$3)*$K123*$L123</f>
        <v/>
      </c>
      <c r="AB123" s="13">
        <f>SUMPRODUCT(M123:X123,$M$4:$X$4)*$K123*$L123</f>
        <v/>
      </c>
      <c r="AC123" s="15">
        <f>SUMPRODUCT(M123:X123,$M$5:$X$5)*$K123*$L123</f>
        <v/>
      </c>
      <c r="AD123" s="15">
        <f>SUMPRODUCT(M123:X123,$M$6:$X$6)*$K123*$L123</f>
        <v/>
      </c>
      <c r="AE123" s="19" t="n"/>
    </row>
    <row r="124">
      <c r="A124" s="9" t="n">
        <v>657024</v>
      </c>
      <c r="B124" s="9" t="inlineStr">
        <is>
          <t>Erik Swanson</t>
        </is>
      </c>
      <c r="C124" s="9" t="inlineStr">
        <is>
          <t>TOR</t>
        </is>
      </c>
      <c r="D124" s="9" t="n">
        <v>33</v>
      </c>
      <c r="E124" s="17" t="inlineStr">
        <is>
          <t>R</t>
        </is>
      </c>
      <c r="F124" s="17" t="n"/>
      <c r="G124" s="9" t="n">
        <v>30</v>
      </c>
      <c r="H124" s="9" t="n">
        <v>666</v>
      </c>
      <c r="I124" s="9" t="inlineStr">
        <is>
          <t>Bullpen Depth Arm</t>
        </is>
      </c>
      <c r="J124" s="17" t="inlineStr">
        <is>
          <t>Opening Day</t>
        </is>
      </c>
      <c r="K124" s="11">
        <f>IFERROR(INDEX(Roles!$B$17:$B$20,MATCH(J124,Roles!$A$17:$A$20,0)),1)</f>
        <v/>
      </c>
      <c r="L124" s="18" t="n">
        <v>1</v>
      </c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3">
        <f>SUMPRODUCT(M124:X124,$M$2:$X$2)*$K124*$L124</f>
        <v/>
      </c>
      <c r="Z124" s="14">
        <f>SUM(M124:X124)</f>
        <v/>
      </c>
      <c r="AA124" s="13">
        <f>SUMPRODUCT(M124:X124,$M$3:$X$3)*$K124*$L124</f>
        <v/>
      </c>
      <c r="AB124" s="13">
        <f>SUMPRODUCT(M124:X124,$M$4:$X$4)*$K124*$L124</f>
        <v/>
      </c>
      <c r="AC124" s="15">
        <f>SUMPRODUCT(M124:X124,$M$5:$X$5)*$K124*$L124</f>
        <v/>
      </c>
      <c r="AD124" s="15">
        <f>SUMPRODUCT(M124:X124,$M$6:$X$6)*$K124*$L124</f>
        <v/>
      </c>
      <c r="AE124" s="19" t="n"/>
    </row>
    <row r="125">
      <c r="A125" s="9" t="n">
        <v>669062</v>
      </c>
      <c r="B125" s="9" t="inlineStr">
        <is>
          <t>Erik Miller</t>
        </is>
      </c>
      <c r="C125" s="9" t="inlineStr">
        <is>
          <t>SF</t>
        </is>
      </c>
      <c r="D125" s="9" t="n">
        <v>29</v>
      </c>
      <c r="E125" s="17" t="inlineStr">
        <is>
          <t>L</t>
        </is>
      </c>
      <c r="F125" s="17" t="n"/>
      <c r="G125" s="9" t="n">
        <v>90</v>
      </c>
      <c r="H125" s="9" t="n">
        <v>502</v>
      </c>
      <c r="I125" s="9" t="inlineStr">
        <is>
          <t>Middle Relief</t>
        </is>
      </c>
      <c r="J125" s="17" t="inlineStr">
        <is>
          <t>Opening Day</t>
        </is>
      </c>
      <c r="K125" s="11">
        <f>IFERROR(INDEX(Roles!$B$17:$B$20,MATCH(J125,Roles!$A$17:$A$20,0)),1)</f>
        <v/>
      </c>
      <c r="L125" s="18" t="n">
        <v>1</v>
      </c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3">
        <f>SUMPRODUCT(M125:X125,$M$2:$X$2)*$K125*$L125</f>
        <v/>
      </c>
      <c r="Z125" s="14">
        <f>SUM(M125:X125)</f>
        <v/>
      </c>
      <c r="AA125" s="13">
        <f>SUMPRODUCT(M125:X125,$M$3:$X$3)*$K125*$L125</f>
        <v/>
      </c>
      <c r="AB125" s="13">
        <f>SUMPRODUCT(M125:X125,$M$4:$X$4)*$K125*$L125</f>
        <v/>
      </c>
      <c r="AC125" s="15">
        <f>SUMPRODUCT(M125:X125,$M$5:$X$5)*$K125*$L125</f>
        <v/>
      </c>
      <c r="AD125" s="15">
        <f>SUMPRODUCT(M125:X125,$M$6:$X$6)*$K125*$L125</f>
        <v/>
      </c>
      <c r="AE125" s="19" t="n"/>
    </row>
    <row r="126">
      <c r="A126" s="9" t="n">
        <v>641154</v>
      </c>
      <c r="B126" s="9" t="inlineStr">
        <is>
          <t>Pablo López</t>
        </is>
      </c>
      <c r="C126" s="9" t="inlineStr">
        <is>
          <t>MIN</t>
        </is>
      </c>
      <c r="D126" s="9" t="n">
        <v>31</v>
      </c>
      <c r="E126" s="17" t="inlineStr">
        <is>
          <t>R</t>
        </is>
      </c>
      <c r="F126" s="17" t="n"/>
      <c r="G126" s="9" t="n">
        <v>312</v>
      </c>
      <c r="H126" s="9" t="n">
        <v>2621</v>
      </c>
      <c r="I126" s="9" t="inlineStr">
        <is>
          <t>Mid-Rotation Starter (SP2-3)</t>
        </is>
      </c>
      <c r="J126" s="17" t="inlineStr">
        <is>
          <t>Opening Day</t>
        </is>
      </c>
      <c r="K126" s="11">
        <f>IFERROR(INDEX(Roles!$B$17:$B$20,MATCH(J126,Roles!$A$17:$A$20,0)),1)</f>
        <v/>
      </c>
      <c r="L126" s="18" t="n">
        <v>1</v>
      </c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3">
        <f>SUMPRODUCT(M126:X126,$M$2:$X$2)*$K126*$L126</f>
        <v/>
      </c>
      <c r="Z126" s="14">
        <f>SUM(M126:X126)</f>
        <v/>
      </c>
      <c r="AA126" s="13">
        <f>SUMPRODUCT(M126:X126,$M$3:$X$3)*$K126*$L126</f>
        <v/>
      </c>
      <c r="AB126" s="13">
        <f>SUMPRODUCT(M126:X126,$M$4:$X$4)*$K126*$L126</f>
        <v/>
      </c>
      <c r="AC126" s="15">
        <f>SUMPRODUCT(M126:X126,$M$5:$X$5)*$K126*$L126</f>
        <v/>
      </c>
      <c r="AD126" s="15">
        <f>SUMPRODUCT(M126:X126,$M$6:$X$6)*$K126*$L126</f>
        <v/>
      </c>
      <c r="AE126" s="19" t="n"/>
    </row>
    <row r="127">
      <c r="A127" s="9" t="n">
        <v>694037</v>
      </c>
      <c r="B127" s="9" t="inlineStr">
        <is>
          <t>Daniel Palencia</t>
        </is>
      </c>
      <c r="C127" s="9" t="inlineStr">
        <is>
          <t>CHC</t>
        </is>
      </c>
      <c r="D127" s="9" t="n">
        <v>27</v>
      </c>
      <c r="E127" s="17" t="inlineStr">
        <is>
          <t>R</t>
        </is>
      </c>
      <c r="F127" s="17" t="n"/>
      <c r="G127" s="9" t="n">
        <v>64</v>
      </c>
      <c r="H127" s="9" t="n">
        <v>467</v>
      </c>
      <c r="I127" s="9" t="inlineStr">
        <is>
          <t>Bullpen Depth Arm</t>
        </is>
      </c>
      <c r="J127" s="17" t="inlineStr">
        <is>
          <t>Opening Day</t>
        </is>
      </c>
      <c r="K127" s="11">
        <f>IFERROR(INDEX(Roles!$B$17:$B$20,MATCH(J127,Roles!$A$17:$A$20,0)),1)</f>
        <v/>
      </c>
      <c r="L127" s="18" t="n">
        <v>1</v>
      </c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3">
        <f>SUMPRODUCT(M127:X127,$M$2:$X$2)*$K127*$L127</f>
        <v/>
      </c>
      <c r="Z127" s="14">
        <f>SUM(M127:X127)</f>
        <v/>
      </c>
      <c r="AA127" s="13">
        <f>SUMPRODUCT(M127:X127,$M$3:$X$3)*$K127*$L127</f>
        <v/>
      </c>
      <c r="AB127" s="13">
        <f>SUMPRODUCT(M127:X127,$M$4:$X$4)*$K127*$L127</f>
        <v/>
      </c>
      <c r="AC127" s="15">
        <f>SUMPRODUCT(M127:X127,$M$5:$X$5)*$K127*$L127</f>
        <v/>
      </c>
      <c r="AD127" s="15">
        <f>SUMPRODUCT(M127:X127,$M$6:$X$6)*$K127*$L127</f>
        <v/>
      </c>
      <c r="AE127" s="19" t="n"/>
    </row>
    <row r="128">
      <c r="A128" s="9" t="n">
        <v>543243</v>
      </c>
      <c r="B128" s="9" t="inlineStr">
        <is>
          <t>Sonny Gray</t>
        </is>
      </c>
      <c r="C128" s="9" t="inlineStr">
        <is>
          <t>BOS</t>
        </is>
      </c>
      <c r="D128" s="9" t="n">
        <v>37</v>
      </c>
      <c r="E128" s="17" t="inlineStr">
        <is>
          <t>R</t>
        </is>
      </c>
      <c r="F128" s="17" t="n"/>
      <c r="G128" s="9" t="n">
        <v>233</v>
      </c>
      <c r="H128" s="9" t="n">
        <v>2899</v>
      </c>
      <c r="I128" s="9" t="inlineStr">
        <is>
          <t>Mid-Rotation Starter (SP2-3)</t>
        </is>
      </c>
      <c r="J128" s="17" t="inlineStr">
        <is>
          <t>Opening Day</t>
        </is>
      </c>
      <c r="K128" s="11">
        <f>IFERROR(INDEX(Roles!$B$17:$B$20,MATCH(J128,Roles!$A$17:$A$20,0)),1)</f>
        <v/>
      </c>
      <c r="L128" s="18" t="n">
        <v>1</v>
      </c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3">
        <f>SUMPRODUCT(M128:X128,$M$2:$X$2)*$K128*$L128</f>
        <v/>
      </c>
      <c r="Z128" s="14">
        <f>SUM(M128:X128)</f>
        <v/>
      </c>
      <c r="AA128" s="13">
        <f>SUMPRODUCT(M128:X128,$M$3:$X$3)*$K128*$L128</f>
        <v/>
      </c>
      <c r="AB128" s="13">
        <f>SUMPRODUCT(M128:X128,$M$4:$X$4)*$K128*$L128</f>
        <v/>
      </c>
      <c r="AC128" s="15">
        <f>SUMPRODUCT(M128:X128,$M$5:$X$5)*$K128*$L128</f>
        <v/>
      </c>
      <c r="AD128" s="15">
        <f>SUMPRODUCT(M128:X128,$M$6:$X$6)*$K128*$L128</f>
        <v/>
      </c>
      <c r="AE128" s="19" t="n"/>
    </row>
    <row r="129">
      <c r="A129" s="9" t="n">
        <v>676395</v>
      </c>
      <c r="B129" s="9" t="inlineStr">
        <is>
          <t>Robert Garcia</t>
        </is>
      </c>
      <c r="C129" s="9" t="inlineStr">
        <is>
          <t>TEX</t>
        </is>
      </c>
      <c r="D129" s="9" t="n">
        <v>31</v>
      </c>
      <c r="E129" s="17" t="inlineStr">
        <is>
          <t>L</t>
        </is>
      </c>
      <c r="F129" s="17" t="n"/>
      <c r="G129" s="9" t="n">
        <v>34</v>
      </c>
      <c r="H129" s="9" t="n">
        <v>681</v>
      </c>
      <c r="I129" s="9" t="inlineStr">
        <is>
          <t>Late Inning RP (Setup)</t>
        </is>
      </c>
      <c r="J129" s="17" t="inlineStr">
        <is>
          <t>Opening Day</t>
        </is>
      </c>
      <c r="K129" s="11">
        <f>IFERROR(INDEX(Roles!$B$17:$B$20,MATCH(J129,Roles!$A$17:$A$20,0)),1)</f>
        <v/>
      </c>
      <c r="L129" s="18" t="n">
        <v>1</v>
      </c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3">
        <f>SUMPRODUCT(M129:X129,$M$2:$X$2)*$K129*$L129</f>
        <v/>
      </c>
      <c r="Z129" s="14">
        <f>SUM(M129:X129)</f>
        <v/>
      </c>
      <c r="AA129" s="13">
        <f>SUMPRODUCT(M129:X129,$M$3:$X$3)*$K129*$L129</f>
        <v/>
      </c>
      <c r="AB129" s="13">
        <f>SUMPRODUCT(M129:X129,$M$4:$X$4)*$K129*$L129</f>
        <v/>
      </c>
      <c r="AC129" s="15">
        <f>SUMPRODUCT(M129:X129,$M$5:$X$5)*$K129*$L129</f>
        <v/>
      </c>
      <c r="AD129" s="15">
        <f>SUMPRODUCT(M129:X129,$M$6:$X$6)*$K129*$L129</f>
        <v/>
      </c>
      <c r="AE129" s="19" t="n"/>
    </row>
    <row r="130">
      <c r="A130" s="9" t="n">
        <v>673540</v>
      </c>
      <c r="B130" s="9" t="inlineStr">
        <is>
          <t>Kodai Senga</t>
        </is>
      </c>
      <c r="C130" s="9" t="inlineStr">
        <is>
          <t>NYM</t>
        </is>
      </c>
      <c r="D130" s="9" t="n">
        <v>34</v>
      </c>
      <c r="E130" s="17" t="inlineStr">
        <is>
          <t>R</t>
        </is>
      </c>
      <c r="F130" s="17" t="n"/>
      <c r="G130" s="9" t="n">
        <v>97</v>
      </c>
      <c r="H130" s="9" t="n">
        <v>1293</v>
      </c>
      <c r="I130" s="9" t="inlineStr">
        <is>
          <t>End-of-Rotation Starter (SP4-5)</t>
        </is>
      </c>
      <c r="J130" s="17" t="inlineStr">
        <is>
          <t>Opening Day</t>
        </is>
      </c>
      <c r="K130" s="11">
        <f>IFERROR(INDEX(Roles!$B$17:$B$20,MATCH(J130,Roles!$A$17:$A$20,0)),1)</f>
        <v/>
      </c>
      <c r="L130" s="18" t="n">
        <v>1</v>
      </c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3">
        <f>SUMPRODUCT(M130:X130,$M$2:$X$2)*$K130*$L130</f>
        <v/>
      </c>
      <c r="Z130" s="14">
        <f>SUM(M130:X130)</f>
        <v/>
      </c>
      <c r="AA130" s="13">
        <f>SUMPRODUCT(M130:X130,$M$3:$X$3)*$K130*$L130</f>
        <v/>
      </c>
      <c r="AB130" s="13">
        <f>SUMPRODUCT(M130:X130,$M$4:$X$4)*$K130*$L130</f>
        <v/>
      </c>
      <c r="AC130" s="15">
        <f>SUMPRODUCT(M130:X130,$M$5:$X$5)*$K130*$L130</f>
        <v/>
      </c>
      <c r="AD130" s="15">
        <f>SUMPRODUCT(M130:X130,$M$6:$X$6)*$K130*$L130</f>
        <v/>
      </c>
      <c r="AE130" s="19" t="n"/>
    </row>
    <row r="131">
      <c r="A131" s="9" t="n">
        <v>592332</v>
      </c>
      <c r="B131" s="9" t="inlineStr">
        <is>
          <t>Kevin Gausman</t>
        </is>
      </c>
      <c r="C131" s="9" t="inlineStr">
        <is>
          <t>TOR</t>
        </is>
      </c>
      <c r="D131" s="9" t="n">
        <v>36</v>
      </c>
      <c r="E131" s="17" t="inlineStr">
        <is>
          <t>R</t>
        </is>
      </c>
      <c r="F131" s="17" t="n"/>
      <c r="G131" s="9" t="n">
        <v>325</v>
      </c>
      <c r="H131" s="9" t="n">
        <v>3344</v>
      </c>
      <c r="I131" s="9" t="inlineStr">
        <is>
          <t>Ace (SP1)</t>
        </is>
      </c>
      <c r="J131" s="17" t="inlineStr">
        <is>
          <t>Opening Day</t>
        </is>
      </c>
      <c r="K131" s="11">
        <f>IFERROR(INDEX(Roles!$B$17:$B$20,MATCH(J131,Roles!$A$17:$A$20,0)),1)</f>
        <v/>
      </c>
      <c r="L131" s="18" t="n">
        <v>1</v>
      </c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3">
        <f>SUMPRODUCT(M131:X131,$M$2:$X$2)*$K131*$L131</f>
        <v/>
      </c>
      <c r="Z131" s="14">
        <f>SUM(M131:X131)</f>
        <v/>
      </c>
      <c r="AA131" s="13">
        <f>SUMPRODUCT(M131:X131,$M$3:$X$3)*$K131*$L131</f>
        <v/>
      </c>
      <c r="AB131" s="13">
        <f>SUMPRODUCT(M131:X131,$M$4:$X$4)*$K131*$L131</f>
        <v/>
      </c>
      <c r="AC131" s="15">
        <f>SUMPRODUCT(M131:X131,$M$5:$X$5)*$K131*$L131</f>
        <v/>
      </c>
      <c r="AD131" s="15">
        <f>SUMPRODUCT(M131:X131,$M$6:$X$6)*$K131*$L131</f>
        <v/>
      </c>
      <c r="AE131" s="19" t="n"/>
    </row>
    <row r="132">
      <c r="A132" s="9" t="n">
        <v>669203</v>
      </c>
      <c r="B132" s="9" t="inlineStr">
        <is>
          <t>Corbin Burnes</t>
        </is>
      </c>
      <c r="C132" s="9" t="inlineStr">
        <is>
          <t>ARI</t>
        </is>
      </c>
      <c r="D132" s="9" t="n">
        <v>32</v>
      </c>
      <c r="E132" s="17" t="inlineStr">
        <is>
          <t>R</t>
        </is>
      </c>
      <c r="F132" s="17" t="n"/>
      <c r="G132" s="9" t="n">
        <v>265</v>
      </c>
      <c r="H132" s="9" t="n">
        <v>2630</v>
      </c>
      <c r="I132" s="9" t="inlineStr">
        <is>
          <t>Ace (SP1)</t>
        </is>
      </c>
      <c r="J132" s="17" t="inlineStr">
        <is>
          <t>Opening Day</t>
        </is>
      </c>
      <c r="K132" s="11">
        <f>IFERROR(INDEX(Roles!$B$17:$B$20,MATCH(J132,Roles!$A$17:$A$20,0)),1)</f>
        <v/>
      </c>
      <c r="L132" s="18" t="n">
        <v>1</v>
      </c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3">
        <f>SUMPRODUCT(M132:X132,$M$2:$X$2)*$K132*$L132</f>
        <v/>
      </c>
      <c r="Z132" s="14">
        <f>SUM(M132:X132)</f>
        <v/>
      </c>
      <c r="AA132" s="13">
        <f>SUMPRODUCT(M132:X132,$M$3:$X$3)*$K132*$L132</f>
        <v/>
      </c>
      <c r="AB132" s="13">
        <f>SUMPRODUCT(M132:X132,$M$4:$X$4)*$K132*$L132</f>
        <v/>
      </c>
      <c r="AC132" s="15">
        <f>SUMPRODUCT(M132:X132,$M$5:$X$5)*$K132*$L132</f>
        <v/>
      </c>
      <c r="AD132" s="15">
        <f>SUMPRODUCT(M132:X132,$M$6:$X$6)*$K132*$L132</f>
        <v/>
      </c>
      <c r="AE132" s="19" t="n"/>
    </row>
    <row r="133">
      <c r="A133" s="9" t="n">
        <v>642397</v>
      </c>
      <c r="B133" s="9" t="inlineStr">
        <is>
          <t>Gregory Soto</t>
        </is>
      </c>
      <c r="C133" s="9" t="inlineStr">
        <is>
          <t>PIT</t>
        </is>
      </c>
      <c r="D133" s="9" t="n">
        <v>32</v>
      </c>
      <c r="E133" s="17" t="inlineStr">
        <is>
          <t>L</t>
        </is>
      </c>
      <c r="F133" s="17" t="n"/>
      <c r="G133" s="9" t="n">
        <v>111</v>
      </c>
      <c r="H133" s="9" t="n">
        <v>1147</v>
      </c>
      <c r="I133" s="9" t="inlineStr">
        <is>
          <t>Closer</t>
        </is>
      </c>
      <c r="J133" s="17" t="inlineStr">
        <is>
          <t>Opening Day</t>
        </is>
      </c>
      <c r="K133" s="11">
        <f>IFERROR(INDEX(Roles!$B$17:$B$20,MATCH(J133,Roles!$A$17:$A$20,0)),1)</f>
        <v/>
      </c>
      <c r="L133" s="18" t="n">
        <v>1</v>
      </c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3">
        <f>SUMPRODUCT(M133:X133,$M$2:$X$2)*$K133*$L133</f>
        <v/>
      </c>
      <c r="Z133" s="14">
        <f>SUM(M133:X133)</f>
        <v/>
      </c>
      <c r="AA133" s="13">
        <f>SUMPRODUCT(M133:X133,$M$3:$X$3)*$K133*$L133</f>
        <v/>
      </c>
      <c r="AB133" s="13">
        <f>SUMPRODUCT(M133:X133,$M$4:$X$4)*$K133*$L133</f>
        <v/>
      </c>
      <c r="AC133" s="15">
        <f>SUMPRODUCT(M133:X133,$M$5:$X$5)*$K133*$L133</f>
        <v/>
      </c>
      <c r="AD133" s="15">
        <f>SUMPRODUCT(M133:X133,$M$6:$X$6)*$K133*$L133</f>
        <v/>
      </c>
      <c r="AE133" s="19" t="n"/>
    </row>
    <row r="134">
      <c r="A134" s="9" t="n">
        <v>665660</v>
      </c>
      <c r="B134" s="9" t="inlineStr">
        <is>
          <t>Elvis Alvarado</t>
        </is>
      </c>
      <c r="C134" s="9" t="inlineStr">
        <is>
          <t>OAK</t>
        </is>
      </c>
      <c r="D134" s="9" t="n">
        <v>28</v>
      </c>
      <c r="E134" s="17" t="inlineStr">
        <is>
          <t>R</t>
        </is>
      </c>
      <c r="F134" s="17" t="n"/>
      <c r="G134" s="9" t="n">
        <v>56</v>
      </c>
      <c r="H134" s="9" t="n">
        <v>239</v>
      </c>
      <c r="I134" s="9" t="inlineStr">
        <is>
          <t>Bullpen Depth Arm</t>
        </is>
      </c>
      <c r="J134" s="17" t="inlineStr">
        <is>
          <t>Opening Day</t>
        </is>
      </c>
      <c r="K134" s="11">
        <f>IFERROR(INDEX(Roles!$B$17:$B$20,MATCH(J134,Roles!$A$17:$A$20,0)),1)</f>
        <v/>
      </c>
      <c r="L134" s="18" t="n">
        <v>1</v>
      </c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3">
        <f>SUMPRODUCT(M134:X134,$M$2:$X$2)*$K134*$L134</f>
        <v/>
      </c>
      <c r="Z134" s="14">
        <f>SUM(M134:X134)</f>
        <v/>
      </c>
      <c r="AA134" s="13">
        <f>SUMPRODUCT(M134:X134,$M$3:$X$3)*$K134*$L134</f>
        <v/>
      </c>
      <c r="AB134" s="13">
        <f>SUMPRODUCT(M134:X134,$M$4:$X$4)*$K134*$L134</f>
        <v/>
      </c>
      <c r="AC134" s="15">
        <f>SUMPRODUCT(M134:X134,$M$5:$X$5)*$K134*$L134</f>
        <v/>
      </c>
      <c r="AD134" s="15">
        <f>SUMPRODUCT(M134:X134,$M$6:$X$6)*$K134*$L134</f>
        <v/>
      </c>
      <c r="AE134" s="19" t="n"/>
    </row>
    <row r="135">
      <c r="A135" s="9" t="n">
        <v>669022</v>
      </c>
      <c r="B135" s="9" t="inlineStr">
        <is>
          <t>MacKenzie Gore</t>
        </is>
      </c>
      <c r="C135" s="9" t="inlineStr">
        <is>
          <t>TEX</t>
        </is>
      </c>
      <c r="D135" s="9" t="n">
        <v>28</v>
      </c>
      <c r="E135" s="17" t="inlineStr">
        <is>
          <t>L</t>
        </is>
      </c>
      <c r="F135" s="17" t="n"/>
      <c r="G135" s="9" t="n">
        <v>283</v>
      </c>
      <c r="H135" s="9" t="n">
        <v>2585</v>
      </c>
      <c r="I135" s="9" t="inlineStr">
        <is>
          <t>Mid-Rotation Starter (SP2-3)</t>
        </is>
      </c>
      <c r="J135" s="17" t="inlineStr">
        <is>
          <t>Opening Day</t>
        </is>
      </c>
      <c r="K135" s="11">
        <f>IFERROR(INDEX(Roles!$B$17:$B$20,MATCH(J135,Roles!$A$17:$A$20,0)),1)</f>
        <v/>
      </c>
      <c r="L135" s="18" t="n">
        <v>1</v>
      </c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3">
        <f>SUMPRODUCT(M135:X135,$M$2:$X$2)*$K135*$L135</f>
        <v/>
      </c>
      <c r="Z135" s="14">
        <f>SUM(M135:X135)</f>
        <v/>
      </c>
      <c r="AA135" s="13">
        <f>SUMPRODUCT(M135:X135,$M$3:$X$3)*$K135*$L135</f>
        <v/>
      </c>
      <c r="AB135" s="13">
        <f>SUMPRODUCT(M135:X135,$M$4:$X$4)*$K135*$L135</f>
        <v/>
      </c>
      <c r="AC135" s="15">
        <f>SUMPRODUCT(M135:X135,$M$5:$X$5)*$K135*$L135</f>
        <v/>
      </c>
      <c r="AD135" s="15">
        <f>SUMPRODUCT(M135:X135,$M$6:$X$6)*$K135*$L135</f>
        <v/>
      </c>
      <c r="AE135" s="19" t="n"/>
    </row>
    <row r="136">
      <c r="A136" s="9" t="n">
        <v>670036</v>
      </c>
      <c r="B136" s="9" t="inlineStr">
        <is>
          <t>Matt Festa</t>
        </is>
      </c>
      <c r="C136" s="9" t="inlineStr">
        <is>
          <t>CLE</t>
        </is>
      </c>
      <c r="D136" s="9" t="n">
        <v>34</v>
      </c>
      <c r="E136" s="17" t="inlineStr">
        <is>
          <t>R</t>
        </is>
      </c>
      <c r="F136" s="17" t="n"/>
      <c r="G136" s="9" t="n">
        <v>122</v>
      </c>
      <c r="H136" s="9" t="n">
        <v>710</v>
      </c>
      <c r="I136" s="9" t="inlineStr">
        <is>
          <t>Middle Relief</t>
        </is>
      </c>
      <c r="J136" s="17" t="inlineStr">
        <is>
          <t>Opening Day</t>
        </is>
      </c>
      <c r="K136" s="11">
        <f>IFERROR(INDEX(Roles!$B$17:$B$20,MATCH(J136,Roles!$A$17:$A$20,0)),1)</f>
        <v/>
      </c>
      <c r="L136" s="18" t="n">
        <v>1</v>
      </c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3">
        <f>SUMPRODUCT(M136:X136,$M$2:$X$2)*$K136*$L136</f>
        <v/>
      </c>
      <c r="Z136" s="14">
        <f>SUM(M136:X136)</f>
        <v/>
      </c>
      <c r="AA136" s="13">
        <f>SUMPRODUCT(M136:X136,$M$3:$X$3)*$K136*$L136</f>
        <v/>
      </c>
      <c r="AB136" s="13">
        <f>SUMPRODUCT(M136:X136,$M$4:$X$4)*$K136*$L136</f>
        <v/>
      </c>
      <c r="AC136" s="15">
        <f>SUMPRODUCT(M136:X136,$M$5:$X$5)*$K136*$L136</f>
        <v/>
      </c>
      <c r="AD136" s="15">
        <f>SUMPRODUCT(M136:X136,$M$6:$X$6)*$K136*$L136</f>
        <v/>
      </c>
      <c r="AE136" s="19" t="n"/>
    </row>
    <row r="137">
      <c r="A137" s="9" t="n">
        <v>669199</v>
      </c>
      <c r="B137" s="9" t="inlineStr">
        <is>
          <t>Lake Bachar</t>
        </is>
      </c>
      <c r="C137" s="9" t="inlineStr">
        <is>
          <t>MIA</t>
        </is>
      </c>
      <c r="D137" s="9" t="n">
        <v>32</v>
      </c>
      <c r="E137" s="17" t="inlineStr">
        <is>
          <t>R</t>
        </is>
      </c>
      <c r="F137" s="17" t="n"/>
      <c r="G137" s="9" t="n">
        <v>135</v>
      </c>
      <c r="H137" s="9" t="n">
        <v>471</v>
      </c>
      <c r="I137" s="9" t="inlineStr">
        <is>
          <t>Bullpen Depth Arm</t>
        </is>
      </c>
      <c r="J137" s="17" t="inlineStr">
        <is>
          <t>Opening Day</t>
        </is>
      </c>
      <c r="K137" s="11">
        <f>IFERROR(INDEX(Roles!$B$17:$B$20,MATCH(J137,Roles!$A$17:$A$20,0)),1)</f>
        <v/>
      </c>
      <c r="L137" s="18" t="n">
        <v>1</v>
      </c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3">
        <f>SUMPRODUCT(M137:X137,$M$2:$X$2)*$K137*$L137</f>
        <v/>
      </c>
      <c r="Z137" s="14">
        <f>SUM(M137:X137)</f>
        <v/>
      </c>
      <c r="AA137" s="13">
        <f>SUMPRODUCT(M137:X137,$M$3:$X$3)*$K137*$L137</f>
        <v/>
      </c>
      <c r="AB137" s="13">
        <f>SUMPRODUCT(M137:X137,$M$4:$X$4)*$K137*$L137</f>
        <v/>
      </c>
      <c r="AC137" s="15">
        <f>SUMPRODUCT(M137:X137,$M$5:$X$5)*$K137*$L137</f>
        <v/>
      </c>
      <c r="AD137" s="15">
        <f>SUMPRODUCT(M137:X137,$M$6:$X$6)*$K137*$L137</f>
        <v/>
      </c>
      <c r="AE137" s="19" t="n"/>
    </row>
    <row r="138">
      <c r="A138" s="9" t="n">
        <v>458677</v>
      </c>
      <c r="B138" s="9" t="inlineStr">
        <is>
          <t>Justin Wilson</t>
        </is>
      </c>
      <c r="C138" s="9" t="inlineStr">
        <is>
          <t>BOS</t>
        </is>
      </c>
      <c r="D138" s="9" t="n">
        <v>39</v>
      </c>
      <c r="E138" s="17" t="inlineStr">
        <is>
          <t>L</t>
        </is>
      </c>
      <c r="F138" s="17" t="n"/>
      <c r="G138" s="9" t="n">
        <v>207</v>
      </c>
      <c r="H138" s="9" t="n">
        <v>429</v>
      </c>
      <c r="I138" s="9" t="inlineStr">
        <is>
          <t>Middle Relief</t>
        </is>
      </c>
      <c r="J138" s="17" t="inlineStr">
        <is>
          <t>Opening Day</t>
        </is>
      </c>
      <c r="K138" s="11">
        <f>IFERROR(INDEX(Roles!$B$17:$B$20,MATCH(J138,Roles!$A$17:$A$20,0)),1)</f>
        <v/>
      </c>
      <c r="L138" s="18" t="n">
        <v>1</v>
      </c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3">
        <f>SUMPRODUCT(M138:X138,$M$2:$X$2)*$K138*$L138</f>
        <v/>
      </c>
      <c r="Z138" s="14">
        <f>SUM(M138:X138)</f>
        <v/>
      </c>
      <c r="AA138" s="13">
        <f>SUMPRODUCT(M138:X138,$M$3:$X$3)*$K138*$L138</f>
        <v/>
      </c>
      <c r="AB138" s="13">
        <f>SUMPRODUCT(M138:X138,$M$4:$X$4)*$K138*$L138</f>
        <v/>
      </c>
      <c r="AC138" s="15">
        <f>SUMPRODUCT(M138:X138,$M$5:$X$5)*$K138*$L138</f>
        <v/>
      </c>
      <c r="AD138" s="15">
        <f>SUMPRODUCT(M138:X138,$M$6:$X$6)*$K138*$L138</f>
        <v/>
      </c>
      <c r="AE138" s="19" t="n"/>
    </row>
    <row r="139">
      <c r="A139" s="9" t="n">
        <v>453286</v>
      </c>
      <c r="B139" s="9" t="inlineStr">
        <is>
          <t>Max Scherzer</t>
        </is>
      </c>
      <c r="C139" s="9" t="inlineStr">
        <is>
          <t>TOR</t>
        </is>
      </c>
      <c r="D139" s="9" t="n">
        <v>42</v>
      </c>
      <c r="E139" s="17" t="inlineStr">
        <is>
          <t>R</t>
        </is>
      </c>
      <c r="F139" s="17" t="n"/>
      <c r="G139" s="9" t="n">
        <v>84</v>
      </c>
      <c r="H139" s="9" t="n">
        <v>1805</v>
      </c>
      <c r="I139" s="9" t="inlineStr">
        <is>
          <t>End-of-Rotation Starter (SP4-5)</t>
        </is>
      </c>
      <c r="J139" s="17" t="inlineStr">
        <is>
          <t>Opening Day</t>
        </is>
      </c>
      <c r="K139" s="11">
        <f>IFERROR(INDEX(Roles!$B$17:$B$20,MATCH(J139,Roles!$A$17:$A$20,0)),1)</f>
        <v/>
      </c>
      <c r="L139" s="18" t="n">
        <v>1</v>
      </c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3">
        <f>SUMPRODUCT(M139:X139,$M$2:$X$2)*$K139*$L139</f>
        <v/>
      </c>
      <c r="Z139" s="14">
        <f>SUM(M139:X139)</f>
        <v/>
      </c>
      <c r="AA139" s="13">
        <f>SUMPRODUCT(M139:X139,$M$3:$X$3)*$K139*$L139</f>
        <v/>
      </c>
      <c r="AB139" s="13">
        <f>SUMPRODUCT(M139:X139,$M$4:$X$4)*$K139*$L139</f>
        <v/>
      </c>
      <c r="AC139" s="15">
        <f>SUMPRODUCT(M139:X139,$M$5:$X$5)*$K139*$L139</f>
        <v/>
      </c>
      <c r="AD139" s="15">
        <f>SUMPRODUCT(M139:X139,$M$6:$X$6)*$K139*$L139</f>
        <v/>
      </c>
      <c r="AE139" s="19" t="n"/>
    </row>
    <row r="140">
      <c r="A140" s="9" t="n">
        <v>667297</v>
      </c>
      <c r="B140" s="9" t="inlineStr">
        <is>
          <t>Tommy Nance</t>
        </is>
      </c>
      <c r="C140" s="9" t="inlineStr">
        <is>
          <t>TOR</t>
        </is>
      </c>
      <c r="D140" s="9" t="n">
        <v>36</v>
      </c>
      <c r="E140" s="17" t="inlineStr">
        <is>
          <t>R</t>
        </is>
      </c>
      <c r="F140" s="17" t="n"/>
      <c r="G140" s="9" t="n">
        <v>89</v>
      </c>
      <c r="H140" s="9" t="n">
        <v>504</v>
      </c>
      <c r="I140" s="9" t="inlineStr">
        <is>
          <t>Middle Relief</t>
        </is>
      </c>
      <c r="J140" s="17" t="inlineStr">
        <is>
          <t>Opening Day</t>
        </is>
      </c>
      <c r="K140" s="11">
        <f>IFERROR(INDEX(Roles!$B$17:$B$20,MATCH(J140,Roles!$A$17:$A$20,0)),1)</f>
        <v/>
      </c>
      <c r="L140" s="18" t="n">
        <v>1</v>
      </c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3">
        <f>SUMPRODUCT(M140:X140,$M$2:$X$2)*$K140*$L140</f>
        <v/>
      </c>
      <c r="Z140" s="14">
        <f>SUM(M140:X140)</f>
        <v/>
      </c>
      <c r="AA140" s="13">
        <f>SUMPRODUCT(M140:X140,$M$3:$X$3)*$K140*$L140</f>
        <v/>
      </c>
      <c r="AB140" s="13">
        <f>SUMPRODUCT(M140:X140,$M$4:$X$4)*$K140*$L140</f>
        <v/>
      </c>
      <c r="AC140" s="15">
        <f>SUMPRODUCT(M140:X140,$M$5:$X$5)*$K140*$L140</f>
        <v/>
      </c>
      <c r="AD140" s="15">
        <f>SUMPRODUCT(M140:X140,$M$6:$X$6)*$K140*$L140</f>
        <v/>
      </c>
      <c r="AE140" s="19" t="n"/>
    </row>
    <row r="141">
      <c r="A141" s="9" t="n">
        <v>681676</v>
      </c>
      <c r="B141" s="9" t="inlineStr">
        <is>
          <t>Ryan Fernandez</t>
        </is>
      </c>
      <c r="C141" s="9" t="inlineStr">
        <is>
          <t>STL</t>
        </is>
      </c>
      <c r="D141" s="9" t="n">
        <v>29</v>
      </c>
      <c r="E141" s="17" t="inlineStr">
        <is>
          <t>R</t>
        </is>
      </c>
      <c r="F141" s="17" t="n"/>
      <c r="G141" s="9" t="n">
        <v>43</v>
      </c>
      <c r="H141" s="9" t="n">
        <v>468</v>
      </c>
      <c r="I141" s="9" t="inlineStr">
        <is>
          <t>Late Inning RP (Setup)</t>
        </is>
      </c>
      <c r="J141" s="17" t="inlineStr">
        <is>
          <t>Opening Day</t>
        </is>
      </c>
      <c r="K141" s="11">
        <f>IFERROR(INDEX(Roles!$B$17:$B$20,MATCH(J141,Roles!$A$17:$A$20,0)),1)</f>
        <v/>
      </c>
      <c r="L141" s="18" t="n">
        <v>1</v>
      </c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3">
        <f>SUMPRODUCT(M141:X141,$M$2:$X$2)*$K141*$L141</f>
        <v/>
      </c>
      <c r="Z141" s="14">
        <f>SUM(M141:X141)</f>
        <v/>
      </c>
      <c r="AA141" s="13">
        <f>SUMPRODUCT(M141:X141,$M$3:$X$3)*$K141*$L141</f>
        <v/>
      </c>
      <c r="AB141" s="13">
        <f>SUMPRODUCT(M141:X141,$M$4:$X$4)*$K141*$L141</f>
        <v/>
      </c>
      <c r="AC141" s="15">
        <f>SUMPRODUCT(M141:X141,$M$5:$X$5)*$K141*$L141</f>
        <v/>
      </c>
      <c r="AD141" s="15">
        <f>SUMPRODUCT(M141:X141,$M$6:$X$6)*$K141*$L141</f>
        <v/>
      </c>
      <c r="AE141" s="19" t="n"/>
    </row>
    <row r="142">
      <c r="A142" s="9" t="n">
        <v>571946</v>
      </c>
      <c r="B142" s="9" t="inlineStr">
        <is>
          <t>Shelby Miller</t>
        </is>
      </c>
      <c r="C142" s="9" t="inlineStr">
        <is>
          <t>MIL</t>
        </is>
      </c>
      <c r="D142" s="9" t="n">
        <v>36</v>
      </c>
      <c r="E142" s="17" t="inlineStr">
        <is>
          <t>R</t>
        </is>
      </c>
      <c r="F142" s="17" t="n"/>
      <c r="G142" s="9" t="n">
        <v>186</v>
      </c>
      <c r="H142" s="9" t="n">
        <v>604</v>
      </c>
      <c r="I142" s="9" t="inlineStr">
        <is>
          <t>Middle Relief</t>
        </is>
      </c>
      <c r="J142" s="17" t="inlineStr">
        <is>
          <t>Opening Day</t>
        </is>
      </c>
      <c r="K142" s="11">
        <f>IFERROR(INDEX(Roles!$B$17:$B$20,MATCH(J142,Roles!$A$17:$A$20,0)),1)</f>
        <v/>
      </c>
      <c r="L142" s="18" t="n">
        <v>1</v>
      </c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3">
        <f>SUMPRODUCT(M142:X142,$M$2:$X$2)*$K142*$L142</f>
        <v/>
      </c>
      <c r="Z142" s="14">
        <f>SUM(M142:X142)</f>
        <v/>
      </c>
      <c r="AA142" s="13">
        <f>SUMPRODUCT(M142:X142,$M$3:$X$3)*$K142*$L142</f>
        <v/>
      </c>
      <c r="AB142" s="13">
        <f>SUMPRODUCT(M142:X142,$M$4:$X$4)*$K142*$L142</f>
        <v/>
      </c>
      <c r="AC142" s="15">
        <f>SUMPRODUCT(M142:X142,$M$5:$X$5)*$K142*$L142</f>
        <v/>
      </c>
      <c r="AD142" s="15">
        <f>SUMPRODUCT(M142:X142,$M$6:$X$6)*$K142*$L142</f>
        <v/>
      </c>
      <c r="AE142" s="19" t="n"/>
    </row>
    <row r="143">
      <c r="A143" s="9" t="n">
        <v>690925</v>
      </c>
      <c r="B143" s="9" t="inlineStr">
        <is>
          <t>Clayton Beeter</t>
        </is>
      </c>
      <c r="C143" s="9" t="inlineStr">
        <is>
          <t>WSH</t>
        </is>
      </c>
      <c r="D143" s="9" t="n">
        <v>28</v>
      </c>
      <c r="E143" s="17" t="inlineStr">
        <is>
          <t>R</t>
        </is>
      </c>
      <c r="F143" s="17" t="n"/>
      <c r="G143" s="9" t="n">
        <v>84</v>
      </c>
      <c r="H143" s="9" t="n">
        <v>203</v>
      </c>
      <c r="I143" s="9" t="inlineStr">
        <is>
          <t>Middle Relief</t>
        </is>
      </c>
      <c r="J143" s="17" t="inlineStr">
        <is>
          <t>Opening Day</t>
        </is>
      </c>
      <c r="K143" s="11">
        <f>IFERROR(INDEX(Roles!$B$17:$B$20,MATCH(J143,Roles!$A$17:$A$20,0)),1)</f>
        <v/>
      </c>
      <c r="L143" s="18" t="n">
        <v>1</v>
      </c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3">
        <f>SUMPRODUCT(M143:X143,$M$2:$X$2)*$K143*$L143</f>
        <v/>
      </c>
      <c r="Z143" s="14">
        <f>SUM(M143:X143)</f>
        <v/>
      </c>
      <c r="AA143" s="13">
        <f>SUMPRODUCT(M143:X143,$M$3:$X$3)*$K143*$L143</f>
        <v/>
      </c>
      <c r="AB143" s="13">
        <f>SUMPRODUCT(M143:X143,$M$4:$X$4)*$K143*$L143</f>
        <v/>
      </c>
      <c r="AC143" s="15">
        <f>SUMPRODUCT(M143:X143,$M$5:$X$5)*$K143*$L143</f>
        <v/>
      </c>
      <c r="AD143" s="15">
        <f>SUMPRODUCT(M143:X143,$M$6:$X$6)*$K143*$L143</f>
        <v/>
      </c>
      <c r="AE143" s="19" t="n"/>
    </row>
    <row r="144">
      <c r="A144" s="9" t="n">
        <v>680694</v>
      </c>
      <c r="B144" s="9" t="inlineStr">
        <is>
          <t>Kyle Bradish</t>
        </is>
      </c>
      <c r="C144" s="9" t="inlineStr">
        <is>
          <t>BAL</t>
        </is>
      </c>
      <c r="D144" s="9" t="n">
        <v>30</v>
      </c>
      <c r="E144" s="17" t="inlineStr">
        <is>
          <t>R</t>
        </is>
      </c>
      <c r="F144" s="17" t="n"/>
      <c r="G144" s="9" t="n">
        <v>302</v>
      </c>
      <c r="H144" s="9" t="n">
        <v>1771</v>
      </c>
      <c r="I144" s="9" t="inlineStr">
        <is>
          <t>Mid-Rotation Starter (SP2-3)</t>
        </is>
      </c>
      <c r="J144" s="17" t="inlineStr">
        <is>
          <t>Opening Day</t>
        </is>
      </c>
      <c r="K144" s="11">
        <f>IFERROR(INDEX(Roles!$B$17:$B$20,MATCH(J144,Roles!$A$17:$A$20,0)),1)</f>
        <v/>
      </c>
      <c r="L144" s="18" t="n">
        <v>1</v>
      </c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3">
        <f>SUMPRODUCT(M144:X144,$M$2:$X$2)*$K144*$L144</f>
        <v/>
      </c>
      <c r="Z144" s="14">
        <f>SUM(M144:X144)</f>
        <v/>
      </c>
      <c r="AA144" s="13">
        <f>SUMPRODUCT(M144:X144,$M$3:$X$3)*$K144*$L144</f>
        <v/>
      </c>
      <c r="AB144" s="13">
        <f>SUMPRODUCT(M144:X144,$M$4:$X$4)*$K144*$L144</f>
        <v/>
      </c>
      <c r="AC144" s="15">
        <f>SUMPRODUCT(M144:X144,$M$5:$X$5)*$K144*$L144</f>
        <v/>
      </c>
      <c r="AD144" s="15">
        <f>SUMPRODUCT(M144:X144,$M$6:$X$6)*$K144*$L144</f>
        <v/>
      </c>
      <c r="AE144" s="19" t="n"/>
    </row>
    <row r="145">
      <c r="A145" s="9" t="n">
        <v>676760</v>
      </c>
      <c r="B145" s="9" t="inlineStr">
        <is>
          <t>Ron Marinaccio</t>
        </is>
      </c>
      <c r="C145" s="9" t="inlineStr">
        <is>
          <t>SD</t>
        </is>
      </c>
      <c r="D145" s="9" t="n">
        <v>31</v>
      </c>
      <c r="E145" s="17" t="inlineStr">
        <is>
          <t>R</t>
        </is>
      </c>
      <c r="F145" s="17" t="n"/>
      <c r="G145" s="9" t="n">
        <v>140</v>
      </c>
      <c r="H145" s="9" t="n">
        <v>667</v>
      </c>
      <c r="I145" s="9" t="inlineStr">
        <is>
          <t>Bullpen Depth Arm</t>
        </is>
      </c>
      <c r="J145" s="17" t="inlineStr">
        <is>
          <t>Opening Day</t>
        </is>
      </c>
      <c r="K145" s="11">
        <f>IFERROR(INDEX(Roles!$B$17:$B$20,MATCH(J145,Roles!$A$17:$A$20,0)),1)</f>
        <v/>
      </c>
      <c r="L145" s="18" t="n">
        <v>1</v>
      </c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3">
        <f>SUMPRODUCT(M145:X145,$M$2:$X$2)*$K145*$L145</f>
        <v/>
      </c>
      <c r="Z145" s="14">
        <f>SUM(M145:X145)</f>
        <v/>
      </c>
      <c r="AA145" s="13">
        <f>SUMPRODUCT(M145:X145,$M$3:$X$3)*$K145*$L145</f>
        <v/>
      </c>
      <c r="AB145" s="13">
        <f>SUMPRODUCT(M145:X145,$M$4:$X$4)*$K145*$L145</f>
        <v/>
      </c>
      <c r="AC145" s="15">
        <f>SUMPRODUCT(M145:X145,$M$5:$X$5)*$K145*$L145</f>
        <v/>
      </c>
      <c r="AD145" s="15">
        <f>SUMPRODUCT(M145:X145,$M$6:$X$6)*$K145*$L145</f>
        <v/>
      </c>
      <c r="AE145" s="19" t="n"/>
    </row>
    <row r="146">
      <c r="A146" s="9" t="n">
        <v>605400</v>
      </c>
      <c r="B146" s="9" t="inlineStr">
        <is>
          <t>Aaron Nola</t>
        </is>
      </c>
      <c r="C146" s="9" t="inlineStr">
        <is>
          <t>PHI</t>
        </is>
      </c>
      <c r="D146" s="9" t="n">
        <v>34</v>
      </c>
      <c r="E146" s="17" t="inlineStr">
        <is>
          <t>R</t>
        </is>
      </c>
      <c r="F146" s="17" t="n"/>
      <c r="G146" s="9" t="n">
        <v>287</v>
      </c>
      <c r="H146" s="9" t="n">
        <v>3111</v>
      </c>
      <c r="I146" s="9" t="inlineStr">
        <is>
          <t>Mid-Rotation Starter (SP2-3)</t>
        </is>
      </c>
      <c r="J146" s="17" t="inlineStr">
        <is>
          <t>Opening Day</t>
        </is>
      </c>
      <c r="K146" s="11">
        <f>IFERROR(INDEX(Roles!$B$17:$B$20,MATCH(J146,Roles!$A$17:$A$20,0)),1)</f>
        <v/>
      </c>
      <c r="L146" s="18" t="n">
        <v>1</v>
      </c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3">
        <f>SUMPRODUCT(M146:X146,$M$2:$X$2)*$K146*$L146</f>
        <v/>
      </c>
      <c r="Z146" s="14">
        <f>SUM(M146:X146)</f>
        <v/>
      </c>
      <c r="AA146" s="13">
        <f>SUMPRODUCT(M146:X146,$M$3:$X$3)*$K146*$L146</f>
        <v/>
      </c>
      <c r="AB146" s="13">
        <f>SUMPRODUCT(M146:X146,$M$4:$X$4)*$K146*$L146</f>
        <v/>
      </c>
      <c r="AC146" s="15">
        <f>SUMPRODUCT(M146:X146,$M$5:$X$5)*$K146*$L146</f>
        <v/>
      </c>
      <c r="AD146" s="15">
        <f>SUMPRODUCT(M146:X146,$M$6:$X$6)*$K146*$L146</f>
        <v/>
      </c>
      <c r="AE146" s="19" t="n"/>
    </row>
    <row r="147">
      <c r="A147" s="9" t="n">
        <v>579328</v>
      </c>
      <c r="B147" s="9" t="inlineStr">
        <is>
          <t>Yusei Kikuchi</t>
        </is>
      </c>
      <c r="C147" s="9" t="inlineStr">
        <is>
          <t>LAA</t>
        </is>
      </c>
      <c r="D147" s="9" t="n">
        <v>36</v>
      </c>
      <c r="E147" s="17" t="inlineStr">
        <is>
          <t>L</t>
        </is>
      </c>
      <c r="F147" s="17" t="n"/>
      <c r="G147" s="9" t="n">
        <v>142</v>
      </c>
      <c r="H147" s="9" t="n">
        <v>2804</v>
      </c>
      <c r="I147" s="9" t="inlineStr">
        <is>
          <t>Mid-Rotation Starter (SP2-3)</t>
        </is>
      </c>
      <c r="J147" s="17" t="inlineStr">
        <is>
          <t>Opening Day</t>
        </is>
      </c>
      <c r="K147" s="11">
        <f>IFERROR(INDEX(Roles!$B$17:$B$20,MATCH(J147,Roles!$A$17:$A$20,0)),1)</f>
        <v/>
      </c>
      <c r="L147" s="18" t="n">
        <v>1</v>
      </c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3">
        <f>SUMPRODUCT(M147:X147,$M$2:$X$2)*$K147*$L147</f>
        <v/>
      </c>
      <c r="Z147" s="14">
        <f>SUM(M147:X147)</f>
        <v/>
      </c>
      <c r="AA147" s="13">
        <f>SUMPRODUCT(M147:X147,$M$3:$X$3)*$K147*$L147</f>
        <v/>
      </c>
      <c r="AB147" s="13">
        <f>SUMPRODUCT(M147:X147,$M$4:$X$4)*$K147*$L147</f>
        <v/>
      </c>
      <c r="AC147" s="15">
        <f>SUMPRODUCT(M147:X147,$M$5:$X$5)*$K147*$L147</f>
        <v/>
      </c>
      <c r="AD147" s="15">
        <f>SUMPRODUCT(M147:X147,$M$6:$X$6)*$K147*$L147</f>
        <v/>
      </c>
      <c r="AE147" s="19" t="n"/>
    </row>
    <row r="148">
      <c r="A148" s="9" t="n">
        <v>455119</v>
      </c>
      <c r="B148" s="9" t="inlineStr">
        <is>
          <t>Chris Martin</t>
        </is>
      </c>
      <c r="C148" s="9" t="inlineStr">
        <is>
          <t>TEX</t>
        </is>
      </c>
      <c r="D148" s="9" t="n">
        <v>41</v>
      </c>
      <c r="E148" s="17" t="inlineStr">
        <is>
          <t>R</t>
        </is>
      </c>
      <c r="F148" s="17" t="n"/>
      <c r="G148" s="9" t="n">
        <v>49</v>
      </c>
      <c r="H148" s="9" t="n">
        <v>827</v>
      </c>
      <c r="I148" s="9" t="inlineStr">
        <is>
          <t>Closer</t>
        </is>
      </c>
      <c r="J148" s="17" t="inlineStr">
        <is>
          <t>Opening Day</t>
        </is>
      </c>
      <c r="K148" s="11">
        <f>IFERROR(INDEX(Roles!$B$17:$B$20,MATCH(J148,Roles!$A$17:$A$20,0)),1)</f>
        <v/>
      </c>
      <c r="L148" s="18" t="n">
        <v>1</v>
      </c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3">
        <f>SUMPRODUCT(M148:X148,$M$2:$X$2)*$K148*$L148</f>
        <v/>
      </c>
      <c r="Z148" s="14">
        <f>SUM(M148:X148)</f>
        <v/>
      </c>
      <c r="AA148" s="13">
        <f>SUMPRODUCT(M148:X148,$M$3:$X$3)*$K148*$L148</f>
        <v/>
      </c>
      <c r="AB148" s="13">
        <f>SUMPRODUCT(M148:X148,$M$4:$X$4)*$K148*$L148</f>
        <v/>
      </c>
      <c r="AC148" s="15">
        <f>SUMPRODUCT(M148:X148,$M$5:$X$5)*$K148*$L148</f>
        <v/>
      </c>
      <c r="AD148" s="15">
        <f>SUMPRODUCT(M148:X148,$M$6:$X$6)*$K148*$L148</f>
        <v/>
      </c>
      <c r="AE148" s="19" t="n"/>
    </row>
    <row r="149">
      <c r="A149" s="9" t="n">
        <v>663158</v>
      </c>
      <c r="B149" s="9" t="inlineStr">
        <is>
          <t>Robert Suarez</t>
        </is>
      </c>
      <c r="C149" s="9" t="inlineStr">
        <is>
          <t>ATL</t>
        </is>
      </c>
      <c r="D149" s="9" t="n">
        <v>36</v>
      </c>
      <c r="E149" s="17" t="inlineStr">
        <is>
          <t>R</t>
        </is>
      </c>
      <c r="F149" s="17" t="n"/>
      <c r="G149" s="9" t="n">
        <v>111</v>
      </c>
      <c r="H149" s="9" t="n">
        <v>937</v>
      </c>
      <c r="I149" s="9" t="inlineStr">
        <is>
          <t>Late Inning RP (Setup)</t>
        </is>
      </c>
      <c r="J149" s="17" t="inlineStr">
        <is>
          <t>Opening Day</t>
        </is>
      </c>
      <c r="K149" s="11">
        <f>IFERROR(INDEX(Roles!$B$17:$B$20,MATCH(J149,Roles!$A$17:$A$20,0)),1)</f>
        <v/>
      </c>
      <c r="L149" s="18" t="n">
        <v>1</v>
      </c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3">
        <f>SUMPRODUCT(M149:X149,$M$2:$X$2)*$K149*$L149</f>
        <v/>
      </c>
      <c r="Z149" s="14">
        <f>SUM(M149:X149)</f>
        <v/>
      </c>
      <c r="AA149" s="13">
        <f>SUMPRODUCT(M149:X149,$M$3:$X$3)*$K149*$L149</f>
        <v/>
      </c>
      <c r="AB149" s="13">
        <f>SUMPRODUCT(M149:X149,$M$4:$X$4)*$K149*$L149</f>
        <v/>
      </c>
      <c r="AC149" s="15">
        <f>SUMPRODUCT(M149:X149,$M$5:$X$5)*$K149*$L149</f>
        <v/>
      </c>
      <c r="AD149" s="15">
        <f>SUMPRODUCT(M149:X149,$M$6:$X$6)*$K149*$L149</f>
        <v/>
      </c>
      <c r="AE149" s="19" t="n"/>
    </row>
    <row r="150">
      <c r="A150" s="9" t="n">
        <v>669165</v>
      </c>
      <c r="B150" s="9" t="inlineStr">
        <is>
          <t>Kyle Hurt</t>
        </is>
      </c>
      <c r="C150" s="9" t="inlineStr">
        <is>
          <t>LAD</t>
        </is>
      </c>
      <c r="D150" s="9" t="n">
        <v>29</v>
      </c>
      <c r="E150" s="17" t="inlineStr">
        <is>
          <t>R</t>
        </is>
      </c>
      <c r="F150" s="17" t="n"/>
      <c r="G150" s="9" t="n">
        <v>83</v>
      </c>
      <c r="H150" s="9" t="n">
        <v>116</v>
      </c>
      <c r="I150" s="9" t="inlineStr">
        <is>
          <t>Middle Relief</t>
        </is>
      </c>
      <c r="J150" s="17" t="inlineStr">
        <is>
          <t>Opening Day</t>
        </is>
      </c>
      <c r="K150" s="11">
        <f>IFERROR(INDEX(Roles!$B$17:$B$20,MATCH(J150,Roles!$A$17:$A$20,0)),1)</f>
        <v/>
      </c>
      <c r="L150" s="18" t="n">
        <v>1</v>
      </c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3">
        <f>SUMPRODUCT(M150:X150,$M$2:$X$2)*$K150*$L150</f>
        <v/>
      </c>
      <c r="Z150" s="14">
        <f>SUM(M150:X150)</f>
        <v/>
      </c>
      <c r="AA150" s="13">
        <f>SUMPRODUCT(M150:X150,$M$3:$X$3)*$K150*$L150</f>
        <v/>
      </c>
      <c r="AB150" s="13">
        <f>SUMPRODUCT(M150:X150,$M$4:$X$4)*$K150*$L150</f>
        <v/>
      </c>
      <c r="AC150" s="15">
        <f>SUMPRODUCT(M150:X150,$M$5:$X$5)*$K150*$L150</f>
        <v/>
      </c>
      <c r="AD150" s="15">
        <f>SUMPRODUCT(M150:X150,$M$6:$X$6)*$K150*$L150</f>
        <v/>
      </c>
      <c r="AE150" s="19" t="n"/>
    </row>
    <row r="151">
      <c r="A151" s="9" t="n">
        <v>625643</v>
      </c>
      <c r="B151" s="9" t="inlineStr">
        <is>
          <t>Reynaldo López</t>
        </is>
      </c>
      <c r="C151" s="9" t="inlineStr">
        <is>
          <t>ATL</t>
        </is>
      </c>
      <c r="D151" s="9" t="n">
        <v>33</v>
      </c>
      <c r="E151" s="17" t="inlineStr">
        <is>
          <t>R</t>
        </is>
      </c>
      <c r="F151" s="17" t="n"/>
      <c r="G151" s="9" t="n">
        <v>166</v>
      </c>
      <c r="H151" s="9" t="n">
        <v>1266</v>
      </c>
      <c r="I151" s="9" t="inlineStr">
        <is>
          <t>End-of-Rotation Starter (SP4-5)</t>
        </is>
      </c>
      <c r="J151" s="17" t="inlineStr">
        <is>
          <t>Opening Day</t>
        </is>
      </c>
      <c r="K151" s="11">
        <f>IFERROR(INDEX(Roles!$B$17:$B$20,MATCH(J151,Roles!$A$17:$A$20,0)),1)</f>
        <v/>
      </c>
      <c r="L151" s="18" t="n">
        <v>1</v>
      </c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3">
        <f>SUMPRODUCT(M151:X151,$M$2:$X$2)*$K151*$L151</f>
        <v/>
      </c>
      <c r="Z151" s="14">
        <f>SUM(M151:X151)</f>
        <v/>
      </c>
      <c r="AA151" s="13">
        <f>SUMPRODUCT(M151:X151,$M$3:$X$3)*$K151*$L151</f>
        <v/>
      </c>
      <c r="AB151" s="13">
        <f>SUMPRODUCT(M151:X151,$M$4:$X$4)*$K151*$L151</f>
        <v/>
      </c>
      <c r="AC151" s="15">
        <f>SUMPRODUCT(M151:X151,$M$5:$X$5)*$K151*$L151</f>
        <v/>
      </c>
      <c r="AD151" s="15">
        <f>SUMPRODUCT(M151:X151,$M$6:$X$6)*$K151*$L151</f>
        <v/>
      </c>
      <c r="AE151" s="19" t="n"/>
    </row>
    <row r="152">
      <c r="A152" s="9" t="n">
        <v>573124</v>
      </c>
      <c r="B152" s="9" t="inlineStr">
        <is>
          <t>Taylor Rogers</t>
        </is>
      </c>
      <c r="C152" s="9" t="inlineStr">
        <is>
          <t>MIN</t>
        </is>
      </c>
      <c r="D152" s="9" t="n">
        <v>36</v>
      </c>
      <c r="E152" s="17" t="inlineStr">
        <is>
          <t>L</t>
        </is>
      </c>
      <c r="F152" s="17" t="n"/>
      <c r="G152" s="9" t="n">
        <v>112</v>
      </c>
      <c r="H152" s="9" t="n">
        <v>1072</v>
      </c>
      <c r="I152" s="9" t="inlineStr">
        <is>
          <t>Middle Relief</t>
        </is>
      </c>
      <c r="J152" s="17" t="inlineStr">
        <is>
          <t>Opening Day</t>
        </is>
      </c>
      <c r="K152" s="11">
        <f>IFERROR(INDEX(Roles!$B$17:$B$20,MATCH(J152,Roles!$A$17:$A$20,0)),1)</f>
        <v/>
      </c>
      <c r="L152" s="18" t="n">
        <v>1</v>
      </c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3">
        <f>SUMPRODUCT(M152:X152,$M$2:$X$2)*$K152*$L152</f>
        <v/>
      </c>
      <c r="Z152" s="14">
        <f>SUM(M152:X152)</f>
        <v/>
      </c>
      <c r="AA152" s="13">
        <f>SUMPRODUCT(M152:X152,$M$3:$X$3)*$K152*$L152</f>
        <v/>
      </c>
      <c r="AB152" s="13">
        <f>SUMPRODUCT(M152:X152,$M$4:$X$4)*$K152*$L152</f>
        <v/>
      </c>
      <c r="AC152" s="15">
        <f>SUMPRODUCT(M152:X152,$M$5:$X$5)*$K152*$L152</f>
        <v/>
      </c>
      <c r="AD152" s="15">
        <f>SUMPRODUCT(M152:X152,$M$6:$X$6)*$K152*$L152</f>
        <v/>
      </c>
      <c r="AE152" s="19" t="n"/>
    </row>
    <row r="153">
      <c r="A153" s="9" t="n">
        <v>666661</v>
      </c>
      <c r="B153" s="9" t="inlineStr">
        <is>
          <t>Juan Morillo</t>
        </is>
      </c>
      <c r="C153" s="9" t="inlineStr">
        <is>
          <t>ARI</t>
        </is>
      </c>
      <c r="D153" s="9" t="n">
        <v>28</v>
      </c>
      <c r="E153" s="17" t="inlineStr">
        <is>
          <t>R</t>
        </is>
      </c>
      <c r="F153" s="17" t="n"/>
      <c r="G153" s="9" t="n">
        <v>108</v>
      </c>
      <c r="H153" s="9" t="n">
        <v>260</v>
      </c>
      <c r="I153" s="9" t="inlineStr">
        <is>
          <t>Late Inning RP (Setup)</t>
        </is>
      </c>
      <c r="J153" s="17" t="inlineStr">
        <is>
          <t>Opening Day</t>
        </is>
      </c>
      <c r="K153" s="11">
        <f>IFERROR(INDEX(Roles!$B$17:$B$20,MATCH(J153,Roles!$A$17:$A$20,0)),1)</f>
        <v/>
      </c>
      <c r="L153" s="18" t="n">
        <v>1</v>
      </c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3">
        <f>SUMPRODUCT(M153:X153,$M$2:$X$2)*$K153*$L153</f>
        <v/>
      </c>
      <c r="Z153" s="14">
        <f>SUM(M153:X153)</f>
        <v/>
      </c>
      <c r="AA153" s="13">
        <f>SUMPRODUCT(M153:X153,$M$3:$X$3)*$K153*$L153</f>
        <v/>
      </c>
      <c r="AB153" s="13">
        <f>SUMPRODUCT(M153:X153,$M$4:$X$4)*$K153*$L153</f>
        <v/>
      </c>
      <c r="AC153" s="15">
        <f>SUMPRODUCT(M153:X153,$M$5:$X$5)*$K153*$L153</f>
        <v/>
      </c>
      <c r="AD153" s="15">
        <f>SUMPRODUCT(M153:X153,$M$6:$X$6)*$K153*$L153</f>
        <v/>
      </c>
      <c r="AE153" s="19" t="n"/>
    </row>
    <row r="154">
      <c r="A154" s="9" t="n">
        <v>594027</v>
      </c>
      <c r="B154" s="9" t="inlineStr">
        <is>
          <t>Tyron Guerrero</t>
        </is>
      </c>
      <c r="C154" s="9" t="inlineStr">
        <is>
          <t>BOS</t>
        </is>
      </c>
      <c r="D154" s="9" t="n">
        <v>36</v>
      </c>
      <c r="E154" s="17" t="inlineStr">
        <is>
          <t>R</t>
        </is>
      </c>
      <c r="F154" s="17" t="n"/>
      <c r="G154" s="9" t="n">
        <v>31</v>
      </c>
      <c r="H154" s="9" t="n">
        <v>31</v>
      </c>
      <c r="I154" s="9" t="inlineStr">
        <is>
          <t>Late Inning RP (Setup)</t>
        </is>
      </c>
      <c r="J154" s="17" t="inlineStr">
        <is>
          <t>Opening Day</t>
        </is>
      </c>
      <c r="K154" s="11">
        <f>IFERROR(INDEX(Roles!$B$17:$B$20,MATCH(J154,Roles!$A$17:$A$20,0)),1)</f>
        <v/>
      </c>
      <c r="L154" s="18" t="n">
        <v>1</v>
      </c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3">
        <f>SUMPRODUCT(M154:X154,$M$2:$X$2)*$K154*$L154</f>
        <v/>
      </c>
      <c r="Z154" s="14">
        <f>SUM(M154:X154)</f>
        <v/>
      </c>
      <c r="AA154" s="13">
        <f>SUMPRODUCT(M154:X154,$M$3:$X$3)*$K154*$L154</f>
        <v/>
      </c>
      <c r="AB154" s="13">
        <f>SUMPRODUCT(M154:X154,$M$4:$X$4)*$K154*$L154</f>
        <v/>
      </c>
      <c r="AC154" s="15">
        <f>SUMPRODUCT(M154:X154,$M$5:$X$5)*$K154*$L154</f>
        <v/>
      </c>
      <c r="AD154" s="15">
        <f>SUMPRODUCT(M154:X154,$M$6:$X$6)*$K154*$L154</f>
        <v/>
      </c>
      <c r="AE154" s="19" t="n"/>
    </row>
    <row r="155">
      <c r="A155" s="9" t="n">
        <v>592662</v>
      </c>
      <c r="B155" s="9" t="inlineStr">
        <is>
          <t>Robbie Ray</t>
        </is>
      </c>
      <c r="C155" s="9" t="inlineStr">
        <is>
          <t>SF</t>
        </is>
      </c>
      <c r="D155" s="9" t="n">
        <v>35</v>
      </c>
      <c r="E155" s="17" t="inlineStr">
        <is>
          <t>L</t>
        </is>
      </c>
      <c r="F155" s="17" t="n"/>
      <c r="G155" s="9" t="n">
        <v>290</v>
      </c>
      <c r="H155" s="9" t="n">
        <v>1968</v>
      </c>
      <c r="I155" s="9" t="inlineStr">
        <is>
          <t>Mid-Rotation Starter (SP2-3)</t>
        </is>
      </c>
      <c r="J155" s="17" t="inlineStr">
        <is>
          <t>Opening Day</t>
        </is>
      </c>
      <c r="K155" s="11">
        <f>IFERROR(INDEX(Roles!$B$17:$B$20,MATCH(J155,Roles!$A$17:$A$20,0)),1)</f>
        <v/>
      </c>
      <c r="L155" s="18" t="n">
        <v>1</v>
      </c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3">
        <f>SUMPRODUCT(M155:X155,$M$2:$X$2)*$K155*$L155</f>
        <v/>
      </c>
      <c r="Z155" s="14">
        <f>SUM(M155:X155)</f>
        <v/>
      </c>
      <c r="AA155" s="13">
        <f>SUMPRODUCT(M155:X155,$M$3:$X$3)*$K155*$L155</f>
        <v/>
      </c>
      <c r="AB155" s="13">
        <f>SUMPRODUCT(M155:X155,$M$4:$X$4)*$K155*$L155</f>
        <v/>
      </c>
      <c r="AC155" s="15">
        <f>SUMPRODUCT(M155:X155,$M$5:$X$5)*$K155*$L155</f>
        <v/>
      </c>
      <c r="AD155" s="15">
        <f>SUMPRODUCT(M155:X155,$M$6:$X$6)*$K155*$L155</f>
        <v/>
      </c>
      <c r="AE155" s="19" t="n"/>
    </row>
    <row r="156">
      <c r="A156" s="9" t="n">
        <v>665795</v>
      </c>
      <c r="B156" s="9" t="inlineStr">
        <is>
          <t>Edward Cabrera</t>
        </is>
      </c>
      <c r="C156" s="9" t="inlineStr">
        <is>
          <t>CHC</t>
        </is>
      </c>
      <c r="D156" s="9" t="n">
        <v>29</v>
      </c>
      <c r="E156" s="17" t="inlineStr">
        <is>
          <t>R</t>
        </is>
      </c>
      <c r="F156" s="17" t="n"/>
      <c r="G156" s="9" t="n">
        <v>247</v>
      </c>
      <c r="H156" s="9" t="n">
        <v>1971</v>
      </c>
      <c r="I156" s="9" t="inlineStr">
        <is>
          <t>Mid-Rotation Starter (SP2-3)</t>
        </is>
      </c>
      <c r="J156" s="17" t="inlineStr">
        <is>
          <t>Opening Day</t>
        </is>
      </c>
      <c r="K156" s="11">
        <f>IFERROR(INDEX(Roles!$B$17:$B$20,MATCH(J156,Roles!$A$17:$A$20,0)),1)</f>
        <v/>
      </c>
      <c r="L156" s="18" t="n">
        <v>1</v>
      </c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3">
        <f>SUMPRODUCT(M156:X156,$M$2:$X$2)*$K156*$L156</f>
        <v/>
      </c>
      <c r="Z156" s="14">
        <f>SUM(M156:X156)</f>
        <v/>
      </c>
      <c r="AA156" s="13">
        <f>SUMPRODUCT(M156:X156,$M$3:$X$3)*$K156*$L156</f>
        <v/>
      </c>
      <c r="AB156" s="13">
        <f>SUMPRODUCT(M156:X156,$M$4:$X$4)*$K156*$L156</f>
        <v/>
      </c>
      <c r="AC156" s="15">
        <f>SUMPRODUCT(M156:X156,$M$5:$X$5)*$K156*$L156</f>
        <v/>
      </c>
      <c r="AD156" s="15">
        <f>SUMPRODUCT(M156:X156,$M$6:$X$6)*$K156*$L156</f>
        <v/>
      </c>
      <c r="AE156" s="19" t="n"/>
    </row>
    <row r="157">
      <c r="A157" s="9" t="n">
        <v>668909</v>
      </c>
      <c r="B157" s="9" t="inlineStr">
        <is>
          <t>Gavin Williams</t>
        </is>
      </c>
      <c r="C157" s="9" t="inlineStr">
        <is>
          <t>CLE</t>
        </is>
      </c>
      <c r="D157" s="9" t="n">
        <v>27</v>
      </c>
      <c r="E157" s="17" t="inlineStr">
        <is>
          <t>R</t>
        </is>
      </c>
      <c r="F157" s="17" t="n"/>
      <c r="G157" s="9" t="n">
        <v>345</v>
      </c>
      <c r="H157" s="9" t="n">
        <v>1726</v>
      </c>
      <c r="I157" s="9" t="inlineStr">
        <is>
          <t>Mid-Rotation Starter (SP2-3)</t>
        </is>
      </c>
      <c r="J157" s="17" t="inlineStr">
        <is>
          <t>Opening Day</t>
        </is>
      </c>
      <c r="K157" s="11">
        <f>IFERROR(INDEX(Roles!$B$17:$B$20,MATCH(J157,Roles!$A$17:$A$20,0)),1)</f>
        <v/>
      </c>
      <c r="L157" s="18" t="n">
        <v>1</v>
      </c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3">
        <f>SUMPRODUCT(M157:X157,$M$2:$X$2)*$K157*$L157</f>
        <v/>
      </c>
      <c r="Z157" s="14">
        <f>SUM(M157:X157)</f>
        <v/>
      </c>
      <c r="AA157" s="13">
        <f>SUMPRODUCT(M157:X157,$M$3:$X$3)*$K157*$L157</f>
        <v/>
      </c>
      <c r="AB157" s="13">
        <f>SUMPRODUCT(M157:X157,$M$4:$X$4)*$K157*$L157</f>
        <v/>
      </c>
      <c r="AC157" s="15">
        <f>SUMPRODUCT(M157:X157,$M$5:$X$5)*$K157*$L157</f>
        <v/>
      </c>
      <c r="AD157" s="15">
        <f>SUMPRODUCT(M157:X157,$M$6:$X$6)*$K157*$L157</f>
        <v/>
      </c>
      <c r="AE157" s="19" t="n"/>
    </row>
    <row r="158">
      <c r="A158" s="9" t="n">
        <v>592773</v>
      </c>
      <c r="B158" s="9" t="inlineStr">
        <is>
          <t>Ryne Stanek</t>
        </is>
      </c>
      <c r="C158" s="9" t="inlineStr">
        <is>
          <t>STL</t>
        </is>
      </c>
      <c r="D158" s="9" t="n">
        <v>35</v>
      </c>
      <c r="E158" s="17" t="inlineStr">
        <is>
          <t>R</t>
        </is>
      </c>
      <c r="F158" s="17" t="n"/>
      <c r="G158" s="9" t="n">
        <v>119</v>
      </c>
      <c r="H158" s="9" t="n">
        <v>1052</v>
      </c>
      <c r="I158" s="9" t="inlineStr">
        <is>
          <t>Bullpen Depth Arm</t>
        </is>
      </c>
      <c r="J158" s="17" t="inlineStr">
        <is>
          <t>Opening Day</t>
        </is>
      </c>
      <c r="K158" s="11">
        <f>IFERROR(INDEX(Roles!$B$17:$B$20,MATCH(J158,Roles!$A$17:$A$20,0)),1)</f>
        <v/>
      </c>
      <c r="L158" s="18" t="n">
        <v>1</v>
      </c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3">
        <f>SUMPRODUCT(M158:X158,$M$2:$X$2)*$K158*$L158</f>
        <v/>
      </c>
      <c r="Z158" s="14">
        <f>SUM(M158:X158)</f>
        <v/>
      </c>
      <c r="AA158" s="13">
        <f>SUMPRODUCT(M158:X158,$M$3:$X$3)*$K158*$L158</f>
        <v/>
      </c>
      <c r="AB158" s="13">
        <f>SUMPRODUCT(M158:X158,$M$4:$X$4)*$K158*$L158</f>
        <v/>
      </c>
      <c r="AC158" s="15">
        <f>SUMPRODUCT(M158:X158,$M$5:$X$5)*$K158*$L158</f>
        <v/>
      </c>
      <c r="AD158" s="15">
        <f>SUMPRODUCT(M158:X158,$M$6:$X$6)*$K158*$L158</f>
        <v/>
      </c>
      <c r="AE158" s="19" t="n"/>
    </row>
    <row r="159">
      <c r="A159" s="9" t="n">
        <v>693855</v>
      </c>
      <c r="B159" s="9" t="inlineStr">
        <is>
          <t>Ian Seymour</t>
        </is>
      </c>
      <c r="C159" s="9" t="inlineStr">
        <is>
          <t>TB</t>
        </is>
      </c>
      <c r="D159" s="9" t="n">
        <v>28</v>
      </c>
      <c r="E159" s="17" t="inlineStr">
        <is>
          <t>L</t>
        </is>
      </c>
      <c r="F159" s="17" t="n"/>
      <c r="G159" s="9" t="n">
        <v>148</v>
      </c>
      <c r="H159" s="9" t="n">
        <v>390</v>
      </c>
      <c r="I159" s="9" t="inlineStr">
        <is>
          <t>Middle Relief</t>
        </is>
      </c>
      <c r="J159" s="17" t="inlineStr">
        <is>
          <t>Opening Day</t>
        </is>
      </c>
      <c r="K159" s="11">
        <f>IFERROR(INDEX(Roles!$B$17:$B$20,MATCH(J159,Roles!$A$17:$A$20,0)),1)</f>
        <v/>
      </c>
      <c r="L159" s="18" t="n">
        <v>1</v>
      </c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3">
        <f>SUMPRODUCT(M159:X159,$M$2:$X$2)*$K159*$L159</f>
        <v/>
      </c>
      <c r="Z159" s="14">
        <f>SUM(M159:X159)</f>
        <v/>
      </c>
      <c r="AA159" s="13">
        <f>SUMPRODUCT(M159:X159,$M$3:$X$3)*$K159*$L159</f>
        <v/>
      </c>
      <c r="AB159" s="13">
        <f>SUMPRODUCT(M159:X159,$M$4:$X$4)*$K159*$L159</f>
        <v/>
      </c>
      <c r="AC159" s="15">
        <f>SUMPRODUCT(M159:X159,$M$5:$X$5)*$K159*$L159</f>
        <v/>
      </c>
      <c r="AD159" s="15">
        <f>SUMPRODUCT(M159:X159,$M$6:$X$6)*$K159*$L159</f>
        <v/>
      </c>
      <c r="AE159" s="19" t="n"/>
    </row>
    <row r="160">
      <c r="A160" s="9" t="n">
        <v>677952</v>
      </c>
      <c r="B160" s="9" t="inlineStr">
        <is>
          <t>Braxton Ashcraft</t>
        </is>
      </c>
      <c r="C160" s="9" t="inlineStr">
        <is>
          <t>PIT</t>
        </is>
      </c>
      <c r="D160" s="9" t="n">
        <v>27</v>
      </c>
      <c r="E160" s="17" t="inlineStr">
        <is>
          <t>R</t>
        </is>
      </c>
      <c r="F160" s="17" t="n"/>
      <c r="G160" s="9" t="n">
        <v>322</v>
      </c>
      <c r="H160" s="9" t="n">
        <v>614</v>
      </c>
      <c r="I160" s="9" t="inlineStr">
        <is>
          <t>End-of-Rotation Starter (SP4-5)</t>
        </is>
      </c>
      <c r="J160" s="17" t="inlineStr">
        <is>
          <t>Opening Day</t>
        </is>
      </c>
      <c r="K160" s="11">
        <f>IFERROR(INDEX(Roles!$B$17:$B$20,MATCH(J160,Roles!$A$17:$A$20,0)),1)</f>
        <v/>
      </c>
      <c r="L160" s="18" t="n">
        <v>1</v>
      </c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3">
        <f>SUMPRODUCT(M160:X160,$M$2:$X$2)*$K160*$L160</f>
        <v/>
      </c>
      <c r="Z160" s="14">
        <f>SUM(M160:X160)</f>
        <v/>
      </c>
      <c r="AA160" s="13">
        <f>SUMPRODUCT(M160:X160,$M$3:$X$3)*$K160*$L160</f>
        <v/>
      </c>
      <c r="AB160" s="13">
        <f>SUMPRODUCT(M160:X160,$M$4:$X$4)*$K160*$L160</f>
        <v/>
      </c>
      <c r="AC160" s="15">
        <f>SUMPRODUCT(M160:X160,$M$5:$X$5)*$K160*$L160</f>
        <v/>
      </c>
      <c r="AD160" s="15">
        <f>SUMPRODUCT(M160:X160,$M$6:$X$6)*$K160*$L160</f>
        <v/>
      </c>
      <c r="AE160" s="19" t="n"/>
    </row>
    <row r="161">
      <c r="A161" s="9" t="n">
        <v>683003</v>
      </c>
      <c r="B161" s="9" t="inlineStr">
        <is>
          <t>Jared Jones</t>
        </is>
      </c>
      <c r="C161" s="9" t="inlineStr">
        <is>
          <t>PIT</t>
        </is>
      </c>
      <c r="D161" s="9" t="n">
        <v>25</v>
      </c>
      <c r="E161" s="17" t="inlineStr">
        <is>
          <t>R</t>
        </is>
      </c>
      <c r="F161" s="17" t="n"/>
      <c r="G161" s="9" t="n">
        <v>42</v>
      </c>
      <c r="H161" s="9" t="n">
        <v>546</v>
      </c>
      <c r="I161" s="9" t="inlineStr">
        <is>
          <t>Mid-Rotation Starter (SP2-3)</t>
        </is>
      </c>
      <c r="J161" s="17" t="inlineStr">
        <is>
          <t>Opening Day</t>
        </is>
      </c>
      <c r="K161" s="11">
        <f>IFERROR(INDEX(Roles!$B$17:$B$20,MATCH(J161,Roles!$A$17:$A$20,0)),1)</f>
        <v/>
      </c>
      <c r="L161" s="18" t="n">
        <v>1</v>
      </c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3">
        <f>SUMPRODUCT(M161:X161,$M$2:$X$2)*$K161*$L161</f>
        <v/>
      </c>
      <c r="Z161" s="14">
        <f>SUM(M161:X161)</f>
        <v/>
      </c>
      <c r="AA161" s="13">
        <f>SUMPRODUCT(M161:X161,$M$3:$X$3)*$K161*$L161</f>
        <v/>
      </c>
      <c r="AB161" s="13">
        <f>SUMPRODUCT(M161:X161,$M$4:$X$4)*$K161*$L161</f>
        <v/>
      </c>
      <c r="AC161" s="15">
        <f>SUMPRODUCT(M161:X161,$M$5:$X$5)*$K161*$L161</f>
        <v/>
      </c>
      <c r="AD161" s="15">
        <f>SUMPRODUCT(M161:X161,$M$6:$X$6)*$K161*$L161</f>
        <v/>
      </c>
      <c r="AE161" s="19" t="n"/>
    </row>
    <row r="162">
      <c r="A162" s="9" t="n">
        <v>686752</v>
      </c>
      <c r="B162" s="9" t="inlineStr">
        <is>
          <t>Ryan Pepiot</t>
        </is>
      </c>
      <c r="C162" s="9" t="inlineStr">
        <is>
          <t>TB</t>
        </is>
      </c>
      <c r="D162" s="9" t="n">
        <v>29</v>
      </c>
      <c r="E162" s="17" t="inlineStr">
        <is>
          <t>R</t>
        </is>
      </c>
      <c r="F162" s="17" t="n"/>
      <c r="G162" s="9" t="n">
        <v>679</v>
      </c>
      <c r="H162" s="9" t="n">
        <v>1537</v>
      </c>
      <c r="I162" s="9" t="inlineStr">
        <is>
          <t>Mid-Rotation Starter (SP2-3)</t>
        </is>
      </c>
      <c r="J162" s="17" t="inlineStr">
        <is>
          <t>Opening Day</t>
        </is>
      </c>
      <c r="K162" s="11">
        <f>IFERROR(INDEX(Roles!$B$17:$B$20,MATCH(J162,Roles!$A$17:$A$20,0)),1)</f>
        <v/>
      </c>
      <c r="L162" s="18" t="n">
        <v>1</v>
      </c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3">
        <f>SUMPRODUCT(M162:X162,$M$2:$X$2)*$K162*$L162</f>
        <v/>
      </c>
      <c r="Z162" s="14">
        <f>SUM(M162:X162)</f>
        <v/>
      </c>
      <c r="AA162" s="13">
        <f>SUMPRODUCT(M162:X162,$M$3:$X$3)*$K162*$L162</f>
        <v/>
      </c>
      <c r="AB162" s="13">
        <f>SUMPRODUCT(M162:X162,$M$4:$X$4)*$K162*$L162</f>
        <v/>
      </c>
      <c r="AC162" s="15">
        <f>SUMPRODUCT(M162:X162,$M$5:$X$5)*$K162*$L162</f>
        <v/>
      </c>
      <c r="AD162" s="15">
        <f>SUMPRODUCT(M162:X162,$M$6:$X$6)*$K162*$L162</f>
        <v/>
      </c>
      <c r="AE162" s="19" t="n"/>
    </row>
    <row r="163">
      <c r="A163" s="9" t="n">
        <v>690986</v>
      </c>
      <c r="B163" s="9" t="inlineStr">
        <is>
          <t>Kyle Harrison</t>
        </is>
      </c>
      <c r="C163" s="9" t="inlineStr">
        <is>
          <t>MIL</t>
        </is>
      </c>
      <c r="D163" s="9" t="n">
        <v>25</v>
      </c>
      <c r="E163" s="17" t="inlineStr">
        <is>
          <t>L</t>
        </is>
      </c>
      <c r="F163" s="17" t="n"/>
      <c r="G163" s="9" t="n">
        <v>246</v>
      </c>
      <c r="H163" s="9" t="n">
        <v>1081</v>
      </c>
      <c r="I163" s="9" t="inlineStr">
        <is>
          <t>End-of-Rotation Starter (SP4-5)</t>
        </is>
      </c>
      <c r="J163" s="17" t="inlineStr">
        <is>
          <t>Opening Day</t>
        </is>
      </c>
      <c r="K163" s="11">
        <f>IFERROR(INDEX(Roles!$B$17:$B$20,MATCH(J163,Roles!$A$17:$A$20,0)),1)</f>
        <v/>
      </c>
      <c r="L163" s="18" t="n">
        <v>1</v>
      </c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3">
        <f>SUMPRODUCT(M163:X163,$M$2:$X$2)*$K163*$L163</f>
        <v/>
      </c>
      <c r="Z163" s="14">
        <f>SUM(M163:X163)</f>
        <v/>
      </c>
      <c r="AA163" s="13">
        <f>SUMPRODUCT(M163:X163,$M$3:$X$3)*$K163*$L163</f>
        <v/>
      </c>
      <c r="AB163" s="13">
        <f>SUMPRODUCT(M163:X163,$M$4:$X$4)*$K163*$L163</f>
        <v/>
      </c>
      <c r="AC163" s="15">
        <f>SUMPRODUCT(M163:X163,$M$5:$X$5)*$K163*$L163</f>
        <v/>
      </c>
      <c r="AD163" s="15">
        <f>SUMPRODUCT(M163:X163,$M$6:$X$6)*$K163*$L163</f>
        <v/>
      </c>
      <c r="AE163" s="19" t="n"/>
    </row>
    <row r="164">
      <c r="A164" s="9" t="n">
        <v>673929</v>
      </c>
      <c r="B164" s="9" t="inlineStr">
        <is>
          <t>Jordan Leasure</t>
        </is>
      </c>
      <c r="C164" s="9" t="inlineStr">
        <is>
          <t>CWS</t>
        </is>
      </c>
      <c r="D164" s="9" t="n">
        <v>28</v>
      </c>
      <c r="E164" s="17" t="inlineStr">
        <is>
          <t>R</t>
        </is>
      </c>
      <c r="F164" s="17" t="n"/>
      <c r="G164" s="9" t="n">
        <v>78</v>
      </c>
      <c r="H164" s="9" t="n">
        <v>489</v>
      </c>
      <c r="I164" s="9" t="inlineStr">
        <is>
          <t>Bullpen Depth Arm</t>
        </is>
      </c>
      <c r="J164" s="17" t="inlineStr">
        <is>
          <t>Opening Day</t>
        </is>
      </c>
      <c r="K164" s="11">
        <f>IFERROR(INDEX(Roles!$B$17:$B$20,MATCH(J164,Roles!$A$17:$A$20,0)),1)</f>
        <v/>
      </c>
      <c r="L164" s="18" t="n">
        <v>1</v>
      </c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3">
        <f>SUMPRODUCT(M164:X164,$M$2:$X$2)*$K164*$L164</f>
        <v/>
      </c>
      <c r="Z164" s="14">
        <f>SUM(M164:X164)</f>
        <v/>
      </c>
      <c r="AA164" s="13">
        <f>SUMPRODUCT(M164:X164,$M$3:$X$3)*$K164*$L164</f>
        <v/>
      </c>
      <c r="AB164" s="13">
        <f>SUMPRODUCT(M164:X164,$M$4:$X$4)*$K164*$L164</f>
        <v/>
      </c>
      <c r="AC164" s="15">
        <f>SUMPRODUCT(M164:X164,$M$5:$X$5)*$K164*$L164</f>
        <v/>
      </c>
      <c r="AD164" s="15">
        <f>SUMPRODUCT(M164:X164,$M$6:$X$6)*$K164*$L164</f>
        <v/>
      </c>
      <c r="AE164" s="19" t="n"/>
    </row>
    <row r="165">
      <c r="A165" s="9" t="n">
        <v>605130</v>
      </c>
      <c r="B165" s="9" t="inlineStr">
        <is>
          <t>Scott Barlow</t>
        </is>
      </c>
      <c r="C165" s="9" t="inlineStr">
        <is>
          <t>OAK</t>
        </is>
      </c>
      <c r="D165" s="9" t="n">
        <v>34</v>
      </c>
      <c r="E165" s="17" t="inlineStr">
        <is>
          <t>R</t>
        </is>
      </c>
      <c r="F165" s="17" t="n"/>
      <c r="G165" s="9" t="n">
        <v>126</v>
      </c>
      <c r="H165" s="9" t="n">
        <v>1259</v>
      </c>
      <c r="I165" s="9" t="inlineStr">
        <is>
          <t>Middle Relief</t>
        </is>
      </c>
      <c r="J165" s="17" t="inlineStr">
        <is>
          <t>Opening Day</t>
        </is>
      </c>
      <c r="K165" s="11">
        <f>IFERROR(INDEX(Roles!$B$17:$B$20,MATCH(J165,Roles!$A$17:$A$20,0)),1)</f>
        <v/>
      </c>
      <c r="L165" s="18" t="n">
        <v>1</v>
      </c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3">
        <f>SUMPRODUCT(M165:X165,$M$2:$X$2)*$K165*$L165</f>
        <v/>
      </c>
      <c r="Z165" s="14">
        <f>SUM(M165:X165)</f>
        <v/>
      </c>
      <c r="AA165" s="13">
        <f>SUMPRODUCT(M165:X165,$M$3:$X$3)*$K165*$L165</f>
        <v/>
      </c>
      <c r="AB165" s="13">
        <f>SUMPRODUCT(M165:X165,$M$4:$X$4)*$K165*$L165</f>
        <v/>
      </c>
      <c r="AC165" s="15">
        <f>SUMPRODUCT(M165:X165,$M$5:$X$5)*$K165*$L165</f>
        <v/>
      </c>
      <c r="AD165" s="15">
        <f>SUMPRODUCT(M165:X165,$M$6:$X$6)*$K165*$L165</f>
        <v/>
      </c>
      <c r="AE165" s="19" t="n"/>
    </row>
    <row r="166">
      <c r="A166" s="9" t="n">
        <v>686973</v>
      </c>
      <c r="B166" s="9" t="inlineStr">
        <is>
          <t>Louis Varland</t>
        </is>
      </c>
      <c r="C166" s="9" t="inlineStr">
        <is>
          <t>TOR</t>
        </is>
      </c>
      <c r="D166" s="9" t="n">
        <v>29</v>
      </c>
      <c r="E166" s="17" t="inlineStr">
        <is>
          <t>R</t>
        </is>
      </c>
      <c r="F166" s="17" t="n"/>
      <c r="G166" s="9" t="n">
        <v>137</v>
      </c>
      <c r="H166" s="9" t="n">
        <v>1060</v>
      </c>
      <c r="I166" s="9" t="inlineStr">
        <is>
          <t>Late Inning RP (Setup)</t>
        </is>
      </c>
      <c r="J166" s="17" t="inlineStr">
        <is>
          <t>Opening Day</t>
        </is>
      </c>
      <c r="K166" s="11">
        <f>IFERROR(INDEX(Roles!$B$17:$B$20,MATCH(J166,Roles!$A$17:$A$20,0)),1)</f>
        <v/>
      </c>
      <c r="L166" s="18" t="n">
        <v>1</v>
      </c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3">
        <f>SUMPRODUCT(M166:X166,$M$2:$X$2)*$K166*$L166</f>
        <v/>
      </c>
      <c r="Z166" s="14">
        <f>SUM(M166:X166)</f>
        <v/>
      </c>
      <c r="AA166" s="13">
        <f>SUMPRODUCT(M166:X166,$M$3:$X$3)*$K166*$L166</f>
        <v/>
      </c>
      <c r="AB166" s="13">
        <f>SUMPRODUCT(M166:X166,$M$4:$X$4)*$K166*$L166</f>
        <v/>
      </c>
      <c r="AC166" s="15">
        <f>SUMPRODUCT(M166:X166,$M$5:$X$5)*$K166*$L166</f>
        <v/>
      </c>
      <c r="AD166" s="15">
        <f>SUMPRODUCT(M166:X166,$M$6:$X$6)*$K166*$L166</f>
        <v/>
      </c>
      <c r="AE166" s="19" t="n"/>
    </row>
    <row r="167">
      <c r="A167" s="9" t="n">
        <v>663574</v>
      </c>
      <c r="B167" s="9" t="inlineStr">
        <is>
          <t>Tony Santillan</t>
        </is>
      </c>
      <c r="C167" s="9" t="inlineStr">
        <is>
          <t>CIN</t>
        </is>
      </c>
      <c r="D167" s="9" t="n">
        <v>30</v>
      </c>
      <c r="E167" s="17" t="inlineStr">
        <is>
          <t>R</t>
        </is>
      </c>
      <c r="F167" s="17" t="n"/>
      <c r="G167" s="9" t="n">
        <v>114</v>
      </c>
      <c r="H167" s="9" t="n">
        <v>651</v>
      </c>
      <c r="I167" s="9" t="inlineStr">
        <is>
          <t>Bullpen Depth Arm</t>
        </is>
      </c>
      <c r="J167" s="17" t="inlineStr">
        <is>
          <t>Opening Day</t>
        </is>
      </c>
      <c r="K167" s="11">
        <f>IFERROR(INDEX(Roles!$B$17:$B$20,MATCH(J167,Roles!$A$17:$A$20,0)),1)</f>
        <v/>
      </c>
      <c r="L167" s="18" t="n">
        <v>1</v>
      </c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3">
        <f>SUMPRODUCT(M167:X167,$M$2:$X$2)*$K167*$L167</f>
        <v/>
      </c>
      <c r="Z167" s="14">
        <f>SUM(M167:X167)</f>
        <v/>
      </c>
      <c r="AA167" s="13">
        <f>SUMPRODUCT(M167:X167,$M$3:$X$3)*$K167*$L167</f>
        <v/>
      </c>
      <c r="AB167" s="13">
        <f>SUMPRODUCT(M167:X167,$M$4:$X$4)*$K167*$L167</f>
        <v/>
      </c>
      <c r="AC167" s="15">
        <f>SUMPRODUCT(M167:X167,$M$5:$X$5)*$K167*$L167</f>
        <v/>
      </c>
      <c r="AD167" s="15">
        <f>SUMPRODUCT(M167:X167,$M$6:$X$6)*$K167*$L167</f>
        <v/>
      </c>
      <c r="AE167" s="19" t="n"/>
    </row>
    <row r="168">
      <c r="A168" s="9" t="n">
        <v>640455</v>
      </c>
      <c r="B168" s="9" t="inlineStr">
        <is>
          <t>Sean Manaea</t>
        </is>
      </c>
      <c r="C168" s="9" t="inlineStr">
        <is>
          <t>NYM</t>
        </is>
      </c>
      <c r="D168" s="9" t="n">
        <v>35</v>
      </c>
      <c r="E168" s="17" t="inlineStr">
        <is>
          <t>L</t>
        </is>
      </c>
      <c r="F168" s="17" t="n"/>
      <c r="G168" s="9" t="n">
        <v>192</v>
      </c>
      <c r="H168" s="9" t="n">
        <v>2363</v>
      </c>
      <c r="I168" s="9" t="inlineStr">
        <is>
          <t>End-of-Rotation Starter (SP4-5)</t>
        </is>
      </c>
      <c r="J168" s="17" t="inlineStr">
        <is>
          <t>Opening Day</t>
        </is>
      </c>
      <c r="K168" s="11">
        <f>IFERROR(INDEX(Roles!$B$17:$B$20,MATCH(J168,Roles!$A$17:$A$20,0)),1)</f>
        <v/>
      </c>
      <c r="L168" s="18" t="n">
        <v>1</v>
      </c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3">
        <f>SUMPRODUCT(M168:X168,$M$2:$X$2)*$K168*$L168</f>
        <v/>
      </c>
      <c r="Z168" s="14">
        <f>SUM(M168:X168)</f>
        <v/>
      </c>
      <c r="AA168" s="13">
        <f>SUMPRODUCT(M168:X168,$M$3:$X$3)*$K168*$L168</f>
        <v/>
      </c>
      <c r="AB168" s="13">
        <f>SUMPRODUCT(M168:X168,$M$4:$X$4)*$K168*$L168</f>
        <v/>
      </c>
      <c r="AC168" s="15">
        <f>SUMPRODUCT(M168:X168,$M$5:$X$5)*$K168*$L168</f>
        <v/>
      </c>
      <c r="AD168" s="15">
        <f>SUMPRODUCT(M168:X168,$M$6:$X$6)*$K168*$L168</f>
        <v/>
      </c>
      <c r="AE168" s="19" t="n"/>
    </row>
    <row r="169">
      <c r="A169" s="9" t="n">
        <v>694361</v>
      </c>
      <c r="B169" s="9" t="inlineStr">
        <is>
          <t>Will Klein</t>
        </is>
      </c>
      <c r="C169" s="9" t="inlineStr">
        <is>
          <t>LAD</t>
        </is>
      </c>
      <c r="D169" s="9" t="n">
        <v>27</v>
      </c>
      <c r="E169" s="17" t="inlineStr">
        <is>
          <t>R</t>
        </is>
      </c>
      <c r="F169" s="17" t="n"/>
      <c r="G169" s="9" t="n">
        <v>111</v>
      </c>
      <c r="H169" s="9" t="n">
        <v>219</v>
      </c>
      <c r="I169" s="9" t="inlineStr">
        <is>
          <t>Middle Relief</t>
        </is>
      </c>
      <c r="J169" s="17" t="inlineStr">
        <is>
          <t>Opening Day</t>
        </is>
      </c>
      <c r="K169" s="11">
        <f>IFERROR(INDEX(Roles!$B$17:$B$20,MATCH(J169,Roles!$A$17:$A$20,0)),1)</f>
        <v/>
      </c>
      <c r="L169" s="18" t="n">
        <v>1</v>
      </c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3">
        <f>SUMPRODUCT(M169:X169,$M$2:$X$2)*$K169*$L169</f>
        <v/>
      </c>
      <c r="Z169" s="14">
        <f>SUM(M169:X169)</f>
        <v/>
      </c>
      <c r="AA169" s="13">
        <f>SUMPRODUCT(M169:X169,$M$3:$X$3)*$K169*$L169</f>
        <v/>
      </c>
      <c r="AB169" s="13">
        <f>SUMPRODUCT(M169:X169,$M$4:$X$4)*$K169*$L169</f>
        <v/>
      </c>
      <c r="AC169" s="15">
        <f>SUMPRODUCT(M169:X169,$M$5:$X$5)*$K169*$L169</f>
        <v/>
      </c>
      <c r="AD169" s="15">
        <f>SUMPRODUCT(M169:X169,$M$6:$X$6)*$K169*$L169</f>
        <v/>
      </c>
      <c r="AE169" s="19" t="n"/>
    </row>
    <row r="170">
      <c r="A170" s="9" t="n">
        <v>686642</v>
      </c>
      <c r="B170" s="9" t="inlineStr">
        <is>
          <t>Fraser Ellard</t>
        </is>
      </c>
      <c r="C170" s="9" t="inlineStr">
        <is>
          <t>CWS</t>
        </is>
      </c>
      <c r="D170" s="9" t="n">
        <v>29</v>
      </c>
      <c r="E170" s="17" t="inlineStr">
        <is>
          <t>L</t>
        </is>
      </c>
      <c r="F170" s="17" t="n"/>
      <c r="G170" s="9" t="n">
        <v>74</v>
      </c>
      <c r="H170" s="9" t="n">
        <v>175</v>
      </c>
      <c r="I170" s="9" t="inlineStr">
        <is>
          <t>Bullpen Depth Arm</t>
        </is>
      </c>
      <c r="J170" s="17" t="inlineStr">
        <is>
          <t>Opening Day</t>
        </is>
      </c>
      <c r="K170" s="11">
        <f>IFERROR(INDEX(Roles!$B$17:$B$20,MATCH(J170,Roles!$A$17:$A$20,0)),1)</f>
        <v/>
      </c>
      <c r="L170" s="18" t="n">
        <v>1</v>
      </c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3">
        <f>SUMPRODUCT(M170:X170,$M$2:$X$2)*$K170*$L170</f>
        <v/>
      </c>
      <c r="Z170" s="14">
        <f>SUM(M170:X170)</f>
        <v/>
      </c>
      <c r="AA170" s="13">
        <f>SUMPRODUCT(M170:X170,$M$3:$X$3)*$K170*$L170</f>
        <v/>
      </c>
      <c r="AB170" s="13">
        <f>SUMPRODUCT(M170:X170,$M$4:$X$4)*$K170*$L170</f>
        <v/>
      </c>
      <c r="AC170" s="15">
        <f>SUMPRODUCT(M170:X170,$M$5:$X$5)*$K170*$L170</f>
        <v/>
      </c>
      <c r="AD170" s="15">
        <f>SUMPRODUCT(M170:X170,$M$6:$X$6)*$K170*$L170</f>
        <v/>
      </c>
      <c r="AE170" s="19" t="n"/>
    </row>
    <row r="171">
      <c r="A171" s="9" t="n">
        <v>594580</v>
      </c>
      <c r="B171" s="9" t="inlineStr">
        <is>
          <t>Sam Moll</t>
        </is>
      </c>
      <c r="C171" s="9" t="inlineStr">
        <is>
          <t>CIN</t>
        </is>
      </c>
      <c r="D171" s="9" t="n">
        <v>35</v>
      </c>
      <c r="E171" s="17" t="inlineStr">
        <is>
          <t>L</t>
        </is>
      </c>
      <c r="F171" s="17" t="n"/>
      <c r="G171" s="9" t="n">
        <v>121</v>
      </c>
      <c r="H171" s="9" t="n">
        <v>809</v>
      </c>
      <c r="I171" s="9" t="inlineStr">
        <is>
          <t>Middle Relief</t>
        </is>
      </c>
      <c r="J171" s="17" t="inlineStr">
        <is>
          <t>Opening Day</t>
        </is>
      </c>
      <c r="K171" s="11">
        <f>IFERROR(INDEX(Roles!$B$17:$B$20,MATCH(J171,Roles!$A$17:$A$20,0)),1)</f>
        <v/>
      </c>
      <c r="L171" s="18" t="n">
        <v>1</v>
      </c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3">
        <f>SUMPRODUCT(M171:X171,$M$2:$X$2)*$K171*$L171</f>
        <v/>
      </c>
      <c r="Z171" s="14">
        <f>SUM(M171:X171)</f>
        <v/>
      </c>
      <c r="AA171" s="13">
        <f>SUMPRODUCT(M171:X171,$M$3:$X$3)*$K171*$L171</f>
        <v/>
      </c>
      <c r="AB171" s="13">
        <f>SUMPRODUCT(M171:X171,$M$4:$X$4)*$K171*$L171</f>
        <v/>
      </c>
      <c r="AC171" s="15">
        <f>SUMPRODUCT(M171:X171,$M$5:$X$5)*$K171*$L171</f>
        <v/>
      </c>
      <c r="AD171" s="15">
        <f>SUMPRODUCT(M171:X171,$M$6:$X$6)*$K171*$L171</f>
        <v/>
      </c>
      <c r="AE171" s="19" t="n"/>
    </row>
    <row r="172">
      <c r="A172" s="9" t="n">
        <v>694335</v>
      </c>
      <c r="B172" s="9" t="inlineStr">
        <is>
          <t>Matt Svanson</t>
        </is>
      </c>
      <c r="C172" s="9" t="inlineStr">
        <is>
          <t>STL</t>
        </is>
      </c>
      <c r="D172" s="9" t="n">
        <v>28</v>
      </c>
      <c r="E172" s="17" t="inlineStr">
        <is>
          <t>R</t>
        </is>
      </c>
      <c r="F172" s="17" t="n"/>
      <c r="G172" s="9" t="n">
        <v>129</v>
      </c>
      <c r="H172" s="9" t="n">
        <v>363</v>
      </c>
      <c r="I172" s="9" t="inlineStr">
        <is>
          <t>Late Inning RP (Setup)</t>
        </is>
      </c>
      <c r="J172" s="17" t="inlineStr">
        <is>
          <t>Opening Day</t>
        </is>
      </c>
      <c r="K172" s="11">
        <f>IFERROR(INDEX(Roles!$B$17:$B$20,MATCH(J172,Roles!$A$17:$A$20,0)),1)</f>
        <v/>
      </c>
      <c r="L172" s="18" t="n">
        <v>1</v>
      </c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3">
        <f>SUMPRODUCT(M172:X172,$M$2:$X$2)*$K172*$L172</f>
        <v/>
      </c>
      <c r="Z172" s="14">
        <f>SUM(M172:X172)</f>
        <v/>
      </c>
      <c r="AA172" s="13">
        <f>SUMPRODUCT(M172:X172,$M$3:$X$3)*$K172*$L172</f>
        <v/>
      </c>
      <c r="AB172" s="13">
        <f>SUMPRODUCT(M172:X172,$M$4:$X$4)*$K172*$L172</f>
        <v/>
      </c>
      <c r="AC172" s="15">
        <f>SUMPRODUCT(M172:X172,$M$5:$X$5)*$K172*$L172</f>
        <v/>
      </c>
      <c r="AD172" s="15">
        <f>SUMPRODUCT(M172:X172,$M$6:$X$6)*$K172*$L172</f>
        <v/>
      </c>
      <c r="AE172" s="19" t="n"/>
    </row>
    <row r="173">
      <c r="A173" s="9" t="n">
        <v>693433</v>
      </c>
      <c r="B173" s="9" t="inlineStr">
        <is>
          <t>Bryan Woo</t>
        </is>
      </c>
      <c r="C173" s="9" t="inlineStr">
        <is>
          <t>SEA</t>
        </is>
      </c>
      <c r="D173" s="9" t="n">
        <v>27</v>
      </c>
      <c r="E173" s="17" t="inlineStr">
        <is>
          <t>R</t>
        </is>
      </c>
      <c r="F173" s="17" t="n"/>
      <c r="G173" s="9" t="n">
        <v>306</v>
      </c>
      <c r="H173" s="9" t="n">
        <v>1880</v>
      </c>
      <c r="I173" s="9" t="inlineStr">
        <is>
          <t>Ace (SP1)</t>
        </is>
      </c>
      <c r="J173" s="17" t="inlineStr">
        <is>
          <t>Opening Day</t>
        </is>
      </c>
      <c r="K173" s="11">
        <f>IFERROR(INDEX(Roles!$B$17:$B$20,MATCH(J173,Roles!$A$17:$A$20,0)),1)</f>
        <v/>
      </c>
      <c r="L173" s="18" t="n">
        <v>1</v>
      </c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3">
        <f>SUMPRODUCT(M173:X173,$M$2:$X$2)*$K173*$L173</f>
        <v/>
      </c>
      <c r="Z173" s="14">
        <f>SUM(M173:X173)</f>
        <v/>
      </c>
      <c r="AA173" s="13">
        <f>SUMPRODUCT(M173:X173,$M$3:$X$3)*$K173*$L173</f>
        <v/>
      </c>
      <c r="AB173" s="13">
        <f>SUMPRODUCT(M173:X173,$M$4:$X$4)*$K173*$L173</f>
        <v/>
      </c>
      <c r="AC173" s="15">
        <f>SUMPRODUCT(M173:X173,$M$5:$X$5)*$K173*$L173</f>
        <v/>
      </c>
      <c r="AD173" s="15">
        <f>SUMPRODUCT(M173:X173,$M$6:$X$6)*$K173*$L173</f>
        <v/>
      </c>
      <c r="AE173" s="19" t="n"/>
    </row>
    <row r="174">
      <c r="A174" s="9" t="n">
        <v>680885</v>
      </c>
      <c r="B174" s="9" t="inlineStr">
        <is>
          <t>Spencer Schwellenbach</t>
        </is>
      </c>
      <c r="C174" s="9" t="inlineStr">
        <is>
          <t>ATL</t>
        </is>
      </c>
      <c r="D174" s="9" t="n">
        <v>27</v>
      </c>
      <c r="E174" s="17" t="inlineStr">
        <is>
          <t>R</t>
        </is>
      </c>
      <c r="F174" s="17" t="n"/>
      <c r="G174" s="9" t="n">
        <v>434</v>
      </c>
      <c r="H174" s="9" t="n">
        <v>934</v>
      </c>
      <c r="I174" s="9" t="inlineStr">
        <is>
          <t>Ace (SP1)</t>
        </is>
      </c>
      <c r="J174" s="17" t="inlineStr">
        <is>
          <t>Opening Day</t>
        </is>
      </c>
      <c r="K174" s="11">
        <f>IFERROR(INDEX(Roles!$B$17:$B$20,MATCH(J174,Roles!$A$17:$A$20,0)),1)</f>
        <v/>
      </c>
      <c r="L174" s="18" t="n">
        <v>1</v>
      </c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3">
        <f>SUMPRODUCT(M174:X174,$M$2:$X$2)*$K174*$L174</f>
        <v/>
      </c>
      <c r="Z174" s="14">
        <f>SUM(M174:X174)</f>
        <v/>
      </c>
      <c r="AA174" s="13">
        <f>SUMPRODUCT(M174:X174,$M$3:$X$3)*$K174*$L174</f>
        <v/>
      </c>
      <c r="AB174" s="13">
        <f>SUMPRODUCT(M174:X174,$M$4:$X$4)*$K174*$L174</f>
        <v/>
      </c>
      <c r="AC174" s="15">
        <f>SUMPRODUCT(M174:X174,$M$5:$X$5)*$K174*$L174</f>
        <v/>
      </c>
      <c r="AD174" s="15">
        <f>SUMPRODUCT(M174:X174,$M$6:$X$6)*$K174*$L174</f>
        <v/>
      </c>
      <c r="AE174" s="19" t="n"/>
    </row>
    <row r="175">
      <c r="A175" s="9" t="n">
        <v>682171</v>
      </c>
      <c r="B175" s="9" t="inlineStr">
        <is>
          <t>Penn Murfee</t>
        </is>
      </c>
      <c r="C175" s="9" t="inlineStr">
        <is>
          <t>CWS</t>
        </is>
      </c>
      <c r="D175" s="9" t="n">
        <v>33</v>
      </c>
      <c r="E175" s="17" t="inlineStr">
        <is>
          <t>R</t>
        </is>
      </c>
      <c r="F175" s="17" t="n"/>
      <c r="G175" s="9" t="n">
        <v>63</v>
      </c>
      <c r="H175" s="9" t="n">
        <v>393</v>
      </c>
      <c r="I175" s="9" t="inlineStr">
        <is>
          <t>Middle Relief</t>
        </is>
      </c>
      <c r="J175" s="17" t="inlineStr">
        <is>
          <t>Opening Day</t>
        </is>
      </c>
      <c r="K175" s="11">
        <f>IFERROR(INDEX(Roles!$B$17:$B$20,MATCH(J175,Roles!$A$17:$A$20,0)),1)</f>
        <v/>
      </c>
      <c r="L175" s="18" t="n">
        <v>1</v>
      </c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3">
        <f>SUMPRODUCT(M175:X175,$M$2:$X$2)*$K175*$L175</f>
        <v/>
      </c>
      <c r="Z175" s="14">
        <f>SUM(M175:X175)</f>
        <v/>
      </c>
      <c r="AA175" s="13">
        <f>SUMPRODUCT(M175:X175,$M$3:$X$3)*$K175*$L175</f>
        <v/>
      </c>
      <c r="AB175" s="13">
        <f>SUMPRODUCT(M175:X175,$M$4:$X$4)*$K175*$L175</f>
        <v/>
      </c>
      <c r="AC175" s="15">
        <f>SUMPRODUCT(M175:X175,$M$5:$X$5)*$K175*$L175</f>
        <v/>
      </c>
      <c r="AD175" s="15">
        <f>SUMPRODUCT(M175:X175,$M$6:$X$6)*$K175*$L175</f>
        <v/>
      </c>
      <c r="AE175" s="19" t="n"/>
    </row>
    <row r="176">
      <c r="A176" s="9" t="n">
        <v>680570</v>
      </c>
      <c r="B176" s="9" t="inlineStr">
        <is>
          <t>Grayson Rodriguez</t>
        </is>
      </c>
      <c r="C176" s="9" t="inlineStr">
        <is>
          <t>LAA</t>
        </is>
      </c>
      <c r="D176" s="9" t="n">
        <v>27</v>
      </c>
      <c r="E176" s="17" t="inlineStr">
        <is>
          <t>R</t>
        </is>
      </c>
      <c r="F176" s="17" t="n"/>
      <c r="G176" s="9" t="n">
        <v>111</v>
      </c>
      <c r="H176" s="9" t="n">
        <v>1117</v>
      </c>
      <c r="I176" s="9" t="inlineStr">
        <is>
          <t>Mid-Rotation Starter (SP2-3)</t>
        </is>
      </c>
      <c r="J176" s="17" t="inlineStr">
        <is>
          <t>Opening Day</t>
        </is>
      </c>
      <c r="K176" s="11">
        <f>IFERROR(INDEX(Roles!$B$17:$B$20,MATCH(J176,Roles!$A$17:$A$20,0)),1)</f>
        <v/>
      </c>
      <c r="L176" s="18" t="n">
        <v>1</v>
      </c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3">
        <f>SUMPRODUCT(M176:X176,$M$2:$X$2)*$K176*$L176</f>
        <v/>
      </c>
      <c r="Z176" s="14">
        <f>SUM(M176:X176)</f>
        <v/>
      </c>
      <c r="AA176" s="13">
        <f>SUMPRODUCT(M176:X176,$M$3:$X$3)*$K176*$L176</f>
        <v/>
      </c>
      <c r="AB176" s="13">
        <f>SUMPRODUCT(M176:X176,$M$4:$X$4)*$K176*$L176</f>
        <v/>
      </c>
      <c r="AC176" s="15">
        <f>SUMPRODUCT(M176:X176,$M$5:$X$5)*$K176*$L176</f>
        <v/>
      </c>
      <c r="AD176" s="15">
        <f>SUMPRODUCT(M176:X176,$M$6:$X$6)*$K176*$L176</f>
        <v/>
      </c>
      <c r="AE176" s="19" t="n"/>
    </row>
    <row r="177">
      <c r="A177" s="9" t="n">
        <v>670970</v>
      </c>
      <c r="B177" s="9" t="inlineStr">
        <is>
          <t>Adrian Morejon</t>
        </is>
      </c>
      <c r="C177" s="9" t="inlineStr">
        <is>
          <t>SD</t>
        </is>
      </c>
      <c r="D177" s="9" t="n">
        <v>28</v>
      </c>
      <c r="E177" s="17" t="inlineStr">
        <is>
          <t>L</t>
        </is>
      </c>
      <c r="F177" s="17" t="n"/>
      <c r="G177" s="9" t="n">
        <v>141</v>
      </c>
      <c r="H177" s="9" t="n">
        <v>884</v>
      </c>
      <c r="I177" s="9" t="inlineStr">
        <is>
          <t>Late Inning RP (Setup)</t>
        </is>
      </c>
      <c r="J177" s="17" t="inlineStr">
        <is>
          <t>Opening Day</t>
        </is>
      </c>
      <c r="K177" s="11">
        <f>IFERROR(INDEX(Roles!$B$17:$B$20,MATCH(J177,Roles!$A$17:$A$20,0)),1)</f>
        <v/>
      </c>
      <c r="L177" s="18" t="n">
        <v>1</v>
      </c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3">
        <f>SUMPRODUCT(M177:X177,$M$2:$X$2)*$K177*$L177</f>
        <v/>
      </c>
      <c r="Z177" s="14">
        <f>SUM(M177:X177)</f>
        <v/>
      </c>
      <c r="AA177" s="13">
        <f>SUMPRODUCT(M177:X177,$M$3:$X$3)*$K177*$L177</f>
        <v/>
      </c>
      <c r="AB177" s="13">
        <f>SUMPRODUCT(M177:X177,$M$4:$X$4)*$K177*$L177</f>
        <v/>
      </c>
      <c r="AC177" s="15">
        <f>SUMPRODUCT(M177:X177,$M$5:$X$5)*$K177*$L177</f>
        <v/>
      </c>
      <c r="AD177" s="15">
        <f>SUMPRODUCT(M177:X177,$M$6:$X$6)*$K177*$L177</f>
        <v/>
      </c>
      <c r="AE177" s="19" t="n"/>
    </row>
    <row r="178">
      <c r="A178" s="9" t="n">
        <v>666157</v>
      </c>
      <c r="B178" s="9" t="inlineStr">
        <is>
          <t>Nick Lodolo</t>
        </is>
      </c>
      <c r="C178" s="9" t="inlineStr">
        <is>
          <t>CIN</t>
        </is>
      </c>
      <c r="D178" s="9" t="n">
        <v>29</v>
      </c>
      <c r="E178" s="17" t="inlineStr">
        <is>
          <t>L</t>
        </is>
      </c>
      <c r="F178" s="17" t="n"/>
      <c r="G178" s="9" t="n">
        <v>145</v>
      </c>
      <c r="H178" s="9" t="n">
        <v>1887</v>
      </c>
      <c r="I178" s="9" t="inlineStr">
        <is>
          <t>Mid-Rotation Starter (SP2-3)</t>
        </is>
      </c>
      <c r="J178" s="17" t="inlineStr">
        <is>
          <t>Opening Day</t>
        </is>
      </c>
      <c r="K178" s="11">
        <f>IFERROR(INDEX(Roles!$B$17:$B$20,MATCH(J178,Roles!$A$17:$A$20,0)),1)</f>
        <v/>
      </c>
      <c r="L178" s="18" t="n">
        <v>1</v>
      </c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3">
        <f>SUMPRODUCT(M178:X178,$M$2:$X$2)*$K178*$L178</f>
        <v/>
      </c>
      <c r="Z178" s="14">
        <f>SUM(M178:X178)</f>
        <v/>
      </c>
      <c r="AA178" s="13">
        <f>SUMPRODUCT(M178:X178,$M$3:$X$3)*$K178*$L178</f>
        <v/>
      </c>
      <c r="AB178" s="13">
        <f>SUMPRODUCT(M178:X178,$M$4:$X$4)*$K178*$L178</f>
        <v/>
      </c>
      <c r="AC178" s="15">
        <f>SUMPRODUCT(M178:X178,$M$5:$X$5)*$K178*$L178</f>
        <v/>
      </c>
      <c r="AD178" s="15">
        <f>SUMPRODUCT(M178:X178,$M$6:$X$6)*$K178*$L178</f>
        <v/>
      </c>
      <c r="AE178" s="19" t="n"/>
    </row>
    <row r="179">
      <c r="A179" s="9" t="n">
        <v>450203</v>
      </c>
      <c r="B179" s="9" t="inlineStr">
        <is>
          <t>Charlie Morton</t>
        </is>
      </c>
      <c r="C179" s="9" t="inlineStr">
        <is>
          <t>ATL</t>
        </is>
      </c>
      <c r="D179" s="9" t="n">
        <v>43</v>
      </c>
      <c r="E179" s="17" t="inlineStr">
        <is>
          <t>R</t>
        </is>
      </c>
      <c r="F179" s="17" t="n"/>
      <c r="G179" s="9" t="n">
        <v>654</v>
      </c>
      <c r="H179" s="9" t="n">
        <v>2799</v>
      </c>
      <c r="I179" s="9" t="inlineStr">
        <is>
          <t>End-of-Rotation Starter (SP4-5)</t>
        </is>
      </c>
      <c r="J179" s="17" t="inlineStr">
        <is>
          <t>Opening Day</t>
        </is>
      </c>
      <c r="K179" s="11">
        <f>IFERROR(INDEX(Roles!$B$17:$B$20,MATCH(J179,Roles!$A$17:$A$20,0)),1)</f>
        <v/>
      </c>
      <c r="L179" s="18" t="n">
        <v>1</v>
      </c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3">
        <f>SUMPRODUCT(M179:X179,$M$2:$X$2)*$K179*$L179</f>
        <v/>
      </c>
      <c r="Z179" s="14">
        <f>SUM(M179:X179)</f>
        <v/>
      </c>
      <c r="AA179" s="13">
        <f>SUMPRODUCT(M179:X179,$M$3:$X$3)*$K179*$L179</f>
        <v/>
      </c>
      <c r="AB179" s="13">
        <f>SUMPRODUCT(M179:X179,$M$4:$X$4)*$K179*$L179</f>
        <v/>
      </c>
      <c r="AC179" s="15">
        <f>SUMPRODUCT(M179:X179,$M$5:$X$5)*$K179*$L179</f>
        <v/>
      </c>
      <c r="AD179" s="15">
        <f>SUMPRODUCT(M179:X179,$M$6:$X$6)*$K179*$L179</f>
        <v/>
      </c>
      <c r="AE179" s="19" t="n"/>
    </row>
    <row r="180">
      <c r="A180" s="9" t="n">
        <v>552640</v>
      </c>
      <c r="B180" s="9" t="inlineStr">
        <is>
          <t>Andrew Kittredge</t>
        </is>
      </c>
      <c r="C180" s="9" t="inlineStr">
        <is>
          <t>BAL</t>
        </is>
      </c>
      <c r="D180" s="9" t="n">
        <v>37</v>
      </c>
      <c r="E180" s="17" t="inlineStr">
        <is>
          <t>R</t>
        </is>
      </c>
      <c r="F180" s="17" t="n"/>
      <c r="G180" s="9" t="n">
        <v>65</v>
      </c>
      <c r="H180" s="9" t="n">
        <v>685</v>
      </c>
      <c r="I180" s="9" t="inlineStr">
        <is>
          <t>Late Inning RP (Setup)</t>
        </is>
      </c>
      <c r="J180" s="17" t="inlineStr">
        <is>
          <t>Opening Day</t>
        </is>
      </c>
      <c r="K180" s="11">
        <f>IFERROR(INDEX(Roles!$B$17:$B$20,MATCH(J180,Roles!$A$17:$A$20,0)),1)</f>
        <v/>
      </c>
      <c r="L180" s="18" t="n">
        <v>1</v>
      </c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3">
        <f>SUMPRODUCT(M180:X180,$M$2:$X$2)*$K180*$L180</f>
        <v/>
      </c>
      <c r="Z180" s="14">
        <f>SUM(M180:X180)</f>
        <v/>
      </c>
      <c r="AA180" s="13">
        <f>SUMPRODUCT(M180:X180,$M$3:$X$3)*$K180*$L180</f>
        <v/>
      </c>
      <c r="AB180" s="13">
        <f>SUMPRODUCT(M180:X180,$M$4:$X$4)*$K180*$L180</f>
        <v/>
      </c>
      <c r="AC180" s="15">
        <f>SUMPRODUCT(M180:X180,$M$5:$X$5)*$K180*$L180</f>
        <v/>
      </c>
      <c r="AD180" s="15">
        <f>SUMPRODUCT(M180:X180,$M$6:$X$6)*$K180*$L180</f>
        <v/>
      </c>
      <c r="AE180" s="19" t="n"/>
    </row>
    <row r="181">
      <c r="A181" s="9" t="n">
        <v>701581</v>
      </c>
      <c r="B181" s="9" t="inlineStr">
        <is>
          <t>David Festa</t>
        </is>
      </c>
      <c r="C181" s="9" t="inlineStr">
        <is>
          <t>MIN</t>
        </is>
      </c>
      <c r="D181" s="9" t="n">
        <v>27</v>
      </c>
      <c r="E181" s="17" t="inlineStr">
        <is>
          <t>R</t>
        </is>
      </c>
      <c r="F181" s="17" t="n"/>
      <c r="G181" s="9" t="n">
        <v>229</v>
      </c>
      <c r="H181" s="9" t="n">
        <v>506</v>
      </c>
      <c r="I181" s="9" t="inlineStr">
        <is>
          <t>End-of-Rotation Starter (SP4-5)</t>
        </is>
      </c>
      <c r="J181" s="17" t="inlineStr">
        <is>
          <t>Opening Day</t>
        </is>
      </c>
      <c r="K181" s="11">
        <f>IFERROR(INDEX(Roles!$B$17:$B$20,MATCH(J181,Roles!$A$17:$A$20,0)),1)</f>
        <v/>
      </c>
      <c r="L181" s="18" t="n">
        <v>1</v>
      </c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3">
        <f>SUMPRODUCT(M181:X181,$M$2:$X$2)*$K181*$L181</f>
        <v/>
      </c>
      <c r="Z181" s="14">
        <f>SUM(M181:X181)</f>
        <v/>
      </c>
      <c r="AA181" s="13">
        <f>SUMPRODUCT(M181:X181,$M$3:$X$3)*$K181*$L181</f>
        <v/>
      </c>
      <c r="AB181" s="13">
        <f>SUMPRODUCT(M181:X181,$M$4:$X$4)*$K181*$L181</f>
        <v/>
      </c>
      <c r="AC181" s="15">
        <f>SUMPRODUCT(M181:X181,$M$5:$X$5)*$K181*$L181</f>
        <v/>
      </c>
      <c r="AD181" s="15">
        <f>SUMPRODUCT(M181:X181,$M$6:$X$6)*$K181*$L181</f>
        <v/>
      </c>
      <c r="AE181" s="19" t="n"/>
    </row>
    <row r="182">
      <c r="A182" s="9" t="n">
        <v>650911</v>
      </c>
      <c r="B182" s="9" t="inlineStr">
        <is>
          <t>Cristopher Sánchez</t>
        </is>
      </c>
      <c r="C182" s="9" t="inlineStr">
        <is>
          <t>PHI</t>
        </is>
      </c>
      <c r="D182" s="9" t="n">
        <v>30</v>
      </c>
      <c r="E182" s="17" t="inlineStr">
        <is>
          <t>L</t>
        </is>
      </c>
      <c r="F182" s="17" t="n"/>
      <c r="G182" s="9" t="n">
        <v>375</v>
      </c>
      <c r="H182" s="9" t="n">
        <v>2509</v>
      </c>
      <c r="I182" s="9" t="inlineStr">
        <is>
          <t>Ace (SP1)</t>
        </is>
      </c>
      <c r="J182" s="17" t="inlineStr">
        <is>
          <t>Opening Day</t>
        </is>
      </c>
      <c r="K182" s="11">
        <f>IFERROR(INDEX(Roles!$B$17:$B$20,MATCH(J182,Roles!$A$17:$A$20,0)),1)</f>
        <v/>
      </c>
      <c r="L182" s="18" t="n">
        <v>1</v>
      </c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3">
        <f>SUMPRODUCT(M182:X182,$M$2:$X$2)*$K182*$L182</f>
        <v/>
      </c>
      <c r="Z182" s="14">
        <f>SUM(M182:X182)</f>
        <v/>
      </c>
      <c r="AA182" s="13">
        <f>SUMPRODUCT(M182:X182,$M$3:$X$3)*$K182*$L182</f>
        <v/>
      </c>
      <c r="AB182" s="13">
        <f>SUMPRODUCT(M182:X182,$M$4:$X$4)*$K182*$L182</f>
        <v/>
      </c>
      <c r="AC182" s="15">
        <f>SUMPRODUCT(M182:X182,$M$5:$X$5)*$K182*$L182</f>
        <v/>
      </c>
      <c r="AD182" s="15">
        <f>SUMPRODUCT(M182:X182,$M$6:$X$6)*$K182*$L182</f>
        <v/>
      </c>
      <c r="AE182" s="19" t="n"/>
    </row>
    <row r="183">
      <c r="A183" s="9" t="n">
        <v>680704</v>
      </c>
      <c r="B183" s="9" t="inlineStr">
        <is>
          <t>Nick Sandlin</t>
        </is>
      </c>
      <c r="C183" s="9" t="inlineStr">
        <is>
          <t>LAA</t>
        </is>
      </c>
      <c r="D183" s="9" t="n">
        <v>30</v>
      </c>
      <c r="E183" s="17" t="inlineStr">
        <is>
          <t>R</t>
        </is>
      </c>
      <c r="F183" s="17" t="n"/>
      <c r="G183" s="9" t="n">
        <v>40</v>
      </c>
      <c r="H183" s="9" t="n">
        <v>774</v>
      </c>
      <c r="I183" s="9" t="inlineStr">
        <is>
          <t>Bullpen Depth Arm</t>
        </is>
      </c>
      <c r="J183" s="17" t="inlineStr">
        <is>
          <t>Opening Day</t>
        </is>
      </c>
      <c r="K183" s="11">
        <f>IFERROR(INDEX(Roles!$B$17:$B$20,MATCH(J183,Roles!$A$17:$A$20,0)),1)</f>
        <v/>
      </c>
      <c r="L183" s="18" t="n">
        <v>1</v>
      </c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3">
        <f>SUMPRODUCT(M183:X183,$M$2:$X$2)*$K183*$L183</f>
        <v/>
      </c>
      <c r="Z183" s="14">
        <f>SUM(M183:X183)</f>
        <v/>
      </c>
      <c r="AA183" s="13">
        <f>SUMPRODUCT(M183:X183,$M$3:$X$3)*$K183*$L183</f>
        <v/>
      </c>
      <c r="AB183" s="13">
        <f>SUMPRODUCT(M183:X183,$M$4:$X$4)*$K183*$L183</f>
        <v/>
      </c>
      <c r="AC183" s="15">
        <f>SUMPRODUCT(M183:X183,$M$5:$X$5)*$K183*$L183</f>
        <v/>
      </c>
      <c r="AD183" s="15">
        <f>SUMPRODUCT(M183:X183,$M$6:$X$6)*$K183*$L183</f>
        <v/>
      </c>
      <c r="AE183" s="19" t="n"/>
    </row>
    <row r="184">
      <c r="A184" s="9" t="n">
        <v>683175</v>
      </c>
      <c r="B184" s="9" t="inlineStr">
        <is>
          <t>Connor Phillips</t>
        </is>
      </c>
      <c r="C184" s="9" t="inlineStr">
        <is>
          <t>CIN</t>
        </is>
      </c>
      <c r="D184" s="9" t="n">
        <v>26</v>
      </c>
      <c r="E184" s="17" t="inlineStr">
        <is>
          <t>R</t>
        </is>
      </c>
      <c r="F184" s="17" t="n"/>
      <c r="G184" s="9" t="n">
        <v>133</v>
      </c>
      <c r="H184" s="9" t="n">
        <v>327</v>
      </c>
      <c r="I184" s="9" t="inlineStr">
        <is>
          <t>Bullpen Depth Arm</t>
        </is>
      </c>
      <c r="J184" s="17" t="inlineStr">
        <is>
          <t>Opening Day</t>
        </is>
      </c>
      <c r="K184" s="11">
        <f>IFERROR(INDEX(Roles!$B$17:$B$20,MATCH(J184,Roles!$A$17:$A$20,0)),1)</f>
        <v/>
      </c>
      <c r="L184" s="18" t="n">
        <v>1</v>
      </c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3">
        <f>SUMPRODUCT(M184:X184,$M$2:$X$2)*$K184*$L184</f>
        <v/>
      </c>
      <c r="Z184" s="14">
        <f>SUM(M184:X184)</f>
        <v/>
      </c>
      <c r="AA184" s="13">
        <f>SUMPRODUCT(M184:X184,$M$3:$X$3)*$K184*$L184</f>
        <v/>
      </c>
      <c r="AB184" s="13">
        <f>SUMPRODUCT(M184:X184,$M$4:$X$4)*$K184*$L184</f>
        <v/>
      </c>
      <c r="AC184" s="15">
        <f>SUMPRODUCT(M184:X184,$M$5:$X$5)*$K184*$L184</f>
        <v/>
      </c>
      <c r="AD184" s="15">
        <f>SUMPRODUCT(M184:X184,$M$6:$X$6)*$K184*$L184</f>
        <v/>
      </c>
      <c r="AE184" s="19" t="n"/>
    </row>
    <row r="185">
      <c r="A185" s="9" t="n">
        <v>813349</v>
      </c>
      <c r="B185" s="9" t="inlineStr">
        <is>
          <t>Connelly Early</t>
        </is>
      </c>
      <c r="C185" s="9" t="inlineStr">
        <is>
          <t>BOS</t>
        </is>
      </c>
      <c r="D185" s="9" t="n">
        <v>25</v>
      </c>
      <c r="E185" s="17" t="inlineStr">
        <is>
          <t>L</t>
        </is>
      </c>
      <c r="F185" s="17" t="n"/>
      <c r="G185" s="9" t="n">
        <v>300</v>
      </c>
      <c r="H185" s="9" t="n">
        <v>379</v>
      </c>
      <c r="I185" s="9" t="inlineStr">
        <is>
          <t>Mid-Rotation Starter (SP2-3)</t>
        </is>
      </c>
      <c r="J185" s="17" t="inlineStr">
        <is>
          <t>Opening Day</t>
        </is>
      </c>
      <c r="K185" s="11">
        <f>IFERROR(INDEX(Roles!$B$17:$B$20,MATCH(J185,Roles!$A$17:$A$20,0)),1)</f>
        <v/>
      </c>
      <c r="L185" s="18" t="n">
        <v>1</v>
      </c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3">
        <f>SUMPRODUCT(M185:X185,$M$2:$X$2)*$K185*$L185</f>
        <v/>
      </c>
      <c r="Z185" s="14">
        <f>SUM(M185:X185)</f>
        <v/>
      </c>
      <c r="AA185" s="13">
        <f>SUMPRODUCT(M185:X185,$M$3:$X$3)*$K185*$L185</f>
        <v/>
      </c>
      <c r="AB185" s="13">
        <f>SUMPRODUCT(M185:X185,$M$4:$X$4)*$K185*$L185</f>
        <v/>
      </c>
      <c r="AC185" s="15">
        <f>SUMPRODUCT(M185:X185,$M$5:$X$5)*$K185*$L185</f>
        <v/>
      </c>
      <c r="AD185" s="15">
        <f>SUMPRODUCT(M185:X185,$M$6:$X$6)*$K185*$L185</f>
        <v/>
      </c>
      <c r="AE185" s="19" t="n"/>
    </row>
    <row r="186">
      <c r="A186" s="9" t="n">
        <v>671737</v>
      </c>
      <c r="B186" s="9" t="inlineStr">
        <is>
          <t>Taj Bradley</t>
        </is>
      </c>
      <c r="C186" s="9" t="inlineStr">
        <is>
          <t>MIN</t>
        </is>
      </c>
      <c r="D186" s="9" t="n">
        <v>26</v>
      </c>
      <c r="E186" s="17" t="inlineStr">
        <is>
          <t>R</t>
        </is>
      </c>
      <c r="F186" s="17" t="n"/>
      <c r="G186" s="9" t="n">
        <v>284</v>
      </c>
      <c r="H186" s="9" t="n">
        <v>1927</v>
      </c>
      <c r="I186" s="9" t="inlineStr">
        <is>
          <t>Mid-Rotation Starter (SP2-3)</t>
        </is>
      </c>
      <c r="J186" s="17" t="inlineStr">
        <is>
          <t>Opening Day</t>
        </is>
      </c>
      <c r="K186" s="11">
        <f>IFERROR(INDEX(Roles!$B$17:$B$20,MATCH(J186,Roles!$A$17:$A$20,0)),1)</f>
        <v/>
      </c>
      <c r="L186" s="18" t="n">
        <v>1</v>
      </c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3">
        <f>SUMPRODUCT(M186:X186,$M$2:$X$2)*$K186*$L186</f>
        <v/>
      </c>
      <c r="Z186" s="14">
        <f>SUM(M186:X186)</f>
        <v/>
      </c>
      <c r="AA186" s="13">
        <f>SUMPRODUCT(M186:X186,$M$3:$X$3)*$K186*$L186</f>
        <v/>
      </c>
      <c r="AB186" s="13">
        <f>SUMPRODUCT(M186:X186,$M$4:$X$4)*$K186*$L186</f>
        <v/>
      </c>
      <c r="AC186" s="15">
        <f>SUMPRODUCT(M186:X186,$M$5:$X$5)*$K186*$L186</f>
        <v/>
      </c>
      <c r="AD186" s="15">
        <f>SUMPRODUCT(M186:X186,$M$6:$X$6)*$K186*$L186</f>
        <v/>
      </c>
      <c r="AE186" s="19" t="n"/>
    </row>
    <row r="187">
      <c r="A187" s="9" t="n">
        <v>607481</v>
      </c>
      <c r="B187" s="9" t="inlineStr">
        <is>
          <t>Aaron Bummer</t>
        </is>
      </c>
      <c r="C187" s="9" t="inlineStr">
        <is>
          <t>ATL</t>
        </is>
      </c>
      <c r="D187" s="9" t="n">
        <v>33</v>
      </c>
      <c r="E187" s="17" t="inlineStr">
        <is>
          <t>L</t>
        </is>
      </c>
      <c r="F187" s="17" t="n"/>
      <c r="G187" s="9" t="n">
        <v>77</v>
      </c>
      <c r="H187" s="9" t="n">
        <v>940</v>
      </c>
      <c r="I187" s="9" t="inlineStr">
        <is>
          <t>Bullpen Depth Arm</t>
        </is>
      </c>
      <c r="J187" s="17" t="inlineStr">
        <is>
          <t>Opening Day</t>
        </is>
      </c>
      <c r="K187" s="11">
        <f>IFERROR(INDEX(Roles!$B$17:$B$20,MATCH(J187,Roles!$A$17:$A$20,0)),1)</f>
        <v/>
      </c>
      <c r="L187" s="18" t="n">
        <v>1</v>
      </c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3">
        <f>SUMPRODUCT(M187:X187,$M$2:$X$2)*$K187*$L187</f>
        <v/>
      </c>
      <c r="Z187" s="14">
        <f>SUM(M187:X187)</f>
        <v/>
      </c>
      <c r="AA187" s="13">
        <f>SUMPRODUCT(M187:X187,$M$3:$X$3)*$K187*$L187</f>
        <v/>
      </c>
      <c r="AB187" s="13">
        <f>SUMPRODUCT(M187:X187,$M$4:$X$4)*$K187*$L187</f>
        <v/>
      </c>
      <c r="AC187" s="15">
        <f>SUMPRODUCT(M187:X187,$M$5:$X$5)*$K187*$L187</f>
        <v/>
      </c>
      <c r="AD187" s="15">
        <f>SUMPRODUCT(M187:X187,$M$6:$X$6)*$K187*$L187</f>
        <v/>
      </c>
      <c r="AE187" s="19" t="n"/>
    </row>
    <row r="188">
      <c r="A188" s="9" t="n">
        <v>806185</v>
      </c>
      <c r="B188" s="9" t="inlineStr">
        <is>
          <t>Hayden Birdsong</t>
        </is>
      </c>
      <c r="C188" s="9" t="inlineStr">
        <is>
          <t>SF</t>
        </is>
      </c>
      <c r="D188" s="9" t="n">
        <v>25</v>
      </c>
      <c r="E188" s="17" t="inlineStr">
        <is>
          <t>R</t>
        </is>
      </c>
      <c r="F188" s="17" t="n"/>
      <c r="G188" s="9" t="n">
        <v>298</v>
      </c>
      <c r="H188" s="9" t="n">
        <v>613</v>
      </c>
      <c r="I188" s="9" t="inlineStr">
        <is>
          <t>End-of-Rotation Starter (SP4-5)</t>
        </is>
      </c>
      <c r="J188" s="17" t="inlineStr">
        <is>
          <t>Opening Day</t>
        </is>
      </c>
      <c r="K188" s="11">
        <f>IFERROR(INDEX(Roles!$B$17:$B$20,MATCH(J188,Roles!$A$17:$A$20,0)),1)</f>
        <v/>
      </c>
      <c r="L188" s="18" t="n">
        <v>1</v>
      </c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3">
        <f>SUMPRODUCT(M188:X188,$M$2:$X$2)*$K188*$L188</f>
        <v/>
      </c>
      <c r="Z188" s="14">
        <f>SUM(M188:X188)</f>
        <v/>
      </c>
      <c r="AA188" s="13">
        <f>SUMPRODUCT(M188:X188,$M$3:$X$3)*$K188*$L188</f>
        <v/>
      </c>
      <c r="AB188" s="13">
        <f>SUMPRODUCT(M188:X188,$M$4:$X$4)*$K188*$L188</f>
        <v/>
      </c>
      <c r="AC188" s="15">
        <f>SUMPRODUCT(M188:X188,$M$5:$X$5)*$K188*$L188</f>
        <v/>
      </c>
      <c r="AD188" s="15">
        <f>SUMPRODUCT(M188:X188,$M$6:$X$6)*$K188*$L188</f>
        <v/>
      </c>
      <c r="AE188" s="19" t="n"/>
    </row>
    <row r="189">
      <c r="A189" s="9" t="n">
        <v>669308</v>
      </c>
      <c r="B189" s="9" t="inlineStr">
        <is>
          <t>Sean Reynolds</t>
        </is>
      </c>
      <c r="C189" s="9" t="inlineStr">
        <is>
          <t>SD</t>
        </is>
      </c>
      <c r="D189" s="9" t="n">
        <v>29</v>
      </c>
      <c r="E189" s="17" t="inlineStr">
        <is>
          <t>R</t>
        </is>
      </c>
      <c r="F189" s="17" t="n"/>
      <c r="G189" s="9" t="n">
        <v>117</v>
      </c>
      <c r="H189" s="9" t="n">
        <v>166</v>
      </c>
      <c r="I189" s="9" t="inlineStr">
        <is>
          <t>Bullpen Depth Arm</t>
        </is>
      </c>
      <c r="J189" s="17" t="inlineStr">
        <is>
          <t>Opening Day</t>
        </is>
      </c>
      <c r="K189" s="11">
        <f>IFERROR(INDEX(Roles!$B$17:$B$20,MATCH(J189,Roles!$A$17:$A$20,0)),1)</f>
        <v/>
      </c>
      <c r="L189" s="18" t="n">
        <v>1</v>
      </c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3">
        <f>SUMPRODUCT(M189:X189,$M$2:$X$2)*$K189*$L189</f>
        <v/>
      </c>
      <c r="Z189" s="14">
        <f>SUM(M189:X189)</f>
        <v/>
      </c>
      <c r="AA189" s="13">
        <f>SUMPRODUCT(M189:X189,$M$3:$X$3)*$K189*$L189</f>
        <v/>
      </c>
      <c r="AB189" s="13">
        <f>SUMPRODUCT(M189:X189,$M$4:$X$4)*$K189*$L189</f>
        <v/>
      </c>
      <c r="AC189" s="15">
        <f>SUMPRODUCT(M189:X189,$M$5:$X$5)*$K189*$L189</f>
        <v/>
      </c>
      <c r="AD189" s="15">
        <f>SUMPRODUCT(M189:X189,$M$6:$X$6)*$K189*$L189</f>
        <v/>
      </c>
      <c r="AE189" s="19" t="n"/>
    </row>
    <row r="190">
      <c r="A190" s="9" t="n">
        <v>689520</v>
      </c>
      <c r="B190" s="9" t="inlineStr">
        <is>
          <t>Cody Laweryson</t>
        </is>
      </c>
      <c r="C190" s="9" t="inlineStr">
        <is>
          <t>MIN</t>
        </is>
      </c>
      <c r="D190" s="9" t="n">
        <v>29</v>
      </c>
      <c r="E190" s="17" t="inlineStr">
        <is>
          <t>R</t>
        </is>
      </c>
      <c r="F190" s="17" t="n"/>
      <c r="G190" s="9" t="n">
        <v>50</v>
      </c>
      <c r="H190" s="9" t="n">
        <v>76</v>
      </c>
      <c r="I190" s="9" t="inlineStr">
        <is>
          <t>Late Inning RP (Setup)</t>
        </is>
      </c>
      <c r="J190" s="17" t="inlineStr">
        <is>
          <t>Opening Day</t>
        </is>
      </c>
      <c r="K190" s="11">
        <f>IFERROR(INDEX(Roles!$B$17:$B$20,MATCH(J190,Roles!$A$17:$A$20,0)),1)</f>
        <v/>
      </c>
      <c r="L190" s="18" t="n">
        <v>1</v>
      </c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3">
        <f>SUMPRODUCT(M190:X190,$M$2:$X$2)*$K190*$L190</f>
        <v/>
      </c>
      <c r="Z190" s="14">
        <f>SUM(M190:X190)</f>
        <v/>
      </c>
      <c r="AA190" s="13">
        <f>SUMPRODUCT(M190:X190,$M$3:$X$3)*$K190*$L190</f>
        <v/>
      </c>
      <c r="AB190" s="13">
        <f>SUMPRODUCT(M190:X190,$M$4:$X$4)*$K190*$L190</f>
        <v/>
      </c>
      <c r="AC190" s="15">
        <f>SUMPRODUCT(M190:X190,$M$5:$X$5)*$K190*$L190</f>
        <v/>
      </c>
      <c r="AD190" s="15">
        <f>SUMPRODUCT(M190:X190,$M$6:$X$6)*$K190*$L190</f>
        <v/>
      </c>
      <c r="AE190" s="19" t="n"/>
    </row>
    <row r="191">
      <c r="A191" s="9" t="n">
        <v>676282</v>
      </c>
      <c r="B191" s="9" t="inlineStr">
        <is>
          <t>Joey Cantillo</t>
        </is>
      </c>
      <c r="C191" s="9" t="inlineStr">
        <is>
          <t>CLE</t>
        </is>
      </c>
      <c r="D191" s="9" t="n">
        <v>27</v>
      </c>
      <c r="E191" s="17" t="inlineStr">
        <is>
          <t>L</t>
        </is>
      </c>
      <c r="F191" s="17" t="n"/>
      <c r="G191" s="9" t="n">
        <v>291</v>
      </c>
      <c r="H191" s="9" t="n">
        <v>855</v>
      </c>
      <c r="I191" s="9" t="inlineStr">
        <is>
          <t>End-of-Rotation Starter (SP4-5)</t>
        </is>
      </c>
      <c r="J191" s="17" t="inlineStr">
        <is>
          <t>Opening Day</t>
        </is>
      </c>
      <c r="K191" s="11">
        <f>IFERROR(INDEX(Roles!$B$17:$B$20,MATCH(J191,Roles!$A$17:$A$20,0)),1)</f>
        <v/>
      </c>
      <c r="L191" s="18" t="n">
        <v>1</v>
      </c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3">
        <f>SUMPRODUCT(M191:X191,$M$2:$X$2)*$K191*$L191</f>
        <v/>
      </c>
      <c r="Z191" s="14">
        <f>SUM(M191:X191)</f>
        <v/>
      </c>
      <c r="AA191" s="13">
        <f>SUMPRODUCT(M191:X191,$M$3:$X$3)*$K191*$L191</f>
        <v/>
      </c>
      <c r="AB191" s="13">
        <f>SUMPRODUCT(M191:X191,$M$4:$X$4)*$K191*$L191</f>
        <v/>
      </c>
      <c r="AC191" s="15">
        <f>SUMPRODUCT(M191:X191,$M$5:$X$5)*$K191*$L191</f>
        <v/>
      </c>
      <c r="AD191" s="15">
        <f>SUMPRODUCT(M191:X191,$M$6:$X$6)*$K191*$L191</f>
        <v/>
      </c>
      <c r="AE191" s="19" t="n"/>
    </row>
    <row r="192">
      <c r="A192" s="9" t="n">
        <v>701542</v>
      </c>
      <c r="B192" s="9" t="inlineStr">
        <is>
          <t>Will Warren</t>
        </is>
      </c>
      <c r="C192" s="9" t="inlineStr">
        <is>
          <t>NYY</t>
        </is>
      </c>
      <c r="D192" s="9" t="n">
        <v>28</v>
      </c>
      <c r="E192" s="17" t="inlineStr">
        <is>
          <t>R</t>
        </is>
      </c>
      <c r="F192" s="17" t="n"/>
      <c r="G192" s="9" t="n">
        <v>291</v>
      </c>
      <c r="H192" s="9" t="n">
        <v>1112</v>
      </c>
      <c r="I192" s="9" t="inlineStr">
        <is>
          <t>End-of-Rotation Starter (SP4-5)</t>
        </is>
      </c>
      <c r="J192" s="17" t="inlineStr">
        <is>
          <t>Opening Day</t>
        </is>
      </c>
      <c r="K192" s="11">
        <f>IFERROR(INDEX(Roles!$B$17:$B$20,MATCH(J192,Roles!$A$17:$A$20,0)),1)</f>
        <v/>
      </c>
      <c r="L192" s="18" t="n">
        <v>1</v>
      </c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3">
        <f>SUMPRODUCT(M192:X192,$M$2:$X$2)*$K192*$L192</f>
        <v/>
      </c>
      <c r="Z192" s="14">
        <f>SUM(M192:X192)</f>
        <v/>
      </c>
      <c r="AA192" s="13">
        <f>SUMPRODUCT(M192:X192,$M$3:$X$3)*$K192*$L192</f>
        <v/>
      </c>
      <c r="AB192" s="13">
        <f>SUMPRODUCT(M192:X192,$M$4:$X$4)*$K192*$L192</f>
        <v/>
      </c>
      <c r="AC192" s="15">
        <f>SUMPRODUCT(M192:X192,$M$5:$X$5)*$K192*$L192</f>
        <v/>
      </c>
      <c r="AD192" s="15">
        <f>SUMPRODUCT(M192:X192,$M$6:$X$6)*$K192*$L192</f>
        <v/>
      </c>
      <c r="AE192" s="19" t="n"/>
    </row>
    <row r="193">
      <c r="A193" s="9" t="n">
        <v>682790</v>
      </c>
      <c r="B193" s="9" t="inlineStr">
        <is>
          <t>Wikelman González</t>
        </is>
      </c>
      <c r="C193" s="9" t="inlineStr">
        <is>
          <t>CWS</t>
        </is>
      </c>
      <c r="D193" s="9" t="n">
        <v>25</v>
      </c>
      <c r="E193" s="17" t="inlineStr">
        <is>
          <t>R</t>
        </is>
      </c>
      <c r="F193" s="17" t="n"/>
      <c r="G193" s="9" t="n">
        <v>87</v>
      </c>
      <c r="H193" s="9" t="n">
        <v>87</v>
      </c>
      <c r="I193" s="9" t="inlineStr">
        <is>
          <t>Middle Relief</t>
        </is>
      </c>
      <c r="J193" s="17" t="inlineStr">
        <is>
          <t>Opening Day</t>
        </is>
      </c>
      <c r="K193" s="11">
        <f>IFERROR(INDEX(Roles!$B$17:$B$20,MATCH(J193,Roles!$A$17:$A$20,0)),1)</f>
        <v/>
      </c>
      <c r="L193" s="18" t="n">
        <v>1</v>
      </c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3">
        <f>SUMPRODUCT(M193:X193,$M$2:$X$2)*$K193*$L193</f>
        <v/>
      </c>
      <c r="Z193" s="14">
        <f>SUM(M193:X193)</f>
        <v/>
      </c>
      <c r="AA193" s="13">
        <f>SUMPRODUCT(M193:X193,$M$3:$X$3)*$K193*$L193</f>
        <v/>
      </c>
      <c r="AB193" s="13">
        <f>SUMPRODUCT(M193:X193,$M$4:$X$4)*$K193*$L193</f>
        <v/>
      </c>
      <c r="AC193" s="15">
        <f>SUMPRODUCT(M193:X193,$M$5:$X$5)*$K193*$L193</f>
        <v/>
      </c>
      <c r="AD193" s="15">
        <f>SUMPRODUCT(M193:X193,$M$6:$X$6)*$K193*$L193</f>
        <v/>
      </c>
      <c r="AE193" s="19" t="n"/>
    </row>
    <row r="194">
      <c r="A194" s="9" t="n">
        <v>688158</v>
      </c>
      <c r="B194" s="9" t="inlineStr">
        <is>
          <t>David Morgan</t>
        </is>
      </c>
      <c r="C194" s="9" t="inlineStr">
        <is>
          <t>SD</t>
        </is>
      </c>
      <c r="D194" s="9" t="n">
        <v>27</v>
      </c>
      <c r="E194" s="17" t="inlineStr">
        <is>
          <t>R</t>
        </is>
      </c>
      <c r="F194" s="17" t="n"/>
      <c r="G194" s="9" t="n">
        <v>83</v>
      </c>
      <c r="H194" s="9" t="n">
        <v>276</v>
      </c>
      <c r="I194" s="9" t="inlineStr">
        <is>
          <t>Middle Relief</t>
        </is>
      </c>
      <c r="J194" s="17" t="inlineStr">
        <is>
          <t>Opening Day</t>
        </is>
      </c>
      <c r="K194" s="11">
        <f>IFERROR(INDEX(Roles!$B$17:$B$20,MATCH(J194,Roles!$A$17:$A$20,0)),1)</f>
        <v/>
      </c>
      <c r="L194" s="18" t="n">
        <v>1</v>
      </c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3">
        <f>SUMPRODUCT(M194:X194,$M$2:$X$2)*$K194*$L194</f>
        <v/>
      </c>
      <c r="Z194" s="14">
        <f>SUM(M194:X194)</f>
        <v/>
      </c>
      <c r="AA194" s="13">
        <f>SUMPRODUCT(M194:X194,$M$3:$X$3)*$K194*$L194</f>
        <v/>
      </c>
      <c r="AB194" s="13">
        <f>SUMPRODUCT(M194:X194,$M$4:$X$4)*$K194*$L194</f>
        <v/>
      </c>
      <c r="AC194" s="15">
        <f>SUMPRODUCT(M194:X194,$M$5:$X$5)*$K194*$L194</f>
        <v/>
      </c>
      <c r="AD194" s="15">
        <f>SUMPRODUCT(M194:X194,$M$6:$X$6)*$K194*$L194</f>
        <v/>
      </c>
      <c r="AE194" s="19" t="n"/>
    </row>
    <row r="195">
      <c r="A195" s="9" t="n">
        <v>657240</v>
      </c>
      <c r="B195" s="9" t="inlineStr">
        <is>
          <t>Julian Merryweather</t>
        </is>
      </c>
      <c r="C195" s="9" t="inlineStr">
        <is>
          <t>CHC</t>
        </is>
      </c>
      <c r="D195" s="9" t="n">
        <v>35</v>
      </c>
      <c r="E195" s="17" t="inlineStr">
        <is>
          <t>R</t>
        </is>
      </c>
      <c r="F195" s="17" t="n"/>
      <c r="G195" s="9" t="n">
        <v>88</v>
      </c>
      <c r="H195" s="9" t="n">
        <v>584</v>
      </c>
      <c r="I195" s="9" t="inlineStr">
        <is>
          <t>Bullpen Depth Arm</t>
        </is>
      </c>
      <c r="J195" s="17" t="inlineStr">
        <is>
          <t>Opening Day</t>
        </is>
      </c>
      <c r="K195" s="11">
        <f>IFERROR(INDEX(Roles!$B$17:$B$20,MATCH(J195,Roles!$A$17:$A$20,0)),1)</f>
        <v/>
      </c>
      <c r="L195" s="18" t="n">
        <v>1</v>
      </c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3">
        <f>SUMPRODUCT(M195:X195,$M$2:$X$2)*$K195*$L195</f>
        <v/>
      </c>
      <c r="Z195" s="14">
        <f>SUM(M195:X195)</f>
        <v/>
      </c>
      <c r="AA195" s="13">
        <f>SUMPRODUCT(M195:X195,$M$3:$X$3)*$K195*$L195</f>
        <v/>
      </c>
      <c r="AB195" s="13">
        <f>SUMPRODUCT(M195:X195,$M$4:$X$4)*$K195*$L195</f>
        <v/>
      </c>
      <c r="AC195" s="15">
        <f>SUMPRODUCT(M195:X195,$M$5:$X$5)*$K195*$L195</f>
        <v/>
      </c>
      <c r="AD195" s="15">
        <f>SUMPRODUCT(M195:X195,$M$6:$X$6)*$K195*$L195</f>
        <v/>
      </c>
      <c r="AE195" s="19" t="n"/>
    </row>
    <row r="196">
      <c r="A196" s="9" t="n">
        <v>670329</v>
      </c>
      <c r="B196" s="9" t="inlineStr">
        <is>
          <t>Rico Garcia</t>
        </is>
      </c>
      <c r="C196" s="9" t="inlineStr">
        <is>
          <t>BAL</t>
        </is>
      </c>
      <c r="D196" s="9" t="n">
        <v>33</v>
      </c>
      <c r="E196" s="17" t="inlineStr">
        <is>
          <t>R</t>
        </is>
      </c>
      <c r="F196" s="17" t="n"/>
      <c r="G196" s="9" t="n">
        <v>100</v>
      </c>
      <c r="H196" s="9" t="n">
        <v>337</v>
      </c>
      <c r="I196" s="9" t="inlineStr">
        <is>
          <t>Middle Relief</t>
        </is>
      </c>
      <c r="J196" s="17" t="inlineStr">
        <is>
          <t>Opening Day</t>
        </is>
      </c>
      <c r="K196" s="11">
        <f>IFERROR(INDEX(Roles!$B$17:$B$20,MATCH(J196,Roles!$A$17:$A$20,0)),1)</f>
        <v/>
      </c>
      <c r="L196" s="18" t="n">
        <v>1</v>
      </c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3">
        <f>SUMPRODUCT(M196:X196,$M$2:$X$2)*$K196*$L196</f>
        <v/>
      </c>
      <c r="Z196" s="14">
        <f>SUM(M196:X196)</f>
        <v/>
      </c>
      <c r="AA196" s="13">
        <f>SUMPRODUCT(M196:X196,$M$3:$X$3)*$K196*$L196</f>
        <v/>
      </c>
      <c r="AB196" s="13">
        <f>SUMPRODUCT(M196:X196,$M$4:$X$4)*$K196*$L196</f>
        <v/>
      </c>
      <c r="AC196" s="15">
        <f>SUMPRODUCT(M196:X196,$M$5:$X$5)*$K196*$L196</f>
        <v/>
      </c>
      <c r="AD196" s="15">
        <f>SUMPRODUCT(M196:X196,$M$6:$X$6)*$K196*$L196</f>
        <v/>
      </c>
      <c r="AE196" s="19" t="n"/>
    </row>
    <row r="197">
      <c r="A197" s="9" t="n">
        <v>671212</v>
      </c>
      <c r="B197" s="9" t="inlineStr">
        <is>
          <t>Joe Boyle</t>
        </is>
      </c>
      <c r="C197" s="9" t="inlineStr">
        <is>
          <t>TB</t>
        </is>
      </c>
      <c r="D197" s="9" t="n">
        <v>27</v>
      </c>
      <c r="E197" s="17" t="inlineStr">
        <is>
          <t>R</t>
        </is>
      </c>
      <c r="F197" s="17" t="n"/>
      <c r="G197" s="9" t="n">
        <v>66</v>
      </c>
      <c r="H197" s="9" t="n">
        <v>578</v>
      </c>
      <c r="I197" s="9" t="inlineStr">
        <is>
          <t>End-of-Rotation Starter (SP4-5)</t>
        </is>
      </c>
      <c r="J197" s="17" t="inlineStr">
        <is>
          <t>Opening Day</t>
        </is>
      </c>
      <c r="K197" s="11">
        <f>IFERROR(INDEX(Roles!$B$17:$B$20,MATCH(J197,Roles!$A$17:$A$20,0)),1)</f>
        <v/>
      </c>
      <c r="L197" s="18" t="n">
        <v>1</v>
      </c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3">
        <f>SUMPRODUCT(M197:X197,$M$2:$X$2)*$K197*$L197</f>
        <v/>
      </c>
      <c r="Z197" s="14">
        <f>SUM(M197:X197)</f>
        <v/>
      </c>
      <c r="AA197" s="13">
        <f>SUMPRODUCT(M197:X197,$M$3:$X$3)*$K197*$L197</f>
        <v/>
      </c>
      <c r="AB197" s="13">
        <f>SUMPRODUCT(M197:X197,$M$4:$X$4)*$K197*$L197</f>
        <v/>
      </c>
      <c r="AC197" s="15">
        <f>SUMPRODUCT(M197:X197,$M$5:$X$5)*$K197*$L197</f>
        <v/>
      </c>
      <c r="AD197" s="15">
        <f>SUMPRODUCT(M197:X197,$M$6:$X$6)*$K197*$L197</f>
        <v/>
      </c>
      <c r="AE197" s="19" t="n"/>
    </row>
    <row r="198">
      <c r="A198" s="9" t="n">
        <v>664299</v>
      </c>
      <c r="B198" s="9" t="inlineStr">
        <is>
          <t>Cristian Javier</t>
        </is>
      </c>
      <c r="C198" s="9" t="inlineStr">
        <is>
          <t>HOU</t>
        </is>
      </c>
      <c r="D198" s="9" t="n">
        <v>30</v>
      </c>
      <c r="E198" s="17" t="inlineStr">
        <is>
          <t>R</t>
        </is>
      </c>
      <c r="F198" s="17" t="n"/>
      <c r="G198" s="9" t="n">
        <v>48</v>
      </c>
      <c r="H198" s="9" t="n">
        <v>1627</v>
      </c>
      <c r="I198" s="9" t="inlineStr">
        <is>
          <t>End-of-Rotation Starter (SP4-5)</t>
        </is>
      </c>
      <c r="J198" s="17" t="inlineStr">
        <is>
          <t>Opening Day</t>
        </is>
      </c>
      <c r="K198" s="11">
        <f>IFERROR(INDEX(Roles!$B$17:$B$20,MATCH(J198,Roles!$A$17:$A$20,0)),1)</f>
        <v/>
      </c>
      <c r="L198" s="18" t="n">
        <v>1</v>
      </c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3">
        <f>SUMPRODUCT(M198:X198,$M$2:$X$2)*$K198*$L198</f>
        <v/>
      </c>
      <c r="Z198" s="14">
        <f>SUM(M198:X198)</f>
        <v/>
      </c>
      <c r="AA198" s="13">
        <f>SUMPRODUCT(M198:X198,$M$3:$X$3)*$K198*$L198</f>
        <v/>
      </c>
      <c r="AB198" s="13">
        <f>SUMPRODUCT(M198:X198,$M$4:$X$4)*$K198*$L198</f>
        <v/>
      </c>
      <c r="AC198" s="15">
        <f>SUMPRODUCT(M198:X198,$M$5:$X$5)*$K198*$L198</f>
        <v/>
      </c>
      <c r="AD198" s="15">
        <f>SUMPRODUCT(M198:X198,$M$6:$X$6)*$K198*$L198</f>
        <v/>
      </c>
      <c r="AE198" s="19" t="n"/>
    </row>
    <row r="199">
      <c r="A199" s="9" t="n">
        <v>800048</v>
      </c>
      <c r="B199" s="9" t="inlineStr">
        <is>
          <t>Parker Messick</t>
        </is>
      </c>
      <c r="C199" s="9" t="inlineStr">
        <is>
          <t>CLE</t>
        </is>
      </c>
      <c r="D199" s="9" t="n">
        <v>26</v>
      </c>
      <c r="E199" s="17" t="inlineStr">
        <is>
          <t>L</t>
        </is>
      </c>
      <c r="F199" s="17" t="n"/>
      <c r="G199" s="9" t="n">
        <v>299</v>
      </c>
      <c r="H199" s="9" t="n">
        <v>464</v>
      </c>
      <c r="I199" s="9" t="inlineStr">
        <is>
          <t>Mid-Rotation Starter (SP2-3)</t>
        </is>
      </c>
      <c r="J199" s="17" t="inlineStr">
        <is>
          <t>Opening Day</t>
        </is>
      </c>
      <c r="K199" s="11">
        <f>IFERROR(INDEX(Roles!$B$17:$B$20,MATCH(J199,Roles!$A$17:$A$20,0)),1)</f>
        <v/>
      </c>
      <c r="L199" s="18" t="n">
        <v>1</v>
      </c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3">
        <f>SUMPRODUCT(M199:X199,$M$2:$X$2)*$K199*$L199</f>
        <v/>
      </c>
      <c r="Z199" s="14">
        <f>SUM(M199:X199)</f>
        <v/>
      </c>
      <c r="AA199" s="13">
        <f>SUMPRODUCT(M199:X199,$M$3:$X$3)*$K199*$L199</f>
        <v/>
      </c>
      <c r="AB199" s="13">
        <f>SUMPRODUCT(M199:X199,$M$4:$X$4)*$K199*$L199</f>
        <v/>
      </c>
      <c r="AC199" s="15">
        <f>SUMPRODUCT(M199:X199,$M$5:$X$5)*$K199*$L199</f>
        <v/>
      </c>
      <c r="AD199" s="15">
        <f>SUMPRODUCT(M199:X199,$M$6:$X$6)*$K199*$L199</f>
        <v/>
      </c>
      <c r="AE199" s="19" t="n"/>
    </row>
    <row r="200">
      <c r="A200" s="9" t="n">
        <v>676684</v>
      </c>
      <c r="B200" s="9" t="inlineStr">
        <is>
          <t>Will Vest</t>
        </is>
      </c>
      <c r="C200" s="9" t="inlineStr">
        <is>
          <t>DET</t>
        </is>
      </c>
      <c r="D200" s="9" t="n">
        <v>32</v>
      </c>
      <c r="E200" s="17" t="inlineStr">
        <is>
          <t>R</t>
        </is>
      </c>
      <c r="F200" s="17" t="n"/>
      <c r="G200" s="9" t="n">
        <v>91</v>
      </c>
      <c r="H200" s="9" t="n">
        <v>1135</v>
      </c>
      <c r="I200" s="9" t="inlineStr">
        <is>
          <t>Closer</t>
        </is>
      </c>
      <c r="J200" s="17" t="inlineStr">
        <is>
          <t>Opening Day</t>
        </is>
      </c>
      <c r="K200" s="11">
        <f>IFERROR(INDEX(Roles!$B$17:$B$20,MATCH(J200,Roles!$A$17:$A$20,0)),1)</f>
        <v/>
      </c>
      <c r="L200" s="18" t="n">
        <v>1</v>
      </c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3">
        <f>SUMPRODUCT(M200:X200,$M$2:$X$2)*$K200*$L200</f>
        <v/>
      </c>
      <c r="Z200" s="14">
        <f>SUM(M200:X200)</f>
        <v/>
      </c>
      <c r="AA200" s="13">
        <f>SUMPRODUCT(M200:X200,$M$3:$X$3)*$K200*$L200</f>
        <v/>
      </c>
      <c r="AB200" s="13">
        <f>SUMPRODUCT(M200:X200,$M$4:$X$4)*$K200*$L200</f>
        <v/>
      </c>
      <c r="AC200" s="15">
        <f>SUMPRODUCT(M200:X200,$M$5:$X$5)*$K200*$L200</f>
        <v/>
      </c>
      <c r="AD200" s="15">
        <f>SUMPRODUCT(M200:X200,$M$6:$X$6)*$K200*$L200</f>
        <v/>
      </c>
      <c r="AE200" s="19" t="n"/>
    </row>
    <row r="201">
      <c r="A201" s="9" t="n">
        <v>542888</v>
      </c>
      <c r="B201" s="9" t="inlineStr">
        <is>
          <t>Shawn Armstrong</t>
        </is>
      </c>
      <c r="C201" s="9" t="inlineStr">
        <is>
          <t>CLE</t>
        </is>
      </c>
      <c r="D201" s="9" t="n">
        <v>36</v>
      </c>
      <c r="E201" s="17" t="inlineStr">
        <is>
          <t>R</t>
        </is>
      </c>
      <c r="F201" s="17" t="n"/>
      <c r="G201" s="9" t="n">
        <v>78</v>
      </c>
      <c r="H201" s="9" t="n">
        <v>1133</v>
      </c>
      <c r="I201" s="9" t="inlineStr">
        <is>
          <t>Middle Relief</t>
        </is>
      </c>
      <c r="J201" s="17" t="inlineStr">
        <is>
          <t>Opening Day</t>
        </is>
      </c>
      <c r="K201" s="11">
        <f>IFERROR(INDEX(Roles!$B$17:$B$20,MATCH(J201,Roles!$A$17:$A$20,0)),1)</f>
        <v/>
      </c>
      <c r="L201" s="18" t="n">
        <v>1</v>
      </c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3">
        <f>SUMPRODUCT(M201:X201,$M$2:$X$2)*$K201*$L201</f>
        <v/>
      </c>
      <c r="Z201" s="14">
        <f>SUM(M201:X201)</f>
        <v/>
      </c>
      <c r="AA201" s="13">
        <f>SUMPRODUCT(M201:X201,$M$3:$X$3)*$K201*$L201</f>
        <v/>
      </c>
      <c r="AB201" s="13">
        <f>SUMPRODUCT(M201:X201,$M$4:$X$4)*$K201*$L201</f>
        <v/>
      </c>
      <c r="AC201" s="15">
        <f>SUMPRODUCT(M201:X201,$M$5:$X$5)*$K201*$L201</f>
        <v/>
      </c>
      <c r="AD201" s="15">
        <f>SUMPRODUCT(M201:X201,$M$6:$X$6)*$K201*$L201</f>
        <v/>
      </c>
      <c r="AE201" s="19" t="n"/>
    </row>
    <row r="202">
      <c r="A202" s="9" t="n">
        <v>664991</v>
      </c>
      <c r="B202" s="9" t="inlineStr">
        <is>
          <t>Grant Wolfram</t>
        </is>
      </c>
      <c r="C202" s="9" t="inlineStr">
        <is>
          <t>BAL</t>
        </is>
      </c>
      <c r="D202" s="9" t="n">
        <v>30</v>
      </c>
      <c r="E202" s="17" t="inlineStr">
        <is>
          <t>L</t>
        </is>
      </c>
      <c r="F202" s="17" t="n"/>
      <c r="G202" s="9" t="n">
        <v>81</v>
      </c>
      <c r="H202" s="9" t="n">
        <v>214</v>
      </c>
      <c r="I202" s="9" t="inlineStr">
        <is>
          <t>Bullpen Depth Arm</t>
        </is>
      </c>
      <c r="J202" s="17" t="inlineStr">
        <is>
          <t>Opening Day</t>
        </is>
      </c>
      <c r="K202" s="11">
        <f>IFERROR(INDEX(Roles!$B$17:$B$20,MATCH(J202,Roles!$A$17:$A$20,0)),1)</f>
        <v/>
      </c>
      <c r="L202" s="18" t="n">
        <v>1</v>
      </c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3">
        <f>SUMPRODUCT(M202:X202,$M$2:$X$2)*$K202*$L202</f>
        <v/>
      </c>
      <c r="Z202" s="14">
        <f>SUM(M202:X202)</f>
        <v/>
      </c>
      <c r="AA202" s="13">
        <f>SUMPRODUCT(M202:X202,$M$3:$X$3)*$K202*$L202</f>
        <v/>
      </c>
      <c r="AB202" s="13">
        <f>SUMPRODUCT(M202:X202,$M$4:$X$4)*$K202*$L202</f>
        <v/>
      </c>
      <c r="AC202" s="15">
        <f>SUMPRODUCT(M202:X202,$M$5:$X$5)*$K202*$L202</f>
        <v/>
      </c>
      <c r="AD202" s="15">
        <f>SUMPRODUCT(M202:X202,$M$6:$X$6)*$K202*$L202</f>
        <v/>
      </c>
      <c r="AE202" s="19" t="n"/>
    </row>
    <row r="203">
      <c r="A203" s="9" t="n">
        <v>622491</v>
      </c>
      <c r="B203" s="9" t="inlineStr">
        <is>
          <t>Luis Castillo</t>
        </is>
      </c>
      <c r="C203" s="9" t="inlineStr">
        <is>
          <t>SEA</t>
        </is>
      </c>
      <c r="D203" s="9" t="n">
        <v>34</v>
      </c>
      <c r="E203" s="17" t="inlineStr">
        <is>
          <t>R</t>
        </is>
      </c>
      <c r="F203" s="17" t="n"/>
      <c r="G203" s="9" t="n">
        <v>271</v>
      </c>
      <c r="H203" s="9" t="n">
        <v>3152</v>
      </c>
      <c r="I203" s="9" t="inlineStr">
        <is>
          <t>Mid-Rotation Starter (SP2-3)</t>
        </is>
      </c>
      <c r="J203" s="17" t="inlineStr">
        <is>
          <t>Opening Day</t>
        </is>
      </c>
      <c r="K203" s="11">
        <f>IFERROR(INDEX(Roles!$B$17:$B$20,MATCH(J203,Roles!$A$17:$A$20,0)),1)</f>
        <v/>
      </c>
      <c r="L203" s="18" t="n">
        <v>1</v>
      </c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3">
        <f>SUMPRODUCT(M203:X203,$M$2:$X$2)*$K203*$L203</f>
        <v/>
      </c>
      <c r="Z203" s="14">
        <f>SUM(M203:X203)</f>
        <v/>
      </c>
      <c r="AA203" s="13">
        <f>SUMPRODUCT(M203:X203,$M$3:$X$3)*$K203*$L203</f>
        <v/>
      </c>
      <c r="AB203" s="13">
        <f>SUMPRODUCT(M203:X203,$M$4:$X$4)*$K203*$L203</f>
        <v/>
      </c>
      <c r="AC203" s="15">
        <f>SUMPRODUCT(M203:X203,$M$5:$X$5)*$K203*$L203</f>
        <v/>
      </c>
      <c r="AD203" s="15">
        <f>SUMPRODUCT(M203:X203,$M$6:$X$6)*$K203*$L203</f>
        <v/>
      </c>
      <c r="AE203" s="19" t="n"/>
    </row>
    <row r="204">
      <c r="A204" s="9" t="n">
        <v>641755</v>
      </c>
      <c r="B204" s="9" t="inlineStr">
        <is>
          <t>Tyler Kinley</t>
        </is>
      </c>
      <c r="C204" s="9" t="inlineStr">
        <is>
          <t>ATL</t>
        </is>
      </c>
      <c r="D204" s="9" t="n">
        <v>36</v>
      </c>
      <c r="E204" s="17" t="inlineStr">
        <is>
          <t>R</t>
        </is>
      </c>
      <c r="F204" s="17" t="n"/>
      <c r="G204" s="9" t="n">
        <v>119</v>
      </c>
      <c r="H204" s="9" t="n">
        <v>888</v>
      </c>
      <c r="I204" s="9" t="inlineStr">
        <is>
          <t>Middle Relief</t>
        </is>
      </c>
      <c r="J204" s="17" t="inlineStr">
        <is>
          <t>Opening Day</t>
        </is>
      </c>
      <c r="K204" s="11">
        <f>IFERROR(INDEX(Roles!$B$17:$B$20,MATCH(J204,Roles!$A$17:$A$20,0)),1)</f>
        <v/>
      </c>
      <c r="L204" s="18" t="n">
        <v>1</v>
      </c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3">
        <f>SUMPRODUCT(M204:X204,$M$2:$X$2)*$K204*$L204</f>
        <v/>
      </c>
      <c r="Z204" s="14">
        <f>SUM(M204:X204)</f>
        <v/>
      </c>
      <c r="AA204" s="13">
        <f>SUMPRODUCT(M204:X204,$M$3:$X$3)*$K204*$L204</f>
        <v/>
      </c>
      <c r="AB204" s="13">
        <f>SUMPRODUCT(M204:X204,$M$4:$X$4)*$K204*$L204</f>
        <v/>
      </c>
      <c r="AC204" s="15">
        <f>SUMPRODUCT(M204:X204,$M$5:$X$5)*$K204*$L204</f>
        <v/>
      </c>
      <c r="AD204" s="15">
        <f>SUMPRODUCT(M204:X204,$M$6:$X$6)*$K204*$L204</f>
        <v/>
      </c>
      <c r="AE204" s="19" t="n"/>
    </row>
    <row r="205">
      <c r="A205" s="9" t="n">
        <v>686993</v>
      </c>
      <c r="B205" s="9" t="inlineStr">
        <is>
          <t>Justin Sterner</t>
        </is>
      </c>
      <c r="C205" s="9" t="inlineStr">
        <is>
          <t>OAK</t>
        </is>
      </c>
      <c r="D205" s="9" t="n">
        <v>30</v>
      </c>
      <c r="E205" s="17" t="inlineStr">
        <is>
          <t>R</t>
        </is>
      </c>
      <c r="F205" s="17" t="n"/>
      <c r="G205" s="9" t="n">
        <v>124</v>
      </c>
      <c r="H205" s="9" t="n">
        <v>409</v>
      </c>
      <c r="I205" s="9" t="inlineStr">
        <is>
          <t>Late Inning RP (Setup)</t>
        </is>
      </c>
      <c r="J205" s="17" t="inlineStr">
        <is>
          <t>Opening Day</t>
        </is>
      </c>
      <c r="K205" s="11">
        <f>IFERROR(INDEX(Roles!$B$17:$B$20,MATCH(J205,Roles!$A$17:$A$20,0)),1)</f>
        <v/>
      </c>
      <c r="L205" s="18" t="n">
        <v>1</v>
      </c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3">
        <f>SUMPRODUCT(M205:X205,$M$2:$X$2)*$K205*$L205</f>
        <v/>
      </c>
      <c r="Z205" s="14">
        <f>SUM(M205:X205)</f>
        <v/>
      </c>
      <c r="AA205" s="13">
        <f>SUMPRODUCT(M205:X205,$M$3:$X$3)*$K205*$L205</f>
        <v/>
      </c>
      <c r="AB205" s="13">
        <f>SUMPRODUCT(M205:X205,$M$4:$X$4)*$K205*$L205</f>
        <v/>
      </c>
      <c r="AC205" s="15">
        <f>SUMPRODUCT(M205:X205,$M$5:$X$5)*$K205*$L205</f>
        <v/>
      </c>
      <c r="AD205" s="15">
        <f>SUMPRODUCT(M205:X205,$M$6:$X$6)*$K205*$L205</f>
        <v/>
      </c>
      <c r="AE205" s="19" t="n"/>
    </row>
    <row r="206">
      <c r="A206" s="9" t="n">
        <v>596133</v>
      </c>
      <c r="B206" s="9" t="inlineStr">
        <is>
          <t>Luke Weaver</t>
        </is>
      </c>
      <c r="C206" s="9" t="inlineStr">
        <is>
          <t>NYM</t>
        </is>
      </c>
      <c r="D206" s="9" t="n">
        <v>33</v>
      </c>
      <c r="E206" s="17" t="inlineStr">
        <is>
          <t>R</t>
        </is>
      </c>
      <c r="F206" s="17" t="n"/>
      <c r="G206" s="9" t="n">
        <v>116</v>
      </c>
      <c r="H206" s="9" t="n">
        <v>1446</v>
      </c>
      <c r="I206" s="9" t="inlineStr">
        <is>
          <t>Middle Relief</t>
        </is>
      </c>
      <c r="J206" s="17" t="inlineStr">
        <is>
          <t>Opening Day</t>
        </is>
      </c>
      <c r="K206" s="11">
        <f>IFERROR(INDEX(Roles!$B$17:$B$20,MATCH(J206,Roles!$A$17:$A$20,0)),1)</f>
        <v/>
      </c>
      <c r="L206" s="18" t="n">
        <v>1</v>
      </c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3">
        <f>SUMPRODUCT(M206:X206,$M$2:$X$2)*$K206*$L206</f>
        <v/>
      </c>
      <c r="Z206" s="14">
        <f>SUM(M206:X206)</f>
        <v/>
      </c>
      <c r="AA206" s="13">
        <f>SUMPRODUCT(M206:X206,$M$3:$X$3)*$K206*$L206</f>
        <v/>
      </c>
      <c r="AB206" s="13">
        <f>SUMPRODUCT(M206:X206,$M$4:$X$4)*$K206*$L206</f>
        <v/>
      </c>
      <c r="AC206" s="15">
        <f>SUMPRODUCT(M206:X206,$M$5:$X$5)*$K206*$L206</f>
        <v/>
      </c>
      <c r="AD206" s="15">
        <f>SUMPRODUCT(M206:X206,$M$6:$X$6)*$K206*$L206</f>
        <v/>
      </c>
      <c r="AE206" s="19" t="n"/>
    </row>
    <row r="207">
      <c r="A207" s="9" t="n">
        <v>673513</v>
      </c>
      <c r="B207" s="9" t="inlineStr">
        <is>
          <t>Yuki Matsui</t>
        </is>
      </c>
      <c r="C207" s="9" t="inlineStr">
        <is>
          <t>SD</t>
        </is>
      </c>
      <c r="D207" s="9" t="n">
        <v>31</v>
      </c>
      <c r="E207" s="17" t="inlineStr">
        <is>
          <t>L</t>
        </is>
      </c>
      <c r="F207" s="17" t="n"/>
      <c r="G207" s="9" t="n">
        <v>76</v>
      </c>
      <c r="H207" s="9" t="n">
        <v>605</v>
      </c>
      <c r="I207" s="9" t="inlineStr">
        <is>
          <t>Bullpen Depth Arm</t>
        </is>
      </c>
      <c r="J207" s="17" t="inlineStr">
        <is>
          <t>Opening Day</t>
        </is>
      </c>
      <c r="K207" s="11">
        <f>IFERROR(INDEX(Roles!$B$17:$B$20,MATCH(J207,Roles!$A$17:$A$20,0)),1)</f>
        <v/>
      </c>
      <c r="L207" s="18" t="n">
        <v>1</v>
      </c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3">
        <f>SUMPRODUCT(M207:X207,$M$2:$X$2)*$K207*$L207</f>
        <v/>
      </c>
      <c r="Z207" s="14">
        <f>SUM(M207:X207)</f>
        <v/>
      </c>
      <c r="AA207" s="13">
        <f>SUMPRODUCT(M207:X207,$M$3:$X$3)*$K207*$L207</f>
        <v/>
      </c>
      <c r="AB207" s="13">
        <f>SUMPRODUCT(M207:X207,$M$4:$X$4)*$K207*$L207</f>
        <v/>
      </c>
      <c r="AC207" s="15">
        <f>SUMPRODUCT(M207:X207,$M$5:$X$5)*$K207*$L207</f>
        <v/>
      </c>
      <c r="AD207" s="15">
        <f>SUMPRODUCT(M207:X207,$M$6:$X$6)*$K207*$L207</f>
        <v/>
      </c>
      <c r="AE207" s="19" t="n"/>
    </row>
    <row r="208">
      <c r="A208" s="9" t="n">
        <v>675848</v>
      </c>
      <c r="B208" s="9" t="inlineStr">
        <is>
          <t>Juan Mejia</t>
        </is>
      </c>
      <c r="C208" s="9" t="inlineStr">
        <is>
          <t>COL</t>
        </is>
      </c>
      <c r="D208" s="9" t="n">
        <v>26</v>
      </c>
      <c r="E208" s="17" t="inlineStr">
        <is>
          <t>R</t>
        </is>
      </c>
      <c r="F208" s="17" t="n"/>
      <c r="G208" s="9" t="n">
        <v>140</v>
      </c>
      <c r="H208" s="9" t="n">
        <v>401</v>
      </c>
      <c r="I208" s="9" t="inlineStr">
        <is>
          <t>Late Inning RP (Setup)</t>
        </is>
      </c>
      <c r="J208" s="17" t="inlineStr">
        <is>
          <t>Opening Day</t>
        </is>
      </c>
      <c r="K208" s="11">
        <f>IFERROR(INDEX(Roles!$B$17:$B$20,MATCH(J208,Roles!$A$17:$A$20,0)),1)</f>
        <v/>
      </c>
      <c r="L208" s="18" t="n">
        <v>1</v>
      </c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3">
        <f>SUMPRODUCT(M208:X208,$M$2:$X$2)*$K208*$L208</f>
        <v/>
      </c>
      <c r="Z208" s="14">
        <f>SUM(M208:X208)</f>
        <v/>
      </c>
      <c r="AA208" s="13">
        <f>SUMPRODUCT(M208:X208,$M$3:$X$3)*$K208*$L208</f>
        <v/>
      </c>
      <c r="AB208" s="13">
        <f>SUMPRODUCT(M208:X208,$M$4:$X$4)*$K208*$L208</f>
        <v/>
      </c>
      <c r="AC208" s="15">
        <f>SUMPRODUCT(M208:X208,$M$5:$X$5)*$K208*$L208</f>
        <v/>
      </c>
      <c r="AD208" s="15">
        <f>SUMPRODUCT(M208:X208,$M$6:$X$6)*$K208*$L208</f>
        <v/>
      </c>
      <c r="AE208" s="19" t="n"/>
    </row>
    <row r="209">
      <c r="A209" s="9" t="n">
        <v>702056</v>
      </c>
      <c r="B209" s="9" t="inlineStr">
        <is>
          <t>Trey Yesavage</t>
        </is>
      </c>
      <c r="C209" s="9" t="inlineStr">
        <is>
          <t>TOR</t>
        </is>
      </c>
      <c r="D209" s="9" t="n">
        <v>23</v>
      </c>
      <c r="E209" s="17" t="inlineStr">
        <is>
          <t>R</t>
        </is>
      </c>
      <c r="F209" s="17" t="n"/>
      <c r="G209" s="9" t="n">
        <v>173</v>
      </c>
      <c r="H209" s="9" t="n">
        <v>235</v>
      </c>
      <c r="I209" s="9" t="inlineStr">
        <is>
          <t>Mid-Rotation Starter (SP2-3)</t>
        </is>
      </c>
      <c r="J209" s="17" t="inlineStr">
        <is>
          <t>Opening Day</t>
        </is>
      </c>
      <c r="K209" s="11">
        <f>IFERROR(INDEX(Roles!$B$17:$B$20,MATCH(J209,Roles!$A$17:$A$20,0)),1)</f>
        <v/>
      </c>
      <c r="L209" s="18" t="n">
        <v>1</v>
      </c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3">
        <f>SUMPRODUCT(M209:X209,$M$2:$X$2)*$K209*$L209</f>
        <v/>
      </c>
      <c r="Z209" s="14">
        <f>SUM(M209:X209)</f>
        <v/>
      </c>
      <c r="AA209" s="13">
        <f>SUMPRODUCT(M209:X209,$M$3:$X$3)*$K209*$L209</f>
        <v/>
      </c>
      <c r="AB209" s="13">
        <f>SUMPRODUCT(M209:X209,$M$4:$X$4)*$K209*$L209</f>
        <v/>
      </c>
      <c r="AC209" s="15">
        <f>SUMPRODUCT(M209:X209,$M$5:$X$5)*$K209*$L209</f>
        <v/>
      </c>
      <c r="AD209" s="15">
        <f>SUMPRODUCT(M209:X209,$M$6:$X$6)*$K209*$L209</f>
        <v/>
      </c>
      <c r="AE209" s="19" t="n"/>
    </row>
    <row r="210">
      <c r="A210" s="9" t="n">
        <v>801139</v>
      </c>
      <c r="B210" s="9" t="inlineStr">
        <is>
          <t>Payton Tolle</t>
        </is>
      </c>
      <c r="C210" s="9" t="inlineStr">
        <is>
          <t>BOS</t>
        </is>
      </c>
      <c r="D210" s="9" t="n">
        <v>24</v>
      </c>
      <c r="E210" s="17" t="inlineStr">
        <is>
          <t>L</t>
        </is>
      </c>
      <c r="F210" s="17" t="n"/>
      <c r="G210" s="9" t="n">
        <v>215</v>
      </c>
      <c r="H210" s="9" t="n">
        <v>289</v>
      </c>
      <c r="I210" s="9" t="inlineStr">
        <is>
          <t>Mid-Rotation Starter (SP2-3)</t>
        </is>
      </c>
      <c r="J210" s="17" t="inlineStr">
        <is>
          <t>Opening Day</t>
        </is>
      </c>
      <c r="K210" s="11">
        <f>IFERROR(INDEX(Roles!$B$17:$B$20,MATCH(J210,Roles!$A$17:$A$20,0)),1)</f>
        <v/>
      </c>
      <c r="L210" s="18" t="n">
        <v>1</v>
      </c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3">
        <f>SUMPRODUCT(M210:X210,$M$2:$X$2)*$K210*$L210</f>
        <v/>
      </c>
      <c r="Z210" s="14">
        <f>SUM(M210:X210)</f>
        <v/>
      </c>
      <c r="AA210" s="13">
        <f>SUMPRODUCT(M210:X210,$M$3:$X$3)*$K210*$L210</f>
        <v/>
      </c>
      <c r="AB210" s="13">
        <f>SUMPRODUCT(M210:X210,$M$4:$X$4)*$K210*$L210</f>
        <v/>
      </c>
      <c r="AC210" s="15">
        <f>SUMPRODUCT(M210:X210,$M$5:$X$5)*$K210*$L210</f>
        <v/>
      </c>
      <c r="AD210" s="15">
        <f>SUMPRODUCT(M210:X210,$M$6:$X$6)*$K210*$L210</f>
        <v/>
      </c>
      <c r="AE210" s="19" t="n"/>
    </row>
    <row r="211">
      <c r="A211" s="9" t="n">
        <v>677651</v>
      </c>
      <c r="B211" s="9" t="inlineStr">
        <is>
          <t>Luis Garcia</t>
        </is>
      </c>
      <c r="C211" s="9" t="inlineStr">
        <is>
          <t>HOU</t>
        </is>
      </c>
      <c r="D211" s="9" t="n">
        <v>30</v>
      </c>
      <c r="E211" s="17" t="inlineStr">
        <is>
          <t>R</t>
        </is>
      </c>
      <c r="F211" s="17" t="n"/>
      <c r="G211" s="9" t="n">
        <v>28</v>
      </c>
      <c r="H211" s="9" t="n">
        <v>786</v>
      </c>
      <c r="I211" s="9" t="inlineStr">
        <is>
          <t>End-of-Rotation Starter (SP4-5)</t>
        </is>
      </c>
      <c r="J211" s="17" t="inlineStr">
        <is>
          <t>Opening Day</t>
        </is>
      </c>
      <c r="K211" s="11">
        <f>IFERROR(INDEX(Roles!$B$17:$B$20,MATCH(J211,Roles!$A$17:$A$20,0)),1)</f>
        <v/>
      </c>
      <c r="L211" s="18" t="n">
        <v>1</v>
      </c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3">
        <f>SUMPRODUCT(M211:X211,$M$2:$X$2)*$K211*$L211</f>
        <v/>
      </c>
      <c r="Z211" s="14">
        <f>SUM(M211:X211)</f>
        <v/>
      </c>
      <c r="AA211" s="13">
        <f>SUMPRODUCT(M211:X211,$M$3:$X$3)*$K211*$L211</f>
        <v/>
      </c>
      <c r="AB211" s="13">
        <f>SUMPRODUCT(M211:X211,$M$4:$X$4)*$K211*$L211</f>
        <v/>
      </c>
      <c r="AC211" s="15">
        <f>SUMPRODUCT(M211:X211,$M$5:$X$5)*$K211*$L211</f>
        <v/>
      </c>
      <c r="AD211" s="15">
        <f>SUMPRODUCT(M211:X211,$M$6:$X$6)*$K211*$L211</f>
        <v/>
      </c>
      <c r="AE211" s="19" t="n"/>
    </row>
    <row r="212">
      <c r="A212" s="9" t="n">
        <v>687570</v>
      </c>
      <c r="B212" s="9" t="inlineStr">
        <is>
          <t>Connor Prielipp</t>
        </is>
      </c>
      <c r="C212" s="9" t="inlineStr">
        <is>
          <t>MIN</t>
        </is>
      </c>
      <c r="D212" s="9" t="n">
        <v>26</v>
      </c>
      <c r="E212" s="17" t="inlineStr">
        <is>
          <t>L</t>
        </is>
      </c>
      <c r="F212" s="17" t="n"/>
      <c r="G212" s="9" t="n">
        <v>191</v>
      </c>
      <c r="H212" s="9" t="n">
        <v>191</v>
      </c>
      <c r="I212" s="9" t="inlineStr">
        <is>
          <t>End-of-Rotation Starter (SP4-5)</t>
        </is>
      </c>
      <c r="J212" s="17" t="inlineStr">
        <is>
          <t>Opening Day</t>
        </is>
      </c>
      <c r="K212" s="11">
        <f>IFERROR(INDEX(Roles!$B$17:$B$20,MATCH(J212,Roles!$A$17:$A$20,0)),1)</f>
        <v/>
      </c>
      <c r="L212" s="18" t="n">
        <v>1</v>
      </c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3">
        <f>SUMPRODUCT(M212:X212,$M$2:$X$2)*$K212*$L212</f>
        <v/>
      </c>
      <c r="Z212" s="14">
        <f>SUM(M212:X212)</f>
        <v/>
      </c>
      <c r="AA212" s="13">
        <f>SUMPRODUCT(M212:X212,$M$3:$X$3)*$K212*$L212</f>
        <v/>
      </c>
      <c r="AB212" s="13">
        <f>SUMPRODUCT(M212:X212,$M$4:$X$4)*$K212*$L212</f>
        <v/>
      </c>
      <c r="AC212" s="15">
        <f>SUMPRODUCT(M212:X212,$M$5:$X$5)*$K212*$L212</f>
        <v/>
      </c>
      <c r="AD212" s="15">
        <f>SUMPRODUCT(M212:X212,$M$6:$X$6)*$K212*$L212</f>
        <v/>
      </c>
      <c r="AE212" s="19" t="n"/>
    </row>
    <row r="213">
      <c r="A213" s="9" t="n">
        <v>820862</v>
      </c>
      <c r="B213" s="9" t="inlineStr">
        <is>
          <t>José Fermin</t>
        </is>
      </c>
      <c r="C213" s="9" t="inlineStr">
        <is>
          <t>LAA</t>
        </is>
      </c>
      <c r="D213" s="9" t="n">
        <v>25</v>
      </c>
      <c r="E213" s="17" t="inlineStr">
        <is>
          <t>R</t>
        </is>
      </c>
      <c r="F213" s="17" t="n"/>
      <c r="G213" s="9" t="n">
        <v>71</v>
      </c>
      <c r="H213" s="9" t="n">
        <v>223</v>
      </c>
      <c r="I213" s="9" t="inlineStr">
        <is>
          <t>Bullpen Depth Arm</t>
        </is>
      </c>
      <c r="J213" s="17" t="inlineStr">
        <is>
          <t>Opening Day</t>
        </is>
      </c>
      <c r="K213" s="11">
        <f>IFERROR(INDEX(Roles!$B$17:$B$20,MATCH(J213,Roles!$A$17:$A$20,0)),1)</f>
        <v/>
      </c>
      <c r="L213" s="18" t="n">
        <v>1</v>
      </c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3">
        <f>SUMPRODUCT(M213:X213,$M$2:$X$2)*$K213*$L213</f>
        <v/>
      </c>
      <c r="Z213" s="14">
        <f>SUM(M213:X213)</f>
        <v/>
      </c>
      <c r="AA213" s="13">
        <f>SUMPRODUCT(M213:X213,$M$3:$X$3)*$K213*$L213</f>
        <v/>
      </c>
      <c r="AB213" s="13">
        <f>SUMPRODUCT(M213:X213,$M$4:$X$4)*$K213*$L213</f>
        <v/>
      </c>
      <c r="AC213" s="15">
        <f>SUMPRODUCT(M213:X213,$M$5:$X$5)*$K213*$L213</f>
        <v/>
      </c>
      <c r="AD213" s="15">
        <f>SUMPRODUCT(M213:X213,$M$6:$X$6)*$K213*$L213</f>
        <v/>
      </c>
      <c r="AE213" s="19" t="n"/>
    </row>
    <row r="214">
      <c r="A214" s="9" t="n">
        <v>543056</v>
      </c>
      <c r="B214" s="9" t="inlineStr">
        <is>
          <t>Danny Coulombe</t>
        </is>
      </c>
      <c r="C214" s="9" t="inlineStr">
        <is>
          <t>BOS</t>
        </is>
      </c>
      <c r="D214" s="9" t="n">
        <v>37</v>
      </c>
      <c r="E214" s="17" t="inlineStr">
        <is>
          <t>L</t>
        </is>
      </c>
      <c r="F214" s="17" t="n"/>
      <c r="G214" s="9" t="n">
        <v>56</v>
      </c>
      <c r="H214" s="9" t="n">
        <v>602</v>
      </c>
      <c r="I214" s="9" t="inlineStr">
        <is>
          <t>Bullpen Depth Arm</t>
        </is>
      </c>
      <c r="J214" s="17" t="inlineStr">
        <is>
          <t>Opening Day</t>
        </is>
      </c>
      <c r="K214" s="11">
        <f>IFERROR(INDEX(Roles!$B$17:$B$20,MATCH(J214,Roles!$A$17:$A$20,0)),1)</f>
        <v/>
      </c>
      <c r="L214" s="18" t="n">
        <v>1</v>
      </c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3">
        <f>SUMPRODUCT(M214:X214,$M$2:$X$2)*$K214*$L214</f>
        <v/>
      </c>
      <c r="Z214" s="14">
        <f>SUM(M214:X214)</f>
        <v/>
      </c>
      <c r="AA214" s="13">
        <f>SUMPRODUCT(M214:X214,$M$3:$X$3)*$K214*$L214</f>
        <v/>
      </c>
      <c r="AB214" s="13">
        <f>SUMPRODUCT(M214:X214,$M$4:$X$4)*$K214*$L214</f>
        <v/>
      </c>
      <c r="AC214" s="15">
        <f>SUMPRODUCT(M214:X214,$M$5:$X$5)*$K214*$L214</f>
        <v/>
      </c>
      <c r="AD214" s="15">
        <f>SUMPRODUCT(M214:X214,$M$6:$X$6)*$K214*$L214</f>
        <v/>
      </c>
      <c r="AE214" s="19" t="n"/>
    </row>
    <row r="215">
      <c r="A215" s="9" t="n">
        <v>657006</v>
      </c>
      <c r="B215" s="9" t="inlineStr">
        <is>
          <t>Justin Steele</t>
        </is>
      </c>
      <c r="C215" s="9" t="inlineStr">
        <is>
          <t>CHC</t>
        </is>
      </c>
      <c r="D215" s="9" t="n">
        <v>31</v>
      </c>
      <c r="E215" s="17" t="inlineStr">
        <is>
          <t>L</t>
        </is>
      </c>
      <c r="F215" s="17" t="n"/>
      <c r="G215" s="9" t="n">
        <v>92</v>
      </c>
      <c r="H215" s="9" t="n">
        <v>1875</v>
      </c>
      <c r="I215" s="9" t="inlineStr">
        <is>
          <t>Mid-Rotation Starter (SP2-3)</t>
        </is>
      </c>
      <c r="J215" s="17" t="inlineStr">
        <is>
          <t>Opening Day</t>
        </is>
      </c>
      <c r="K215" s="11">
        <f>IFERROR(INDEX(Roles!$B$17:$B$20,MATCH(J215,Roles!$A$17:$A$20,0)),1)</f>
        <v/>
      </c>
      <c r="L215" s="18" t="n">
        <v>1</v>
      </c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3">
        <f>SUMPRODUCT(M215:X215,$M$2:$X$2)*$K215*$L215</f>
        <v/>
      </c>
      <c r="Z215" s="14">
        <f>SUM(M215:X215)</f>
        <v/>
      </c>
      <c r="AA215" s="13">
        <f>SUMPRODUCT(M215:X215,$M$3:$X$3)*$K215*$L215</f>
        <v/>
      </c>
      <c r="AB215" s="13">
        <f>SUMPRODUCT(M215:X215,$M$4:$X$4)*$K215*$L215</f>
        <v/>
      </c>
      <c r="AC215" s="15">
        <f>SUMPRODUCT(M215:X215,$M$5:$X$5)*$K215*$L215</f>
        <v/>
      </c>
      <c r="AD215" s="15">
        <f>SUMPRODUCT(M215:X215,$M$6:$X$6)*$K215*$L215</f>
        <v/>
      </c>
      <c r="AE215" s="19" t="n"/>
    </row>
    <row r="216">
      <c r="A216" s="9" t="n">
        <v>506433</v>
      </c>
      <c r="B216" s="9" t="inlineStr">
        <is>
          <t>Yu Darvish</t>
        </is>
      </c>
      <c r="C216" s="9" t="inlineStr">
        <is>
          <t>SD</t>
        </is>
      </c>
      <c r="D216" s="9" t="n">
        <v>40</v>
      </c>
      <c r="E216" s="17" t="inlineStr">
        <is>
          <t>R</t>
        </is>
      </c>
      <c r="F216" s="17" t="n"/>
      <c r="G216" s="9" t="n">
        <v>296</v>
      </c>
      <c r="H216" s="9" t="n">
        <v>1972</v>
      </c>
      <c r="I216" s="9" t="inlineStr">
        <is>
          <t>End-of-Rotation Starter (SP4-5)</t>
        </is>
      </c>
      <c r="J216" s="17" t="inlineStr">
        <is>
          <t>Opening Day</t>
        </is>
      </c>
      <c r="K216" s="11">
        <f>IFERROR(INDEX(Roles!$B$17:$B$20,MATCH(J216,Roles!$A$17:$A$20,0)),1)</f>
        <v/>
      </c>
      <c r="L216" s="18" t="n">
        <v>1</v>
      </c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3">
        <f>SUMPRODUCT(M216:X216,$M$2:$X$2)*$K216*$L216</f>
        <v/>
      </c>
      <c r="Z216" s="14">
        <f>SUM(M216:X216)</f>
        <v/>
      </c>
      <c r="AA216" s="13">
        <f>SUMPRODUCT(M216:X216,$M$3:$X$3)*$K216*$L216</f>
        <v/>
      </c>
      <c r="AB216" s="13">
        <f>SUMPRODUCT(M216:X216,$M$4:$X$4)*$K216*$L216</f>
        <v/>
      </c>
      <c r="AC216" s="15">
        <f>SUMPRODUCT(M216:X216,$M$5:$X$5)*$K216*$L216</f>
        <v/>
      </c>
      <c r="AD216" s="15">
        <f>SUMPRODUCT(M216:X216,$M$6:$X$6)*$K216*$L216</f>
        <v/>
      </c>
      <c r="AE216" s="19" t="n"/>
    </row>
    <row r="217">
      <c r="A217" s="9" t="n">
        <v>678022</v>
      </c>
      <c r="B217" s="9" t="inlineStr">
        <is>
          <t>Jack Perkins</t>
        </is>
      </c>
      <c r="C217" s="9" t="inlineStr">
        <is>
          <t>OAK</t>
        </is>
      </c>
      <c r="D217" s="9" t="n">
        <v>27</v>
      </c>
      <c r="E217" s="17" t="inlineStr">
        <is>
          <t>R</t>
        </is>
      </c>
      <c r="F217" s="17" t="n"/>
      <c r="G217" s="9" t="n">
        <v>144</v>
      </c>
      <c r="H217" s="9" t="n">
        <v>305</v>
      </c>
      <c r="I217" s="9" t="inlineStr">
        <is>
          <t>Middle Relief</t>
        </is>
      </c>
      <c r="J217" s="17" t="inlineStr">
        <is>
          <t>Opening Day</t>
        </is>
      </c>
      <c r="K217" s="11">
        <f>IFERROR(INDEX(Roles!$B$17:$B$20,MATCH(J217,Roles!$A$17:$A$20,0)),1)</f>
        <v/>
      </c>
      <c r="L217" s="18" t="n">
        <v>1</v>
      </c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3">
        <f>SUMPRODUCT(M217:X217,$M$2:$X$2)*$K217*$L217</f>
        <v/>
      </c>
      <c r="Z217" s="14">
        <f>SUM(M217:X217)</f>
        <v/>
      </c>
      <c r="AA217" s="13">
        <f>SUMPRODUCT(M217:X217,$M$3:$X$3)*$K217*$L217</f>
        <v/>
      </c>
      <c r="AB217" s="13">
        <f>SUMPRODUCT(M217:X217,$M$4:$X$4)*$K217*$L217</f>
        <v/>
      </c>
      <c r="AC217" s="15">
        <f>SUMPRODUCT(M217:X217,$M$5:$X$5)*$K217*$L217</f>
        <v/>
      </c>
      <c r="AD217" s="15">
        <f>SUMPRODUCT(M217:X217,$M$6:$X$6)*$K217*$L217</f>
        <v/>
      </c>
      <c r="AE217" s="19" t="n"/>
    </row>
    <row r="218">
      <c r="A218" s="9" t="n">
        <v>519151</v>
      </c>
      <c r="B218" s="9" t="inlineStr">
        <is>
          <t>Ryan Pressly</t>
        </is>
      </c>
      <c r="C218" s="9" t="inlineStr">
        <is>
          <t>CHC</t>
        </is>
      </c>
      <c r="D218" s="9" t="n">
        <v>38</v>
      </c>
      <c r="E218" s="17" t="inlineStr">
        <is>
          <t>R</t>
        </is>
      </c>
      <c r="F218" s="17" t="n"/>
      <c r="G218" s="9" t="n">
        <v>182</v>
      </c>
      <c r="H218" s="9" t="n">
        <v>876</v>
      </c>
      <c r="I218" s="9" t="inlineStr">
        <is>
          <t>Bullpen Depth Arm</t>
        </is>
      </c>
      <c r="J218" s="17" t="inlineStr">
        <is>
          <t>Opening Day</t>
        </is>
      </c>
      <c r="K218" s="11">
        <f>IFERROR(INDEX(Roles!$B$17:$B$20,MATCH(J218,Roles!$A$17:$A$20,0)),1)</f>
        <v/>
      </c>
      <c r="L218" s="18" t="n">
        <v>1</v>
      </c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3">
        <f>SUMPRODUCT(M218:X218,$M$2:$X$2)*$K218*$L218</f>
        <v/>
      </c>
      <c r="Z218" s="14">
        <f>SUM(M218:X218)</f>
        <v/>
      </c>
      <c r="AA218" s="13">
        <f>SUMPRODUCT(M218:X218,$M$3:$X$3)*$K218*$L218</f>
        <v/>
      </c>
      <c r="AB218" s="13">
        <f>SUMPRODUCT(M218:X218,$M$4:$X$4)*$K218*$L218</f>
        <v/>
      </c>
      <c r="AC218" s="15">
        <f>SUMPRODUCT(M218:X218,$M$5:$X$5)*$K218*$L218</f>
        <v/>
      </c>
      <c r="AD218" s="15">
        <f>SUMPRODUCT(M218:X218,$M$6:$X$6)*$K218*$L218</f>
        <v/>
      </c>
      <c r="AE218" s="19" t="n"/>
    </row>
    <row r="219">
      <c r="A219" s="9" t="n">
        <v>676263</v>
      </c>
      <c r="B219" s="9" t="inlineStr">
        <is>
          <t>Jack Dreyer</t>
        </is>
      </c>
      <c r="C219" s="9" t="inlineStr">
        <is>
          <t>LAD</t>
        </is>
      </c>
      <c r="D219" s="9" t="n">
        <v>28</v>
      </c>
      <c r="E219" s="17" t="inlineStr">
        <is>
          <t>L</t>
        </is>
      </c>
      <c r="F219" s="17" t="n"/>
      <c r="G219" s="9" t="n">
        <v>101</v>
      </c>
      <c r="H219" s="9" t="n">
        <v>408</v>
      </c>
      <c r="I219" s="9" t="inlineStr">
        <is>
          <t>Late Inning RP (Setup)</t>
        </is>
      </c>
      <c r="J219" s="17" t="inlineStr">
        <is>
          <t>Opening Day</t>
        </is>
      </c>
      <c r="K219" s="11">
        <f>IFERROR(INDEX(Roles!$B$17:$B$20,MATCH(J219,Roles!$A$17:$A$20,0)),1)</f>
        <v/>
      </c>
      <c r="L219" s="18" t="n">
        <v>1</v>
      </c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3">
        <f>SUMPRODUCT(M219:X219,$M$2:$X$2)*$K219*$L219</f>
        <v/>
      </c>
      <c r="Z219" s="14">
        <f>SUM(M219:X219)</f>
        <v/>
      </c>
      <c r="AA219" s="13">
        <f>SUMPRODUCT(M219:X219,$M$3:$X$3)*$K219*$L219</f>
        <v/>
      </c>
      <c r="AB219" s="13">
        <f>SUMPRODUCT(M219:X219,$M$4:$X$4)*$K219*$L219</f>
        <v/>
      </c>
      <c r="AC219" s="15">
        <f>SUMPRODUCT(M219:X219,$M$5:$X$5)*$K219*$L219</f>
        <v/>
      </c>
      <c r="AD219" s="15">
        <f>SUMPRODUCT(M219:X219,$M$6:$X$6)*$K219*$L219</f>
        <v/>
      </c>
      <c r="AE219" s="19" t="n"/>
    </row>
    <row r="220">
      <c r="A220" s="9" t="n">
        <v>669211</v>
      </c>
      <c r="B220" s="9" t="inlineStr">
        <is>
          <t>Keegan Akin</t>
        </is>
      </c>
      <c r="C220" s="9" t="inlineStr">
        <is>
          <t>BAL</t>
        </is>
      </c>
      <c r="D220" s="9" t="n">
        <v>32</v>
      </c>
      <c r="E220" s="17" t="inlineStr">
        <is>
          <t>L</t>
        </is>
      </c>
      <c r="F220" s="17" t="n"/>
      <c r="G220" s="9" t="n">
        <v>83</v>
      </c>
      <c r="H220" s="9" t="n">
        <v>1105</v>
      </c>
      <c r="I220" s="9" t="inlineStr">
        <is>
          <t>Middle Relief</t>
        </is>
      </c>
      <c r="J220" s="17" t="inlineStr">
        <is>
          <t>Opening Day</t>
        </is>
      </c>
      <c r="K220" s="11">
        <f>IFERROR(INDEX(Roles!$B$17:$B$20,MATCH(J220,Roles!$A$17:$A$20,0)),1)</f>
        <v/>
      </c>
      <c r="L220" s="18" t="n">
        <v>1</v>
      </c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3">
        <f>SUMPRODUCT(M220:X220,$M$2:$X$2)*$K220*$L220</f>
        <v/>
      </c>
      <c r="Z220" s="14">
        <f>SUM(M220:X220)</f>
        <v/>
      </c>
      <c r="AA220" s="13">
        <f>SUMPRODUCT(M220:X220,$M$3:$X$3)*$K220*$L220</f>
        <v/>
      </c>
      <c r="AB220" s="13">
        <f>SUMPRODUCT(M220:X220,$M$4:$X$4)*$K220*$L220</f>
        <v/>
      </c>
      <c r="AC220" s="15">
        <f>SUMPRODUCT(M220:X220,$M$5:$X$5)*$K220*$L220</f>
        <v/>
      </c>
      <c r="AD220" s="15">
        <f>SUMPRODUCT(M220:X220,$M$6:$X$6)*$K220*$L220</f>
        <v/>
      </c>
      <c r="AE220" s="19" t="n"/>
    </row>
    <row r="221">
      <c r="A221" s="9" t="n">
        <v>681293</v>
      </c>
      <c r="B221" s="9" t="inlineStr">
        <is>
          <t>Spencer Arrighetti</t>
        </is>
      </c>
      <c r="C221" s="9" t="inlineStr">
        <is>
          <t>HOU</t>
        </is>
      </c>
      <c r="D221" s="9" t="n">
        <v>27</v>
      </c>
      <c r="E221" s="17" t="inlineStr">
        <is>
          <t>R</t>
        </is>
      </c>
      <c r="F221" s="17" t="n"/>
      <c r="G221" s="9" t="n">
        <v>243</v>
      </c>
      <c r="H221" s="9" t="n">
        <v>1031</v>
      </c>
      <c r="I221" s="9" t="inlineStr">
        <is>
          <t>Mid-Rotation Starter (SP2-3)</t>
        </is>
      </c>
      <c r="J221" s="17" t="inlineStr">
        <is>
          <t>Opening Day</t>
        </is>
      </c>
      <c r="K221" s="11">
        <f>IFERROR(INDEX(Roles!$B$17:$B$20,MATCH(J221,Roles!$A$17:$A$20,0)),1)</f>
        <v/>
      </c>
      <c r="L221" s="18" t="n">
        <v>1</v>
      </c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3">
        <f>SUMPRODUCT(M221:X221,$M$2:$X$2)*$K221*$L221</f>
        <v/>
      </c>
      <c r="Z221" s="14">
        <f>SUM(M221:X221)</f>
        <v/>
      </c>
      <c r="AA221" s="13">
        <f>SUMPRODUCT(M221:X221,$M$3:$X$3)*$K221*$L221</f>
        <v/>
      </c>
      <c r="AB221" s="13">
        <f>SUMPRODUCT(M221:X221,$M$4:$X$4)*$K221*$L221</f>
        <v/>
      </c>
      <c r="AC221" s="15">
        <f>SUMPRODUCT(M221:X221,$M$5:$X$5)*$K221*$L221</f>
        <v/>
      </c>
      <c r="AD221" s="15">
        <f>SUMPRODUCT(M221:X221,$M$6:$X$6)*$K221*$L221</f>
        <v/>
      </c>
      <c r="AE221" s="19" t="n"/>
    </row>
    <row r="222">
      <c r="A222" s="9" t="n">
        <v>656731</v>
      </c>
      <c r="B222" s="9" t="inlineStr">
        <is>
          <t>Tylor Megill</t>
        </is>
      </c>
      <c r="C222" s="9" t="inlineStr">
        <is>
          <t>NYM</t>
        </is>
      </c>
      <c r="D222" s="9" t="n">
        <v>31</v>
      </c>
      <c r="E222" s="17" t="inlineStr">
        <is>
          <t>R</t>
        </is>
      </c>
      <c r="F222" s="17" t="n"/>
      <c r="G222" s="9" t="n">
        <v>305</v>
      </c>
      <c r="H222" s="9" t="n">
        <v>1409</v>
      </c>
      <c r="I222" s="9" t="inlineStr">
        <is>
          <t>End-of-Rotation Starter (SP4-5)</t>
        </is>
      </c>
      <c r="J222" s="17" t="inlineStr">
        <is>
          <t>Opening Day</t>
        </is>
      </c>
      <c r="K222" s="11">
        <f>IFERROR(INDEX(Roles!$B$17:$B$20,MATCH(J222,Roles!$A$17:$A$20,0)),1)</f>
        <v/>
      </c>
      <c r="L222" s="18" t="n">
        <v>1</v>
      </c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3">
        <f>SUMPRODUCT(M222:X222,$M$2:$X$2)*$K222*$L222</f>
        <v/>
      </c>
      <c r="Z222" s="14">
        <f>SUM(M222:X222)</f>
        <v/>
      </c>
      <c r="AA222" s="13">
        <f>SUMPRODUCT(M222:X222,$M$3:$X$3)*$K222*$L222</f>
        <v/>
      </c>
      <c r="AB222" s="13">
        <f>SUMPRODUCT(M222:X222,$M$4:$X$4)*$K222*$L222</f>
        <v/>
      </c>
      <c r="AC222" s="15">
        <f>SUMPRODUCT(M222:X222,$M$5:$X$5)*$K222*$L222</f>
        <v/>
      </c>
      <c r="AD222" s="15">
        <f>SUMPRODUCT(M222:X222,$M$6:$X$6)*$K222*$L222</f>
        <v/>
      </c>
      <c r="AE222" s="19" t="n"/>
    </row>
    <row r="223">
      <c r="A223" s="9" t="n">
        <v>660825</v>
      </c>
      <c r="B223" s="9" t="inlineStr">
        <is>
          <t>Eduard Bazardo</t>
        </is>
      </c>
      <c r="C223" s="9" t="inlineStr">
        <is>
          <t>SEA</t>
        </is>
      </c>
      <c r="D223" s="9" t="n">
        <v>31</v>
      </c>
      <c r="E223" s="17" t="inlineStr">
        <is>
          <t>R</t>
        </is>
      </c>
      <c r="F223" s="17" t="n"/>
      <c r="G223" s="9" t="n">
        <v>129</v>
      </c>
      <c r="H223" s="9" t="n">
        <v>682</v>
      </c>
      <c r="I223" s="9" t="inlineStr">
        <is>
          <t>Bullpen Depth Arm</t>
        </is>
      </c>
      <c r="J223" s="17" t="inlineStr">
        <is>
          <t>Opening Day</t>
        </is>
      </c>
      <c r="K223" s="11">
        <f>IFERROR(INDEX(Roles!$B$17:$B$20,MATCH(J223,Roles!$A$17:$A$20,0)),1)</f>
        <v/>
      </c>
      <c r="L223" s="18" t="n">
        <v>1</v>
      </c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3">
        <f>SUMPRODUCT(M223:X223,$M$2:$X$2)*$K223*$L223</f>
        <v/>
      </c>
      <c r="Z223" s="14">
        <f>SUM(M223:X223)</f>
        <v/>
      </c>
      <c r="AA223" s="13">
        <f>SUMPRODUCT(M223:X223,$M$3:$X$3)*$K223*$L223</f>
        <v/>
      </c>
      <c r="AB223" s="13">
        <f>SUMPRODUCT(M223:X223,$M$4:$X$4)*$K223*$L223</f>
        <v/>
      </c>
      <c r="AC223" s="15">
        <f>SUMPRODUCT(M223:X223,$M$5:$X$5)*$K223*$L223</f>
        <v/>
      </c>
      <c r="AD223" s="15">
        <f>SUMPRODUCT(M223:X223,$M$6:$X$6)*$K223*$L223</f>
        <v/>
      </c>
      <c r="AE223" s="19" t="n"/>
    </row>
    <row r="224">
      <c r="A224" s="9" t="n">
        <v>680742</v>
      </c>
      <c r="B224" s="9" t="inlineStr">
        <is>
          <t>Jonathan Bowlan</t>
        </is>
      </c>
      <c r="C224" s="9" t="inlineStr">
        <is>
          <t>PHI</t>
        </is>
      </c>
      <c r="D224" s="9" t="n">
        <v>30</v>
      </c>
      <c r="E224" s="17" t="inlineStr">
        <is>
          <t>R</t>
        </is>
      </c>
      <c r="F224" s="17" t="n"/>
      <c r="G224" s="9" t="n">
        <v>82</v>
      </c>
      <c r="H224" s="9" t="n">
        <v>293</v>
      </c>
      <c r="I224" s="9" t="inlineStr">
        <is>
          <t>Bullpen Depth Arm</t>
        </is>
      </c>
      <c r="J224" s="17" t="inlineStr">
        <is>
          <t>Opening Day</t>
        </is>
      </c>
      <c r="K224" s="11">
        <f>IFERROR(INDEX(Roles!$B$17:$B$20,MATCH(J224,Roles!$A$17:$A$20,0)),1)</f>
        <v/>
      </c>
      <c r="L224" s="18" t="n">
        <v>1</v>
      </c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3">
        <f>SUMPRODUCT(M224:X224,$M$2:$X$2)*$K224*$L224</f>
        <v/>
      </c>
      <c r="Z224" s="14">
        <f>SUM(M224:X224)</f>
        <v/>
      </c>
      <c r="AA224" s="13">
        <f>SUMPRODUCT(M224:X224,$M$3:$X$3)*$K224*$L224</f>
        <v/>
      </c>
      <c r="AB224" s="13">
        <f>SUMPRODUCT(M224:X224,$M$4:$X$4)*$K224*$L224</f>
        <v/>
      </c>
      <c r="AC224" s="15">
        <f>SUMPRODUCT(M224:X224,$M$5:$X$5)*$K224*$L224</f>
        <v/>
      </c>
      <c r="AD224" s="15">
        <f>SUMPRODUCT(M224:X224,$M$6:$X$6)*$K224*$L224</f>
        <v/>
      </c>
      <c r="AE224" s="19" t="n"/>
    </row>
    <row r="225">
      <c r="A225" s="9" t="n">
        <v>702303</v>
      </c>
      <c r="B225" s="9" t="inlineStr">
        <is>
          <t>Riley Martin</t>
        </is>
      </c>
      <c r="C225" s="9" t="inlineStr">
        <is>
          <t>CHC</t>
        </is>
      </c>
      <c r="D225" s="9" t="n">
        <v>29</v>
      </c>
      <c r="E225" s="17" t="inlineStr">
        <is>
          <t>L</t>
        </is>
      </c>
      <c r="F225" s="17" t="n"/>
      <c r="G225" s="9" t="n">
        <v>31</v>
      </c>
      <c r="H225" s="9" t="n">
        <v>31</v>
      </c>
      <c r="I225" s="9" t="inlineStr">
        <is>
          <t>Bullpen Depth Arm</t>
        </is>
      </c>
      <c r="J225" s="17" t="inlineStr">
        <is>
          <t>Opening Day</t>
        </is>
      </c>
      <c r="K225" s="11">
        <f>IFERROR(INDEX(Roles!$B$17:$B$20,MATCH(J225,Roles!$A$17:$A$20,0)),1)</f>
        <v/>
      </c>
      <c r="L225" s="18" t="n">
        <v>1</v>
      </c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3">
        <f>SUMPRODUCT(M225:X225,$M$2:$X$2)*$K225*$L225</f>
        <v/>
      </c>
      <c r="Z225" s="14">
        <f>SUM(M225:X225)</f>
        <v/>
      </c>
      <c r="AA225" s="13">
        <f>SUMPRODUCT(M225:X225,$M$3:$X$3)*$K225*$L225</f>
        <v/>
      </c>
      <c r="AB225" s="13">
        <f>SUMPRODUCT(M225:X225,$M$4:$X$4)*$K225*$L225</f>
        <v/>
      </c>
      <c r="AC225" s="15">
        <f>SUMPRODUCT(M225:X225,$M$5:$X$5)*$K225*$L225</f>
        <v/>
      </c>
      <c r="AD225" s="15">
        <f>SUMPRODUCT(M225:X225,$M$6:$X$6)*$K225*$L225</f>
        <v/>
      </c>
      <c r="AE225" s="19" t="n"/>
    </row>
    <row r="226">
      <c r="A226" s="9" t="n">
        <v>656629</v>
      </c>
      <c r="B226" s="9" t="inlineStr">
        <is>
          <t>Michael Kopech</t>
        </is>
      </c>
      <c r="C226" s="9" t="inlineStr">
        <is>
          <t>LAD</t>
        </is>
      </c>
      <c r="D226" s="9" t="n">
        <v>31</v>
      </c>
      <c r="E226" s="17" t="inlineStr">
        <is>
          <t>R</t>
        </is>
      </c>
      <c r="F226" s="17" t="n"/>
      <c r="G226" s="9" t="n">
        <v>53</v>
      </c>
      <c r="H226" s="9" t="n">
        <v>1417</v>
      </c>
      <c r="I226" s="9" t="inlineStr">
        <is>
          <t>Bullpen Depth Arm</t>
        </is>
      </c>
      <c r="J226" s="17" t="inlineStr">
        <is>
          <t>Opening Day</t>
        </is>
      </c>
      <c r="K226" s="11">
        <f>IFERROR(INDEX(Roles!$B$17:$B$20,MATCH(J226,Roles!$A$17:$A$20,0)),1)</f>
        <v/>
      </c>
      <c r="L226" s="18" t="n">
        <v>1</v>
      </c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3">
        <f>SUMPRODUCT(M226:X226,$M$2:$X$2)*$K226*$L226</f>
        <v/>
      </c>
      <c r="Z226" s="14">
        <f>SUM(M226:X226)</f>
        <v/>
      </c>
      <c r="AA226" s="13">
        <f>SUMPRODUCT(M226:X226,$M$3:$X$3)*$K226*$L226</f>
        <v/>
      </c>
      <c r="AB226" s="13">
        <f>SUMPRODUCT(M226:X226,$M$4:$X$4)*$K226*$L226</f>
        <v/>
      </c>
      <c r="AC226" s="15">
        <f>SUMPRODUCT(M226:X226,$M$5:$X$5)*$K226*$L226</f>
        <v/>
      </c>
      <c r="AD226" s="15">
        <f>SUMPRODUCT(M226:X226,$M$6:$X$6)*$K226*$L226</f>
        <v/>
      </c>
      <c r="AE226" s="19" t="n"/>
    </row>
    <row r="227">
      <c r="A227" s="9" t="n">
        <v>605154</v>
      </c>
      <c r="B227" s="9" t="inlineStr">
        <is>
          <t>John Brebbia</t>
        </is>
      </c>
      <c r="C227" s="9" t="inlineStr">
        <is>
          <t>ATL</t>
        </is>
      </c>
      <c r="D227" s="9" t="n">
        <v>37</v>
      </c>
      <c r="E227" s="17" t="inlineStr">
        <is>
          <t>R</t>
        </is>
      </c>
      <c r="F227" s="17" t="n"/>
      <c r="G227" s="9" t="n">
        <v>115</v>
      </c>
      <c r="H227" s="9" t="n">
        <v>806</v>
      </c>
      <c r="I227" s="9" t="inlineStr">
        <is>
          <t>Bullpen Depth Arm</t>
        </is>
      </c>
      <c r="J227" s="17" t="inlineStr">
        <is>
          <t>Opening Day</t>
        </is>
      </c>
      <c r="K227" s="11">
        <f>IFERROR(INDEX(Roles!$B$17:$B$20,MATCH(J227,Roles!$A$17:$A$20,0)),1)</f>
        <v/>
      </c>
      <c r="L227" s="18" t="n">
        <v>1</v>
      </c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3">
        <f>SUMPRODUCT(M227:X227,$M$2:$X$2)*$K227*$L227</f>
        <v/>
      </c>
      <c r="Z227" s="14">
        <f>SUM(M227:X227)</f>
        <v/>
      </c>
      <c r="AA227" s="13">
        <f>SUMPRODUCT(M227:X227,$M$3:$X$3)*$K227*$L227</f>
        <v/>
      </c>
      <c r="AB227" s="13">
        <f>SUMPRODUCT(M227:X227,$M$4:$X$4)*$K227*$L227</f>
        <v/>
      </c>
      <c r="AC227" s="15">
        <f>SUMPRODUCT(M227:X227,$M$5:$X$5)*$K227*$L227</f>
        <v/>
      </c>
      <c r="AD227" s="15">
        <f>SUMPRODUCT(M227:X227,$M$6:$X$6)*$K227*$L227</f>
        <v/>
      </c>
      <c r="AE227" s="19" t="n"/>
    </row>
    <row r="228">
      <c r="A228" s="9" t="n">
        <v>689296</v>
      </c>
      <c r="B228" s="9" t="inlineStr">
        <is>
          <t>Anthony Nunez</t>
        </is>
      </c>
      <c r="C228" s="9" t="inlineStr">
        <is>
          <t>BAL</t>
        </is>
      </c>
      <c r="D228" s="9" t="n">
        <v>25</v>
      </c>
      <c r="E228" s="17" t="inlineStr">
        <is>
          <t>R</t>
        </is>
      </c>
      <c r="F228" s="17" t="n"/>
      <c r="G228" s="9" t="n">
        <v>140</v>
      </c>
      <c r="H228" s="9" t="n">
        <v>140</v>
      </c>
      <c r="I228" s="9" t="inlineStr">
        <is>
          <t>Bullpen Depth Arm</t>
        </is>
      </c>
      <c r="J228" s="17" t="inlineStr">
        <is>
          <t>Opening Day</t>
        </is>
      </c>
      <c r="K228" s="11">
        <f>IFERROR(INDEX(Roles!$B$17:$B$20,MATCH(J228,Roles!$A$17:$A$20,0)),1)</f>
        <v/>
      </c>
      <c r="L228" s="18" t="n">
        <v>1</v>
      </c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3">
        <f>SUMPRODUCT(M228:X228,$M$2:$X$2)*$K228*$L228</f>
        <v/>
      </c>
      <c r="Z228" s="14">
        <f>SUM(M228:X228)</f>
        <v/>
      </c>
      <c r="AA228" s="13">
        <f>SUMPRODUCT(M228:X228,$M$3:$X$3)*$K228*$L228</f>
        <v/>
      </c>
      <c r="AB228" s="13">
        <f>SUMPRODUCT(M228:X228,$M$4:$X$4)*$K228*$L228</f>
        <v/>
      </c>
      <c r="AC228" s="15">
        <f>SUMPRODUCT(M228:X228,$M$5:$X$5)*$K228*$L228</f>
        <v/>
      </c>
      <c r="AD228" s="15">
        <f>SUMPRODUCT(M228:X228,$M$6:$X$6)*$K228*$L228</f>
        <v/>
      </c>
      <c r="AE228" s="19" t="n"/>
    </row>
    <row r="229">
      <c r="A229" s="9" t="n">
        <v>657097</v>
      </c>
      <c r="B229" s="9" t="inlineStr">
        <is>
          <t>Jacob Webb</t>
        </is>
      </c>
      <c r="C229" s="9" t="inlineStr">
        <is>
          <t>CHC</t>
        </is>
      </c>
      <c r="D229" s="9" t="n">
        <v>33</v>
      </c>
      <c r="E229" s="17" t="inlineStr">
        <is>
          <t>R</t>
        </is>
      </c>
      <c r="F229" s="17" t="n"/>
      <c r="G229" s="9" t="n">
        <v>120</v>
      </c>
      <c r="H229" s="9" t="n">
        <v>856</v>
      </c>
      <c r="I229" s="9" t="inlineStr">
        <is>
          <t>Middle Relief</t>
        </is>
      </c>
      <c r="J229" s="17" t="inlineStr">
        <is>
          <t>Opening Day</t>
        </is>
      </c>
      <c r="K229" s="11">
        <f>IFERROR(INDEX(Roles!$B$17:$B$20,MATCH(J229,Roles!$A$17:$A$20,0)),1)</f>
        <v/>
      </c>
      <c r="L229" s="18" t="n">
        <v>1</v>
      </c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3">
        <f>SUMPRODUCT(M229:X229,$M$2:$X$2)*$K229*$L229</f>
        <v/>
      </c>
      <c r="Z229" s="14">
        <f>SUM(M229:X229)</f>
        <v/>
      </c>
      <c r="AA229" s="13">
        <f>SUMPRODUCT(M229:X229,$M$3:$X$3)*$K229*$L229</f>
        <v/>
      </c>
      <c r="AB229" s="13">
        <f>SUMPRODUCT(M229:X229,$M$4:$X$4)*$K229*$L229</f>
        <v/>
      </c>
      <c r="AC229" s="15">
        <f>SUMPRODUCT(M229:X229,$M$5:$X$5)*$K229*$L229</f>
        <v/>
      </c>
      <c r="AD229" s="15">
        <f>SUMPRODUCT(M229:X229,$M$6:$X$6)*$K229*$L229</f>
        <v/>
      </c>
      <c r="AE229" s="19" t="n"/>
    </row>
    <row r="230">
      <c r="A230" s="9" t="n">
        <v>697812</v>
      </c>
      <c r="B230" s="9" t="inlineStr">
        <is>
          <t>Joe Rock</t>
        </is>
      </c>
      <c r="C230" s="9" t="inlineStr">
        <is>
          <t>TB</t>
        </is>
      </c>
      <c r="D230" s="9" t="n">
        <v>26</v>
      </c>
      <c r="E230" s="17" t="inlineStr">
        <is>
          <t>L</t>
        </is>
      </c>
      <c r="F230" s="17" t="n"/>
      <c r="G230" s="9" t="n">
        <v>35</v>
      </c>
      <c r="H230" s="9" t="n">
        <v>35</v>
      </c>
      <c r="I230" s="9" t="inlineStr">
        <is>
          <t>Middle Relief</t>
        </is>
      </c>
      <c r="J230" s="17" t="inlineStr">
        <is>
          <t>Opening Day</t>
        </is>
      </c>
      <c r="K230" s="11">
        <f>IFERROR(INDEX(Roles!$B$17:$B$20,MATCH(J230,Roles!$A$17:$A$20,0)),1)</f>
        <v/>
      </c>
      <c r="L230" s="18" t="n">
        <v>1</v>
      </c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3">
        <f>SUMPRODUCT(M230:X230,$M$2:$X$2)*$K230*$L230</f>
        <v/>
      </c>
      <c r="Z230" s="14">
        <f>SUM(M230:X230)</f>
        <v/>
      </c>
      <c r="AA230" s="13">
        <f>SUMPRODUCT(M230:X230,$M$3:$X$3)*$K230*$L230</f>
        <v/>
      </c>
      <c r="AB230" s="13">
        <f>SUMPRODUCT(M230:X230,$M$4:$X$4)*$K230*$L230</f>
        <v/>
      </c>
      <c r="AC230" s="15">
        <f>SUMPRODUCT(M230:X230,$M$5:$X$5)*$K230*$L230</f>
        <v/>
      </c>
      <c r="AD230" s="15">
        <f>SUMPRODUCT(M230:X230,$M$6:$X$6)*$K230*$L230</f>
        <v/>
      </c>
      <c r="AE230" s="19" t="n"/>
    </row>
    <row r="231">
      <c r="A231" s="9" t="n">
        <v>669854</v>
      </c>
      <c r="B231" s="9" t="inlineStr">
        <is>
          <t>Ronel Blanco</t>
        </is>
      </c>
      <c r="C231" s="9" t="inlineStr">
        <is>
          <t>HOU</t>
        </is>
      </c>
      <c r="D231" s="9" t="n">
        <v>33</v>
      </c>
      <c r="E231" s="17" t="inlineStr">
        <is>
          <t>R</t>
        </is>
      </c>
      <c r="F231" s="17" t="n"/>
      <c r="G231" s="9" t="n">
        <v>199</v>
      </c>
      <c r="H231" s="9" t="n">
        <v>1133</v>
      </c>
      <c r="I231" s="9" t="inlineStr">
        <is>
          <t>Mid-Rotation Starter (SP2-3)</t>
        </is>
      </c>
      <c r="J231" s="17" t="inlineStr">
        <is>
          <t>Opening Day</t>
        </is>
      </c>
      <c r="K231" s="11">
        <f>IFERROR(INDEX(Roles!$B$17:$B$20,MATCH(J231,Roles!$A$17:$A$20,0)),1)</f>
        <v/>
      </c>
      <c r="L231" s="18" t="n">
        <v>1</v>
      </c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3">
        <f>SUMPRODUCT(M231:X231,$M$2:$X$2)*$K231*$L231</f>
        <v/>
      </c>
      <c r="Z231" s="14">
        <f>SUM(M231:X231)</f>
        <v/>
      </c>
      <c r="AA231" s="13">
        <f>SUMPRODUCT(M231:X231,$M$3:$X$3)*$K231*$L231</f>
        <v/>
      </c>
      <c r="AB231" s="13">
        <f>SUMPRODUCT(M231:X231,$M$4:$X$4)*$K231*$L231</f>
        <v/>
      </c>
      <c r="AC231" s="15">
        <f>SUMPRODUCT(M231:X231,$M$5:$X$5)*$K231*$L231</f>
        <v/>
      </c>
      <c r="AD231" s="15">
        <f>SUMPRODUCT(M231:X231,$M$6:$X$6)*$K231*$L231</f>
        <v/>
      </c>
      <c r="AE231" s="19" t="n"/>
    </row>
    <row r="232">
      <c r="A232" s="9" t="n">
        <v>669622</v>
      </c>
      <c r="B232" s="9" t="inlineStr">
        <is>
          <t>Anthony Bender</t>
        </is>
      </c>
      <c r="C232" s="9" t="inlineStr">
        <is>
          <t>MIA</t>
        </is>
      </c>
      <c r="D232" s="9" t="n">
        <v>32</v>
      </c>
      <c r="E232" s="17" t="inlineStr">
        <is>
          <t>R</t>
        </is>
      </c>
      <c r="F232" s="17" t="n"/>
      <c r="G232" s="9" t="n">
        <v>108</v>
      </c>
      <c r="H232" s="9" t="n">
        <v>618</v>
      </c>
      <c r="I232" s="9" t="inlineStr">
        <is>
          <t>Closer</t>
        </is>
      </c>
      <c r="J232" s="17" t="inlineStr">
        <is>
          <t>Opening Day</t>
        </is>
      </c>
      <c r="K232" s="11">
        <f>IFERROR(INDEX(Roles!$B$17:$B$20,MATCH(J232,Roles!$A$17:$A$20,0)),1)</f>
        <v/>
      </c>
      <c r="L232" s="18" t="n">
        <v>1</v>
      </c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3">
        <f>SUMPRODUCT(M232:X232,$M$2:$X$2)*$K232*$L232</f>
        <v/>
      </c>
      <c r="Z232" s="14">
        <f>SUM(M232:X232)</f>
        <v/>
      </c>
      <c r="AA232" s="13">
        <f>SUMPRODUCT(M232:X232,$M$3:$X$3)*$K232*$L232</f>
        <v/>
      </c>
      <c r="AB232" s="13">
        <f>SUMPRODUCT(M232:X232,$M$4:$X$4)*$K232*$L232</f>
        <v/>
      </c>
      <c r="AC232" s="15">
        <f>SUMPRODUCT(M232:X232,$M$5:$X$5)*$K232*$L232</f>
        <v/>
      </c>
      <c r="AD232" s="15">
        <f>SUMPRODUCT(M232:X232,$M$6:$X$6)*$K232*$L232</f>
        <v/>
      </c>
      <c r="AE232" s="19" t="n"/>
    </row>
    <row r="233">
      <c r="A233" s="9" t="n">
        <v>661403</v>
      </c>
      <c r="B233" s="9" t="inlineStr">
        <is>
          <t>Emmanuel Clase</t>
        </is>
      </c>
      <c r="C233" s="9" t="inlineStr">
        <is>
          <t>CLE</t>
        </is>
      </c>
      <c r="D233" s="9" t="n">
        <v>29</v>
      </c>
      <c r="E233" s="17" t="inlineStr">
        <is>
          <t>R</t>
        </is>
      </c>
      <c r="F233" s="17" t="n"/>
      <c r="G233" s="9" t="n">
        <v>201</v>
      </c>
      <c r="H233" s="9" t="n">
        <v>1044</v>
      </c>
      <c r="I233" s="9" t="inlineStr">
        <is>
          <t>Late Inning RP (Setup)</t>
        </is>
      </c>
      <c r="J233" s="17" t="inlineStr">
        <is>
          <t>Opening Day</t>
        </is>
      </c>
      <c r="K233" s="11">
        <f>IFERROR(INDEX(Roles!$B$17:$B$20,MATCH(J233,Roles!$A$17:$A$20,0)),1)</f>
        <v/>
      </c>
      <c r="L233" s="18" t="n">
        <v>1</v>
      </c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3">
        <f>SUMPRODUCT(M233:X233,$M$2:$X$2)*$K233*$L233</f>
        <v/>
      </c>
      <c r="Z233" s="14">
        <f>SUM(M233:X233)</f>
        <v/>
      </c>
      <c r="AA233" s="13">
        <f>SUMPRODUCT(M233:X233,$M$3:$X$3)*$K233*$L233</f>
        <v/>
      </c>
      <c r="AB233" s="13">
        <f>SUMPRODUCT(M233:X233,$M$4:$X$4)*$K233*$L233</f>
        <v/>
      </c>
      <c r="AC233" s="15">
        <f>SUMPRODUCT(M233:X233,$M$5:$X$5)*$K233*$L233</f>
        <v/>
      </c>
      <c r="AD233" s="15">
        <f>SUMPRODUCT(M233:X233,$M$6:$X$6)*$K233*$L233</f>
        <v/>
      </c>
      <c r="AE233" s="19" t="n"/>
    </row>
    <row r="234">
      <c r="A234" s="9" t="n">
        <v>683618</v>
      </c>
      <c r="B234" s="9" t="inlineStr">
        <is>
          <t>Edgardo Henriquez</t>
        </is>
      </c>
      <c r="C234" s="9" t="inlineStr">
        <is>
          <t>LAD</t>
        </is>
      </c>
      <c r="D234" s="9" t="n">
        <v>25</v>
      </c>
      <c r="E234" s="17" t="inlineStr">
        <is>
          <t>R</t>
        </is>
      </c>
      <c r="F234" s="17" t="n"/>
      <c r="G234" s="9" t="n">
        <v>99</v>
      </c>
      <c r="H234" s="9" t="n">
        <v>191</v>
      </c>
      <c r="I234" s="9" t="inlineStr">
        <is>
          <t>Bullpen Depth Arm</t>
        </is>
      </c>
      <c r="J234" s="17" t="inlineStr">
        <is>
          <t>Opening Day</t>
        </is>
      </c>
      <c r="K234" s="11">
        <f>IFERROR(INDEX(Roles!$B$17:$B$20,MATCH(J234,Roles!$A$17:$A$20,0)),1)</f>
        <v/>
      </c>
      <c r="L234" s="18" t="n">
        <v>1</v>
      </c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3">
        <f>SUMPRODUCT(M234:X234,$M$2:$X$2)*$K234*$L234</f>
        <v/>
      </c>
      <c r="Z234" s="14">
        <f>SUM(M234:X234)</f>
        <v/>
      </c>
      <c r="AA234" s="13">
        <f>SUMPRODUCT(M234:X234,$M$3:$X$3)*$K234*$L234</f>
        <v/>
      </c>
      <c r="AB234" s="13">
        <f>SUMPRODUCT(M234:X234,$M$4:$X$4)*$K234*$L234</f>
        <v/>
      </c>
      <c r="AC234" s="15">
        <f>SUMPRODUCT(M234:X234,$M$5:$X$5)*$K234*$L234</f>
        <v/>
      </c>
      <c r="AD234" s="15">
        <f>SUMPRODUCT(M234:X234,$M$6:$X$6)*$K234*$L234</f>
        <v/>
      </c>
      <c r="AE234" s="19" t="n"/>
    </row>
    <row r="235">
      <c r="A235" s="9" t="n">
        <v>660853</v>
      </c>
      <c r="B235" s="9" t="inlineStr">
        <is>
          <t>Enyel De Los Santos</t>
        </is>
      </c>
      <c r="C235" s="9" t="inlineStr">
        <is>
          <t>HOU</t>
        </is>
      </c>
      <c r="D235" s="9" t="n">
        <v>31</v>
      </c>
      <c r="E235" s="17" t="inlineStr">
        <is>
          <t>R</t>
        </is>
      </c>
      <c r="F235" s="17" t="n"/>
      <c r="G235" s="9" t="n">
        <v>112</v>
      </c>
      <c r="H235" s="9" t="n">
        <v>1147</v>
      </c>
      <c r="I235" s="9" t="inlineStr">
        <is>
          <t>Bullpen Depth Arm</t>
        </is>
      </c>
      <c r="J235" s="17" t="inlineStr">
        <is>
          <t>Opening Day</t>
        </is>
      </c>
      <c r="K235" s="11">
        <f>IFERROR(INDEX(Roles!$B$17:$B$20,MATCH(J235,Roles!$A$17:$A$20,0)),1)</f>
        <v/>
      </c>
      <c r="L235" s="18" t="n">
        <v>1</v>
      </c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3">
        <f>SUMPRODUCT(M235:X235,$M$2:$X$2)*$K235*$L235</f>
        <v/>
      </c>
      <c r="Z235" s="14">
        <f>SUM(M235:X235)</f>
        <v/>
      </c>
      <c r="AA235" s="13">
        <f>SUMPRODUCT(M235:X235,$M$3:$X$3)*$K235*$L235</f>
        <v/>
      </c>
      <c r="AB235" s="13">
        <f>SUMPRODUCT(M235:X235,$M$4:$X$4)*$K235*$L235</f>
        <v/>
      </c>
      <c r="AC235" s="15">
        <f>SUMPRODUCT(M235:X235,$M$5:$X$5)*$K235*$L235</f>
        <v/>
      </c>
      <c r="AD235" s="15">
        <f>SUMPRODUCT(M235:X235,$M$6:$X$6)*$K235*$L235</f>
        <v/>
      </c>
      <c r="AE235" s="19" t="n"/>
    </row>
    <row r="236">
      <c r="A236" s="9" t="n">
        <v>676206</v>
      </c>
      <c r="B236" s="9" t="inlineStr">
        <is>
          <t>Freddy Tarnok</t>
        </is>
      </c>
      <c r="C236" s="9" t="inlineStr">
        <is>
          <t>MIA</t>
        </is>
      </c>
      <c r="D236" s="9" t="n">
        <v>28</v>
      </c>
      <c r="E236" s="17" t="inlineStr">
        <is>
          <t>R</t>
        </is>
      </c>
      <c r="F236" s="17" t="n"/>
      <c r="G236" s="9" t="n">
        <v>28</v>
      </c>
      <c r="H236" s="9" t="n">
        <v>96</v>
      </c>
      <c r="I236" s="9" t="inlineStr">
        <is>
          <t>Middle Relief</t>
        </is>
      </c>
      <c r="J236" s="17" t="inlineStr">
        <is>
          <t>Opening Day</t>
        </is>
      </c>
      <c r="K236" s="11">
        <f>IFERROR(INDEX(Roles!$B$17:$B$20,MATCH(J236,Roles!$A$17:$A$20,0)),1)</f>
        <v/>
      </c>
      <c r="L236" s="18" t="n">
        <v>1</v>
      </c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3">
        <f>SUMPRODUCT(M236:X236,$M$2:$X$2)*$K236*$L236</f>
        <v/>
      </c>
      <c r="Z236" s="14">
        <f>SUM(M236:X236)</f>
        <v/>
      </c>
      <c r="AA236" s="13">
        <f>SUMPRODUCT(M236:X236,$M$3:$X$3)*$K236*$L236</f>
        <v/>
      </c>
      <c r="AB236" s="13">
        <f>SUMPRODUCT(M236:X236,$M$4:$X$4)*$K236*$L236</f>
        <v/>
      </c>
      <c r="AC236" s="15">
        <f>SUMPRODUCT(M236:X236,$M$5:$X$5)*$K236*$L236</f>
        <v/>
      </c>
      <c r="AD236" s="15">
        <f>SUMPRODUCT(M236:X236,$M$6:$X$6)*$K236*$L236</f>
        <v/>
      </c>
      <c r="AE236" s="19" t="n"/>
    </row>
    <row r="237">
      <c r="A237" s="9" t="n">
        <v>672391</v>
      </c>
      <c r="B237" s="9" t="inlineStr">
        <is>
          <t>Kaleb Ort</t>
        </is>
      </c>
      <c r="C237" s="9" t="inlineStr">
        <is>
          <t>HOU</t>
        </is>
      </c>
      <c r="D237" s="9" t="n">
        <v>35</v>
      </c>
      <c r="E237" s="17" t="inlineStr">
        <is>
          <t>R</t>
        </is>
      </c>
      <c r="F237" s="17" t="n"/>
      <c r="G237" s="9" t="n">
        <v>194</v>
      </c>
      <c r="H237" s="9" t="n">
        <v>528</v>
      </c>
      <c r="I237" s="9" t="inlineStr">
        <is>
          <t>Middle Relief</t>
        </is>
      </c>
      <c r="J237" s="17" t="inlineStr">
        <is>
          <t>Opening Day</t>
        </is>
      </c>
      <c r="K237" s="11">
        <f>IFERROR(INDEX(Roles!$B$17:$B$20,MATCH(J237,Roles!$A$17:$A$20,0)),1)</f>
        <v/>
      </c>
      <c r="L237" s="18" t="n">
        <v>1</v>
      </c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3">
        <f>SUMPRODUCT(M237:X237,$M$2:$X$2)*$K237*$L237</f>
        <v/>
      </c>
      <c r="Z237" s="14">
        <f>SUM(M237:X237)</f>
        <v/>
      </c>
      <c r="AA237" s="13">
        <f>SUMPRODUCT(M237:X237,$M$3:$X$3)*$K237*$L237</f>
        <v/>
      </c>
      <c r="AB237" s="13">
        <f>SUMPRODUCT(M237:X237,$M$4:$X$4)*$K237*$L237</f>
        <v/>
      </c>
      <c r="AC237" s="15">
        <f>SUMPRODUCT(M237:X237,$M$5:$X$5)*$K237*$L237</f>
        <v/>
      </c>
      <c r="AD237" s="15">
        <f>SUMPRODUCT(M237:X237,$M$6:$X$6)*$K237*$L237</f>
        <v/>
      </c>
      <c r="AE237" s="19" t="n"/>
    </row>
    <row r="238">
      <c r="A238" s="9" t="n">
        <v>687606</v>
      </c>
      <c r="B238" s="9" t="inlineStr">
        <is>
          <t>Paxton Schultz</t>
        </is>
      </c>
      <c r="C238" s="9" t="inlineStr">
        <is>
          <t>WSH</t>
        </is>
      </c>
      <c r="D238" s="9" t="n">
        <v>29</v>
      </c>
      <c r="E238" s="17" t="inlineStr">
        <is>
          <t>R</t>
        </is>
      </c>
      <c r="F238" s="17" t="n"/>
      <c r="G238" s="9" t="n">
        <v>108</v>
      </c>
      <c r="H238" s="9" t="n">
        <v>218</v>
      </c>
      <c r="I238" s="9" t="inlineStr">
        <is>
          <t>Closer</t>
        </is>
      </c>
      <c r="J238" s="17" t="inlineStr">
        <is>
          <t>Opening Day</t>
        </is>
      </c>
      <c r="K238" s="11">
        <f>IFERROR(INDEX(Roles!$B$17:$B$20,MATCH(J238,Roles!$A$17:$A$20,0)),1)</f>
        <v/>
      </c>
      <c r="L238" s="18" t="n">
        <v>1</v>
      </c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3">
        <f>SUMPRODUCT(M238:X238,$M$2:$X$2)*$K238*$L238</f>
        <v/>
      </c>
      <c r="Z238" s="14">
        <f>SUM(M238:X238)</f>
        <v/>
      </c>
      <c r="AA238" s="13">
        <f>SUMPRODUCT(M238:X238,$M$3:$X$3)*$K238*$L238</f>
        <v/>
      </c>
      <c r="AB238" s="13">
        <f>SUMPRODUCT(M238:X238,$M$4:$X$4)*$K238*$L238</f>
        <v/>
      </c>
      <c r="AC238" s="15">
        <f>SUMPRODUCT(M238:X238,$M$5:$X$5)*$K238*$L238</f>
        <v/>
      </c>
      <c r="AD238" s="15">
        <f>SUMPRODUCT(M238:X238,$M$6:$X$6)*$K238*$L238</f>
        <v/>
      </c>
      <c r="AE238" s="19" t="n"/>
    </row>
    <row r="239">
      <c r="A239" s="9" t="n">
        <v>682120</v>
      </c>
      <c r="B239" s="9" t="inlineStr">
        <is>
          <t>Tim Herrin</t>
        </is>
      </c>
      <c r="C239" s="9" t="inlineStr">
        <is>
          <t>CLE</t>
        </is>
      </c>
      <c r="D239" s="9" t="n">
        <v>30</v>
      </c>
      <c r="E239" s="17" t="inlineStr">
        <is>
          <t>L</t>
        </is>
      </c>
      <c r="F239" s="17" t="n"/>
      <c r="G239" s="9" t="n">
        <v>107</v>
      </c>
      <c r="H239" s="9" t="n">
        <v>679</v>
      </c>
      <c r="I239" s="9" t="inlineStr">
        <is>
          <t>Bullpen Depth Arm</t>
        </is>
      </c>
      <c r="J239" s="17" t="inlineStr">
        <is>
          <t>Opening Day</t>
        </is>
      </c>
      <c r="K239" s="11">
        <f>IFERROR(INDEX(Roles!$B$17:$B$20,MATCH(J239,Roles!$A$17:$A$20,0)),1)</f>
        <v/>
      </c>
      <c r="L239" s="18" t="n">
        <v>1</v>
      </c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3">
        <f>SUMPRODUCT(M239:X239,$M$2:$X$2)*$K239*$L239</f>
        <v/>
      </c>
      <c r="Z239" s="14">
        <f>SUM(M239:X239)</f>
        <v/>
      </c>
      <c r="AA239" s="13">
        <f>SUMPRODUCT(M239:X239,$M$3:$X$3)*$K239*$L239</f>
        <v/>
      </c>
      <c r="AB239" s="13">
        <f>SUMPRODUCT(M239:X239,$M$4:$X$4)*$K239*$L239</f>
        <v/>
      </c>
      <c r="AC239" s="15">
        <f>SUMPRODUCT(M239:X239,$M$5:$X$5)*$K239*$L239</f>
        <v/>
      </c>
      <c r="AD239" s="15">
        <f>SUMPRODUCT(M239:X239,$M$6:$X$6)*$K239*$L239</f>
        <v/>
      </c>
      <c r="AE239" s="19" t="n"/>
    </row>
    <row r="240">
      <c r="A240" s="9" t="n">
        <v>647336</v>
      </c>
      <c r="B240" s="9" t="inlineStr">
        <is>
          <t>Michael Soroka</t>
        </is>
      </c>
      <c r="C240" s="9" t="inlineStr">
        <is>
          <t>ARI</t>
        </is>
      </c>
      <c r="D240" s="9" t="n">
        <v>29</v>
      </c>
      <c r="E240" s="17" t="inlineStr">
        <is>
          <t>R</t>
        </is>
      </c>
      <c r="F240" s="17" t="n"/>
      <c r="G240" s="9" t="n">
        <v>306</v>
      </c>
      <c r="H240" s="9" t="n">
        <v>1177</v>
      </c>
      <c r="I240" s="9" t="inlineStr">
        <is>
          <t>End-of-Rotation Starter (SP4-5)</t>
        </is>
      </c>
      <c r="J240" s="17" t="inlineStr">
        <is>
          <t>Opening Day</t>
        </is>
      </c>
      <c r="K240" s="11">
        <f>IFERROR(INDEX(Roles!$B$17:$B$20,MATCH(J240,Roles!$A$17:$A$20,0)),1)</f>
        <v/>
      </c>
      <c r="L240" s="18" t="n">
        <v>1</v>
      </c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3">
        <f>SUMPRODUCT(M240:X240,$M$2:$X$2)*$K240*$L240</f>
        <v/>
      </c>
      <c r="Z240" s="14">
        <f>SUM(M240:X240)</f>
        <v/>
      </c>
      <c r="AA240" s="13">
        <f>SUMPRODUCT(M240:X240,$M$3:$X$3)*$K240*$L240</f>
        <v/>
      </c>
      <c r="AB240" s="13">
        <f>SUMPRODUCT(M240:X240,$M$4:$X$4)*$K240*$L240</f>
        <v/>
      </c>
      <c r="AC240" s="15">
        <f>SUMPRODUCT(M240:X240,$M$5:$X$5)*$K240*$L240</f>
        <v/>
      </c>
      <c r="AD240" s="15">
        <f>SUMPRODUCT(M240:X240,$M$6:$X$6)*$K240*$L240</f>
        <v/>
      </c>
      <c r="AE240" s="19" t="n"/>
    </row>
    <row r="241">
      <c r="A241" s="9" t="n">
        <v>678226</v>
      </c>
      <c r="B241" s="9" t="inlineStr">
        <is>
          <t>Daysbel Hernández</t>
        </is>
      </c>
      <c r="C241" s="9" t="inlineStr">
        <is>
          <t>ATL</t>
        </is>
      </c>
      <c r="D241" s="9" t="n">
        <v>30</v>
      </c>
      <c r="E241" s="17" t="inlineStr">
        <is>
          <t>R</t>
        </is>
      </c>
      <c r="F241" s="17" t="n"/>
      <c r="G241" s="9" t="n">
        <v>164</v>
      </c>
      <c r="H241" s="9" t="n">
        <v>258</v>
      </c>
      <c r="I241" s="9" t="inlineStr">
        <is>
          <t>Bullpen Depth Arm</t>
        </is>
      </c>
      <c r="J241" s="17" t="inlineStr">
        <is>
          <t>Opening Day</t>
        </is>
      </c>
      <c r="K241" s="11">
        <f>IFERROR(INDEX(Roles!$B$17:$B$20,MATCH(J241,Roles!$A$17:$A$20,0)),1)</f>
        <v/>
      </c>
      <c r="L241" s="18" t="n">
        <v>1</v>
      </c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3">
        <f>SUMPRODUCT(M241:X241,$M$2:$X$2)*$K241*$L241</f>
        <v/>
      </c>
      <c r="Z241" s="14">
        <f>SUM(M241:X241)</f>
        <v/>
      </c>
      <c r="AA241" s="13">
        <f>SUMPRODUCT(M241:X241,$M$3:$X$3)*$K241*$L241</f>
        <v/>
      </c>
      <c r="AB241" s="13">
        <f>SUMPRODUCT(M241:X241,$M$4:$X$4)*$K241*$L241</f>
        <v/>
      </c>
      <c r="AC241" s="15">
        <f>SUMPRODUCT(M241:X241,$M$5:$X$5)*$K241*$L241</f>
        <v/>
      </c>
      <c r="AD241" s="15">
        <f>SUMPRODUCT(M241:X241,$M$6:$X$6)*$K241*$L241</f>
        <v/>
      </c>
      <c r="AE241" s="19" t="n"/>
    </row>
    <row r="242">
      <c r="A242" s="9" t="n">
        <v>543135</v>
      </c>
      <c r="B242" s="9" t="inlineStr">
        <is>
          <t>Nathan Eovaldi</t>
        </is>
      </c>
      <c r="C242" s="9" t="inlineStr">
        <is>
          <t>TEX</t>
        </is>
      </c>
      <c r="D242" s="9" t="n">
        <v>37</v>
      </c>
      <c r="E242" s="17" t="inlineStr">
        <is>
          <t>R</t>
        </is>
      </c>
      <c r="F242" s="17" t="n"/>
      <c r="G242" s="9" t="n">
        <v>337</v>
      </c>
      <c r="H242" s="9" t="n">
        <v>2566</v>
      </c>
      <c r="I242" s="9" t="inlineStr">
        <is>
          <t>Ace (SP1)</t>
        </is>
      </c>
      <c r="J242" s="17" t="inlineStr">
        <is>
          <t>Opening Day</t>
        </is>
      </c>
      <c r="K242" s="11">
        <f>IFERROR(INDEX(Roles!$B$17:$B$20,MATCH(J242,Roles!$A$17:$A$20,0)),1)</f>
        <v/>
      </c>
      <c r="L242" s="18" t="n">
        <v>1</v>
      </c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3">
        <f>SUMPRODUCT(M242:X242,$M$2:$X$2)*$K242*$L242</f>
        <v/>
      </c>
      <c r="Z242" s="14">
        <f>SUM(M242:X242)</f>
        <v/>
      </c>
      <c r="AA242" s="13">
        <f>SUMPRODUCT(M242:X242,$M$3:$X$3)*$K242*$L242</f>
        <v/>
      </c>
      <c r="AB242" s="13">
        <f>SUMPRODUCT(M242:X242,$M$4:$X$4)*$K242*$L242</f>
        <v/>
      </c>
      <c r="AC242" s="15">
        <f>SUMPRODUCT(M242:X242,$M$5:$X$5)*$K242*$L242</f>
        <v/>
      </c>
      <c r="AD242" s="15">
        <f>SUMPRODUCT(M242:X242,$M$6:$X$6)*$K242*$L242</f>
        <v/>
      </c>
      <c r="AE242" s="19" t="n"/>
    </row>
    <row r="243">
      <c r="A243" s="9" t="n">
        <v>681217</v>
      </c>
      <c r="B243" s="9" t="inlineStr">
        <is>
          <t>Chase Silseth</t>
        </is>
      </c>
      <c r="C243" s="9" t="inlineStr">
        <is>
          <t>LAA</t>
        </is>
      </c>
      <c r="D243" s="9" t="n">
        <v>27</v>
      </c>
      <c r="E243" s="17" t="inlineStr">
        <is>
          <t>R</t>
        </is>
      </c>
      <c r="F243" s="17" t="n"/>
      <c r="G243" s="9" t="n">
        <v>99</v>
      </c>
      <c r="H243" s="9" t="n">
        <v>536</v>
      </c>
      <c r="I243" s="9" t="inlineStr">
        <is>
          <t>Middle Relief</t>
        </is>
      </c>
      <c r="J243" s="17" t="inlineStr">
        <is>
          <t>Opening Day</t>
        </is>
      </c>
      <c r="K243" s="11">
        <f>IFERROR(INDEX(Roles!$B$17:$B$20,MATCH(J243,Roles!$A$17:$A$20,0)),1)</f>
        <v/>
      </c>
      <c r="L243" s="18" t="n">
        <v>1</v>
      </c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3">
        <f>SUMPRODUCT(M243:X243,$M$2:$X$2)*$K243*$L243</f>
        <v/>
      </c>
      <c r="Z243" s="14">
        <f>SUM(M243:X243)</f>
        <v/>
      </c>
      <c r="AA243" s="13">
        <f>SUMPRODUCT(M243:X243,$M$3:$X$3)*$K243*$L243</f>
        <v/>
      </c>
      <c r="AB243" s="13">
        <f>SUMPRODUCT(M243:X243,$M$4:$X$4)*$K243*$L243</f>
        <v/>
      </c>
      <c r="AC243" s="15">
        <f>SUMPRODUCT(M243:X243,$M$5:$X$5)*$K243*$L243</f>
        <v/>
      </c>
      <c r="AD243" s="15">
        <f>SUMPRODUCT(M243:X243,$M$6:$X$6)*$K243*$L243</f>
        <v/>
      </c>
      <c r="AE243" s="19" t="n"/>
    </row>
    <row r="244">
      <c r="A244" s="9" t="n">
        <v>663542</v>
      </c>
      <c r="B244" s="9" t="inlineStr">
        <is>
          <t>Bryan Hudson</t>
        </is>
      </c>
      <c r="C244" s="9" t="inlineStr">
        <is>
          <t>CWS</t>
        </is>
      </c>
      <c r="D244" s="9" t="n">
        <v>30</v>
      </c>
      <c r="E244" s="17" t="inlineStr">
        <is>
          <t>L</t>
        </is>
      </c>
      <c r="F244" s="17" t="n"/>
      <c r="G244" s="9" t="n">
        <v>129</v>
      </c>
      <c r="H244" s="9" t="n">
        <v>479</v>
      </c>
      <c r="I244" s="9" t="inlineStr">
        <is>
          <t>Late Inning RP (Setup)</t>
        </is>
      </c>
      <c r="J244" s="17" t="inlineStr">
        <is>
          <t>Opening Day</t>
        </is>
      </c>
      <c r="K244" s="11">
        <f>IFERROR(INDEX(Roles!$B$17:$B$20,MATCH(J244,Roles!$A$17:$A$20,0)),1)</f>
        <v/>
      </c>
      <c r="L244" s="18" t="n">
        <v>1</v>
      </c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3">
        <f>SUMPRODUCT(M244:X244,$M$2:$X$2)*$K244*$L244</f>
        <v/>
      </c>
      <c r="Z244" s="14">
        <f>SUM(M244:X244)</f>
        <v/>
      </c>
      <c r="AA244" s="13">
        <f>SUMPRODUCT(M244:X244,$M$3:$X$3)*$K244*$L244</f>
        <v/>
      </c>
      <c r="AB244" s="13">
        <f>SUMPRODUCT(M244:X244,$M$4:$X$4)*$K244*$L244</f>
        <v/>
      </c>
      <c r="AC244" s="15">
        <f>SUMPRODUCT(M244:X244,$M$5:$X$5)*$K244*$L244</f>
        <v/>
      </c>
      <c r="AD244" s="15">
        <f>SUMPRODUCT(M244:X244,$M$6:$X$6)*$K244*$L244</f>
        <v/>
      </c>
      <c r="AE244" s="19" t="n"/>
    </row>
    <row r="245">
      <c r="A245" s="9" t="n">
        <v>676534</v>
      </c>
      <c r="B245" s="9" t="inlineStr">
        <is>
          <t>Calvin Faucher</t>
        </is>
      </c>
      <c r="C245" s="9" t="inlineStr">
        <is>
          <t>MIA</t>
        </is>
      </c>
      <c r="D245" s="9" t="n">
        <v>31</v>
      </c>
      <c r="E245" s="17" t="inlineStr">
        <is>
          <t>R</t>
        </is>
      </c>
      <c r="F245" s="17" t="n"/>
      <c r="G245" s="9" t="n">
        <v>123</v>
      </c>
      <c r="H245" s="9" t="n">
        <v>834</v>
      </c>
      <c r="I245" s="9" t="inlineStr">
        <is>
          <t>Bullpen Depth Arm</t>
        </is>
      </c>
      <c r="J245" s="17" t="inlineStr">
        <is>
          <t>Opening Day</t>
        </is>
      </c>
      <c r="K245" s="11">
        <f>IFERROR(INDEX(Roles!$B$17:$B$20,MATCH(J245,Roles!$A$17:$A$20,0)),1)</f>
        <v/>
      </c>
      <c r="L245" s="18" t="n">
        <v>1</v>
      </c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3">
        <f>SUMPRODUCT(M245:X245,$M$2:$X$2)*$K245*$L245</f>
        <v/>
      </c>
      <c r="Z245" s="14">
        <f>SUM(M245:X245)</f>
        <v/>
      </c>
      <c r="AA245" s="13">
        <f>SUMPRODUCT(M245:X245,$M$3:$X$3)*$K245*$L245</f>
        <v/>
      </c>
      <c r="AB245" s="13">
        <f>SUMPRODUCT(M245:X245,$M$4:$X$4)*$K245*$L245</f>
        <v/>
      </c>
      <c r="AC245" s="15">
        <f>SUMPRODUCT(M245:X245,$M$5:$X$5)*$K245*$L245</f>
        <v/>
      </c>
      <c r="AD245" s="15">
        <f>SUMPRODUCT(M245:X245,$M$6:$X$6)*$K245*$L245</f>
        <v/>
      </c>
      <c r="AE245" s="19" t="n"/>
    </row>
    <row r="246">
      <c r="A246" s="9" t="n">
        <v>805673</v>
      </c>
      <c r="B246" s="9" t="inlineStr">
        <is>
          <t>Zebby Matthews</t>
        </is>
      </c>
      <c r="C246" s="9" t="inlineStr">
        <is>
          <t>MIN</t>
        </is>
      </c>
      <c r="D246" s="9" t="n">
        <v>27</v>
      </c>
      <c r="E246" s="17" t="inlineStr">
        <is>
          <t>R</t>
        </is>
      </c>
      <c r="F246" s="17" t="n"/>
      <c r="G246" s="9" t="n">
        <v>122</v>
      </c>
      <c r="H246" s="9" t="n">
        <v>653</v>
      </c>
      <c r="I246" s="9" t="inlineStr">
        <is>
          <t>Mid-Rotation Starter (SP2-3)</t>
        </is>
      </c>
      <c r="J246" s="17" t="inlineStr">
        <is>
          <t>Opening Day</t>
        </is>
      </c>
      <c r="K246" s="11">
        <f>IFERROR(INDEX(Roles!$B$17:$B$20,MATCH(J246,Roles!$A$17:$A$20,0)),1)</f>
        <v/>
      </c>
      <c r="L246" s="18" t="n">
        <v>1</v>
      </c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3">
        <f>SUMPRODUCT(M246:X246,$M$2:$X$2)*$K246*$L246</f>
        <v/>
      </c>
      <c r="Z246" s="14">
        <f>SUM(M246:X246)</f>
        <v/>
      </c>
      <c r="AA246" s="13">
        <f>SUMPRODUCT(M246:X246,$M$3:$X$3)*$K246*$L246</f>
        <v/>
      </c>
      <c r="AB246" s="13">
        <f>SUMPRODUCT(M246:X246,$M$4:$X$4)*$K246*$L246</f>
        <v/>
      </c>
      <c r="AC246" s="15">
        <f>SUMPRODUCT(M246:X246,$M$5:$X$5)*$K246*$L246</f>
        <v/>
      </c>
      <c r="AD246" s="15">
        <f>SUMPRODUCT(M246:X246,$M$6:$X$6)*$K246*$L246</f>
        <v/>
      </c>
      <c r="AE246" s="19" t="n"/>
    </row>
    <row r="247">
      <c r="A247" s="9" t="n">
        <v>657571</v>
      </c>
      <c r="B247" s="9" t="inlineStr">
        <is>
          <t>Caleb Ferguson</t>
        </is>
      </c>
      <c r="C247" s="9" t="inlineStr">
        <is>
          <t>CIN</t>
        </is>
      </c>
      <c r="D247" s="9" t="n">
        <v>30</v>
      </c>
      <c r="E247" s="17" t="inlineStr">
        <is>
          <t>L</t>
        </is>
      </c>
      <c r="F247" s="17" t="n"/>
      <c r="G247" s="9" t="n">
        <v>30</v>
      </c>
      <c r="H247" s="9" t="n">
        <v>961</v>
      </c>
      <c r="I247" s="9" t="inlineStr">
        <is>
          <t>Closer</t>
        </is>
      </c>
      <c r="J247" s="17" t="inlineStr">
        <is>
          <t>Opening Day</t>
        </is>
      </c>
      <c r="K247" s="11">
        <f>IFERROR(INDEX(Roles!$B$17:$B$20,MATCH(J247,Roles!$A$17:$A$20,0)),1)</f>
        <v/>
      </c>
      <c r="L247" s="18" t="n">
        <v>1</v>
      </c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3">
        <f>SUMPRODUCT(M247:X247,$M$2:$X$2)*$K247*$L247</f>
        <v/>
      </c>
      <c r="Z247" s="14">
        <f>SUM(M247:X247)</f>
        <v/>
      </c>
      <c r="AA247" s="13">
        <f>SUMPRODUCT(M247:X247,$M$3:$X$3)*$K247*$L247</f>
        <v/>
      </c>
      <c r="AB247" s="13">
        <f>SUMPRODUCT(M247:X247,$M$4:$X$4)*$K247*$L247</f>
        <v/>
      </c>
      <c r="AC247" s="15">
        <f>SUMPRODUCT(M247:X247,$M$5:$X$5)*$K247*$L247</f>
        <v/>
      </c>
      <c r="AD247" s="15">
        <f>SUMPRODUCT(M247:X247,$M$6:$X$6)*$K247*$L247</f>
        <v/>
      </c>
      <c r="AE247" s="19" t="n"/>
    </row>
    <row r="248">
      <c r="A248" s="9" t="n">
        <v>682825</v>
      </c>
      <c r="B248" s="9" t="inlineStr">
        <is>
          <t>Luis Mey</t>
        </is>
      </c>
      <c r="C248" s="9" t="inlineStr">
        <is>
          <t>CIN</t>
        </is>
      </c>
      <c r="D248" s="9" t="n">
        <v>26</v>
      </c>
      <c r="E248" s="17" t="inlineStr">
        <is>
          <t>R</t>
        </is>
      </c>
      <c r="F248" s="17" t="n"/>
      <c r="G248" s="9" t="n">
        <v>46</v>
      </c>
      <c r="H248" s="9" t="n">
        <v>142</v>
      </c>
      <c r="I248" s="9" t="inlineStr">
        <is>
          <t>Bullpen Depth Arm</t>
        </is>
      </c>
      <c r="J248" s="17" t="inlineStr">
        <is>
          <t>Opening Day</t>
        </is>
      </c>
      <c r="K248" s="11">
        <f>IFERROR(INDEX(Roles!$B$17:$B$20,MATCH(J248,Roles!$A$17:$A$20,0)),1)</f>
        <v/>
      </c>
      <c r="L248" s="18" t="n">
        <v>1</v>
      </c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3">
        <f>SUMPRODUCT(M248:X248,$M$2:$X$2)*$K248*$L248</f>
        <v/>
      </c>
      <c r="Z248" s="14">
        <f>SUM(M248:X248)</f>
        <v/>
      </c>
      <c r="AA248" s="13">
        <f>SUMPRODUCT(M248:X248,$M$3:$X$3)*$K248*$L248</f>
        <v/>
      </c>
      <c r="AB248" s="13">
        <f>SUMPRODUCT(M248:X248,$M$4:$X$4)*$K248*$L248</f>
        <v/>
      </c>
      <c r="AC248" s="15">
        <f>SUMPRODUCT(M248:X248,$M$5:$X$5)*$K248*$L248</f>
        <v/>
      </c>
      <c r="AD248" s="15">
        <f>SUMPRODUCT(M248:X248,$M$6:$X$6)*$K248*$L248</f>
        <v/>
      </c>
      <c r="AE248" s="19" t="n"/>
    </row>
    <row r="249">
      <c r="A249" s="9" t="n">
        <v>621363</v>
      </c>
      <c r="B249" s="9" t="inlineStr">
        <is>
          <t>Colin Poche</t>
        </is>
      </c>
      <c r="C249" s="9" t="inlineStr">
        <is>
          <t>NYM</t>
        </is>
      </c>
      <c r="D249" s="9" t="n">
        <v>33</v>
      </c>
      <c r="E249" s="17" t="inlineStr">
        <is>
          <t>L</t>
        </is>
      </c>
      <c r="F249" s="17" t="n"/>
      <c r="G249" s="9" t="n">
        <v>52</v>
      </c>
      <c r="H249" s="9" t="n">
        <v>696</v>
      </c>
      <c r="I249" s="9" t="inlineStr">
        <is>
          <t>Bullpen Depth Arm</t>
        </is>
      </c>
      <c r="J249" s="17" t="inlineStr">
        <is>
          <t>Opening Day</t>
        </is>
      </c>
      <c r="K249" s="11">
        <f>IFERROR(INDEX(Roles!$B$17:$B$20,MATCH(J249,Roles!$A$17:$A$20,0)),1)</f>
        <v/>
      </c>
      <c r="L249" s="18" t="n">
        <v>1</v>
      </c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3">
        <f>SUMPRODUCT(M249:X249,$M$2:$X$2)*$K249*$L249</f>
        <v/>
      </c>
      <c r="Z249" s="14">
        <f>SUM(M249:X249)</f>
        <v/>
      </c>
      <c r="AA249" s="13">
        <f>SUMPRODUCT(M249:X249,$M$3:$X$3)*$K249*$L249</f>
        <v/>
      </c>
      <c r="AB249" s="13">
        <f>SUMPRODUCT(M249:X249,$M$4:$X$4)*$K249*$L249</f>
        <v/>
      </c>
      <c r="AC249" s="15">
        <f>SUMPRODUCT(M249:X249,$M$5:$X$5)*$K249*$L249</f>
        <v/>
      </c>
      <c r="AD249" s="15">
        <f>SUMPRODUCT(M249:X249,$M$6:$X$6)*$K249*$L249</f>
        <v/>
      </c>
      <c r="AE249" s="19" t="n"/>
    </row>
    <row r="250">
      <c r="A250" s="9" t="n">
        <v>641482</v>
      </c>
      <c r="B250" s="9" t="inlineStr">
        <is>
          <t>Nestor Cortes</t>
        </is>
      </c>
      <c r="C250" s="9" t="inlineStr">
        <is>
          <t>SD</t>
        </is>
      </c>
      <c r="D250" s="9" t="n">
        <v>32</v>
      </c>
      <c r="E250" s="17" t="inlineStr">
        <is>
          <t>L</t>
        </is>
      </c>
      <c r="F250" s="17" t="n"/>
      <c r="G250" s="9" t="n">
        <v>157</v>
      </c>
      <c r="H250" s="9" t="n">
        <v>1748</v>
      </c>
      <c r="I250" s="9" t="inlineStr">
        <is>
          <t>Mid-Rotation Starter (SP2-3)</t>
        </is>
      </c>
      <c r="J250" s="17" t="inlineStr">
        <is>
          <t>Opening Day</t>
        </is>
      </c>
      <c r="K250" s="11">
        <f>IFERROR(INDEX(Roles!$B$17:$B$20,MATCH(J250,Roles!$A$17:$A$20,0)),1)</f>
        <v/>
      </c>
      <c r="L250" s="18" t="n">
        <v>1</v>
      </c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3">
        <f>SUMPRODUCT(M250:X250,$M$2:$X$2)*$K250*$L250</f>
        <v/>
      </c>
      <c r="Z250" s="14">
        <f>SUM(M250:X250)</f>
        <v/>
      </c>
      <c r="AA250" s="13">
        <f>SUMPRODUCT(M250:X250,$M$3:$X$3)*$K250*$L250</f>
        <v/>
      </c>
      <c r="AB250" s="13">
        <f>SUMPRODUCT(M250:X250,$M$4:$X$4)*$K250*$L250</f>
        <v/>
      </c>
      <c r="AC250" s="15">
        <f>SUMPRODUCT(M250:X250,$M$5:$X$5)*$K250*$L250</f>
        <v/>
      </c>
      <c r="AD250" s="15">
        <f>SUMPRODUCT(M250:X250,$M$6:$X$6)*$K250*$L250</f>
        <v/>
      </c>
      <c r="AE250" s="19" t="n"/>
    </row>
    <row r="251">
      <c r="A251" s="9" t="n">
        <v>621121</v>
      </c>
      <c r="B251" s="9" t="inlineStr">
        <is>
          <t>Lance McCullers Jr.</t>
        </is>
      </c>
      <c r="C251" s="9" t="inlineStr">
        <is>
          <t>HOU</t>
        </is>
      </c>
      <c r="D251" s="9" t="n">
        <v>33</v>
      </c>
      <c r="E251" s="17" t="inlineStr">
        <is>
          <t>R</t>
        </is>
      </c>
      <c r="F251" s="17" t="n"/>
      <c r="G251" s="9" t="n">
        <v>172</v>
      </c>
      <c r="H251" s="9" t="n">
        <v>641</v>
      </c>
      <c r="I251" s="9" t="inlineStr">
        <is>
          <t>End-of-Rotation Starter (SP4-5)</t>
        </is>
      </c>
      <c r="J251" s="17" t="inlineStr">
        <is>
          <t>Opening Day</t>
        </is>
      </c>
      <c r="K251" s="11">
        <f>IFERROR(INDEX(Roles!$B$17:$B$20,MATCH(J251,Roles!$A$17:$A$20,0)),1)</f>
        <v/>
      </c>
      <c r="L251" s="18" t="n">
        <v>1</v>
      </c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3">
        <f>SUMPRODUCT(M251:X251,$M$2:$X$2)*$K251*$L251</f>
        <v/>
      </c>
      <c r="Z251" s="14">
        <f>SUM(M251:X251)</f>
        <v/>
      </c>
      <c r="AA251" s="13">
        <f>SUMPRODUCT(M251:X251,$M$3:$X$3)*$K251*$L251</f>
        <v/>
      </c>
      <c r="AB251" s="13">
        <f>SUMPRODUCT(M251:X251,$M$4:$X$4)*$K251*$L251</f>
        <v/>
      </c>
      <c r="AC251" s="15">
        <f>SUMPRODUCT(M251:X251,$M$5:$X$5)*$K251*$L251</f>
        <v/>
      </c>
      <c r="AD251" s="15">
        <f>SUMPRODUCT(M251:X251,$M$6:$X$6)*$K251*$L251</f>
        <v/>
      </c>
      <c r="AE251" s="19" t="n"/>
    </row>
    <row r="252">
      <c r="A252" s="9" t="n">
        <v>669456</v>
      </c>
      <c r="B252" s="9" t="inlineStr">
        <is>
          <t>Shane Bieber</t>
        </is>
      </c>
      <c r="C252" s="9" t="inlineStr">
        <is>
          <t>TOR</t>
        </is>
      </c>
      <c r="D252" s="9" t="n">
        <v>32</v>
      </c>
      <c r="E252" s="17" t="inlineStr">
        <is>
          <t>R</t>
        </is>
      </c>
      <c r="F252" s="17" t="n"/>
      <c r="G252" s="9" t="n">
        <v>159</v>
      </c>
      <c r="H252" s="9" t="n">
        <v>1528</v>
      </c>
      <c r="I252" s="9" t="inlineStr">
        <is>
          <t>Ace (SP1)</t>
        </is>
      </c>
      <c r="J252" s="17" t="inlineStr">
        <is>
          <t>Opening Day</t>
        </is>
      </c>
      <c r="K252" s="11">
        <f>IFERROR(INDEX(Roles!$B$17:$B$20,MATCH(J252,Roles!$A$17:$A$20,0)),1)</f>
        <v/>
      </c>
      <c r="L252" s="18" t="n">
        <v>1</v>
      </c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3">
        <f>SUMPRODUCT(M252:X252,$M$2:$X$2)*$K252*$L252</f>
        <v/>
      </c>
      <c r="Z252" s="14">
        <f>SUM(M252:X252)</f>
        <v/>
      </c>
      <c r="AA252" s="13">
        <f>SUMPRODUCT(M252:X252,$M$3:$X$3)*$K252*$L252</f>
        <v/>
      </c>
      <c r="AB252" s="13">
        <f>SUMPRODUCT(M252:X252,$M$4:$X$4)*$K252*$L252</f>
        <v/>
      </c>
      <c r="AC252" s="15">
        <f>SUMPRODUCT(M252:X252,$M$5:$X$5)*$K252*$L252</f>
        <v/>
      </c>
      <c r="AD252" s="15">
        <f>SUMPRODUCT(M252:X252,$M$6:$X$6)*$K252*$L252</f>
        <v/>
      </c>
      <c r="AE252" s="19" t="n"/>
    </row>
    <row r="253">
      <c r="A253" s="9" t="n">
        <v>683232</v>
      </c>
      <c r="B253" s="9" t="inlineStr">
        <is>
          <t>Nick Mears</t>
        </is>
      </c>
      <c r="C253" s="9" t="inlineStr">
        <is>
          <t>KC</t>
        </is>
      </c>
      <c r="D253" s="9" t="n">
        <v>30</v>
      </c>
      <c r="E253" s="17" t="inlineStr">
        <is>
          <t>R</t>
        </is>
      </c>
      <c r="F253" s="17" t="n"/>
      <c r="G253" s="9" t="n">
        <v>83</v>
      </c>
      <c r="H253" s="9" t="n">
        <v>655</v>
      </c>
      <c r="I253" s="9" t="inlineStr">
        <is>
          <t>Middle Relief</t>
        </is>
      </c>
      <c r="J253" s="17" t="inlineStr">
        <is>
          <t>Opening Day</t>
        </is>
      </c>
      <c r="K253" s="11">
        <f>IFERROR(INDEX(Roles!$B$17:$B$20,MATCH(J253,Roles!$A$17:$A$20,0)),1)</f>
        <v/>
      </c>
      <c r="L253" s="18" t="n">
        <v>1</v>
      </c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3">
        <f>SUMPRODUCT(M253:X253,$M$2:$X$2)*$K253*$L253</f>
        <v/>
      </c>
      <c r="Z253" s="14">
        <f>SUM(M253:X253)</f>
        <v/>
      </c>
      <c r="AA253" s="13">
        <f>SUMPRODUCT(M253:X253,$M$3:$X$3)*$K253*$L253</f>
        <v/>
      </c>
      <c r="AB253" s="13">
        <f>SUMPRODUCT(M253:X253,$M$4:$X$4)*$K253*$L253</f>
        <v/>
      </c>
      <c r="AC253" s="15">
        <f>SUMPRODUCT(M253:X253,$M$5:$X$5)*$K253*$L253</f>
        <v/>
      </c>
      <c r="AD253" s="15">
        <f>SUMPRODUCT(M253:X253,$M$6:$X$6)*$K253*$L253</f>
        <v/>
      </c>
      <c r="AE253" s="19" t="n"/>
    </row>
    <row r="254">
      <c r="A254" s="9" t="n">
        <v>676974</v>
      </c>
      <c r="B254" s="9" t="inlineStr">
        <is>
          <t>Max Meyer</t>
        </is>
      </c>
      <c r="C254" s="9" t="inlineStr">
        <is>
          <t>MIA</t>
        </is>
      </c>
      <c r="D254" s="9" t="n">
        <v>28</v>
      </c>
      <c r="E254" s="17" t="inlineStr">
        <is>
          <t>R</t>
        </is>
      </c>
      <c r="F254" s="17" t="n"/>
      <c r="G254" s="9" t="n">
        <v>325</v>
      </c>
      <c r="H254" s="9" t="n">
        <v>884</v>
      </c>
      <c r="I254" s="9" t="inlineStr">
        <is>
          <t>Mid-Rotation Starter (SP2-3)</t>
        </is>
      </c>
      <c r="J254" s="17" t="inlineStr">
        <is>
          <t>Opening Day</t>
        </is>
      </c>
      <c r="K254" s="11">
        <f>IFERROR(INDEX(Roles!$B$17:$B$20,MATCH(J254,Roles!$A$17:$A$20,0)),1)</f>
        <v/>
      </c>
      <c r="L254" s="18" t="n">
        <v>1</v>
      </c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3">
        <f>SUMPRODUCT(M254:X254,$M$2:$X$2)*$K254*$L254</f>
        <v/>
      </c>
      <c r="Z254" s="14">
        <f>SUM(M254:X254)</f>
        <v/>
      </c>
      <c r="AA254" s="13">
        <f>SUMPRODUCT(M254:X254,$M$3:$X$3)*$K254*$L254</f>
        <v/>
      </c>
      <c r="AB254" s="13">
        <f>SUMPRODUCT(M254:X254,$M$4:$X$4)*$K254*$L254</f>
        <v/>
      </c>
      <c r="AC254" s="15">
        <f>SUMPRODUCT(M254:X254,$M$5:$X$5)*$K254*$L254</f>
        <v/>
      </c>
      <c r="AD254" s="15">
        <f>SUMPRODUCT(M254:X254,$M$6:$X$6)*$K254*$L254</f>
        <v/>
      </c>
      <c r="AE254" s="19" t="n"/>
    </row>
    <row r="255">
      <c r="A255" s="9" t="n">
        <v>686580</v>
      </c>
      <c r="B255" s="9" t="inlineStr">
        <is>
          <t>Justin Slaten</t>
        </is>
      </c>
      <c r="C255" s="9" t="inlineStr">
        <is>
          <t>BOS</t>
        </is>
      </c>
      <c r="D255" s="9" t="n">
        <v>29</v>
      </c>
      <c r="E255" s="17" t="inlineStr">
        <is>
          <t>R</t>
        </is>
      </c>
      <c r="F255" s="17" t="n"/>
      <c r="G255" s="9" t="n">
        <v>52</v>
      </c>
      <c r="H255" s="9" t="n">
        <v>413</v>
      </c>
      <c r="I255" s="9" t="inlineStr">
        <is>
          <t>Bullpen Depth Arm</t>
        </is>
      </c>
      <c r="J255" s="17" t="inlineStr">
        <is>
          <t>Opening Day</t>
        </is>
      </c>
      <c r="K255" s="11">
        <f>IFERROR(INDEX(Roles!$B$17:$B$20,MATCH(J255,Roles!$A$17:$A$20,0)),1)</f>
        <v/>
      </c>
      <c r="L255" s="18" t="n">
        <v>1</v>
      </c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3">
        <f>SUMPRODUCT(M255:X255,$M$2:$X$2)*$K255*$L255</f>
        <v/>
      </c>
      <c r="Z255" s="14">
        <f>SUM(M255:X255)</f>
        <v/>
      </c>
      <c r="AA255" s="13">
        <f>SUMPRODUCT(M255:X255,$M$3:$X$3)*$K255*$L255</f>
        <v/>
      </c>
      <c r="AB255" s="13">
        <f>SUMPRODUCT(M255:X255,$M$4:$X$4)*$K255*$L255</f>
        <v/>
      </c>
      <c r="AC255" s="15">
        <f>SUMPRODUCT(M255:X255,$M$5:$X$5)*$K255*$L255</f>
        <v/>
      </c>
      <c r="AD255" s="15">
        <f>SUMPRODUCT(M255:X255,$M$6:$X$6)*$K255*$L255</f>
        <v/>
      </c>
      <c r="AE255" s="19" t="n"/>
    </row>
    <row r="256">
      <c r="A256" s="9" t="n">
        <v>571510</v>
      </c>
      <c r="B256" s="9" t="inlineStr">
        <is>
          <t>Matthew Boyd</t>
        </is>
      </c>
      <c r="C256" s="9" t="inlineStr">
        <is>
          <t>CHC</t>
        </is>
      </c>
      <c r="D256" s="9" t="n">
        <v>36</v>
      </c>
      <c r="E256" s="17" t="inlineStr">
        <is>
          <t>L</t>
        </is>
      </c>
      <c r="F256" s="17" t="n"/>
      <c r="G256" s="9" t="n">
        <v>100</v>
      </c>
      <c r="H256" s="9" t="n">
        <v>1340</v>
      </c>
      <c r="I256" s="9" t="inlineStr">
        <is>
          <t>Mid-Rotation Starter (SP2-3)</t>
        </is>
      </c>
      <c r="J256" s="17" t="inlineStr">
        <is>
          <t>Opening Day</t>
        </is>
      </c>
      <c r="K256" s="11">
        <f>IFERROR(INDEX(Roles!$B$17:$B$20,MATCH(J256,Roles!$A$17:$A$20,0)),1)</f>
        <v/>
      </c>
      <c r="L256" s="18" t="n">
        <v>1</v>
      </c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3">
        <f>SUMPRODUCT(M256:X256,$M$2:$X$2)*$K256*$L256</f>
        <v/>
      </c>
      <c r="Z256" s="14">
        <f>SUM(M256:X256)</f>
        <v/>
      </c>
      <c r="AA256" s="13">
        <f>SUMPRODUCT(M256:X256,$M$3:$X$3)*$K256*$L256</f>
        <v/>
      </c>
      <c r="AB256" s="13">
        <f>SUMPRODUCT(M256:X256,$M$4:$X$4)*$K256*$L256</f>
        <v/>
      </c>
      <c r="AC256" s="15">
        <f>SUMPRODUCT(M256:X256,$M$5:$X$5)*$K256*$L256</f>
        <v/>
      </c>
      <c r="AD256" s="15">
        <f>SUMPRODUCT(M256:X256,$M$6:$X$6)*$K256*$L256</f>
        <v/>
      </c>
      <c r="AE256" s="19" t="n"/>
    </row>
    <row r="257">
      <c r="A257" s="9" t="n">
        <v>592254</v>
      </c>
      <c r="B257" s="9" t="inlineStr">
        <is>
          <t>José De León</t>
        </is>
      </c>
      <c r="C257" s="9" t="inlineStr">
        <is>
          <t>BOS</t>
        </is>
      </c>
      <c r="D257" s="9" t="n">
        <v>34</v>
      </c>
      <c r="E257" s="17" t="inlineStr">
        <is>
          <t>R</t>
        </is>
      </c>
      <c r="F257" s="17" t="n"/>
      <c r="G257" s="9" t="n">
        <v>28</v>
      </c>
      <c r="H257" s="9" t="n">
        <v>98</v>
      </c>
      <c r="I257" s="9" t="inlineStr">
        <is>
          <t>Ace (SP1)</t>
        </is>
      </c>
      <c r="J257" s="17" t="inlineStr">
        <is>
          <t>Opening Day</t>
        </is>
      </c>
      <c r="K257" s="11">
        <f>IFERROR(INDEX(Roles!$B$17:$B$20,MATCH(J257,Roles!$A$17:$A$20,0)),1)</f>
        <v/>
      </c>
      <c r="L257" s="18" t="n">
        <v>1</v>
      </c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3">
        <f>SUMPRODUCT(M257:X257,$M$2:$X$2)*$K257*$L257</f>
        <v/>
      </c>
      <c r="Z257" s="14">
        <f>SUM(M257:X257)</f>
        <v/>
      </c>
      <c r="AA257" s="13">
        <f>SUMPRODUCT(M257:X257,$M$3:$X$3)*$K257*$L257</f>
        <v/>
      </c>
      <c r="AB257" s="13">
        <f>SUMPRODUCT(M257:X257,$M$4:$X$4)*$K257*$L257</f>
        <v/>
      </c>
      <c r="AC257" s="15">
        <f>SUMPRODUCT(M257:X257,$M$5:$X$5)*$K257*$L257</f>
        <v/>
      </c>
      <c r="AD257" s="15">
        <f>SUMPRODUCT(M257:X257,$M$6:$X$6)*$K257*$L257</f>
        <v/>
      </c>
      <c r="AE257" s="19" t="n"/>
    </row>
    <row r="258">
      <c r="A258" s="9" t="n">
        <v>663485</v>
      </c>
      <c r="B258" s="9" t="inlineStr">
        <is>
          <t>Cole Sands</t>
        </is>
      </c>
      <c r="C258" s="9" t="inlineStr">
        <is>
          <t>MIN</t>
        </is>
      </c>
      <c r="D258" s="9" t="n">
        <v>29</v>
      </c>
      <c r="E258" s="17" t="inlineStr">
        <is>
          <t>R</t>
        </is>
      </c>
      <c r="F258" s="17" t="n"/>
      <c r="G258" s="9" t="n">
        <v>50</v>
      </c>
      <c r="H258" s="9" t="n">
        <v>884</v>
      </c>
      <c r="I258" s="9" t="inlineStr">
        <is>
          <t>Bullpen Depth Arm</t>
        </is>
      </c>
      <c r="J258" s="17" t="inlineStr">
        <is>
          <t>Opening Day</t>
        </is>
      </c>
      <c r="K258" s="11">
        <f>IFERROR(INDEX(Roles!$B$17:$B$20,MATCH(J258,Roles!$A$17:$A$20,0)),1)</f>
        <v/>
      </c>
      <c r="L258" s="18" t="n">
        <v>1</v>
      </c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3">
        <f>SUMPRODUCT(M258:X258,$M$2:$X$2)*$K258*$L258</f>
        <v/>
      </c>
      <c r="Z258" s="14">
        <f>SUM(M258:X258)</f>
        <v/>
      </c>
      <c r="AA258" s="13">
        <f>SUMPRODUCT(M258:X258,$M$3:$X$3)*$K258*$L258</f>
        <v/>
      </c>
      <c r="AB258" s="13">
        <f>SUMPRODUCT(M258:X258,$M$4:$X$4)*$K258*$L258</f>
        <v/>
      </c>
      <c r="AC258" s="15">
        <f>SUMPRODUCT(M258:X258,$M$5:$X$5)*$K258*$L258</f>
        <v/>
      </c>
      <c r="AD258" s="15">
        <f>SUMPRODUCT(M258:X258,$M$6:$X$6)*$K258*$L258</f>
        <v/>
      </c>
      <c r="AE258" s="19" t="n"/>
    </row>
    <row r="259">
      <c r="A259" s="9" t="n">
        <v>660896</v>
      </c>
      <c r="B259" s="9" t="inlineStr">
        <is>
          <t>Jorge Alcala</t>
        </is>
      </c>
      <c r="C259" s="9" t="inlineStr">
        <is>
          <t>STL</t>
        </is>
      </c>
      <c r="D259" s="9" t="n">
        <v>31</v>
      </c>
      <c r="E259" s="17" t="inlineStr">
        <is>
          <t>R</t>
        </is>
      </c>
      <c r="F259" s="17" t="n"/>
      <c r="G259" s="9" t="n">
        <v>257</v>
      </c>
      <c r="H259" s="9" t="n">
        <v>577</v>
      </c>
      <c r="I259" s="9" t="inlineStr">
        <is>
          <t>Bullpen Depth Arm</t>
        </is>
      </c>
      <c r="J259" s="17" t="inlineStr">
        <is>
          <t>Opening Day</t>
        </is>
      </c>
      <c r="K259" s="11">
        <f>IFERROR(INDEX(Roles!$B$17:$B$20,MATCH(J259,Roles!$A$17:$A$20,0)),1)</f>
        <v/>
      </c>
      <c r="L259" s="18" t="n">
        <v>1</v>
      </c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3">
        <f>SUMPRODUCT(M259:X259,$M$2:$X$2)*$K259*$L259</f>
        <v/>
      </c>
      <c r="Z259" s="14">
        <f>SUM(M259:X259)</f>
        <v/>
      </c>
      <c r="AA259" s="13">
        <f>SUMPRODUCT(M259:X259,$M$3:$X$3)*$K259*$L259</f>
        <v/>
      </c>
      <c r="AB259" s="13">
        <f>SUMPRODUCT(M259:X259,$M$4:$X$4)*$K259*$L259</f>
        <v/>
      </c>
      <c r="AC259" s="15">
        <f>SUMPRODUCT(M259:X259,$M$5:$X$5)*$K259*$L259</f>
        <v/>
      </c>
      <c r="AD259" s="15">
        <f>SUMPRODUCT(M259:X259,$M$6:$X$6)*$K259*$L259</f>
        <v/>
      </c>
      <c r="AE259" s="19" t="n"/>
    </row>
    <row r="260">
      <c r="A260" s="9" t="n">
        <v>800311</v>
      </c>
      <c r="B260" s="9" t="inlineStr">
        <is>
          <t>Didier Fuentes</t>
        </is>
      </c>
      <c r="C260" s="9" t="inlineStr">
        <is>
          <t>ATL</t>
        </is>
      </c>
      <c r="D260" s="9" t="n">
        <v>22</v>
      </c>
      <c r="E260" s="17" t="inlineStr">
        <is>
          <t>R</t>
        </is>
      </c>
      <c r="F260" s="17" t="n"/>
      <c r="G260" s="9" t="n">
        <v>107</v>
      </c>
      <c r="H260" s="9" t="n">
        <v>176</v>
      </c>
      <c r="I260" s="9" t="inlineStr">
        <is>
          <t>Middle Relief</t>
        </is>
      </c>
      <c r="J260" s="17" t="inlineStr">
        <is>
          <t>Opening Day</t>
        </is>
      </c>
      <c r="K260" s="11">
        <f>IFERROR(INDEX(Roles!$B$17:$B$20,MATCH(J260,Roles!$A$17:$A$20,0)),1)</f>
        <v/>
      </c>
      <c r="L260" s="18" t="n">
        <v>1</v>
      </c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3">
        <f>SUMPRODUCT(M260:X260,$M$2:$X$2)*$K260*$L260</f>
        <v/>
      </c>
      <c r="Z260" s="14">
        <f>SUM(M260:X260)</f>
        <v/>
      </c>
      <c r="AA260" s="13">
        <f>SUMPRODUCT(M260:X260,$M$3:$X$3)*$K260*$L260</f>
        <v/>
      </c>
      <c r="AB260" s="13">
        <f>SUMPRODUCT(M260:X260,$M$4:$X$4)*$K260*$L260</f>
        <v/>
      </c>
      <c r="AC260" s="15">
        <f>SUMPRODUCT(M260:X260,$M$5:$X$5)*$K260*$L260</f>
        <v/>
      </c>
      <c r="AD260" s="15">
        <f>SUMPRODUCT(M260:X260,$M$6:$X$6)*$K260*$L260</f>
        <v/>
      </c>
      <c r="AE260" s="19" t="n"/>
    </row>
    <row r="261">
      <c r="A261" s="9" t="n">
        <v>656550</v>
      </c>
      <c r="B261" s="9" t="inlineStr">
        <is>
          <t>Grant Holmes</t>
        </is>
      </c>
      <c r="C261" s="9" t="inlineStr">
        <is>
          <t>ATL</t>
        </is>
      </c>
      <c r="D261" s="9" t="n">
        <v>31</v>
      </c>
      <c r="E261" s="17" t="inlineStr">
        <is>
          <t>R</t>
        </is>
      </c>
      <c r="F261" s="17" t="n"/>
      <c r="G261" s="9" t="n">
        <v>287</v>
      </c>
      <c r="H261" s="9" t="n">
        <v>1061</v>
      </c>
      <c r="I261" s="9" t="inlineStr">
        <is>
          <t>End-of-Rotation Starter (SP4-5)</t>
        </is>
      </c>
      <c r="J261" s="17" t="inlineStr">
        <is>
          <t>Opening Day</t>
        </is>
      </c>
      <c r="K261" s="11">
        <f>IFERROR(INDEX(Roles!$B$17:$B$20,MATCH(J261,Roles!$A$17:$A$20,0)),1)</f>
        <v/>
      </c>
      <c r="L261" s="18" t="n">
        <v>1</v>
      </c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3">
        <f>SUMPRODUCT(M261:X261,$M$2:$X$2)*$K261*$L261</f>
        <v/>
      </c>
      <c r="Z261" s="14">
        <f>SUM(M261:X261)</f>
        <v/>
      </c>
      <c r="AA261" s="13">
        <f>SUMPRODUCT(M261:X261,$M$3:$X$3)*$K261*$L261</f>
        <v/>
      </c>
      <c r="AB261" s="13">
        <f>SUMPRODUCT(M261:X261,$M$4:$X$4)*$K261*$L261</f>
        <v/>
      </c>
      <c r="AC261" s="15">
        <f>SUMPRODUCT(M261:X261,$M$5:$X$5)*$K261*$L261</f>
        <v/>
      </c>
      <c r="AD261" s="15">
        <f>SUMPRODUCT(M261:X261,$M$6:$X$6)*$K261*$L261</f>
        <v/>
      </c>
      <c r="AE261" s="19" t="n"/>
    </row>
    <row r="262">
      <c r="A262" s="9" t="n">
        <v>663474</v>
      </c>
      <c r="B262" s="9" t="inlineStr">
        <is>
          <t>Triston McKenzie</t>
        </is>
      </c>
      <c r="C262" s="9" t="inlineStr">
        <is>
          <t>CLE</t>
        </is>
      </c>
      <c r="D262" s="9" t="n">
        <v>29</v>
      </c>
      <c r="E262" s="17" t="inlineStr">
        <is>
          <t>R</t>
        </is>
      </c>
      <c r="F262" s="17" t="n"/>
      <c r="G262" s="9" t="n">
        <v>30</v>
      </c>
      <c r="H262" s="9" t="n">
        <v>1184</v>
      </c>
      <c r="I262" s="9" t="inlineStr">
        <is>
          <t>End-of-Rotation Starter (SP4-5)</t>
        </is>
      </c>
      <c r="J262" s="17" t="inlineStr">
        <is>
          <t>Opening Day</t>
        </is>
      </c>
      <c r="K262" s="11">
        <f>IFERROR(INDEX(Roles!$B$17:$B$20,MATCH(J262,Roles!$A$17:$A$20,0)),1)</f>
        <v/>
      </c>
      <c r="L262" s="18" t="n">
        <v>1</v>
      </c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3">
        <f>SUMPRODUCT(M262:X262,$M$2:$X$2)*$K262*$L262</f>
        <v/>
      </c>
      <c r="Z262" s="14">
        <f>SUM(M262:X262)</f>
        <v/>
      </c>
      <c r="AA262" s="13">
        <f>SUMPRODUCT(M262:X262,$M$3:$X$3)*$K262*$L262</f>
        <v/>
      </c>
      <c r="AB262" s="13">
        <f>SUMPRODUCT(M262:X262,$M$4:$X$4)*$K262*$L262</f>
        <v/>
      </c>
      <c r="AC262" s="15">
        <f>SUMPRODUCT(M262:X262,$M$5:$X$5)*$K262*$L262</f>
        <v/>
      </c>
      <c r="AD262" s="15">
        <f>SUMPRODUCT(M262:X262,$M$6:$X$6)*$K262*$L262</f>
        <v/>
      </c>
      <c r="AE262" s="19" t="n"/>
    </row>
    <row r="263">
      <c r="A263" s="9" t="n">
        <v>696062</v>
      </c>
      <c r="B263" s="9" t="inlineStr">
        <is>
          <t>Wilber Dotel</t>
        </is>
      </c>
      <c r="C263" s="9" t="inlineStr">
        <is>
          <t>PIT</t>
        </is>
      </c>
      <c r="D263" s="9" t="n">
        <v>24</v>
      </c>
      <c r="E263" s="17" t="inlineStr">
        <is>
          <t>R</t>
        </is>
      </c>
      <c r="F263" s="17" t="n"/>
      <c r="G263" s="9" t="n">
        <v>67</v>
      </c>
      <c r="H263" s="9" t="n">
        <v>67</v>
      </c>
      <c r="I263" s="9" t="inlineStr">
        <is>
          <t>Bullpen Depth Arm</t>
        </is>
      </c>
      <c r="J263" s="17" t="inlineStr">
        <is>
          <t>Opening Day</t>
        </is>
      </c>
      <c r="K263" s="11">
        <f>IFERROR(INDEX(Roles!$B$17:$B$20,MATCH(J263,Roles!$A$17:$A$20,0)),1)</f>
        <v/>
      </c>
      <c r="L263" s="18" t="n">
        <v>1</v>
      </c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3">
        <f>SUMPRODUCT(M263:X263,$M$2:$X$2)*$K263*$L263</f>
        <v/>
      </c>
      <c r="Z263" s="14">
        <f>SUM(M263:X263)</f>
        <v/>
      </c>
      <c r="AA263" s="13">
        <f>SUMPRODUCT(M263:X263,$M$3:$X$3)*$K263*$L263</f>
        <v/>
      </c>
      <c r="AB263" s="13">
        <f>SUMPRODUCT(M263:X263,$M$4:$X$4)*$K263*$L263</f>
        <v/>
      </c>
      <c r="AC263" s="15">
        <f>SUMPRODUCT(M263:X263,$M$5:$X$5)*$K263*$L263</f>
        <v/>
      </c>
      <c r="AD263" s="15">
        <f>SUMPRODUCT(M263:X263,$M$6:$X$6)*$K263*$L263</f>
        <v/>
      </c>
      <c r="AE263" s="19" t="n"/>
    </row>
    <row r="264">
      <c r="A264" s="9" t="n">
        <v>668674</v>
      </c>
      <c r="B264" s="9" t="inlineStr">
        <is>
          <t>Lucas Erceg</t>
        </is>
      </c>
      <c r="C264" s="9" t="inlineStr">
        <is>
          <t>KC</t>
        </is>
      </c>
      <c r="D264" s="9" t="n">
        <v>32</v>
      </c>
      <c r="E264" s="17" t="inlineStr">
        <is>
          <t>R</t>
        </is>
      </c>
      <c r="F264" s="17" t="n"/>
      <c r="G264" s="9" t="n">
        <v>112</v>
      </c>
      <c r="H264" s="9" t="n">
        <v>865</v>
      </c>
      <c r="I264" s="9" t="inlineStr">
        <is>
          <t>Middle Relief</t>
        </is>
      </c>
      <c r="J264" s="17" t="inlineStr">
        <is>
          <t>Opening Day</t>
        </is>
      </c>
      <c r="K264" s="11">
        <f>IFERROR(INDEX(Roles!$B$17:$B$20,MATCH(J264,Roles!$A$17:$A$20,0)),1)</f>
        <v/>
      </c>
      <c r="L264" s="18" t="n">
        <v>1</v>
      </c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3">
        <f>SUMPRODUCT(M264:X264,$M$2:$X$2)*$K264*$L264</f>
        <v/>
      </c>
      <c r="Z264" s="14">
        <f>SUM(M264:X264)</f>
        <v/>
      </c>
      <c r="AA264" s="13">
        <f>SUMPRODUCT(M264:X264,$M$3:$X$3)*$K264*$L264</f>
        <v/>
      </c>
      <c r="AB264" s="13">
        <f>SUMPRODUCT(M264:X264,$M$4:$X$4)*$K264*$L264</f>
        <v/>
      </c>
      <c r="AC264" s="15">
        <f>SUMPRODUCT(M264:X264,$M$5:$X$5)*$K264*$L264</f>
        <v/>
      </c>
      <c r="AD264" s="15">
        <f>SUMPRODUCT(M264:X264,$M$6:$X$6)*$K264*$L264</f>
        <v/>
      </c>
      <c r="AE264" s="19" t="n"/>
    </row>
    <row r="265">
      <c r="A265" s="9" t="n">
        <v>687911</v>
      </c>
      <c r="B265" s="9" t="inlineStr">
        <is>
          <t>Bryan King</t>
        </is>
      </c>
      <c r="C265" s="9" t="inlineStr">
        <is>
          <t>HOU</t>
        </is>
      </c>
      <c r="D265" s="9" t="n">
        <v>30</v>
      </c>
      <c r="E265" s="17" t="inlineStr">
        <is>
          <t>L</t>
        </is>
      </c>
      <c r="F265" s="17" t="n"/>
      <c r="G265" s="9" t="n">
        <v>122</v>
      </c>
      <c r="H265" s="9" t="n">
        <v>506</v>
      </c>
      <c r="I265" s="9" t="inlineStr">
        <is>
          <t>Closer</t>
        </is>
      </c>
      <c r="J265" s="17" t="inlineStr">
        <is>
          <t>Opening Day</t>
        </is>
      </c>
      <c r="K265" s="11">
        <f>IFERROR(INDEX(Roles!$B$17:$B$20,MATCH(J265,Roles!$A$17:$A$20,0)),1)</f>
        <v/>
      </c>
      <c r="L265" s="18" t="n">
        <v>1</v>
      </c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3">
        <f>SUMPRODUCT(M265:X265,$M$2:$X$2)*$K265*$L265</f>
        <v/>
      </c>
      <c r="Z265" s="14">
        <f>SUM(M265:X265)</f>
        <v/>
      </c>
      <c r="AA265" s="13">
        <f>SUMPRODUCT(M265:X265,$M$3:$X$3)*$K265*$L265</f>
        <v/>
      </c>
      <c r="AB265" s="13">
        <f>SUMPRODUCT(M265:X265,$M$4:$X$4)*$K265*$L265</f>
        <v/>
      </c>
      <c r="AC265" s="15">
        <f>SUMPRODUCT(M265:X265,$M$5:$X$5)*$K265*$L265</f>
        <v/>
      </c>
      <c r="AD265" s="15">
        <f>SUMPRODUCT(M265:X265,$M$6:$X$6)*$K265*$L265</f>
        <v/>
      </c>
      <c r="AE265" s="19" t="n"/>
    </row>
    <row r="266">
      <c r="A266" s="9" t="n">
        <v>656876</v>
      </c>
      <c r="B266" s="9" t="inlineStr">
        <is>
          <t>Drew Rasmussen</t>
        </is>
      </c>
      <c r="C266" s="9" t="inlineStr">
        <is>
          <t>TB</t>
        </is>
      </c>
      <c r="D266" s="9" t="n">
        <v>31</v>
      </c>
      <c r="E266" s="17" t="inlineStr">
        <is>
          <t>R</t>
        </is>
      </c>
      <c r="F266" s="17" t="n"/>
      <c r="G266" s="9" t="n">
        <v>261</v>
      </c>
      <c r="H266" s="9" t="n">
        <v>1723</v>
      </c>
      <c r="I266" s="9" t="inlineStr">
        <is>
          <t>End-of-Rotation Starter (SP4-5)</t>
        </is>
      </c>
      <c r="J266" s="17" t="inlineStr">
        <is>
          <t>Opening Day</t>
        </is>
      </c>
      <c r="K266" s="11">
        <f>IFERROR(INDEX(Roles!$B$17:$B$20,MATCH(J266,Roles!$A$17:$A$20,0)),1)</f>
        <v/>
      </c>
      <c r="L266" s="18" t="n">
        <v>1</v>
      </c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3">
        <f>SUMPRODUCT(M266:X266,$M$2:$X$2)*$K266*$L266</f>
        <v/>
      </c>
      <c r="Z266" s="14">
        <f>SUM(M266:X266)</f>
        <v/>
      </c>
      <c r="AA266" s="13">
        <f>SUMPRODUCT(M266:X266,$M$3:$X$3)*$K266*$L266</f>
        <v/>
      </c>
      <c r="AB266" s="13">
        <f>SUMPRODUCT(M266:X266,$M$4:$X$4)*$K266*$L266</f>
        <v/>
      </c>
      <c r="AC266" s="15">
        <f>SUMPRODUCT(M266:X266,$M$5:$X$5)*$K266*$L266</f>
        <v/>
      </c>
      <c r="AD266" s="15">
        <f>SUMPRODUCT(M266:X266,$M$6:$X$6)*$K266*$L266</f>
        <v/>
      </c>
      <c r="AE266" s="19" t="n"/>
    </row>
    <row r="267">
      <c r="A267" s="9" t="n">
        <v>608371</v>
      </c>
      <c r="B267" s="9" t="inlineStr">
        <is>
          <t>Lucas Sims</t>
        </is>
      </c>
      <c r="C267" s="9" t="inlineStr">
        <is>
          <t>CWS</t>
        </is>
      </c>
      <c r="D267" s="9" t="n">
        <v>33</v>
      </c>
      <c r="E267" s="17" t="inlineStr">
        <is>
          <t>R</t>
        </is>
      </c>
      <c r="F267" s="17" t="n"/>
      <c r="G267" s="9" t="n">
        <v>46</v>
      </c>
      <c r="H267" s="9" t="n">
        <v>622</v>
      </c>
      <c r="I267" s="9" t="inlineStr">
        <is>
          <t>Bullpen Depth Arm</t>
        </is>
      </c>
      <c r="J267" s="17" t="inlineStr">
        <is>
          <t>Opening Day</t>
        </is>
      </c>
      <c r="K267" s="11">
        <f>IFERROR(INDEX(Roles!$B$17:$B$20,MATCH(J267,Roles!$A$17:$A$20,0)),1)</f>
        <v/>
      </c>
      <c r="L267" s="18" t="n">
        <v>1</v>
      </c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3">
        <f>SUMPRODUCT(M267:X267,$M$2:$X$2)*$K267*$L267</f>
        <v/>
      </c>
      <c r="Z267" s="14">
        <f>SUM(M267:X267)</f>
        <v/>
      </c>
      <c r="AA267" s="13">
        <f>SUMPRODUCT(M267:X267,$M$3:$X$3)*$K267*$L267</f>
        <v/>
      </c>
      <c r="AB267" s="13">
        <f>SUMPRODUCT(M267:X267,$M$4:$X$4)*$K267*$L267</f>
        <v/>
      </c>
      <c r="AC267" s="15">
        <f>SUMPRODUCT(M267:X267,$M$5:$X$5)*$K267*$L267</f>
        <v/>
      </c>
      <c r="AD267" s="15">
        <f>SUMPRODUCT(M267:X267,$M$6:$X$6)*$K267*$L267</f>
        <v/>
      </c>
      <c r="AE267" s="19" t="n"/>
    </row>
    <row r="268">
      <c r="A268" s="9" t="n">
        <v>676617</v>
      </c>
      <c r="B268" s="9" t="inlineStr">
        <is>
          <t>Riley O'Brien</t>
        </is>
      </c>
      <c r="C268" s="9" t="inlineStr">
        <is>
          <t>STL</t>
        </is>
      </c>
      <c r="D268" s="9" t="n">
        <v>32</v>
      </c>
      <c r="E268" s="17" t="inlineStr">
        <is>
          <t>R</t>
        </is>
      </c>
      <c r="F268" s="17" t="n"/>
      <c r="G268" s="9" t="n">
        <v>123</v>
      </c>
      <c r="H268" s="9" t="n">
        <v>373</v>
      </c>
      <c r="I268" s="9" t="inlineStr">
        <is>
          <t>Closer</t>
        </is>
      </c>
      <c r="J268" s="17" t="inlineStr">
        <is>
          <t>Opening Day</t>
        </is>
      </c>
      <c r="K268" s="11">
        <f>IFERROR(INDEX(Roles!$B$17:$B$20,MATCH(J268,Roles!$A$17:$A$20,0)),1)</f>
        <v/>
      </c>
      <c r="L268" s="18" t="n">
        <v>1</v>
      </c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3">
        <f>SUMPRODUCT(M268:X268,$M$2:$X$2)*$K268*$L268</f>
        <v/>
      </c>
      <c r="Z268" s="14">
        <f>SUM(M268:X268)</f>
        <v/>
      </c>
      <c r="AA268" s="13">
        <f>SUMPRODUCT(M268:X268,$M$3:$X$3)*$K268*$L268</f>
        <v/>
      </c>
      <c r="AB268" s="13">
        <f>SUMPRODUCT(M268:X268,$M$4:$X$4)*$K268*$L268</f>
        <v/>
      </c>
      <c r="AC268" s="15">
        <f>SUMPRODUCT(M268:X268,$M$5:$X$5)*$K268*$L268</f>
        <v/>
      </c>
      <c r="AD268" s="15">
        <f>SUMPRODUCT(M268:X268,$M$6:$X$6)*$K268*$L268</f>
        <v/>
      </c>
      <c r="AE268" s="19" t="n"/>
    </row>
    <row r="269">
      <c r="A269" s="9" t="n">
        <v>543518</v>
      </c>
      <c r="B269" s="9" t="inlineStr">
        <is>
          <t>Scott McGough</t>
        </is>
      </c>
      <c r="C269" s="9" t="inlineStr">
        <is>
          <t>OAK</t>
        </is>
      </c>
      <c r="D269" s="9" t="n">
        <v>37</v>
      </c>
      <c r="E269" s="17" t="inlineStr">
        <is>
          <t>R</t>
        </is>
      </c>
      <c r="F269" s="17" t="n"/>
      <c r="G269" s="9" t="n">
        <v>75</v>
      </c>
      <c r="H269" s="9" t="n">
        <v>526</v>
      </c>
      <c r="I269" s="9" t="inlineStr">
        <is>
          <t>Bullpen Depth Arm</t>
        </is>
      </c>
      <c r="J269" s="17" t="inlineStr">
        <is>
          <t>Opening Day</t>
        </is>
      </c>
      <c r="K269" s="11">
        <f>IFERROR(INDEX(Roles!$B$17:$B$20,MATCH(J269,Roles!$A$17:$A$20,0)),1)</f>
        <v/>
      </c>
      <c r="L269" s="18" t="n">
        <v>1</v>
      </c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3">
        <f>SUMPRODUCT(M269:X269,$M$2:$X$2)*$K269*$L269</f>
        <v/>
      </c>
      <c r="Z269" s="14">
        <f>SUM(M269:X269)</f>
        <v/>
      </c>
      <c r="AA269" s="13">
        <f>SUMPRODUCT(M269:X269,$M$3:$X$3)*$K269*$L269</f>
        <v/>
      </c>
      <c r="AB269" s="13">
        <f>SUMPRODUCT(M269:X269,$M$4:$X$4)*$K269*$L269</f>
        <v/>
      </c>
      <c r="AC269" s="15">
        <f>SUMPRODUCT(M269:X269,$M$5:$X$5)*$K269*$L269</f>
        <v/>
      </c>
      <c r="AD269" s="15">
        <f>SUMPRODUCT(M269:X269,$M$6:$X$6)*$K269*$L269</f>
        <v/>
      </c>
      <c r="AE269" s="19" t="n"/>
    </row>
    <row r="270">
      <c r="A270" s="9" t="n">
        <v>623474</v>
      </c>
      <c r="B270" s="9" t="inlineStr">
        <is>
          <t>Jimmy Herget</t>
        </is>
      </c>
      <c r="C270" s="9" t="inlineStr">
        <is>
          <t>COL</t>
        </is>
      </c>
      <c r="D270" s="9" t="n">
        <v>33</v>
      </c>
      <c r="E270" s="17" t="inlineStr">
        <is>
          <t>R</t>
        </is>
      </c>
      <c r="F270" s="17" t="n"/>
      <c r="G270" s="9" t="n">
        <v>70</v>
      </c>
      <c r="H270" s="9" t="n">
        <v>862</v>
      </c>
      <c r="I270" s="9" t="inlineStr">
        <is>
          <t>Late Inning RP (Setup)</t>
        </is>
      </c>
      <c r="J270" s="17" t="inlineStr">
        <is>
          <t>Opening Day</t>
        </is>
      </c>
      <c r="K270" s="11">
        <f>IFERROR(INDEX(Roles!$B$17:$B$20,MATCH(J270,Roles!$A$17:$A$20,0)),1)</f>
        <v/>
      </c>
      <c r="L270" s="18" t="n">
        <v>1</v>
      </c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3">
        <f>SUMPRODUCT(M270:X270,$M$2:$X$2)*$K270*$L270</f>
        <v/>
      </c>
      <c r="Z270" s="14">
        <f>SUM(M270:X270)</f>
        <v/>
      </c>
      <c r="AA270" s="13">
        <f>SUMPRODUCT(M270:X270,$M$3:$X$3)*$K270*$L270</f>
        <v/>
      </c>
      <c r="AB270" s="13">
        <f>SUMPRODUCT(M270:X270,$M$4:$X$4)*$K270*$L270</f>
        <v/>
      </c>
      <c r="AC270" s="15">
        <f>SUMPRODUCT(M270:X270,$M$5:$X$5)*$K270*$L270</f>
        <v/>
      </c>
      <c r="AD270" s="15">
        <f>SUMPRODUCT(M270:X270,$M$6:$X$6)*$K270*$L270</f>
        <v/>
      </c>
      <c r="AE270" s="19" t="n"/>
    </row>
    <row r="271">
      <c r="A271" s="9" t="n">
        <v>663460</v>
      </c>
      <c r="B271" s="9" t="inlineStr">
        <is>
          <t>Kris Bubic</t>
        </is>
      </c>
      <c r="C271" s="9" t="inlineStr">
        <is>
          <t>KC</t>
        </is>
      </c>
      <c r="D271" s="9" t="n">
        <v>29</v>
      </c>
      <c r="E271" s="17" t="inlineStr">
        <is>
          <t>L</t>
        </is>
      </c>
      <c r="F271" s="17" t="n"/>
      <c r="G271" s="9" t="n">
        <v>207</v>
      </c>
      <c r="H271" s="9" t="n">
        <v>1459</v>
      </c>
      <c r="I271" s="9" t="inlineStr">
        <is>
          <t>Mid-Rotation Starter (SP2-3)</t>
        </is>
      </c>
      <c r="J271" s="17" t="inlineStr">
        <is>
          <t>Opening Day</t>
        </is>
      </c>
      <c r="K271" s="11">
        <f>IFERROR(INDEX(Roles!$B$17:$B$20,MATCH(J271,Roles!$A$17:$A$20,0)),1)</f>
        <v/>
      </c>
      <c r="L271" s="18" t="n">
        <v>1</v>
      </c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3">
        <f>SUMPRODUCT(M271:X271,$M$2:$X$2)*$K271*$L271</f>
        <v/>
      </c>
      <c r="Z271" s="14">
        <f>SUM(M271:X271)</f>
        <v/>
      </c>
      <c r="AA271" s="13">
        <f>SUMPRODUCT(M271:X271,$M$3:$X$3)*$K271*$L271</f>
        <v/>
      </c>
      <c r="AB271" s="13">
        <f>SUMPRODUCT(M271:X271,$M$4:$X$4)*$K271*$L271</f>
        <v/>
      </c>
      <c r="AC271" s="15">
        <f>SUMPRODUCT(M271:X271,$M$5:$X$5)*$K271*$L271</f>
        <v/>
      </c>
      <c r="AD271" s="15">
        <f>SUMPRODUCT(M271:X271,$M$6:$X$6)*$K271*$L271</f>
        <v/>
      </c>
      <c r="AE271" s="19" t="n"/>
    </row>
    <row r="272">
      <c r="A272" s="9" t="n">
        <v>674444</v>
      </c>
      <c r="B272" s="9" t="inlineStr">
        <is>
          <t>Steven Cruz</t>
        </is>
      </c>
      <c r="C272" s="9" t="inlineStr">
        <is>
          <t>KC</t>
        </is>
      </c>
      <c r="D272" s="9" t="n">
        <v>28</v>
      </c>
      <c r="E272" s="17" t="inlineStr">
        <is>
          <t>R</t>
        </is>
      </c>
      <c r="F272" s="17" t="n"/>
      <c r="G272" s="9" t="n">
        <v>77</v>
      </c>
      <c r="H272" s="9" t="n">
        <v>346</v>
      </c>
      <c r="I272" s="9" t="inlineStr">
        <is>
          <t>Late Inning RP (Setup)</t>
        </is>
      </c>
      <c r="J272" s="17" t="inlineStr">
        <is>
          <t>Opening Day</t>
        </is>
      </c>
      <c r="K272" s="11">
        <f>IFERROR(INDEX(Roles!$B$17:$B$20,MATCH(J272,Roles!$A$17:$A$20,0)),1)</f>
        <v/>
      </c>
      <c r="L272" s="18" t="n">
        <v>1</v>
      </c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3">
        <f>SUMPRODUCT(M272:X272,$M$2:$X$2)*$K272*$L272</f>
        <v/>
      </c>
      <c r="Z272" s="14">
        <f>SUM(M272:X272)</f>
        <v/>
      </c>
      <c r="AA272" s="13">
        <f>SUMPRODUCT(M272:X272,$M$3:$X$3)*$K272*$L272</f>
        <v/>
      </c>
      <c r="AB272" s="13">
        <f>SUMPRODUCT(M272:X272,$M$4:$X$4)*$K272*$L272</f>
        <v/>
      </c>
      <c r="AC272" s="15">
        <f>SUMPRODUCT(M272:X272,$M$5:$X$5)*$K272*$L272</f>
        <v/>
      </c>
      <c r="AD272" s="15">
        <f>SUMPRODUCT(M272:X272,$M$6:$X$6)*$K272*$L272</f>
        <v/>
      </c>
      <c r="AE272" s="19" t="n"/>
    </row>
    <row r="273">
      <c r="A273" s="9" t="n">
        <v>669372</v>
      </c>
      <c r="B273" s="9" t="inlineStr">
        <is>
          <t>J.T. Ginn</t>
        </is>
      </c>
      <c r="C273" s="9" t="inlineStr">
        <is>
          <t>OAK</t>
        </is>
      </c>
      <c r="D273" s="9" t="n">
        <v>28</v>
      </c>
      <c r="E273" s="17" t="inlineStr">
        <is>
          <t>R</t>
        </is>
      </c>
      <c r="F273" s="17" t="n"/>
      <c r="G273" s="9" t="n">
        <v>290</v>
      </c>
      <c r="H273" s="9" t="n">
        <v>824</v>
      </c>
      <c r="I273" s="9" t="inlineStr">
        <is>
          <t>End-of-Rotation Starter (SP4-5)</t>
        </is>
      </c>
      <c r="J273" s="17" t="inlineStr">
        <is>
          <t>Opening Day</t>
        </is>
      </c>
      <c r="K273" s="11">
        <f>IFERROR(INDEX(Roles!$B$17:$B$20,MATCH(J273,Roles!$A$17:$A$20,0)),1)</f>
        <v/>
      </c>
      <c r="L273" s="18" t="n">
        <v>1</v>
      </c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3">
        <f>SUMPRODUCT(M273:X273,$M$2:$X$2)*$K273*$L273</f>
        <v/>
      </c>
      <c r="Z273" s="14">
        <f>SUM(M273:X273)</f>
        <v/>
      </c>
      <c r="AA273" s="13">
        <f>SUMPRODUCT(M273:X273,$M$3:$X$3)*$K273*$L273</f>
        <v/>
      </c>
      <c r="AB273" s="13">
        <f>SUMPRODUCT(M273:X273,$M$4:$X$4)*$K273*$L273</f>
        <v/>
      </c>
      <c r="AC273" s="15">
        <f>SUMPRODUCT(M273:X273,$M$5:$X$5)*$K273*$L273</f>
        <v/>
      </c>
      <c r="AD273" s="15">
        <f>SUMPRODUCT(M273:X273,$M$6:$X$6)*$K273*$L273</f>
        <v/>
      </c>
      <c r="AE273" s="19" t="n"/>
    </row>
    <row r="274">
      <c r="A274" s="9" t="n">
        <v>670990</v>
      </c>
      <c r="B274" s="9" t="inlineStr">
        <is>
          <t>Yohan Ramírez</t>
        </is>
      </c>
      <c r="C274" s="9" t="inlineStr">
        <is>
          <t>PIT</t>
        </is>
      </c>
      <c r="D274" s="9" t="n">
        <v>32</v>
      </c>
      <c r="E274" s="17" t="inlineStr">
        <is>
          <t>R</t>
        </is>
      </c>
      <c r="F274" s="17" t="n"/>
      <c r="G274" s="9" t="n">
        <v>162</v>
      </c>
      <c r="H274" s="9" t="n">
        <v>868</v>
      </c>
      <c r="I274" s="9" t="inlineStr">
        <is>
          <t>Bullpen Depth Arm</t>
        </is>
      </c>
      <c r="J274" s="17" t="inlineStr">
        <is>
          <t>Opening Day</t>
        </is>
      </c>
      <c r="K274" s="11">
        <f>IFERROR(INDEX(Roles!$B$17:$B$20,MATCH(J274,Roles!$A$17:$A$20,0)),1)</f>
        <v/>
      </c>
      <c r="L274" s="18" t="n">
        <v>1</v>
      </c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3">
        <f>SUMPRODUCT(M274:X274,$M$2:$X$2)*$K274*$L274</f>
        <v/>
      </c>
      <c r="Z274" s="14">
        <f>SUM(M274:X274)</f>
        <v/>
      </c>
      <c r="AA274" s="13">
        <f>SUMPRODUCT(M274:X274,$M$3:$X$3)*$K274*$L274</f>
        <v/>
      </c>
      <c r="AB274" s="13">
        <f>SUMPRODUCT(M274:X274,$M$4:$X$4)*$K274*$L274</f>
        <v/>
      </c>
      <c r="AC274" s="15">
        <f>SUMPRODUCT(M274:X274,$M$5:$X$5)*$K274*$L274</f>
        <v/>
      </c>
      <c r="AD274" s="15">
        <f>SUMPRODUCT(M274:X274,$M$6:$X$6)*$K274*$L274</f>
        <v/>
      </c>
      <c r="AE274" s="19" t="n"/>
    </row>
    <row r="275">
      <c r="A275" s="9" t="n">
        <v>669923</v>
      </c>
      <c r="B275" s="9" t="inlineStr">
        <is>
          <t>George Kirby</t>
        </is>
      </c>
      <c r="C275" s="9" t="inlineStr">
        <is>
          <t>SEA</t>
        </is>
      </c>
      <c r="D275" s="9" t="n">
        <v>29</v>
      </c>
      <c r="E275" s="17" t="inlineStr">
        <is>
          <t>R</t>
        </is>
      </c>
      <c r="F275" s="17" t="n"/>
      <c r="G275" s="9" t="n">
        <v>323</v>
      </c>
      <c r="H275" s="9" t="n">
        <v>2924</v>
      </c>
      <c r="I275" s="9" t="inlineStr">
        <is>
          <t>Mid-Rotation Starter (SP2-3)</t>
        </is>
      </c>
      <c r="J275" s="17" t="inlineStr">
        <is>
          <t>Opening Day</t>
        </is>
      </c>
      <c r="K275" s="11">
        <f>IFERROR(INDEX(Roles!$B$17:$B$20,MATCH(J275,Roles!$A$17:$A$20,0)),1)</f>
        <v/>
      </c>
      <c r="L275" s="18" t="n">
        <v>1</v>
      </c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3">
        <f>SUMPRODUCT(M275:X275,$M$2:$X$2)*$K275*$L275</f>
        <v/>
      </c>
      <c r="Z275" s="14">
        <f>SUM(M275:X275)</f>
        <v/>
      </c>
      <c r="AA275" s="13">
        <f>SUMPRODUCT(M275:X275,$M$3:$X$3)*$K275*$L275</f>
        <v/>
      </c>
      <c r="AB275" s="13">
        <f>SUMPRODUCT(M275:X275,$M$4:$X$4)*$K275*$L275</f>
        <v/>
      </c>
      <c r="AC275" s="15">
        <f>SUMPRODUCT(M275:X275,$M$5:$X$5)*$K275*$L275</f>
        <v/>
      </c>
      <c r="AD275" s="15">
        <f>SUMPRODUCT(M275:X275,$M$6:$X$6)*$K275*$L275</f>
        <v/>
      </c>
      <c r="AE275" s="19" t="n"/>
    </row>
    <row r="276">
      <c r="A276" s="9" t="n">
        <v>675660</v>
      </c>
      <c r="B276" s="9" t="inlineStr">
        <is>
          <t>Shane Drohan</t>
        </is>
      </c>
      <c r="C276" s="9" t="inlineStr">
        <is>
          <t>MIL</t>
        </is>
      </c>
      <c r="D276" s="9" t="n">
        <v>28</v>
      </c>
      <c r="E276" s="17" t="inlineStr">
        <is>
          <t>L</t>
        </is>
      </c>
      <c r="F276" s="17" t="n"/>
      <c r="G276" s="9" t="n">
        <v>154</v>
      </c>
      <c r="H276" s="9" t="n">
        <v>154</v>
      </c>
      <c r="I276" s="9" t="inlineStr">
        <is>
          <t>Middle Relief</t>
        </is>
      </c>
      <c r="J276" s="17" t="inlineStr">
        <is>
          <t>Opening Day</t>
        </is>
      </c>
      <c r="K276" s="11">
        <f>IFERROR(INDEX(Roles!$B$17:$B$20,MATCH(J276,Roles!$A$17:$A$20,0)),1)</f>
        <v/>
      </c>
      <c r="L276" s="18" t="n">
        <v>1</v>
      </c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3">
        <f>SUMPRODUCT(M276:X276,$M$2:$X$2)*$K276*$L276</f>
        <v/>
      </c>
      <c r="Z276" s="14">
        <f>SUM(M276:X276)</f>
        <v/>
      </c>
      <c r="AA276" s="13">
        <f>SUMPRODUCT(M276:X276,$M$3:$X$3)*$K276*$L276</f>
        <v/>
      </c>
      <c r="AB276" s="13">
        <f>SUMPRODUCT(M276:X276,$M$4:$X$4)*$K276*$L276</f>
        <v/>
      </c>
      <c r="AC276" s="15">
        <f>SUMPRODUCT(M276:X276,$M$5:$X$5)*$K276*$L276</f>
        <v/>
      </c>
      <c r="AD276" s="15">
        <f>SUMPRODUCT(M276:X276,$M$6:$X$6)*$K276*$L276</f>
        <v/>
      </c>
      <c r="AE276" s="19" t="n"/>
    </row>
    <row r="277">
      <c r="A277" s="9" t="n">
        <v>681343</v>
      </c>
      <c r="B277" s="9" t="inlineStr">
        <is>
          <t>Shane Smith</t>
        </is>
      </c>
      <c r="C277" s="9" t="inlineStr">
        <is>
          <t>CWS</t>
        </is>
      </c>
      <c r="D277" s="9" t="n">
        <v>27</v>
      </c>
      <c r="E277" s="17" t="inlineStr">
        <is>
          <t>R</t>
        </is>
      </c>
      <c r="F277" s="17" t="n"/>
      <c r="G277" s="9" t="n">
        <v>49</v>
      </c>
      <c r="H277" s="9" t="n">
        <v>665</v>
      </c>
      <c r="I277" s="9" t="inlineStr">
        <is>
          <t>End-of-Rotation Starter (SP4-5)</t>
        </is>
      </c>
      <c r="J277" s="17" t="inlineStr">
        <is>
          <t>Opening Day</t>
        </is>
      </c>
      <c r="K277" s="11">
        <f>IFERROR(INDEX(Roles!$B$17:$B$20,MATCH(J277,Roles!$A$17:$A$20,0)),1)</f>
        <v/>
      </c>
      <c r="L277" s="18" t="n">
        <v>1</v>
      </c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3">
        <f>SUMPRODUCT(M277:X277,$M$2:$X$2)*$K277*$L277</f>
        <v/>
      </c>
      <c r="Z277" s="14">
        <f>SUM(M277:X277)</f>
        <v/>
      </c>
      <c r="AA277" s="13">
        <f>SUMPRODUCT(M277:X277,$M$3:$X$3)*$K277*$L277</f>
        <v/>
      </c>
      <c r="AB277" s="13">
        <f>SUMPRODUCT(M277:X277,$M$4:$X$4)*$K277*$L277</f>
        <v/>
      </c>
      <c r="AC277" s="15">
        <f>SUMPRODUCT(M277:X277,$M$5:$X$5)*$K277*$L277</f>
        <v/>
      </c>
      <c r="AD277" s="15">
        <f>SUMPRODUCT(M277:X277,$M$6:$X$6)*$K277*$L277</f>
        <v/>
      </c>
      <c r="AE277" s="19" t="n"/>
    </row>
    <row r="278">
      <c r="A278" s="9" t="n">
        <v>608331</v>
      </c>
      <c r="B278" s="9" t="inlineStr">
        <is>
          <t>Max Fried</t>
        </is>
      </c>
      <c r="C278" s="9" t="inlineStr">
        <is>
          <t>NYY</t>
        </is>
      </c>
      <c r="D278" s="9" t="n">
        <v>33</v>
      </c>
      <c r="E278" s="17" t="inlineStr">
        <is>
          <t>L</t>
        </is>
      </c>
      <c r="F278" s="17" t="n"/>
      <c r="G278" s="9" t="n">
        <v>240</v>
      </c>
      <c r="H278" s="9" t="n">
        <v>2799</v>
      </c>
      <c r="I278" s="9" t="inlineStr">
        <is>
          <t>Ace (SP1)</t>
        </is>
      </c>
      <c r="J278" s="17" t="inlineStr">
        <is>
          <t>Opening Day</t>
        </is>
      </c>
      <c r="K278" s="11">
        <f>IFERROR(INDEX(Roles!$B$17:$B$20,MATCH(J278,Roles!$A$17:$A$20,0)),1)</f>
        <v/>
      </c>
      <c r="L278" s="18" t="n">
        <v>1</v>
      </c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3">
        <f>SUMPRODUCT(M278:X278,$M$2:$X$2)*$K278*$L278</f>
        <v/>
      </c>
      <c r="Z278" s="14">
        <f>SUM(M278:X278)</f>
        <v/>
      </c>
      <c r="AA278" s="13">
        <f>SUMPRODUCT(M278:X278,$M$3:$X$3)*$K278*$L278</f>
        <v/>
      </c>
      <c r="AB278" s="13">
        <f>SUMPRODUCT(M278:X278,$M$4:$X$4)*$K278*$L278</f>
        <v/>
      </c>
      <c r="AC278" s="15">
        <f>SUMPRODUCT(M278:X278,$M$5:$X$5)*$K278*$L278</f>
        <v/>
      </c>
      <c r="AD278" s="15">
        <f>SUMPRODUCT(M278:X278,$M$6:$X$6)*$K278*$L278</f>
        <v/>
      </c>
      <c r="AE278" s="19" t="n"/>
    </row>
    <row r="279">
      <c r="A279" s="9" t="n">
        <v>837227</v>
      </c>
      <c r="B279" s="9" t="inlineStr">
        <is>
          <t>Tatsuya Imai</t>
        </is>
      </c>
      <c r="C279" s="9" t="inlineStr">
        <is>
          <t>HOU</t>
        </is>
      </c>
      <c r="D279" s="9" t="n">
        <v>29</v>
      </c>
      <c r="E279" s="17" t="inlineStr">
        <is>
          <t>R</t>
        </is>
      </c>
      <c r="F279" s="17" t="n"/>
      <c r="G279" s="9" t="n">
        <v>150</v>
      </c>
      <c r="H279" s="9" t="n">
        <v>150</v>
      </c>
      <c r="I279" s="9" t="inlineStr">
        <is>
          <t>End-of-Rotation Starter (SP4-5)</t>
        </is>
      </c>
      <c r="J279" s="17" t="inlineStr">
        <is>
          <t>Opening Day</t>
        </is>
      </c>
      <c r="K279" s="11">
        <f>IFERROR(INDEX(Roles!$B$17:$B$20,MATCH(J279,Roles!$A$17:$A$20,0)),1)</f>
        <v/>
      </c>
      <c r="L279" s="18" t="n">
        <v>1</v>
      </c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3">
        <f>SUMPRODUCT(M279:X279,$M$2:$X$2)*$K279*$L279</f>
        <v/>
      </c>
      <c r="Z279" s="14">
        <f>SUM(M279:X279)</f>
        <v/>
      </c>
      <c r="AA279" s="13">
        <f>SUMPRODUCT(M279:X279,$M$3:$X$3)*$K279*$L279</f>
        <v/>
      </c>
      <c r="AB279" s="13">
        <f>SUMPRODUCT(M279:X279,$M$4:$X$4)*$K279*$L279</f>
        <v/>
      </c>
      <c r="AC279" s="15">
        <f>SUMPRODUCT(M279:X279,$M$5:$X$5)*$K279*$L279</f>
        <v/>
      </c>
      <c r="AD279" s="15">
        <f>SUMPRODUCT(M279:X279,$M$6:$X$6)*$K279*$L279</f>
        <v/>
      </c>
      <c r="AE279" s="19" t="n"/>
    </row>
    <row r="280">
      <c r="A280" s="9" t="n">
        <v>519141</v>
      </c>
      <c r="B280" s="9" t="inlineStr">
        <is>
          <t>Drew Pomeranz</t>
        </is>
      </c>
      <c r="C280" s="9" t="inlineStr">
        <is>
          <t>LAA</t>
        </is>
      </c>
      <c r="D280" s="9" t="n">
        <v>38</v>
      </c>
      <c r="E280" s="17" t="inlineStr">
        <is>
          <t>L</t>
        </is>
      </c>
      <c r="F280" s="17" t="n"/>
      <c r="G280" s="9" t="n">
        <v>100</v>
      </c>
      <c r="H280" s="9" t="n">
        <v>303</v>
      </c>
      <c r="I280" s="9" t="inlineStr">
        <is>
          <t>Bullpen Depth Arm</t>
        </is>
      </c>
      <c r="J280" s="17" t="inlineStr">
        <is>
          <t>Opening Day</t>
        </is>
      </c>
      <c r="K280" s="11">
        <f>IFERROR(INDEX(Roles!$B$17:$B$20,MATCH(J280,Roles!$A$17:$A$20,0)),1)</f>
        <v/>
      </c>
      <c r="L280" s="18" t="n">
        <v>1</v>
      </c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3">
        <f>SUMPRODUCT(M280:X280,$M$2:$X$2)*$K280*$L280</f>
        <v/>
      </c>
      <c r="Z280" s="14">
        <f>SUM(M280:X280)</f>
        <v/>
      </c>
      <c r="AA280" s="13">
        <f>SUMPRODUCT(M280:X280,$M$3:$X$3)*$K280*$L280</f>
        <v/>
      </c>
      <c r="AB280" s="13">
        <f>SUMPRODUCT(M280:X280,$M$4:$X$4)*$K280*$L280</f>
        <v/>
      </c>
      <c r="AC280" s="15">
        <f>SUMPRODUCT(M280:X280,$M$5:$X$5)*$K280*$L280</f>
        <v/>
      </c>
      <c r="AD280" s="15">
        <f>SUMPRODUCT(M280:X280,$M$6:$X$6)*$K280*$L280</f>
        <v/>
      </c>
      <c r="AE280" s="19" t="n"/>
    </row>
    <row r="281">
      <c r="A281" s="9" t="n">
        <v>681882</v>
      </c>
      <c r="B281" s="9" t="inlineStr">
        <is>
          <t>Colin Selby</t>
        </is>
      </c>
      <c r="C281" s="9" t="inlineStr">
        <is>
          <t>BAL</t>
        </is>
      </c>
      <c r="D281" s="9" t="n">
        <v>29</v>
      </c>
      <c r="E281" s="17" t="inlineStr">
        <is>
          <t>R</t>
        </is>
      </c>
      <c r="F281" s="17" t="n"/>
      <c r="G281" s="9" t="n">
        <v>60</v>
      </c>
      <c r="H281" s="9" t="n">
        <v>202</v>
      </c>
      <c r="I281" s="9" t="inlineStr">
        <is>
          <t>Bullpen Depth Arm</t>
        </is>
      </c>
      <c r="J281" s="17" t="inlineStr">
        <is>
          <t>Opening Day</t>
        </is>
      </c>
      <c r="K281" s="11">
        <f>IFERROR(INDEX(Roles!$B$17:$B$20,MATCH(J281,Roles!$A$17:$A$20,0)),1)</f>
        <v/>
      </c>
      <c r="L281" s="18" t="n">
        <v>1</v>
      </c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3">
        <f>SUMPRODUCT(M281:X281,$M$2:$X$2)*$K281*$L281</f>
        <v/>
      </c>
      <c r="Z281" s="14">
        <f>SUM(M281:X281)</f>
        <v/>
      </c>
      <c r="AA281" s="13">
        <f>SUMPRODUCT(M281:X281,$M$3:$X$3)*$K281*$L281</f>
        <v/>
      </c>
      <c r="AB281" s="13">
        <f>SUMPRODUCT(M281:X281,$M$4:$X$4)*$K281*$L281</f>
        <v/>
      </c>
      <c r="AC281" s="15">
        <f>SUMPRODUCT(M281:X281,$M$5:$X$5)*$K281*$L281</f>
        <v/>
      </c>
      <c r="AD281" s="15">
        <f>SUMPRODUCT(M281:X281,$M$6:$X$6)*$K281*$L281</f>
        <v/>
      </c>
      <c r="AE281" s="19" t="n"/>
    </row>
    <row r="282">
      <c r="A282" s="9" t="n">
        <v>663321</v>
      </c>
      <c r="B282" s="9" t="inlineStr">
        <is>
          <t>Nick Hernandez</t>
        </is>
      </c>
      <c r="C282" s="9" t="inlineStr">
        <is>
          <t>HOU</t>
        </is>
      </c>
      <c r="D282" s="9" t="n">
        <v>32</v>
      </c>
      <c r="E282" s="17" t="inlineStr">
        <is>
          <t>R</t>
        </is>
      </c>
      <c r="F282" s="17" t="n"/>
      <c r="G282" s="9" t="n">
        <v>52</v>
      </c>
      <c r="H282" s="9" t="n">
        <v>104</v>
      </c>
      <c r="I282" s="9" t="inlineStr">
        <is>
          <t>Bullpen Depth Arm</t>
        </is>
      </c>
      <c r="J282" s="17" t="inlineStr">
        <is>
          <t>Opening Day</t>
        </is>
      </c>
      <c r="K282" s="11">
        <f>IFERROR(INDEX(Roles!$B$17:$B$20,MATCH(J282,Roles!$A$17:$A$20,0)),1)</f>
        <v/>
      </c>
      <c r="L282" s="18" t="n">
        <v>1</v>
      </c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3">
        <f>SUMPRODUCT(M282:X282,$M$2:$X$2)*$K282*$L282</f>
        <v/>
      </c>
      <c r="Z282" s="14">
        <f>SUM(M282:X282)</f>
        <v/>
      </c>
      <c r="AA282" s="13">
        <f>SUMPRODUCT(M282:X282,$M$3:$X$3)*$K282*$L282</f>
        <v/>
      </c>
      <c r="AB282" s="13">
        <f>SUMPRODUCT(M282:X282,$M$4:$X$4)*$K282*$L282</f>
        <v/>
      </c>
      <c r="AC282" s="15">
        <f>SUMPRODUCT(M282:X282,$M$5:$X$5)*$K282*$L282</f>
        <v/>
      </c>
      <c r="AD282" s="15">
        <f>SUMPRODUCT(M282:X282,$M$6:$X$6)*$K282*$L282</f>
        <v/>
      </c>
      <c r="AE282" s="19" t="n"/>
    </row>
    <row r="283">
      <c r="A283" s="9" t="n">
        <v>642016</v>
      </c>
      <c r="B283" s="9" t="inlineStr">
        <is>
          <t>Daniel Robert</t>
        </is>
      </c>
      <c r="C283" s="9" t="inlineStr">
        <is>
          <t>PHI</t>
        </is>
      </c>
      <c r="D283" s="9" t="n">
        <v>32</v>
      </c>
      <c r="E283" s="17" t="inlineStr">
        <is>
          <t>R</t>
        </is>
      </c>
      <c r="F283" s="17" t="n"/>
      <c r="G283" s="9" t="n">
        <v>59</v>
      </c>
      <c r="H283" s="9" t="n">
        <v>85</v>
      </c>
      <c r="I283" s="9" t="inlineStr">
        <is>
          <t>Bullpen Depth Arm</t>
        </is>
      </c>
      <c r="J283" s="17" t="inlineStr">
        <is>
          <t>Opening Day</t>
        </is>
      </c>
      <c r="K283" s="11">
        <f>IFERROR(INDEX(Roles!$B$17:$B$20,MATCH(J283,Roles!$A$17:$A$20,0)),1)</f>
        <v/>
      </c>
      <c r="L283" s="18" t="n">
        <v>1</v>
      </c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3">
        <f>SUMPRODUCT(M283:X283,$M$2:$X$2)*$K283*$L283</f>
        <v/>
      </c>
      <c r="Z283" s="14">
        <f>SUM(M283:X283)</f>
        <v/>
      </c>
      <c r="AA283" s="13">
        <f>SUMPRODUCT(M283:X283,$M$3:$X$3)*$K283*$L283</f>
        <v/>
      </c>
      <c r="AB283" s="13">
        <f>SUMPRODUCT(M283:X283,$M$4:$X$4)*$K283*$L283</f>
        <v/>
      </c>
      <c r="AC283" s="15">
        <f>SUMPRODUCT(M283:X283,$M$5:$X$5)*$K283*$L283</f>
        <v/>
      </c>
      <c r="AD283" s="15">
        <f>SUMPRODUCT(M283:X283,$M$6:$X$6)*$K283*$L283</f>
        <v/>
      </c>
      <c r="AE283" s="19" t="n"/>
    </row>
    <row r="284">
      <c r="A284" s="9" t="n">
        <v>689017</v>
      </c>
      <c r="B284" s="9" t="inlineStr">
        <is>
          <t>Landon Knack</t>
        </is>
      </c>
      <c r="C284" s="9" t="inlineStr">
        <is>
          <t>LAD</t>
        </is>
      </c>
      <c r="D284" s="9" t="n">
        <v>29</v>
      </c>
      <c r="E284" s="17" t="inlineStr">
        <is>
          <t>R</t>
        </is>
      </c>
      <c r="F284" s="17" t="n"/>
      <c r="G284" s="9" t="n">
        <v>185</v>
      </c>
      <c r="H284" s="9" t="n">
        <v>471</v>
      </c>
      <c r="I284" s="9" t="inlineStr">
        <is>
          <t>End-of-Rotation Starter (SP4-5)</t>
        </is>
      </c>
      <c r="J284" s="17" t="inlineStr">
        <is>
          <t>Opening Day</t>
        </is>
      </c>
      <c r="K284" s="11">
        <f>IFERROR(INDEX(Roles!$B$17:$B$20,MATCH(J284,Roles!$A$17:$A$20,0)),1)</f>
        <v/>
      </c>
      <c r="L284" s="18" t="n">
        <v>1</v>
      </c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3">
        <f>SUMPRODUCT(M284:X284,$M$2:$X$2)*$K284*$L284</f>
        <v/>
      </c>
      <c r="Z284" s="14">
        <f>SUM(M284:X284)</f>
        <v/>
      </c>
      <c r="AA284" s="13">
        <f>SUMPRODUCT(M284:X284,$M$3:$X$3)*$K284*$L284</f>
        <v/>
      </c>
      <c r="AB284" s="13">
        <f>SUMPRODUCT(M284:X284,$M$4:$X$4)*$K284*$L284</f>
        <v/>
      </c>
      <c r="AC284" s="15">
        <f>SUMPRODUCT(M284:X284,$M$5:$X$5)*$K284*$L284</f>
        <v/>
      </c>
      <c r="AD284" s="15">
        <f>SUMPRODUCT(M284:X284,$M$6:$X$6)*$K284*$L284</f>
        <v/>
      </c>
      <c r="AE284" s="19" t="n"/>
    </row>
    <row r="285">
      <c r="A285" s="9" t="n">
        <v>641401</v>
      </c>
      <c r="B285" s="9" t="inlineStr">
        <is>
          <t>Connor Brogdon</t>
        </is>
      </c>
      <c r="C285" s="9" t="inlineStr">
        <is>
          <t>CLE</t>
        </is>
      </c>
      <c r="D285" s="9" t="n">
        <v>32</v>
      </c>
      <c r="E285" s="17" t="inlineStr">
        <is>
          <t>R</t>
        </is>
      </c>
      <c r="F285" s="17" t="n"/>
      <c r="G285" s="9" t="n">
        <v>67</v>
      </c>
      <c r="H285" s="9" t="n">
        <v>600</v>
      </c>
      <c r="I285" s="9" t="inlineStr">
        <is>
          <t>Bullpen Depth Arm</t>
        </is>
      </c>
      <c r="J285" s="17" t="inlineStr">
        <is>
          <t>Opening Day</t>
        </is>
      </c>
      <c r="K285" s="11">
        <f>IFERROR(INDEX(Roles!$B$17:$B$20,MATCH(J285,Roles!$A$17:$A$20,0)),1)</f>
        <v/>
      </c>
      <c r="L285" s="18" t="n">
        <v>1</v>
      </c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3">
        <f>SUMPRODUCT(M285:X285,$M$2:$X$2)*$K285*$L285</f>
        <v/>
      </c>
      <c r="Z285" s="14">
        <f>SUM(M285:X285)</f>
        <v/>
      </c>
      <c r="AA285" s="13">
        <f>SUMPRODUCT(M285:X285,$M$3:$X$3)*$K285*$L285</f>
        <v/>
      </c>
      <c r="AB285" s="13">
        <f>SUMPRODUCT(M285:X285,$M$4:$X$4)*$K285*$L285</f>
        <v/>
      </c>
      <c r="AC285" s="15">
        <f>SUMPRODUCT(M285:X285,$M$5:$X$5)*$K285*$L285</f>
        <v/>
      </c>
      <c r="AD285" s="15">
        <f>SUMPRODUCT(M285:X285,$M$6:$X$6)*$K285*$L285</f>
        <v/>
      </c>
      <c r="AE285" s="19" t="n"/>
    </row>
    <row r="286">
      <c r="A286" s="9" t="n">
        <v>694477</v>
      </c>
      <c r="B286" s="9" t="inlineStr">
        <is>
          <t>Chad Patrick</t>
        </is>
      </c>
      <c r="C286" s="9" t="inlineStr">
        <is>
          <t>MIL</t>
        </is>
      </c>
      <c r="D286" s="9" t="n">
        <v>28</v>
      </c>
      <c r="E286" s="17" t="inlineStr">
        <is>
          <t>R</t>
        </is>
      </c>
      <c r="F286" s="17" t="n"/>
      <c r="G286" s="9" t="n">
        <v>210</v>
      </c>
      <c r="H286" s="9" t="n">
        <v>713</v>
      </c>
      <c r="I286" s="9" t="inlineStr">
        <is>
          <t>End-of-Rotation Starter (SP4-5)</t>
        </is>
      </c>
      <c r="J286" s="17" t="inlineStr">
        <is>
          <t>Opening Day</t>
        </is>
      </c>
      <c r="K286" s="11">
        <f>IFERROR(INDEX(Roles!$B$17:$B$20,MATCH(J286,Roles!$A$17:$A$20,0)),1)</f>
        <v/>
      </c>
      <c r="L286" s="18" t="n">
        <v>1</v>
      </c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3">
        <f>SUMPRODUCT(M286:X286,$M$2:$X$2)*$K286*$L286</f>
        <v/>
      </c>
      <c r="Z286" s="14">
        <f>SUM(M286:X286)</f>
        <v/>
      </c>
      <c r="AA286" s="13">
        <f>SUMPRODUCT(M286:X286,$M$3:$X$3)*$K286*$L286</f>
        <v/>
      </c>
      <c r="AB286" s="13">
        <f>SUMPRODUCT(M286:X286,$M$4:$X$4)*$K286*$L286</f>
        <v/>
      </c>
      <c r="AC286" s="15">
        <f>SUMPRODUCT(M286:X286,$M$5:$X$5)*$K286*$L286</f>
        <v/>
      </c>
      <c r="AD286" s="15">
        <f>SUMPRODUCT(M286:X286,$M$6:$X$6)*$K286*$L286</f>
        <v/>
      </c>
      <c r="AE286" s="19" t="n"/>
    </row>
    <row r="287">
      <c r="A287" s="9" t="n">
        <v>657376</v>
      </c>
      <c r="B287" s="9" t="inlineStr">
        <is>
          <t>Clarke Schmidt</t>
        </is>
      </c>
      <c r="C287" s="9" t="inlineStr">
        <is>
          <t>NYY</t>
        </is>
      </c>
      <c r="D287" s="9" t="n">
        <v>31</v>
      </c>
      <c r="E287" s="17" t="inlineStr">
        <is>
          <t>R</t>
        </is>
      </c>
      <c r="F287" s="17" t="n"/>
      <c r="G287" s="9" t="n">
        <v>316</v>
      </c>
      <c r="H287" s="9" t="n">
        <v>1599</v>
      </c>
      <c r="I287" s="9" t="inlineStr">
        <is>
          <t>Mid-Rotation Starter (SP2-3)</t>
        </is>
      </c>
      <c r="J287" s="17" t="inlineStr">
        <is>
          <t>Opening Day</t>
        </is>
      </c>
      <c r="K287" s="11">
        <f>IFERROR(INDEX(Roles!$B$17:$B$20,MATCH(J287,Roles!$A$17:$A$20,0)),1)</f>
        <v/>
      </c>
      <c r="L287" s="18" t="n">
        <v>1</v>
      </c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3">
        <f>SUMPRODUCT(M287:X287,$M$2:$X$2)*$K287*$L287</f>
        <v/>
      </c>
      <c r="Z287" s="14">
        <f>SUM(M287:X287)</f>
        <v/>
      </c>
      <c r="AA287" s="13">
        <f>SUMPRODUCT(M287:X287,$M$3:$X$3)*$K287*$L287</f>
        <v/>
      </c>
      <c r="AB287" s="13">
        <f>SUMPRODUCT(M287:X287,$M$4:$X$4)*$K287*$L287</f>
        <v/>
      </c>
      <c r="AC287" s="15">
        <f>SUMPRODUCT(M287:X287,$M$5:$X$5)*$K287*$L287</f>
        <v/>
      </c>
      <c r="AD287" s="15">
        <f>SUMPRODUCT(M287:X287,$M$6:$X$6)*$K287*$L287</f>
        <v/>
      </c>
      <c r="AE287" s="19" t="n"/>
    </row>
    <row r="288">
      <c r="A288" s="9" t="n">
        <v>684049</v>
      </c>
      <c r="B288" s="9" t="inlineStr">
        <is>
          <t>Brandan Bidois</t>
        </is>
      </c>
      <c r="C288" s="9" t="inlineStr">
        <is>
          <t>PIT</t>
        </is>
      </c>
      <c r="D288" s="9" t="n">
        <v>26</v>
      </c>
      <c r="E288" s="17" t="inlineStr">
        <is>
          <t>R</t>
        </is>
      </c>
      <c r="F288" s="17" t="n"/>
      <c r="G288" s="9" t="n">
        <v>56</v>
      </c>
      <c r="H288" s="9" t="n">
        <v>56</v>
      </c>
      <c r="I288" s="9" t="inlineStr">
        <is>
          <t>Bullpen Depth Arm</t>
        </is>
      </c>
      <c r="J288" s="17" t="inlineStr">
        <is>
          <t>Opening Day</t>
        </is>
      </c>
      <c r="K288" s="11">
        <f>IFERROR(INDEX(Roles!$B$17:$B$20,MATCH(J288,Roles!$A$17:$A$20,0)),1)</f>
        <v/>
      </c>
      <c r="L288" s="18" t="n">
        <v>1</v>
      </c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3">
        <f>SUMPRODUCT(M288:X288,$M$2:$X$2)*$K288*$L288</f>
        <v/>
      </c>
      <c r="Z288" s="14">
        <f>SUM(M288:X288)</f>
        <v/>
      </c>
      <c r="AA288" s="13">
        <f>SUMPRODUCT(M288:X288,$M$3:$X$3)*$K288*$L288</f>
        <v/>
      </c>
      <c r="AB288" s="13">
        <f>SUMPRODUCT(M288:X288,$M$4:$X$4)*$K288*$L288</f>
        <v/>
      </c>
      <c r="AC288" s="15">
        <f>SUMPRODUCT(M288:X288,$M$5:$X$5)*$K288*$L288</f>
        <v/>
      </c>
      <c r="AD288" s="15">
        <f>SUMPRODUCT(M288:X288,$M$6:$X$6)*$K288*$L288</f>
        <v/>
      </c>
      <c r="AE288" s="19" t="n"/>
    </row>
    <row r="289">
      <c r="A289" s="9" t="n">
        <v>622088</v>
      </c>
      <c r="B289" s="9" t="inlineStr">
        <is>
          <t>Tejay Antone</t>
        </is>
      </c>
      <c r="C289" s="9" t="inlineStr">
        <is>
          <t>CIN</t>
        </is>
      </c>
      <c r="D289" s="9" t="n">
        <v>33</v>
      </c>
      <c r="E289" s="17" t="inlineStr">
        <is>
          <t>R</t>
        </is>
      </c>
      <c r="F289" s="17" t="n"/>
      <c r="G289" s="9" t="n">
        <v>60</v>
      </c>
      <c r="H289" s="9" t="n">
        <v>92</v>
      </c>
      <c r="I289" s="9" t="inlineStr">
        <is>
          <t>Bullpen Depth Arm</t>
        </is>
      </c>
      <c r="J289" s="17" t="inlineStr">
        <is>
          <t>Opening Day</t>
        </is>
      </c>
      <c r="K289" s="11">
        <f>IFERROR(INDEX(Roles!$B$17:$B$20,MATCH(J289,Roles!$A$17:$A$20,0)),1)</f>
        <v/>
      </c>
      <c r="L289" s="18" t="n">
        <v>1</v>
      </c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3">
        <f>SUMPRODUCT(M289:X289,$M$2:$X$2)*$K289*$L289</f>
        <v/>
      </c>
      <c r="Z289" s="14">
        <f>SUM(M289:X289)</f>
        <v/>
      </c>
      <c r="AA289" s="13">
        <f>SUMPRODUCT(M289:X289,$M$3:$X$3)*$K289*$L289</f>
        <v/>
      </c>
      <c r="AB289" s="13">
        <f>SUMPRODUCT(M289:X289,$M$4:$X$4)*$K289*$L289</f>
        <v/>
      </c>
      <c r="AC289" s="15">
        <f>SUMPRODUCT(M289:X289,$M$5:$X$5)*$K289*$L289</f>
        <v/>
      </c>
      <c r="AD289" s="15">
        <f>SUMPRODUCT(M289:X289,$M$6:$X$6)*$K289*$L289</f>
        <v/>
      </c>
      <c r="AE289" s="19" t="n"/>
    </row>
    <row r="290">
      <c r="A290" s="9" t="n">
        <v>678906</v>
      </c>
      <c r="B290" s="9" t="inlineStr">
        <is>
          <t>Kai-Wei Teng</t>
        </is>
      </c>
      <c r="C290" s="9" t="inlineStr">
        <is>
          <t>HOU</t>
        </is>
      </c>
      <c r="D290" s="9" t="n">
        <v>28</v>
      </c>
      <c r="E290" s="17" t="inlineStr">
        <is>
          <t>R</t>
        </is>
      </c>
      <c r="F290" s="17" t="n"/>
      <c r="G290" s="9" t="n">
        <v>215</v>
      </c>
      <c r="H290" s="9" t="n">
        <v>409</v>
      </c>
      <c r="I290" s="9" t="inlineStr">
        <is>
          <t>Bullpen Depth Arm</t>
        </is>
      </c>
      <c r="J290" s="17" t="inlineStr">
        <is>
          <t>Opening Day</t>
        </is>
      </c>
      <c r="K290" s="11">
        <f>IFERROR(INDEX(Roles!$B$17:$B$20,MATCH(J290,Roles!$A$17:$A$20,0)),1)</f>
        <v/>
      </c>
      <c r="L290" s="18" t="n">
        <v>1</v>
      </c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3">
        <f>SUMPRODUCT(M290:X290,$M$2:$X$2)*$K290*$L290</f>
        <v/>
      </c>
      <c r="Z290" s="14">
        <f>SUM(M290:X290)</f>
        <v/>
      </c>
      <c r="AA290" s="13">
        <f>SUMPRODUCT(M290:X290,$M$3:$X$3)*$K290*$L290</f>
        <v/>
      </c>
      <c r="AB290" s="13">
        <f>SUMPRODUCT(M290:X290,$M$4:$X$4)*$K290*$L290</f>
        <v/>
      </c>
      <c r="AC290" s="15">
        <f>SUMPRODUCT(M290:X290,$M$5:$X$5)*$K290*$L290</f>
        <v/>
      </c>
      <c r="AD290" s="15">
        <f>SUMPRODUCT(M290:X290,$M$6:$X$6)*$K290*$L290</f>
        <v/>
      </c>
      <c r="AE290" s="19" t="n"/>
    </row>
    <row r="291">
      <c r="A291" s="9" t="n">
        <v>664285</v>
      </c>
      <c r="B291" s="9" t="inlineStr">
        <is>
          <t>Framber Valdez</t>
        </is>
      </c>
      <c r="C291" s="9" t="inlineStr">
        <is>
          <t>DET</t>
        </is>
      </c>
      <c r="D291" s="9" t="n">
        <v>33</v>
      </c>
      <c r="E291" s="17" t="inlineStr">
        <is>
          <t>L</t>
        </is>
      </c>
      <c r="F291" s="17" t="n"/>
      <c r="G291" s="9" t="n">
        <v>317</v>
      </c>
      <c r="H291" s="9" t="n">
        <v>3457</v>
      </c>
      <c r="I291" s="9" t="inlineStr">
        <is>
          <t>Ace (SP1)</t>
        </is>
      </c>
      <c r="J291" s="17" t="inlineStr">
        <is>
          <t>Opening Day</t>
        </is>
      </c>
      <c r="K291" s="11">
        <f>IFERROR(INDEX(Roles!$B$17:$B$20,MATCH(J291,Roles!$A$17:$A$20,0)),1)</f>
        <v/>
      </c>
      <c r="L291" s="18" t="n">
        <v>1</v>
      </c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3">
        <f>SUMPRODUCT(M291:X291,$M$2:$X$2)*$K291*$L291</f>
        <v/>
      </c>
      <c r="Z291" s="14">
        <f>SUM(M291:X291)</f>
        <v/>
      </c>
      <c r="AA291" s="13">
        <f>SUMPRODUCT(M291:X291,$M$3:$X$3)*$K291*$L291</f>
        <v/>
      </c>
      <c r="AB291" s="13">
        <f>SUMPRODUCT(M291:X291,$M$4:$X$4)*$K291*$L291</f>
        <v/>
      </c>
      <c r="AC291" s="15">
        <f>SUMPRODUCT(M291:X291,$M$5:$X$5)*$K291*$L291</f>
        <v/>
      </c>
      <c r="AD291" s="15">
        <f>SUMPRODUCT(M291:X291,$M$6:$X$6)*$K291*$L291</f>
        <v/>
      </c>
      <c r="AE291" s="19" t="n"/>
    </row>
    <row r="292">
      <c r="A292" s="9" t="n">
        <v>668678</v>
      </c>
      <c r="B292" s="9" t="inlineStr">
        <is>
          <t>Zac Gallen</t>
        </is>
      </c>
      <c r="C292" s="9" t="inlineStr">
        <is>
          <t>ARI</t>
        </is>
      </c>
      <c r="D292" s="9" t="n">
        <v>31</v>
      </c>
      <c r="E292" s="17" t="inlineStr">
        <is>
          <t>R</t>
        </is>
      </c>
      <c r="F292" s="17" t="n"/>
      <c r="G292" s="9" t="n">
        <v>312</v>
      </c>
      <c r="H292" s="9" t="n">
        <v>3306</v>
      </c>
      <c r="I292" s="9" t="inlineStr">
        <is>
          <t>Mid-Rotation Starter (SP2-3)</t>
        </is>
      </c>
      <c r="J292" s="17" t="inlineStr">
        <is>
          <t>Opening Day</t>
        </is>
      </c>
      <c r="K292" s="11">
        <f>IFERROR(INDEX(Roles!$B$17:$B$20,MATCH(J292,Roles!$A$17:$A$20,0)),1)</f>
        <v/>
      </c>
      <c r="L292" s="18" t="n">
        <v>1</v>
      </c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3">
        <f>SUMPRODUCT(M292:X292,$M$2:$X$2)*$K292*$L292</f>
        <v/>
      </c>
      <c r="Z292" s="14">
        <f>SUM(M292:X292)</f>
        <v/>
      </c>
      <c r="AA292" s="13">
        <f>SUMPRODUCT(M292:X292,$M$3:$X$3)*$K292*$L292</f>
        <v/>
      </c>
      <c r="AB292" s="13">
        <f>SUMPRODUCT(M292:X292,$M$4:$X$4)*$K292*$L292</f>
        <v/>
      </c>
      <c r="AC292" s="15">
        <f>SUMPRODUCT(M292:X292,$M$5:$X$5)*$K292*$L292</f>
        <v/>
      </c>
      <c r="AD292" s="15">
        <f>SUMPRODUCT(M292:X292,$M$6:$X$6)*$K292*$L292</f>
        <v/>
      </c>
      <c r="AE292" s="19" t="n"/>
    </row>
    <row r="293">
      <c r="A293" s="9" t="n">
        <v>445926</v>
      </c>
      <c r="B293" s="9" t="inlineStr">
        <is>
          <t>Jesse Chavez</t>
        </is>
      </c>
      <c r="C293" s="9" t="inlineStr">
        <is>
          <t>ATL</t>
        </is>
      </c>
      <c r="D293" s="9" t="n">
        <v>43</v>
      </c>
      <c r="E293" s="17" t="inlineStr">
        <is>
          <t>R</t>
        </is>
      </c>
      <c r="F293" s="17" t="n"/>
      <c r="G293" s="9" t="n">
        <v>43</v>
      </c>
      <c r="H293" s="9" t="n">
        <v>743</v>
      </c>
      <c r="I293" s="9" t="inlineStr">
        <is>
          <t>Bullpen Depth Arm</t>
        </is>
      </c>
      <c r="J293" s="17" t="inlineStr">
        <is>
          <t>Opening Day</t>
        </is>
      </c>
      <c r="K293" s="11">
        <f>IFERROR(INDEX(Roles!$B$17:$B$20,MATCH(J293,Roles!$A$17:$A$20,0)),1)</f>
        <v/>
      </c>
      <c r="L293" s="18" t="n">
        <v>1</v>
      </c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3">
        <f>SUMPRODUCT(M293:X293,$M$2:$X$2)*$K293*$L293</f>
        <v/>
      </c>
      <c r="Z293" s="14">
        <f>SUM(M293:X293)</f>
        <v/>
      </c>
      <c r="AA293" s="13">
        <f>SUMPRODUCT(M293:X293,$M$3:$X$3)*$K293*$L293</f>
        <v/>
      </c>
      <c r="AB293" s="13">
        <f>SUMPRODUCT(M293:X293,$M$4:$X$4)*$K293*$L293</f>
        <v/>
      </c>
      <c r="AC293" s="15">
        <f>SUMPRODUCT(M293:X293,$M$5:$X$5)*$K293*$L293</f>
        <v/>
      </c>
      <c r="AD293" s="15">
        <f>SUMPRODUCT(M293:X293,$M$6:$X$6)*$K293*$L293</f>
        <v/>
      </c>
      <c r="AE293" s="19" t="n"/>
    </row>
    <row r="294">
      <c r="A294" s="9" t="n">
        <v>671936</v>
      </c>
      <c r="B294" s="9" t="inlineStr">
        <is>
          <t>Adam Macko</t>
        </is>
      </c>
      <c r="C294" s="9" t="inlineStr">
        <is>
          <t>TOR</t>
        </is>
      </c>
      <c r="D294" s="9" t="n">
        <v>26</v>
      </c>
      <c r="E294" s="17" t="inlineStr">
        <is>
          <t>L</t>
        </is>
      </c>
      <c r="F294" s="17" t="n"/>
      <c r="G294" s="9" t="n">
        <v>48</v>
      </c>
      <c r="H294" s="9" t="n">
        <v>48</v>
      </c>
      <c r="I294" s="9" t="inlineStr">
        <is>
          <t>Bullpen Depth Arm</t>
        </is>
      </c>
      <c r="J294" s="17" t="inlineStr">
        <is>
          <t>Opening Day</t>
        </is>
      </c>
      <c r="K294" s="11">
        <f>IFERROR(INDEX(Roles!$B$17:$B$20,MATCH(J294,Roles!$A$17:$A$20,0)),1)</f>
        <v/>
      </c>
      <c r="L294" s="18" t="n">
        <v>1</v>
      </c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3">
        <f>SUMPRODUCT(M294:X294,$M$2:$X$2)*$K294*$L294</f>
        <v/>
      </c>
      <c r="Z294" s="14">
        <f>SUM(M294:X294)</f>
        <v/>
      </c>
      <c r="AA294" s="13">
        <f>SUMPRODUCT(M294:X294,$M$3:$X$3)*$K294*$L294</f>
        <v/>
      </c>
      <c r="AB294" s="13">
        <f>SUMPRODUCT(M294:X294,$M$4:$X$4)*$K294*$L294</f>
        <v/>
      </c>
      <c r="AC294" s="15">
        <f>SUMPRODUCT(M294:X294,$M$5:$X$5)*$K294*$L294</f>
        <v/>
      </c>
      <c r="AD294" s="15">
        <f>SUMPRODUCT(M294:X294,$M$6:$X$6)*$K294*$L294</f>
        <v/>
      </c>
      <c r="AE294" s="19" t="n"/>
    </row>
    <row r="295">
      <c r="A295" s="9" t="n">
        <v>691172</v>
      </c>
      <c r="B295" s="9" t="inlineStr">
        <is>
          <t>Yosver Zulueta</t>
        </is>
      </c>
      <c r="C295" s="9" t="inlineStr">
        <is>
          <t>CIN</t>
        </is>
      </c>
      <c r="D295" s="9" t="n">
        <v>29</v>
      </c>
      <c r="E295" s="17" t="inlineStr">
        <is>
          <t>R</t>
        </is>
      </c>
      <c r="F295" s="17" t="n"/>
      <c r="G295" s="9" t="n">
        <v>32</v>
      </c>
      <c r="H295" s="9" t="n">
        <v>101</v>
      </c>
      <c r="I295" s="9" t="inlineStr">
        <is>
          <t>Bullpen Depth Arm</t>
        </is>
      </c>
      <c r="J295" s="17" t="inlineStr">
        <is>
          <t>Opening Day</t>
        </is>
      </c>
      <c r="K295" s="11">
        <f>IFERROR(INDEX(Roles!$B$17:$B$20,MATCH(J295,Roles!$A$17:$A$20,0)),1)</f>
        <v/>
      </c>
      <c r="L295" s="18" t="n">
        <v>1</v>
      </c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3">
        <f>SUMPRODUCT(M295:X295,$M$2:$X$2)*$K295*$L295</f>
        <v/>
      </c>
      <c r="Z295" s="14">
        <f>SUM(M295:X295)</f>
        <v/>
      </c>
      <c r="AA295" s="13">
        <f>SUMPRODUCT(M295:X295,$M$3:$X$3)*$K295*$L295</f>
        <v/>
      </c>
      <c r="AB295" s="13">
        <f>SUMPRODUCT(M295:X295,$M$4:$X$4)*$K295*$L295</f>
        <v/>
      </c>
      <c r="AC295" s="15">
        <f>SUMPRODUCT(M295:X295,$M$5:$X$5)*$K295*$L295</f>
        <v/>
      </c>
      <c r="AD295" s="15">
        <f>SUMPRODUCT(M295:X295,$M$6:$X$6)*$K295*$L295</f>
        <v/>
      </c>
      <c r="AE295" s="19" t="n"/>
    </row>
    <row r="296">
      <c r="A296" s="9" t="n">
        <v>685126</v>
      </c>
      <c r="B296" s="9" t="inlineStr">
        <is>
          <t>Brandon Eisert</t>
        </is>
      </c>
      <c r="C296" s="9" t="inlineStr">
        <is>
          <t>CWS</t>
        </is>
      </c>
      <c r="D296" s="9" t="n">
        <v>29</v>
      </c>
      <c r="E296" s="17" t="inlineStr">
        <is>
          <t>L</t>
        </is>
      </c>
      <c r="F296" s="17" t="n"/>
      <c r="G296" s="9" t="n">
        <v>65</v>
      </c>
      <c r="H296" s="9" t="n">
        <v>397</v>
      </c>
      <c r="I296" s="9" t="inlineStr">
        <is>
          <t>Bullpen Depth Arm</t>
        </is>
      </c>
      <c r="J296" s="17" t="inlineStr">
        <is>
          <t>Opening Day</t>
        </is>
      </c>
      <c r="K296" s="11">
        <f>IFERROR(INDEX(Roles!$B$17:$B$20,MATCH(J296,Roles!$A$17:$A$20,0)),1)</f>
        <v/>
      </c>
      <c r="L296" s="18" t="n">
        <v>1</v>
      </c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3">
        <f>SUMPRODUCT(M296:X296,$M$2:$X$2)*$K296*$L296</f>
        <v/>
      </c>
      <c r="Z296" s="14">
        <f>SUM(M296:X296)</f>
        <v/>
      </c>
      <c r="AA296" s="13">
        <f>SUMPRODUCT(M296:X296,$M$3:$X$3)*$K296*$L296</f>
        <v/>
      </c>
      <c r="AB296" s="13">
        <f>SUMPRODUCT(M296:X296,$M$4:$X$4)*$K296*$L296</f>
        <v/>
      </c>
      <c r="AC296" s="15">
        <f>SUMPRODUCT(M296:X296,$M$5:$X$5)*$K296*$L296</f>
        <v/>
      </c>
      <c r="AD296" s="15">
        <f>SUMPRODUCT(M296:X296,$M$6:$X$6)*$K296*$L296</f>
        <v/>
      </c>
      <c r="AE296" s="19" t="n"/>
    </row>
    <row r="297">
      <c r="A297" s="9" t="n">
        <v>684007</v>
      </c>
      <c r="B297" s="9" t="inlineStr">
        <is>
          <t>Shota Imanaga</t>
        </is>
      </c>
      <c r="C297" s="9" t="inlineStr">
        <is>
          <t>CHC</t>
        </is>
      </c>
      <c r="D297" s="9" t="n">
        <v>33</v>
      </c>
      <c r="E297" s="17" t="inlineStr">
        <is>
          <t>L</t>
        </is>
      </c>
      <c r="F297" s="17" t="n"/>
      <c r="G297" s="9" t="n">
        <v>308</v>
      </c>
      <c r="H297" s="9" t="n">
        <v>1569</v>
      </c>
      <c r="I297" s="9" t="inlineStr">
        <is>
          <t>Ace (SP1)</t>
        </is>
      </c>
      <c r="J297" s="17" t="inlineStr">
        <is>
          <t>Opening Day</t>
        </is>
      </c>
      <c r="K297" s="11">
        <f>IFERROR(INDEX(Roles!$B$17:$B$20,MATCH(J297,Roles!$A$17:$A$20,0)),1)</f>
        <v/>
      </c>
      <c r="L297" s="18" t="n">
        <v>1</v>
      </c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3">
        <f>SUMPRODUCT(M297:X297,$M$2:$X$2)*$K297*$L297</f>
        <v/>
      </c>
      <c r="Z297" s="14">
        <f>SUM(M297:X297)</f>
        <v/>
      </c>
      <c r="AA297" s="13">
        <f>SUMPRODUCT(M297:X297,$M$3:$X$3)*$K297*$L297</f>
        <v/>
      </c>
      <c r="AB297" s="13">
        <f>SUMPRODUCT(M297:X297,$M$4:$X$4)*$K297*$L297</f>
        <v/>
      </c>
      <c r="AC297" s="15">
        <f>SUMPRODUCT(M297:X297,$M$5:$X$5)*$K297*$L297</f>
        <v/>
      </c>
      <c r="AD297" s="15">
        <f>SUMPRODUCT(M297:X297,$M$6:$X$6)*$K297*$L297</f>
        <v/>
      </c>
      <c r="AE297" s="19" t="n"/>
    </row>
    <row r="298">
      <c r="A298" s="9" t="n">
        <v>606160</v>
      </c>
      <c r="B298" s="9" t="inlineStr">
        <is>
          <t>Rafael Montero</t>
        </is>
      </c>
      <c r="C298" s="9" t="inlineStr">
        <is>
          <t>DET</t>
        </is>
      </c>
      <c r="D298" s="9" t="n">
        <v>36</v>
      </c>
      <c r="E298" s="17" t="inlineStr">
        <is>
          <t>R</t>
        </is>
      </c>
      <c r="F298" s="17" t="n"/>
      <c r="G298" s="9" t="n">
        <v>253</v>
      </c>
      <c r="H298" s="9" t="n">
        <v>985</v>
      </c>
      <c r="I298" s="9" t="inlineStr">
        <is>
          <t>Middle Relief</t>
        </is>
      </c>
      <c r="J298" s="17" t="inlineStr">
        <is>
          <t>Opening Day</t>
        </is>
      </c>
      <c r="K298" s="11">
        <f>IFERROR(INDEX(Roles!$B$17:$B$20,MATCH(J298,Roles!$A$17:$A$20,0)),1)</f>
        <v/>
      </c>
      <c r="L298" s="18" t="n">
        <v>1</v>
      </c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3">
        <f>SUMPRODUCT(M298:X298,$M$2:$X$2)*$K298*$L298</f>
        <v/>
      </c>
      <c r="Z298" s="14">
        <f>SUM(M298:X298)</f>
        <v/>
      </c>
      <c r="AA298" s="13">
        <f>SUMPRODUCT(M298:X298,$M$3:$X$3)*$K298*$L298</f>
        <v/>
      </c>
      <c r="AB298" s="13">
        <f>SUMPRODUCT(M298:X298,$M$4:$X$4)*$K298*$L298</f>
        <v/>
      </c>
      <c r="AC298" s="15">
        <f>SUMPRODUCT(M298:X298,$M$5:$X$5)*$K298*$L298</f>
        <v/>
      </c>
      <c r="AD298" s="15">
        <f>SUMPRODUCT(M298:X298,$M$6:$X$6)*$K298*$L298</f>
        <v/>
      </c>
      <c r="AE298" s="19" t="n"/>
    </row>
    <row r="299">
      <c r="A299" s="9" t="n">
        <v>666129</v>
      </c>
      <c r="B299" s="9" t="inlineStr">
        <is>
          <t>Braxton Garrett</t>
        </is>
      </c>
      <c r="C299" s="9" t="inlineStr">
        <is>
          <t>MIA</t>
        </is>
      </c>
      <c r="D299" s="9" t="n">
        <v>29</v>
      </c>
      <c r="E299" s="17" t="inlineStr">
        <is>
          <t>L</t>
        </is>
      </c>
      <c r="F299" s="17" t="n"/>
      <c r="G299" s="9" t="n">
        <v>28</v>
      </c>
      <c r="H299" s="9" t="n">
        <v>1221</v>
      </c>
      <c r="I299" s="9" t="inlineStr">
        <is>
          <t>End-of-Rotation Starter (SP4-5)</t>
        </is>
      </c>
      <c r="J299" s="17" t="inlineStr">
        <is>
          <t>Opening Day</t>
        </is>
      </c>
      <c r="K299" s="11">
        <f>IFERROR(INDEX(Roles!$B$17:$B$20,MATCH(J299,Roles!$A$17:$A$20,0)),1)</f>
        <v/>
      </c>
      <c r="L299" s="18" t="n">
        <v>1</v>
      </c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3">
        <f>SUMPRODUCT(M299:X299,$M$2:$X$2)*$K299*$L299</f>
        <v/>
      </c>
      <c r="Z299" s="14">
        <f>SUM(M299:X299)</f>
        <v/>
      </c>
      <c r="AA299" s="13">
        <f>SUMPRODUCT(M299:X299,$M$3:$X$3)*$K299*$L299</f>
        <v/>
      </c>
      <c r="AB299" s="13">
        <f>SUMPRODUCT(M299:X299,$M$4:$X$4)*$K299*$L299</f>
        <v/>
      </c>
      <c r="AC299" s="15">
        <f>SUMPRODUCT(M299:X299,$M$5:$X$5)*$K299*$L299</f>
        <v/>
      </c>
      <c r="AD299" s="15">
        <f>SUMPRODUCT(M299:X299,$M$6:$X$6)*$K299*$L299</f>
        <v/>
      </c>
      <c r="AE299" s="19" t="n"/>
    </row>
    <row r="300">
      <c r="A300" s="9" t="n">
        <v>623211</v>
      </c>
      <c r="B300" s="9" t="inlineStr">
        <is>
          <t>Huascar Brazobán</t>
        </is>
      </c>
      <c r="C300" s="9" t="inlineStr">
        <is>
          <t>NYM</t>
        </is>
      </c>
      <c r="D300" s="9" t="n">
        <v>37</v>
      </c>
      <c r="E300" s="17" t="inlineStr">
        <is>
          <t>R</t>
        </is>
      </c>
      <c r="F300" s="17" t="n"/>
      <c r="G300" s="9" t="n">
        <v>132</v>
      </c>
      <c r="H300" s="9" t="n">
        <v>1009</v>
      </c>
      <c r="I300" s="9" t="inlineStr">
        <is>
          <t>Middle Relief</t>
        </is>
      </c>
      <c r="J300" s="17" t="inlineStr">
        <is>
          <t>Opening Day</t>
        </is>
      </c>
      <c r="K300" s="11">
        <f>IFERROR(INDEX(Roles!$B$17:$B$20,MATCH(J300,Roles!$A$17:$A$20,0)),1)</f>
        <v/>
      </c>
      <c r="L300" s="18" t="n">
        <v>1</v>
      </c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3">
        <f>SUMPRODUCT(M300:X300,$M$2:$X$2)*$K300*$L300</f>
        <v/>
      </c>
      <c r="Z300" s="14">
        <f>SUM(M300:X300)</f>
        <v/>
      </c>
      <c r="AA300" s="13">
        <f>SUMPRODUCT(M300:X300,$M$3:$X$3)*$K300*$L300</f>
        <v/>
      </c>
      <c r="AB300" s="13">
        <f>SUMPRODUCT(M300:X300,$M$4:$X$4)*$K300*$L300</f>
        <v/>
      </c>
      <c r="AC300" s="15">
        <f>SUMPRODUCT(M300:X300,$M$5:$X$5)*$K300*$L300</f>
        <v/>
      </c>
      <c r="AD300" s="15">
        <f>SUMPRODUCT(M300:X300,$M$6:$X$6)*$K300*$L300</f>
        <v/>
      </c>
      <c r="AE300" s="19" t="n"/>
    </row>
    <row r="301">
      <c r="A301" s="9" t="n">
        <v>543859</v>
      </c>
      <c r="B301" s="9" t="inlineStr">
        <is>
          <t>Michael Tonkin</t>
        </is>
      </c>
      <c r="C301" s="9" t="inlineStr">
        <is>
          <t>MIN</t>
        </is>
      </c>
      <c r="D301" s="9" t="n">
        <v>37</v>
      </c>
      <c r="E301" s="17" t="inlineStr">
        <is>
          <t>R</t>
        </is>
      </c>
      <c r="F301" s="17" t="n"/>
      <c r="G301" s="9" t="n">
        <v>103</v>
      </c>
      <c r="H301" s="9" t="n">
        <v>768</v>
      </c>
      <c r="I301" s="9" t="inlineStr">
        <is>
          <t>Middle Relief</t>
        </is>
      </c>
      <c r="J301" s="17" t="inlineStr">
        <is>
          <t>Opening Day</t>
        </is>
      </c>
      <c r="K301" s="11">
        <f>IFERROR(INDEX(Roles!$B$17:$B$20,MATCH(J301,Roles!$A$17:$A$20,0)),1)</f>
        <v/>
      </c>
      <c r="L301" s="18" t="n">
        <v>1</v>
      </c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3">
        <f>SUMPRODUCT(M301:X301,$M$2:$X$2)*$K301*$L301</f>
        <v/>
      </c>
      <c r="Z301" s="14">
        <f>SUM(M301:X301)</f>
        <v/>
      </c>
      <c r="AA301" s="13">
        <f>SUMPRODUCT(M301:X301,$M$3:$X$3)*$K301*$L301</f>
        <v/>
      </c>
      <c r="AB301" s="13">
        <f>SUMPRODUCT(M301:X301,$M$4:$X$4)*$K301*$L301</f>
        <v/>
      </c>
      <c r="AC301" s="15">
        <f>SUMPRODUCT(M301:X301,$M$5:$X$5)*$K301*$L301</f>
        <v/>
      </c>
      <c r="AD301" s="15">
        <f>SUMPRODUCT(M301:X301,$M$6:$X$6)*$K301*$L301</f>
        <v/>
      </c>
      <c r="AE301" s="19" t="n"/>
    </row>
    <row r="302">
      <c r="A302" s="9" t="n">
        <v>606303</v>
      </c>
      <c r="B302" s="9" t="inlineStr">
        <is>
          <t>Joel Payamps</t>
        </is>
      </c>
      <c r="C302" s="9" t="inlineStr">
        <is>
          <t>ATL</t>
        </is>
      </c>
      <c r="D302" s="9" t="n">
        <v>33</v>
      </c>
      <c r="E302" s="17" t="inlineStr">
        <is>
          <t>R</t>
        </is>
      </c>
      <c r="F302" s="17" t="n"/>
      <c r="G302" s="9" t="n">
        <v>36</v>
      </c>
      <c r="H302" s="9" t="n">
        <v>916</v>
      </c>
      <c r="I302" s="9" t="inlineStr">
        <is>
          <t>Bullpen Depth Arm</t>
        </is>
      </c>
      <c r="J302" s="17" t="inlineStr">
        <is>
          <t>Opening Day</t>
        </is>
      </c>
      <c r="K302" s="11">
        <f>IFERROR(INDEX(Roles!$B$17:$B$20,MATCH(J302,Roles!$A$17:$A$20,0)),1)</f>
        <v/>
      </c>
      <c r="L302" s="18" t="n">
        <v>1</v>
      </c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3">
        <f>SUMPRODUCT(M302:X302,$M$2:$X$2)*$K302*$L302</f>
        <v/>
      </c>
      <c r="Z302" s="14">
        <f>SUM(M302:X302)</f>
        <v/>
      </c>
      <c r="AA302" s="13">
        <f>SUMPRODUCT(M302:X302,$M$3:$X$3)*$K302*$L302</f>
        <v/>
      </c>
      <c r="AB302" s="13">
        <f>SUMPRODUCT(M302:X302,$M$4:$X$4)*$K302*$L302</f>
        <v/>
      </c>
      <c r="AC302" s="15">
        <f>SUMPRODUCT(M302:X302,$M$5:$X$5)*$K302*$L302</f>
        <v/>
      </c>
      <c r="AD302" s="15">
        <f>SUMPRODUCT(M302:X302,$M$6:$X$6)*$K302*$L302</f>
        <v/>
      </c>
      <c r="AE302" s="19" t="n"/>
    </row>
    <row r="303">
      <c r="A303" s="9" t="n">
        <v>694738</v>
      </c>
      <c r="B303" s="9" t="inlineStr">
        <is>
          <t>Landen Roupp</t>
        </is>
      </c>
      <c r="C303" s="9" t="inlineStr">
        <is>
          <t>SF</t>
        </is>
      </c>
      <c r="D303" s="9" t="n">
        <v>28</v>
      </c>
      <c r="E303" s="17" t="inlineStr">
        <is>
          <t>R</t>
        </is>
      </c>
      <c r="F303" s="17" t="n"/>
      <c r="G303" s="9" t="n">
        <v>293</v>
      </c>
      <c r="H303" s="9" t="n">
        <v>986</v>
      </c>
      <c r="I303" s="9" t="inlineStr">
        <is>
          <t>End-of-Rotation Starter (SP4-5)</t>
        </is>
      </c>
      <c r="J303" s="17" t="inlineStr">
        <is>
          <t>Opening Day</t>
        </is>
      </c>
      <c r="K303" s="11">
        <f>IFERROR(INDEX(Roles!$B$17:$B$20,MATCH(J303,Roles!$A$17:$A$20,0)),1)</f>
        <v/>
      </c>
      <c r="L303" s="18" t="n">
        <v>1</v>
      </c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3">
        <f>SUMPRODUCT(M303:X303,$M$2:$X$2)*$K303*$L303</f>
        <v/>
      </c>
      <c r="Z303" s="14">
        <f>SUM(M303:X303)</f>
        <v/>
      </c>
      <c r="AA303" s="13">
        <f>SUMPRODUCT(M303:X303,$M$3:$X$3)*$K303*$L303</f>
        <v/>
      </c>
      <c r="AB303" s="13">
        <f>SUMPRODUCT(M303:X303,$M$4:$X$4)*$K303*$L303</f>
        <v/>
      </c>
      <c r="AC303" s="15">
        <f>SUMPRODUCT(M303:X303,$M$5:$X$5)*$K303*$L303</f>
        <v/>
      </c>
      <c r="AD303" s="15">
        <f>SUMPRODUCT(M303:X303,$M$6:$X$6)*$K303*$L303</f>
        <v/>
      </c>
      <c r="AE303" s="19" t="n"/>
    </row>
    <row r="304">
      <c r="A304" s="9" t="n">
        <v>670167</v>
      </c>
      <c r="B304" s="9" t="inlineStr">
        <is>
          <t>John Schreiber</t>
        </is>
      </c>
      <c r="C304" s="9" t="inlineStr">
        <is>
          <t>KC</t>
        </is>
      </c>
      <c r="D304" s="9" t="n">
        <v>33</v>
      </c>
      <c r="E304" s="17" t="inlineStr">
        <is>
          <t>R</t>
        </is>
      </c>
      <c r="F304" s="17" t="n"/>
      <c r="G304" s="9" t="n">
        <v>106</v>
      </c>
      <c r="H304" s="9" t="n">
        <v>1056</v>
      </c>
      <c r="I304" s="9" t="inlineStr">
        <is>
          <t>Middle Relief</t>
        </is>
      </c>
      <c r="J304" s="17" t="inlineStr">
        <is>
          <t>Opening Day</t>
        </is>
      </c>
      <c r="K304" s="11">
        <f>IFERROR(INDEX(Roles!$B$17:$B$20,MATCH(J304,Roles!$A$17:$A$20,0)),1)</f>
        <v/>
      </c>
      <c r="L304" s="18" t="n">
        <v>1</v>
      </c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3">
        <f>SUMPRODUCT(M304:X304,$M$2:$X$2)*$K304*$L304</f>
        <v/>
      </c>
      <c r="Z304" s="14">
        <f>SUM(M304:X304)</f>
        <v/>
      </c>
      <c r="AA304" s="13">
        <f>SUMPRODUCT(M304:X304,$M$3:$X$3)*$K304*$L304</f>
        <v/>
      </c>
      <c r="AB304" s="13">
        <f>SUMPRODUCT(M304:X304,$M$4:$X$4)*$K304*$L304</f>
        <v/>
      </c>
      <c r="AC304" s="15">
        <f>SUMPRODUCT(M304:X304,$M$5:$X$5)*$K304*$L304</f>
        <v/>
      </c>
      <c r="AD304" s="15">
        <f>SUMPRODUCT(M304:X304,$M$6:$X$6)*$K304*$L304</f>
        <v/>
      </c>
      <c r="AE304" s="19" t="n"/>
    </row>
    <row r="305">
      <c r="A305" s="9" t="n">
        <v>693686</v>
      </c>
      <c r="B305" s="9" t="inlineStr">
        <is>
          <t>Spencer Miles</t>
        </is>
      </c>
      <c r="C305" s="9" t="inlineStr">
        <is>
          <t>TOR</t>
        </is>
      </c>
      <c r="D305" s="9" t="n">
        <v>26</v>
      </c>
      <c r="E305" s="17" t="inlineStr">
        <is>
          <t>R</t>
        </is>
      </c>
      <c r="F305" s="17" t="n"/>
      <c r="G305" s="9" t="n">
        <v>166</v>
      </c>
      <c r="H305" s="9" t="n">
        <v>166</v>
      </c>
      <c r="I305" s="9" t="inlineStr">
        <is>
          <t>Bullpen Depth Arm</t>
        </is>
      </c>
      <c r="J305" s="17" t="inlineStr">
        <is>
          <t>Opening Day</t>
        </is>
      </c>
      <c r="K305" s="11">
        <f>IFERROR(INDEX(Roles!$B$17:$B$20,MATCH(J305,Roles!$A$17:$A$20,0)),1)</f>
        <v/>
      </c>
      <c r="L305" s="18" t="n">
        <v>1</v>
      </c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3">
        <f>SUMPRODUCT(M305:X305,$M$2:$X$2)*$K305*$L305</f>
        <v/>
      </c>
      <c r="Z305" s="14">
        <f>SUM(M305:X305)</f>
        <v/>
      </c>
      <c r="AA305" s="13">
        <f>SUMPRODUCT(M305:X305,$M$3:$X$3)*$K305*$L305</f>
        <v/>
      </c>
      <c r="AB305" s="13">
        <f>SUMPRODUCT(M305:X305,$M$4:$X$4)*$K305*$L305</f>
        <v/>
      </c>
      <c r="AC305" s="15">
        <f>SUMPRODUCT(M305:X305,$M$5:$X$5)*$K305*$L305</f>
        <v/>
      </c>
      <c r="AD305" s="15">
        <f>SUMPRODUCT(M305:X305,$M$6:$X$6)*$K305*$L305</f>
        <v/>
      </c>
      <c r="AE305" s="19" t="n"/>
    </row>
    <row r="306">
      <c r="A306" s="9" t="n">
        <v>690953</v>
      </c>
      <c r="B306" s="9" t="inlineStr">
        <is>
          <t>Mick Abel</t>
        </is>
      </c>
      <c r="C306" s="9" t="inlineStr">
        <is>
          <t>MIN</t>
        </is>
      </c>
      <c r="D306" s="9" t="n">
        <v>25</v>
      </c>
      <c r="E306" s="17" t="inlineStr">
        <is>
          <t>R</t>
        </is>
      </c>
      <c r="F306" s="17" t="n"/>
      <c r="G306" s="9" t="n">
        <v>93</v>
      </c>
      <c r="H306" s="9" t="n">
        <v>267</v>
      </c>
      <c r="I306" s="9" t="inlineStr">
        <is>
          <t>End-of-Rotation Starter (SP4-5)</t>
        </is>
      </c>
      <c r="J306" s="17" t="inlineStr">
        <is>
          <t>Opening Day</t>
        </is>
      </c>
      <c r="K306" s="11">
        <f>IFERROR(INDEX(Roles!$B$17:$B$20,MATCH(J306,Roles!$A$17:$A$20,0)),1)</f>
        <v/>
      </c>
      <c r="L306" s="18" t="n">
        <v>1</v>
      </c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3">
        <f>SUMPRODUCT(M306:X306,$M$2:$X$2)*$K306*$L306</f>
        <v/>
      </c>
      <c r="Z306" s="14">
        <f>SUM(M306:X306)</f>
        <v/>
      </c>
      <c r="AA306" s="13">
        <f>SUMPRODUCT(M306:X306,$M$3:$X$3)*$K306*$L306</f>
        <v/>
      </c>
      <c r="AB306" s="13">
        <f>SUMPRODUCT(M306:X306,$M$4:$X$4)*$K306*$L306</f>
        <v/>
      </c>
      <c r="AC306" s="15">
        <f>SUMPRODUCT(M306:X306,$M$5:$X$5)*$K306*$L306</f>
        <v/>
      </c>
      <c r="AD306" s="15">
        <f>SUMPRODUCT(M306:X306,$M$6:$X$6)*$K306*$L306</f>
        <v/>
      </c>
      <c r="AE306" s="19" t="n"/>
    </row>
    <row r="307">
      <c r="A307" s="9" t="n">
        <v>670059</v>
      </c>
      <c r="B307" s="9" t="inlineStr">
        <is>
          <t>Colin Holderman</t>
        </is>
      </c>
      <c r="C307" s="9" t="inlineStr">
        <is>
          <t>CLE</t>
        </is>
      </c>
      <c r="D307" s="9" t="n">
        <v>31</v>
      </c>
      <c r="E307" s="17" t="inlineStr">
        <is>
          <t>R</t>
        </is>
      </c>
      <c r="F307" s="17" t="n"/>
      <c r="G307" s="9" t="n">
        <v>94</v>
      </c>
      <c r="H307" s="9" t="n">
        <v>800</v>
      </c>
      <c r="I307" s="9" t="inlineStr">
        <is>
          <t>Bullpen Depth Arm</t>
        </is>
      </c>
      <c r="J307" s="17" t="inlineStr">
        <is>
          <t>Opening Day</t>
        </is>
      </c>
      <c r="K307" s="11">
        <f>IFERROR(INDEX(Roles!$B$17:$B$20,MATCH(J307,Roles!$A$17:$A$20,0)),1)</f>
        <v/>
      </c>
      <c r="L307" s="18" t="n">
        <v>1</v>
      </c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3">
        <f>SUMPRODUCT(M307:X307,$M$2:$X$2)*$K307*$L307</f>
        <v/>
      </c>
      <c r="Z307" s="14">
        <f>SUM(M307:X307)</f>
        <v/>
      </c>
      <c r="AA307" s="13">
        <f>SUMPRODUCT(M307:X307,$M$3:$X$3)*$K307*$L307</f>
        <v/>
      </c>
      <c r="AB307" s="13">
        <f>SUMPRODUCT(M307:X307,$M$4:$X$4)*$K307*$L307</f>
        <v/>
      </c>
      <c r="AC307" s="15">
        <f>SUMPRODUCT(M307:X307,$M$5:$X$5)*$K307*$L307</f>
        <v/>
      </c>
      <c r="AD307" s="15">
        <f>SUMPRODUCT(M307:X307,$M$6:$X$6)*$K307*$L307</f>
        <v/>
      </c>
      <c r="AE307" s="19" t="n"/>
    </row>
    <row r="308">
      <c r="A308" s="9" t="n">
        <v>699134</v>
      </c>
      <c r="B308" s="9" t="inlineStr">
        <is>
          <t>Bradgley Rodriguez</t>
        </is>
      </c>
      <c r="C308" s="9" t="inlineStr">
        <is>
          <t>SD</t>
        </is>
      </c>
      <c r="D308" s="9" t="n">
        <v>23</v>
      </c>
      <c r="E308" s="17" t="inlineStr">
        <is>
          <t>R</t>
        </is>
      </c>
      <c r="F308" s="17" t="n"/>
      <c r="G308" s="9" t="n">
        <v>130</v>
      </c>
      <c r="H308" s="9" t="n">
        <v>161</v>
      </c>
      <c r="I308" s="9" t="inlineStr">
        <is>
          <t>Middle Relief</t>
        </is>
      </c>
      <c r="J308" s="17" t="inlineStr">
        <is>
          <t>Opening Day</t>
        </is>
      </c>
      <c r="K308" s="11">
        <f>IFERROR(INDEX(Roles!$B$17:$B$20,MATCH(J308,Roles!$A$17:$A$20,0)),1)</f>
        <v/>
      </c>
      <c r="L308" s="18" t="n">
        <v>1</v>
      </c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3">
        <f>SUMPRODUCT(M308:X308,$M$2:$X$2)*$K308*$L308</f>
        <v/>
      </c>
      <c r="Z308" s="14">
        <f>SUM(M308:X308)</f>
        <v/>
      </c>
      <c r="AA308" s="13">
        <f>SUMPRODUCT(M308:X308,$M$3:$X$3)*$K308*$L308</f>
        <v/>
      </c>
      <c r="AB308" s="13">
        <f>SUMPRODUCT(M308:X308,$M$4:$X$4)*$K308*$L308</f>
        <v/>
      </c>
      <c r="AC308" s="15">
        <f>SUMPRODUCT(M308:X308,$M$5:$X$5)*$K308*$L308</f>
        <v/>
      </c>
      <c r="AD308" s="15">
        <f>SUMPRODUCT(M308:X308,$M$6:$X$6)*$K308*$L308</f>
        <v/>
      </c>
      <c r="AE308" s="19" t="n"/>
    </row>
    <row r="309">
      <c r="A309" s="9" t="n">
        <v>663671</v>
      </c>
      <c r="B309" s="9" t="inlineStr">
        <is>
          <t>Nic Enright</t>
        </is>
      </c>
      <c r="C309" s="9" t="inlineStr">
        <is>
          <t>CLE</t>
        </is>
      </c>
      <c r="D309" s="9" t="n">
        <v>30</v>
      </c>
      <c r="E309" s="17" t="inlineStr">
        <is>
          <t>R</t>
        </is>
      </c>
      <c r="F309" s="17" t="n"/>
      <c r="G309" s="9" t="n">
        <v>127</v>
      </c>
      <c r="H309" s="9" t="n">
        <v>127</v>
      </c>
      <c r="I309" s="9" t="inlineStr">
        <is>
          <t>Bullpen Depth Arm</t>
        </is>
      </c>
      <c r="J309" s="17" t="inlineStr">
        <is>
          <t>Opening Day</t>
        </is>
      </c>
      <c r="K309" s="11">
        <f>IFERROR(INDEX(Roles!$B$17:$B$20,MATCH(J309,Roles!$A$17:$A$20,0)),1)</f>
        <v/>
      </c>
      <c r="L309" s="18" t="n">
        <v>1</v>
      </c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3">
        <f>SUMPRODUCT(M309:X309,$M$2:$X$2)*$K309*$L309</f>
        <v/>
      </c>
      <c r="Z309" s="14">
        <f>SUM(M309:X309)</f>
        <v/>
      </c>
      <c r="AA309" s="13">
        <f>SUMPRODUCT(M309:X309,$M$3:$X$3)*$K309*$L309</f>
        <v/>
      </c>
      <c r="AB309" s="13">
        <f>SUMPRODUCT(M309:X309,$M$4:$X$4)*$K309*$L309</f>
        <v/>
      </c>
      <c r="AC309" s="15">
        <f>SUMPRODUCT(M309:X309,$M$5:$X$5)*$K309*$L309</f>
        <v/>
      </c>
      <c r="AD309" s="15">
        <f>SUMPRODUCT(M309:X309,$M$6:$X$6)*$K309*$L309</f>
        <v/>
      </c>
      <c r="AE309" s="19" t="n"/>
    </row>
    <row r="310">
      <c r="A310" s="9" t="n">
        <v>805123</v>
      </c>
      <c r="B310" s="9" t="inlineStr">
        <is>
          <t>AJ Blubaugh</t>
        </is>
      </c>
      <c r="C310" s="9" t="inlineStr">
        <is>
          <t>HOU</t>
        </is>
      </c>
      <c r="D310" s="9" t="n">
        <v>26</v>
      </c>
      <c r="E310" s="17" t="inlineStr">
        <is>
          <t>R</t>
        </is>
      </c>
      <c r="F310" s="17" t="n"/>
      <c r="G310" s="9" t="n">
        <v>182</v>
      </c>
      <c r="H310" s="9" t="n">
        <v>306</v>
      </c>
      <c r="I310" s="9" t="inlineStr">
        <is>
          <t>Bullpen Depth Arm</t>
        </is>
      </c>
      <c r="J310" s="17" t="inlineStr">
        <is>
          <t>Opening Day</t>
        </is>
      </c>
      <c r="K310" s="11">
        <f>IFERROR(INDEX(Roles!$B$17:$B$20,MATCH(J310,Roles!$A$17:$A$20,0)),1)</f>
        <v/>
      </c>
      <c r="L310" s="18" t="n">
        <v>1</v>
      </c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3">
        <f>SUMPRODUCT(M310:X310,$M$2:$X$2)*$K310*$L310</f>
        <v/>
      </c>
      <c r="Z310" s="14">
        <f>SUM(M310:X310)</f>
        <v/>
      </c>
      <c r="AA310" s="13">
        <f>SUMPRODUCT(M310:X310,$M$3:$X$3)*$K310*$L310</f>
        <v/>
      </c>
      <c r="AB310" s="13">
        <f>SUMPRODUCT(M310:X310,$M$4:$X$4)*$K310*$L310</f>
        <v/>
      </c>
      <c r="AC310" s="15">
        <f>SUMPRODUCT(M310:X310,$M$5:$X$5)*$K310*$L310</f>
        <v/>
      </c>
      <c r="AD310" s="15">
        <f>SUMPRODUCT(M310:X310,$M$6:$X$6)*$K310*$L310</f>
        <v/>
      </c>
      <c r="AE310" s="19" t="n"/>
    </row>
    <row r="311">
      <c r="A311" s="9" t="n">
        <v>691441</v>
      </c>
      <c r="B311" s="9" t="inlineStr">
        <is>
          <t>Cristian Mena</t>
        </is>
      </c>
      <c r="C311" s="9" t="inlineStr">
        <is>
          <t>ARI</t>
        </is>
      </c>
      <c r="D311" s="9" t="n">
        <v>24</v>
      </c>
      <c r="E311" s="17" t="inlineStr">
        <is>
          <t>R</t>
        </is>
      </c>
      <c r="F311" s="17" t="n"/>
      <c r="G311" s="9" t="n">
        <v>26</v>
      </c>
      <c r="H311" s="9" t="n">
        <v>41</v>
      </c>
      <c r="I311" s="9" t="inlineStr">
        <is>
          <t>Middle Relief</t>
        </is>
      </c>
      <c r="J311" s="17" t="inlineStr">
        <is>
          <t>Opening Day</t>
        </is>
      </c>
      <c r="K311" s="11">
        <f>IFERROR(INDEX(Roles!$B$17:$B$20,MATCH(J311,Roles!$A$17:$A$20,0)),1)</f>
        <v/>
      </c>
      <c r="L311" s="18" t="n">
        <v>1</v>
      </c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3">
        <f>SUMPRODUCT(M311:X311,$M$2:$X$2)*$K311*$L311</f>
        <v/>
      </c>
      <c r="Z311" s="14">
        <f>SUM(M311:X311)</f>
        <v/>
      </c>
      <c r="AA311" s="13">
        <f>SUMPRODUCT(M311:X311,$M$3:$X$3)*$K311*$L311</f>
        <v/>
      </c>
      <c r="AB311" s="13">
        <f>SUMPRODUCT(M311:X311,$M$4:$X$4)*$K311*$L311</f>
        <v/>
      </c>
      <c r="AC311" s="15">
        <f>SUMPRODUCT(M311:X311,$M$5:$X$5)*$K311*$L311</f>
        <v/>
      </c>
      <c r="AD311" s="15">
        <f>SUMPRODUCT(M311:X311,$M$6:$X$6)*$K311*$L311</f>
        <v/>
      </c>
      <c r="AE311" s="19" t="n"/>
    </row>
    <row r="312">
      <c r="A312" s="9" t="n">
        <v>689818</v>
      </c>
      <c r="B312" s="9" t="inlineStr">
        <is>
          <t>David Sandlin</t>
        </is>
      </c>
      <c r="C312" s="9" t="inlineStr">
        <is>
          <t>CWS</t>
        </is>
      </c>
      <c r="D312" s="9" t="n">
        <v>26</v>
      </c>
      <c r="E312" s="17" t="inlineStr">
        <is>
          <t>R</t>
        </is>
      </c>
      <c r="F312" s="17" t="n"/>
      <c r="G312" s="9" t="n">
        <v>58</v>
      </c>
      <c r="H312" s="9" t="n">
        <v>58</v>
      </c>
      <c r="I312" s="9" t="inlineStr">
        <is>
          <t>End-of-Rotation Starter (SP4-5)</t>
        </is>
      </c>
      <c r="J312" s="17" t="inlineStr">
        <is>
          <t>Opening Day</t>
        </is>
      </c>
      <c r="K312" s="11">
        <f>IFERROR(INDEX(Roles!$B$17:$B$20,MATCH(J312,Roles!$A$17:$A$20,0)),1)</f>
        <v/>
      </c>
      <c r="L312" s="18" t="n">
        <v>1</v>
      </c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3">
        <f>SUMPRODUCT(M312:X312,$M$2:$X$2)*$K312*$L312</f>
        <v/>
      </c>
      <c r="Z312" s="14">
        <f>SUM(M312:X312)</f>
        <v/>
      </c>
      <c r="AA312" s="13">
        <f>SUMPRODUCT(M312:X312,$M$3:$X$3)*$K312*$L312</f>
        <v/>
      </c>
      <c r="AB312" s="13">
        <f>SUMPRODUCT(M312:X312,$M$4:$X$4)*$K312*$L312</f>
        <v/>
      </c>
      <c r="AC312" s="15">
        <f>SUMPRODUCT(M312:X312,$M$5:$X$5)*$K312*$L312</f>
        <v/>
      </c>
      <c r="AD312" s="15">
        <f>SUMPRODUCT(M312:X312,$M$6:$X$6)*$K312*$L312</f>
        <v/>
      </c>
      <c r="AE312" s="19" t="n"/>
    </row>
    <row r="313">
      <c r="A313" s="9" t="n">
        <v>656271</v>
      </c>
      <c r="B313" s="9" t="inlineStr">
        <is>
          <t>Brock Burke</t>
        </is>
      </c>
      <c r="C313" s="9" t="inlineStr">
        <is>
          <t>CIN</t>
        </is>
      </c>
      <c r="D313" s="9" t="n">
        <v>30</v>
      </c>
      <c r="E313" s="17" t="inlineStr">
        <is>
          <t>L</t>
        </is>
      </c>
      <c r="F313" s="17" t="n"/>
      <c r="G313" s="9" t="n">
        <v>138</v>
      </c>
      <c r="H313" s="9" t="n">
        <v>1127</v>
      </c>
      <c r="I313" s="9" t="inlineStr">
        <is>
          <t>Middle Relief</t>
        </is>
      </c>
      <c r="J313" s="17" t="inlineStr">
        <is>
          <t>Opening Day</t>
        </is>
      </c>
      <c r="K313" s="11">
        <f>IFERROR(INDEX(Roles!$B$17:$B$20,MATCH(J313,Roles!$A$17:$A$20,0)),1)</f>
        <v/>
      </c>
      <c r="L313" s="18" t="n">
        <v>1</v>
      </c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3">
        <f>SUMPRODUCT(M313:X313,$M$2:$X$2)*$K313*$L313</f>
        <v/>
      </c>
      <c r="Z313" s="14">
        <f>SUM(M313:X313)</f>
        <v/>
      </c>
      <c r="AA313" s="13">
        <f>SUMPRODUCT(M313:X313,$M$3:$X$3)*$K313*$L313</f>
        <v/>
      </c>
      <c r="AB313" s="13">
        <f>SUMPRODUCT(M313:X313,$M$4:$X$4)*$K313*$L313</f>
        <v/>
      </c>
      <c r="AC313" s="15">
        <f>SUMPRODUCT(M313:X313,$M$5:$X$5)*$K313*$L313</f>
        <v/>
      </c>
      <c r="AD313" s="15">
        <f>SUMPRODUCT(M313:X313,$M$6:$X$6)*$K313*$L313</f>
        <v/>
      </c>
      <c r="AE313" s="19" t="n"/>
    </row>
    <row r="314">
      <c r="A314" s="9" t="n">
        <v>681035</v>
      </c>
      <c r="B314" s="9" t="inlineStr">
        <is>
          <t>Christian Scott</t>
        </is>
      </c>
      <c r="C314" s="9" t="inlineStr">
        <is>
          <t>NYM</t>
        </is>
      </c>
      <c r="D314" s="9" t="n">
        <v>28</v>
      </c>
      <c r="E314" s="17" t="inlineStr">
        <is>
          <t>R</t>
        </is>
      </c>
      <c r="F314" s="17" t="n"/>
      <c r="G314" s="9" t="n">
        <v>156</v>
      </c>
      <c r="H314" s="9" t="n">
        <v>353</v>
      </c>
      <c r="I314" s="9" t="inlineStr">
        <is>
          <t>End-of-Rotation Starter (SP4-5)</t>
        </is>
      </c>
      <c r="J314" s="17" t="inlineStr">
        <is>
          <t>Opening Day</t>
        </is>
      </c>
      <c r="K314" s="11">
        <f>IFERROR(INDEX(Roles!$B$17:$B$20,MATCH(J314,Roles!$A$17:$A$20,0)),1)</f>
        <v/>
      </c>
      <c r="L314" s="18" t="n">
        <v>1</v>
      </c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3">
        <f>SUMPRODUCT(M314:X314,$M$2:$X$2)*$K314*$L314</f>
        <v/>
      </c>
      <c r="Z314" s="14">
        <f>SUM(M314:X314)</f>
        <v/>
      </c>
      <c r="AA314" s="13">
        <f>SUMPRODUCT(M314:X314,$M$3:$X$3)*$K314*$L314</f>
        <v/>
      </c>
      <c r="AB314" s="13">
        <f>SUMPRODUCT(M314:X314,$M$4:$X$4)*$K314*$L314</f>
        <v/>
      </c>
      <c r="AC314" s="15">
        <f>SUMPRODUCT(M314:X314,$M$5:$X$5)*$K314*$L314</f>
        <v/>
      </c>
      <c r="AD314" s="15">
        <f>SUMPRODUCT(M314:X314,$M$6:$X$6)*$K314*$L314</f>
        <v/>
      </c>
      <c r="AE314" s="19" t="n"/>
    </row>
    <row r="315">
      <c r="A315" s="9" t="n">
        <v>668941</v>
      </c>
      <c r="B315" s="9" t="inlineStr">
        <is>
          <t>JoJo Romero</t>
        </is>
      </c>
      <c r="C315" s="9" t="inlineStr">
        <is>
          <t>STL</t>
        </is>
      </c>
      <c r="D315" s="9" t="n">
        <v>30</v>
      </c>
      <c r="E315" s="17" t="inlineStr">
        <is>
          <t>L</t>
        </is>
      </c>
      <c r="F315" s="17" t="n"/>
      <c r="G315" s="9" t="n">
        <v>121</v>
      </c>
      <c r="H315" s="9" t="n">
        <v>833</v>
      </c>
      <c r="I315" s="9" t="inlineStr">
        <is>
          <t>Middle Relief</t>
        </is>
      </c>
      <c r="J315" s="17" t="inlineStr">
        <is>
          <t>Opening Day</t>
        </is>
      </c>
      <c r="K315" s="11">
        <f>IFERROR(INDEX(Roles!$B$17:$B$20,MATCH(J315,Roles!$A$17:$A$20,0)),1)</f>
        <v/>
      </c>
      <c r="L315" s="18" t="n">
        <v>1</v>
      </c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3">
        <f>SUMPRODUCT(M315:X315,$M$2:$X$2)*$K315*$L315</f>
        <v/>
      </c>
      <c r="Z315" s="14">
        <f>SUM(M315:X315)</f>
        <v/>
      </c>
      <c r="AA315" s="13">
        <f>SUMPRODUCT(M315:X315,$M$3:$X$3)*$K315*$L315</f>
        <v/>
      </c>
      <c r="AB315" s="13">
        <f>SUMPRODUCT(M315:X315,$M$4:$X$4)*$K315*$L315</f>
        <v/>
      </c>
      <c r="AC315" s="15">
        <f>SUMPRODUCT(M315:X315,$M$5:$X$5)*$K315*$L315</f>
        <v/>
      </c>
      <c r="AD315" s="15">
        <f>SUMPRODUCT(M315:X315,$M$6:$X$6)*$K315*$L315</f>
        <v/>
      </c>
      <c r="AE315" s="19" t="n"/>
    </row>
    <row r="316">
      <c r="A316" s="9" t="n">
        <v>676440</v>
      </c>
      <c r="B316" s="9" t="inlineStr">
        <is>
          <t>Tanner Bibee</t>
        </is>
      </c>
      <c r="C316" s="9" t="inlineStr">
        <is>
          <t>CLE</t>
        </is>
      </c>
      <c r="D316" s="9" t="n">
        <v>28</v>
      </c>
      <c r="E316" s="17" t="inlineStr">
        <is>
          <t>R</t>
        </is>
      </c>
      <c r="F316" s="17" t="n"/>
      <c r="G316" s="9" t="n">
        <v>317</v>
      </c>
      <c r="H316" s="9" t="n">
        <v>2374</v>
      </c>
      <c r="I316" s="9" t="inlineStr">
        <is>
          <t>Mid-Rotation Starter (SP2-3)</t>
        </is>
      </c>
      <c r="J316" s="17" t="inlineStr">
        <is>
          <t>Opening Day</t>
        </is>
      </c>
      <c r="K316" s="11">
        <f>IFERROR(INDEX(Roles!$B$17:$B$20,MATCH(J316,Roles!$A$17:$A$20,0)),1)</f>
        <v/>
      </c>
      <c r="L316" s="18" t="n">
        <v>1</v>
      </c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3">
        <f>SUMPRODUCT(M316:X316,$M$2:$X$2)*$K316*$L316</f>
        <v/>
      </c>
      <c r="Z316" s="14">
        <f>SUM(M316:X316)</f>
        <v/>
      </c>
      <c r="AA316" s="13">
        <f>SUMPRODUCT(M316:X316,$M$3:$X$3)*$K316*$L316</f>
        <v/>
      </c>
      <c r="AB316" s="13">
        <f>SUMPRODUCT(M316:X316,$M$4:$X$4)*$K316*$L316</f>
        <v/>
      </c>
      <c r="AC316" s="15">
        <f>SUMPRODUCT(M316:X316,$M$5:$X$5)*$K316*$L316</f>
        <v/>
      </c>
      <c r="AD316" s="15">
        <f>SUMPRODUCT(M316:X316,$M$6:$X$6)*$K316*$L316</f>
        <v/>
      </c>
      <c r="AE316" s="19" t="n"/>
    </row>
    <row r="317">
      <c r="A317" s="9" t="n">
        <v>669212</v>
      </c>
      <c r="B317" s="9" t="inlineStr">
        <is>
          <t>Eli Morgan</t>
        </is>
      </c>
      <c r="C317" s="9" t="inlineStr">
        <is>
          <t>KC</t>
        </is>
      </c>
      <c r="D317" s="9" t="n">
        <v>31</v>
      </c>
      <c r="E317" s="17" t="inlineStr">
        <is>
          <t>R</t>
        </is>
      </c>
      <c r="F317" s="17" t="n"/>
      <c r="G317" s="9" t="n">
        <v>81</v>
      </c>
      <c r="H317" s="9" t="n">
        <v>838</v>
      </c>
      <c r="I317" s="9" t="inlineStr">
        <is>
          <t>Late Inning RP (Setup)</t>
        </is>
      </c>
      <c r="J317" s="17" t="inlineStr">
        <is>
          <t>Opening Day</t>
        </is>
      </c>
      <c r="K317" s="11">
        <f>IFERROR(INDEX(Roles!$B$17:$B$20,MATCH(J317,Roles!$A$17:$A$20,0)),1)</f>
        <v/>
      </c>
      <c r="L317" s="18" t="n">
        <v>1</v>
      </c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3">
        <f>SUMPRODUCT(M317:X317,$M$2:$X$2)*$K317*$L317</f>
        <v/>
      </c>
      <c r="Z317" s="14">
        <f>SUM(M317:X317)</f>
        <v/>
      </c>
      <c r="AA317" s="13">
        <f>SUMPRODUCT(M317:X317,$M$3:$X$3)*$K317*$L317</f>
        <v/>
      </c>
      <c r="AB317" s="13">
        <f>SUMPRODUCT(M317:X317,$M$4:$X$4)*$K317*$L317</f>
        <v/>
      </c>
      <c r="AC317" s="15">
        <f>SUMPRODUCT(M317:X317,$M$5:$X$5)*$K317*$L317</f>
        <v/>
      </c>
      <c r="AD317" s="15">
        <f>SUMPRODUCT(M317:X317,$M$6:$X$6)*$K317*$L317</f>
        <v/>
      </c>
      <c r="AE317" s="19" t="n"/>
    </row>
    <row r="318">
      <c r="A318" s="9" t="n">
        <v>687830</v>
      </c>
      <c r="B318" s="9" t="inlineStr">
        <is>
          <t>Sawyer Gipson-Long</t>
        </is>
      </c>
      <c r="C318" s="9" t="inlineStr">
        <is>
          <t>DET</t>
        </is>
      </c>
      <c r="D318" s="9" t="n">
        <v>29</v>
      </c>
      <c r="E318" s="17" t="inlineStr">
        <is>
          <t>R</t>
        </is>
      </c>
      <c r="F318" s="17" t="n"/>
      <c r="G318" s="9" t="n">
        <v>133</v>
      </c>
      <c r="H318" s="9" t="n">
        <v>215</v>
      </c>
      <c r="I318" s="9" t="inlineStr">
        <is>
          <t>End-of-Rotation Starter (SP4-5)</t>
        </is>
      </c>
      <c r="J318" s="17" t="inlineStr">
        <is>
          <t>Opening Day</t>
        </is>
      </c>
      <c r="K318" s="11">
        <f>IFERROR(INDEX(Roles!$B$17:$B$20,MATCH(J318,Roles!$A$17:$A$20,0)),1)</f>
        <v/>
      </c>
      <c r="L318" s="18" t="n">
        <v>1</v>
      </c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3">
        <f>SUMPRODUCT(M318:X318,$M$2:$X$2)*$K318*$L318</f>
        <v/>
      </c>
      <c r="Z318" s="14">
        <f>SUM(M318:X318)</f>
        <v/>
      </c>
      <c r="AA318" s="13">
        <f>SUMPRODUCT(M318:X318,$M$3:$X$3)*$K318*$L318</f>
        <v/>
      </c>
      <c r="AB318" s="13">
        <f>SUMPRODUCT(M318:X318,$M$4:$X$4)*$K318*$L318</f>
        <v/>
      </c>
      <c r="AC318" s="15">
        <f>SUMPRODUCT(M318:X318,$M$5:$X$5)*$K318*$L318</f>
        <v/>
      </c>
      <c r="AD318" s="15">
        <f>SUMPRODUCT(M318:X318,$M$6:$X$6)*$K318*$L318</f>
        <v/>
      </c>
      <c r="AE318" s="19" t="n"/>
    </row>
    <row r="319">
      <c r="A319" s="9" t="n">
        <v>682608</v>
      </c>
      <c r="B319" s="9" t="inlineStr">
        <is>
          <t>Peyton Gray</t>
        </is>
      </c>
      <c r="C319" s="9" t="inlineStr">
        <is>
          <t>TEX</t>
        </is>
      </c>
      <c r="D319" s="9" t="n">
        <v>32</v>
      </c>
      <c r="E319" s="17" t="inlineStr">
        <is>
          <t>R</t>
        </is>
      </c>
      <c r="F319" s="17" t="n"/>
      <c r="G319" s="9" t="n">
        <v>89</v>
      </c>
      <c r="H319" s="9" t="n">
        <v>89</v>
      </c>
      <c r="I319" s="9" t="inlineStr">
        <is>
          <t>Middle Relief</t>
        </is>
      </c>
      <c r="J319" s="17" t="inlineStr">
        <is>
          <t>Opening Day</t>
        </is>
      </c>
      <c r="K319" s="11">
        <f>IFERROR(INDEX(Roles!$B$17:$B$20,MATCH(J319,Roles!$A$17:$A$20,0)),1)</f>
        <v/>
      </c>
      <c r="L319" s="18" t="n">
        <v>1</v>
      </c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3">
        <f>SUMPRODUCT(M319:X319,$M$2:$X$2)*$K319*$L319</f>
        <v/>
      </c>
      <c r="Z319" s="14">
        <f>SUM(M319:X319)</f>
        <v/>
      </c>
      <c r="AA319" s="13">
        <f>SUMPRODUCT(M319:X319,$M$3:$X$3)*$K319*$L319</f>
        <v/>
      </c>
      <c r="AB319" s="13">
        <f>SUMPRODUCT(M319:X319,$M$4:$X$4)*$K319*$L319</f>
        <v/>
      </c>
      <c r="AC319" s="15">
        <f>SUMPRODUCT(M319:X319,$M$5:$X$5)*$K319*$L319</f>
        <v/>
      </c>
      <c r="AD319" s="15">
        <f>SUMPRODUCT(M319:X319,$M$6:$X$6)*$K319*$L319</f>
        <v/>
      </c>
      <c r="AE319" s="19" t="n"/>
    </row>
    <row r="320">
      <c r="A320" s="9" t="n">
        <v>664351</v>
      </c>
      <c r="B320" s="9" t="inlineStr">
        <is>
          <t>Luis Contreras</t>
        </is>
      </c>
      <c r="C320" s="9" t="inlineStr">
        <is>
          <t>HOU</t>
        </is>
      </c>
      <c r="D320" s="9" t="n">
        <v>31</v>
      </c>
      <c r="E320" s="17" t="inlineStr">
        <is>
          <t>R</t>
        </is>
      </c>
      <c r="F320" s="17" t="n"/>
      <c r="G320" s="9" t="n">
        <v>54</v>
      </c>
      <c r="H320" s="9" t="n">
        <v>80</v>
      </c>
      <c r="I320" s="9" t="inlineStr">
        <is>
          <t>Bullpen Depth Arm</t>
        </is>
      </c>
      <c r="J320" s="17" t="inlineStr">
        <is>
          <t>Opening Day</t>
        </is>
      </c>
      <c r="K320" s="11">
        <f>IFERROR(INDEX(Roles!$B$17:$B$20,MATCH(J320,Roles!$A$17:$A$20,0)),1)</f>
        <v/>
      </c>
      <c r="L320" s="18" t="n">
        <v>1</v>
      </c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3">
        <f>SUMPRODUCT(M320:X320,$M$2:$X$2)*$K320*$L320</f>
        <v/>
      </c>
      <c r="Z320" s="14">
        <f>SUM(M320:X320)</f>
        <v/>
      </c>
      <c r="AA320" s="13">
        <f>SUMPRODUCT(M320:X320,$M$3:$X$3)*$K320*$L320</f>
        <v/>
      </c>
      <c r="AB320" s="13">
        <f>SUMPRODUCT(M320:X320,$M$4:$X$4)*$K320*$L320</f>
        <v/>
      </c>
      <c r="AC320" s="15">
        <f>SUMPRODUCT(M320:X320,$M$5:$X$5)*$K320*$L320</f>
        <v/>
      </c>
      <c r="AD320" s="15">
        <f>SUMPRODUCT(M320:X320,$M$6:$X$6)*$K320*$L320</f>
        <v/>
      </c>
      <c r="AE320" s="19" t="n"/>
    </row>
    <row r="321">
      <c r="A321" s="9" t="n">
        <v>680732</v>
      </c>
      <c r="B321" s="9" t="inlineStr">
        <is>
          <t>Sean Burke</t>
        </is>
      </c>
      <c r="C321" s="9" t="inlineStr">
        <is>
          <t>CWS</t>
        </is>
      </c>
      <c r="D321" s="9" t="n">
        <v>27</v>
      </c>
      <c r="E321" s="17" t="inlineStr">
        <is>
          <t>R</t>
        </is>
      </c>
      <c r="F321" s="17" t="n"/>
      <c r="G321" s="9" t="n">
        <v>291</v>
      </c>
      <c r="H321" s="9" t="n">
        <v>963</v>
      </c>
      <c r="I321" s="9" t="inlineStr">
        <is>
          <t>End-of-Rotation Starter (SP4-5)</t>
        </is>
      </c>
      <c r="J321" s="17" t="inlineStr">
        <is>
          <t>Opening Day</t>
        </is>
      </c>
      <c r="K321" s="11">
        <f>IFERROR(INDEX(Roles!$B$17:$B$20,MATCH(J321,Roles!$A$17:$A$20,0)),1)</f>
        <v/>
      </c>
      <c r="L321" s="18" t="n">
        <v>1</v>
      </c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3">
        <f>SUMPRODUCT(M321:X321,$M$2:$X$2)*$K321*$L321</f>
        <v/>
      </c>
      <c r="Z321" s="14">
        <f>SUM(M321:X321)</f>
        <v/>
      </c>
      <c r="AA321" s="13">
        <f>SUMPRODUCT(M321:X321,$M$3:$X$3)*$K321*$L321</f>
        <v/>
      </c>
      <c r="AB321" s="13">
        <f>SUMPRODUCT(M321:X321,$M$4:$X$4)*$K321*$L321</f>
        <v/>
      </c>
      <c r="AC321" s="15">
        <f>SUMPRODUCT(M321:X321,$M$5:$X$5)*$K321*$L321</f>
        <v/>
      </c>
      <c r="AD321" s="15">
        <f>SUMPRODUCT(M321:X321,$M$6:$X$6)*$K321*$L321</f>
        <v/>
      </c>
      <c r="AE321" s="19" t="n"/>
    </row>
    <row r="322">
      <c r="A322" s="9" t="n">
        <v>681982</v>
      </c>
      <c r="B322" s="9" t="inlineStr">
        <is>
          <t>Grant Anderson</t>
        </is>
      </c>
      <c r="C322" s="9" t="inlineStr">
        <is>
          <t>MIL</t>
        </is>
      </c>
      <c r="D322" s="9" t="n">
        <v>30</v>
      </c>
      <c r="E322" s="17" t="inlineStr">
        <is>
          <t>R</t>
        </is>
      </c>
      <c r="F322" s="17" t="n"/>
      <c r="G322" s="9" t="n">
        <v>109</v>
      </c>
      <c r="H322" s="9" t="n">
        <v>682</v>
      </c>
      <c r="I322" s="9" t="inlineStr">
        <is>
          <t>Middle Relief</t>
        </is>
      </c>
      <c r="J322" s="17" t="inlineStr">
        <is>
          <t>Opening Day</t>
        </is>
      </c>
      <c r="K322" s="11">
        <f>IFERROR(INDEX(Roles!$B$17:$B$20,MATCH(J322,Roles!$A$17:$A$20,0)),1)</f>
        <v/>
      </c>
      <c r="L322" s="18" t="n">
        <v>1</v>
      </c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3">
        <f>SUMPRODUCT(M322:X322,$M$2:$X$2)*$K322*$L322</f>
        <v/>
      </c>
      <c r="Z322" s="14">
        <f>SUM(M322:X322)</f>
        <v/>
      </c>
      <c r="AA322" s="13">
        <f>SUMPRODUCT(M322:X322,$M$3:$X$3)*$K322*$L322</f>
        <v/>
      </c>
      <c r="AB322" s="13">
        <f>SUMPRODUCT(M322:X322,$M$4:$X$4)*$K322*$L322</f>
        <v/>
      </c>
      <c r="AC322" s="15">
        <f>SUMPRODUCT(M322:X322,$M$5:$X$5)*$K322*$L322</f>
        <v/>
      </c>
      <c r="AD322" s="15">
        <f>SUMPRODUCT(M322:X322,$M$6:$X$6)*$K322*$L322</f>
        <v/>
      </c>
      <c r="AE322" s="19" t="n"/>
    </row>
    <row r="323">
      <c r="A323" s="9" t="n">
        <v>621383</v>
      </c>
      <c r="B323" s="9" t="inlineStr">
        <is>
          <t>Tanner Banks</t>
        </is>
      </c>
      <c r="C323" s="9" t="inlineStr">
        <is>
          <t>PHI</t>
        </is>
      </c>
      <c r="D323" s="9" t="n">
        <v>35</v>
      </c>
      <c r="E323" s="17" t="inlineStr">
        <is>
          <t>L</t>
        </is>
      </c>
      <c r="F323" s="17" t="n"/>
      <c r="G323" s="9" t="n">
        <v>116</v>
      </c>
      <c r="H323" s="9" t="n">
        <v>1166</v>
      </c>
      <c r="I323" s="9" t="inlineStr">
        <is>
          <t>Middle Relief</t>
        </is>
      </c>
      <c r="J323" s="17" t="inlineStr">
        <is>
          <t>Opening Day</t>
        </is>
      </c>
      <c r="K323" s="11">
        <f>IFERROR(INDEX(Roles!$B$17:$B$20,MATCH(J323,Roles!$A$17:$A$20,0)),1)</f>
        <v/>
      </c>
      <c r="L323" s="18" t="n">
        <v>1</v>
      </c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3">
        <f>SUMPRODUCT(M323:X323,$M$2:$X$2)*$K323*$L323</f>
        <v/>
      </c>
      <c r="Z323" s="14">
        <f>SUM(M323:X323)</f>
        <v/>
      </c>
      <c r="AA323" s="13">
        <f>SUMPRODUCT(M323:X323,$M$3:$X$3)*$K323*$L323</f>
        <v/>
      </c>
      <c r="AB323" s="13">
        <f>SUMPRODUCT(M323:X323,$M$4:$X$4)*$K323*$L323</f>
        <v/>
      </c>
      <c r="AC323" s="15">
        <f>SUMPRODUCT(M323:X323,$M$5:$X$5)*$K323*$L323</f>
        <v/>
      </c>
      <c r="AD323" s="15">
        <f>SUMPRODUCT(M323:X323,$M$6:$X$6)*$K323*$L323</f>
        <v/>
      </c>
      <c r="AE323" s="19" t="n"/>
    </row>
    <row r="324">
      <c r="A324" s="9" t="n">
        <v>621051</v>
      </c>
      <c r="B324" s="9" t="inlineStr">
        <is>
          <t>Steven Wilson</t>
        </is>
      </c>
      <c r="C324" s="9" t="inlineStr">
        <is>
          <t>CWS</t>
        </is>
      </c>
      <c r="D324" s="9" t="n">
        <v>32</v>
      </c>
      <c r="E324" s="17" t="inlineStr">
        <is>
          <t>R</t>
        </is>
      </c>
      <c r="F324" s="17" t="n"/>
      <c r="G324" s="9" t="n">
        <v>241</v>
      </c>
      <c r="H324" s="9" t="n">
        <v>837</v>
      </c>
      <c r="I324" s="9" t="inlineStr">
        <is>
          <t>Bullpen Depth Arm</t>
        </is>
      </c>
      <c r="J324" s="17" t="inlineStr">
        <is>
          <t>Opening Day</t>
        </is>
      </c>
      <c r="K324" s="11">
        <f>IFERROR(INDEX(Roles!$B$17:$B$20,MATCH(J324,Roles!$A$17:$A$20,0)),1)</f>
        <v/>
      </c>
      <c r="L324" s="18" t="n">
        <v>1</v>
      </c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3">
        <f>SUMPRODUCT(M324:X324,$M$2:$X$2)*$K324*$L324</f>
        <v/>
      </c>
      <c r="Z324" s="14">
        <f>SUM(M324:X324)</f>
        <v/>
      </c>
      <c r="AA324" s="13">
        <f>SUMPRODUCT(M324:X324,$M$3:$X$3)*$K324*$L324</f>
        <v/>
      </c>
      <c r="AB324" s="13">
        <f>SUMPRODUCT(M324:X324,$M$4:$X$4)*$K324*$L324</f>
        <v/>
      </c>
      <c r="AC324" s="15">
        <f>SUMPRODUCT(M324:X324,$M$5:$X$5)*$K324*$L324</f>
        <v/>
      </c>
      <c r="AD324" s="15">
        <f>SUMPRODUCT(M324:X324,$M$6:$X$6)*$K324*$L324</f>
        <v/>
      </c>
      <c r="AE324" s="19" t="n"/>
    </row>
    <row r="325">
      <c r="A325" s="9" t="n">
        <v>669358</v>
      </c>
      <c r="B325" s="9" t="inlineStr">
        <is>
          <t>Shane Baz</t>
        </is>
      </c>
      <c r="C325" s="9" t="inlineStr">
        <is>
          <t>BAL</t>
        </is>
      </c>
      <c r="D325" s="9" t="n">
        <v>28</v>
      </c>
      <c r="E325" s="17" t="inlineStr">
        <is>
          <t>R</t>
        </is>
      </c>
      <c r="F325" s="17" t="n"/>
      <c r="G325" s="9" t="n">
        <v>331</v>
      </c>
      <c r="H325" s="9" t="n">
        <v>1478</v>
      </c>
      <c r="I325" s="9" t="inlineStr">
        <is>
          <t>Mid-Rotation Starter (SP2-3)</t>
        </is>
      </c>
      <c r="J325" s="17" t="inlineStr">
        <is>
          <t>Opening Day</t>
        </is>
      </c>
      <c r="K325" s="11">
        <f>IFERROR(INDEX(Roles!$B$17:$B$20,MATCH(J325,Roles!$A$17:$A$20,0)),1)</f>
        <v/>
      </c>
      <c r="L325" s="18" t="n">
        <v>1</v>
      </c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3">
        <f>SUMPRODUCT(M325:X325,$M$2:$X$2)*$K325*$L325</f>
        <v/>
      </c>
      <c r="Z325" s="14">
        <f>SUM(M325:X325)</f>
        <v/>
      </c>
      <c r="AA325" s="13">
        <f>SUMPRODUCT(M325:X325,$M$3:$X$3)*$K325*$L325</f>
        <v/>
      </c>
      <c r="AB325" s="13">
        <f>SUMPRODUCT(M325:X325,$M$4:$X$4)*$K325*$L325</f>
        <v/>
      </c>
      <c r="AC325" s="15">
        <f>SUMPRODUCT(M325:X325,$M$5:$X$5)*$K325*$L325</f>
        <v/>
      </c>
      <c r="AD325" s="15">
        <f>SUMPRODUCT(M325:X325,$M$6:$X$6)*$K325*$L325</f>
        <v/>
      </c>
      <c r="AE325" s="19" t="n"/>
    </row>
    <row r="326">
      <c r="A326" s="9" t="n">
        <v>696149</v>
      </c>
      <c r="B326" s="9" t="inlineStr">
        <is>
          <t>Bubba Chandler</t>
        </is>
      </c>
      <c r="C326" s="9" t="inlineStr">
        <is>
          <t>PIT</t>
        </is>
      </c>
      <c r="D326" s="9" t="n">
        <v>24</v>
      </c>
      <c r="E326" s="17" t="inlineStr">
        <is>
          <t>R</t>
        </is>
      </c>
      <c r="F326" s="17" t="n"/>
      <c r="G326" s="9" t="n">
        <v>279</v>
      </c>
      <c r="H326" s="9" t="n">
        <v>403</v>
      </c>
      <c r="I326" s="9" t="inlineStr">
        <is>
          <t>End-of-Rotation Starter (SP4-5)</t>
        </is>
      </c>
      <c r="J326" s="17" t="inlineStr">
        <is>
          <t>Opening Day</t>
        </is>
      </c>
      <c r="K326" s="11">
        <f>IFERROR(INDEX(Roles!$B$17:$B$20,MATCH(J326,Roles!$A$17:$A$20,0)),1)</f>
        <v/>
      </c>
      <c r="L326" s="18" t="n">
        <v>1</v>
      </c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3">
        <f>SUMPRODUCT(M326:X326,$M$2:$X$2)*$K326*$L326</f>
        <v/>
      </c>
      <c r="Z326" s="14">
        <f>SUM(M326:X326)</f>
        <v/>
      </c>
      <c r="AA326" s="13">
        <f>SUMPRODUCT(M326:X326,$M$3:$X$3)*$K326*$L326</f>
        <v/>
      </c>
      <c r="AB326" s="13">
        <f>SUMPRODUCT(M326:X326,$M$4:$X$4)*$K326*$L326</f>
        <v/>
      </c>
      <c r="AC326" s="15">
        <f>SUMPRODUCT(M326:X326,$M$5:$X$5)*$K326*$L326</f>
        <v/>
      </c>
      <c r="AD326" s="15">
        <f>SUMPRODUCT(M326:X326,$M$6:$X$6)*$K326*$L326</f>
        <v/>
      </c>
      <c r="AE326" s="19" t="n"/>
    </row>
    <row r="327">
      <c r="A327" s="9" t="n">
        <v>686930</v>
      </c>
      <c r="B327" s="9" t="inlineStr">
        <is>
          <t>Mason Barnett</t>
        </is>
      </c>
      <c r="C327" s="9" t="inlineStr">
        <is>
          <t>OAK</t>
        </is>
      </c>
      <c r="D327" s="9" t="n">
        <v>26</v>
      </c>
      <c r="E327" s="17" t="inlineStr">
        <is>
          <t>R</t>
        </is>
      </c>
      <c r="F327" s="17" t="n"/>
      <c r="G327" s="9" t="n">
        <v>29</v>
      </c>
      <c r="H327" s="9" t="n">
        <v>133</v>
      </c>
      <c r="I327" s="9" t="inlineStr">
        <is>
          <t>End-of-Rotation Starter (SP4-5)</t>
        </is>
      </c>
      <c r="J327" s="17" t="inlineStr">
        <is>
          <t>Opening Day</t>
        </is>
      </c>
      <c r="K327" s="11">
        <f>IFERROR(INDEX(Roles!$B$17:$B$20,MATCH(J327,Roles!$A$17:$A$20,0)),1)</f>
        <v/>
      </c>
      <c r="L327" s="18" t="n">
        <v>1</v>
      </c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3">
        <f>SUMPRODUCT(M327:X327,$M$2:$X$2)*$K327*$L327</f>
        <v/>
      </c>
      <c r="Z327" s="14">
        <f>SUM(M327:X327)</f>
        <v/>
      </c>
      <c r="AA327" s="13">
        <f>SUMPRODUCT(M327:X327,$M$3:$X$3)*$K327*$L327</f>
        <v/>
      </c>
      <c r="AB327" s="13">
        <f>SUMPRODUCT(M327:X327,$M$4:$X$4)*$K327*$L327</f>
        <v/>
      </c>
      <c r="AC327" s="15">
        <f>SUMPRODUCT(M327:X327,$M$5:$X$5)*$K327*$L327</f>
        <v/>
      </c>
      <c r="AD327" s="15">
        <f>SUMPRODUCT(M327:X327,$M$6:$X$6)*$K327*$L327</f>
        <v/>
      </c>
      <c r="AE327" s="19" t="n"/>
    </row>
    <row r="328">
      <c r="A328" s="9" t="n">
        <v>663455</v>
      </c>
      <c r="B328" s="9" t="inlineStr">
        <is>
          <t>Konnor Pilkington</t>
        </is>
      </c>
      <c r="C328" s="9" t="inlineStr">
        <is>
          <t>WSH</t>
        </is>
      </c>
      <c r="D328" s="9" t="n">
        <v>29</v>
      </c>
      <c r="E328" s="17" t="inlineStr">
        <is>
          <t>L</t>
        </is>
      </c>
      <c r="F328" s="17" t="n"/>
      <c r="G328" s="9" t="n">
        <v>123</v>
      </c>
      <c r="H328" s="9" t="n">
        <v>389</v>
      </c>
      <c r="I328" s="9" t="inlineStr">
        <is>
          <t>Bullpen Depth Arm</t>
        </is>
      </c>
      <c r="J328" s="17" t="inlineStr">
        <is>
          <t>Opening Day</t>
        </is>
      </c>
      <c r="K328" s="11">
        <f>IFERROR(INDEX(Roles!$B$17:$B$20,MATCH(J328,Roles!$A$17:$A$20,0)),1)</f>
        <v/>
      </c>
      <c r="L328" s="18" t="n">
        <v>1</v>
      </c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3">
        <f>SUMPRODUCT(M328:X328,$M$2:$X$2)*$K328*$L328</f>
        <v/>
      </c>
      <c r="Z328" s="14">
        <f>SUM(M328:X328)</f>
        <v/>
      </c>
      <c r="AA328" s="13">
        <f>SUMPRODUCT(M328:X328,$M$3:$X$3)*$K328*$L328</f>
        <v/>
      </c>
      <c r="AB328" s="13">
        <f>SUMPRODUCT(M328:X328,$M$4:$X$4)*$K328*$L328</f>
        <v/>
      </c>
      <c r="AC328" s="15">
        <f>SUMPRODUCT(M328:X328,$M$5:$X$5)*$K328*$L328</f>
        <v/>
      </c>
      <c r="AD328" s="15">
        <f>SUMPRODUCT(M328:X328,$M$6:$X$6)*$K328*$L328</f>
        <v/>
      </c>
      <c r="AE328" s="19" t="n"/>
    </row>
    <row r="329">
      <c r="A329" s="9" t="n">
        <v>674841</v>
      </c>
      <c r="B329" s="9" t="inlineStr">
        <is>
          <t>Andrew Alvarez</t>
        </is>
      </c>
      <c r="C329" s="9" t="inlineStr">
        <is>
          <t>WSH</t>
        </is>
      </c>
      <c r="D329" s="9" t="n">
        <v>28</v>
      </c>
      <c r="E329" s="17" t="inlineStr">
        <is>
          <t>L</t>
        </is>
      </c>
      <c r="F329" s="17" t="n"/>
      <c r="G329" s="9" t="n">
        <v>103</v>
      </c>
      <c r="H329" s="9" t="n">
        <v>201</v>
      </c>
      <c r="I329" s="9" t="inlineStr">
        <is>
          <t>End-of-Rotation Starter (SP4-5)</t>
        </is>
      </c>
      <c r="J329" s="17" t="inlineStr">
        <is>
          <t>Opening Day</t>
        </is>
      </c>
      <c r="K329" s="11">
        <f>IFERROR(INDEX(Roles!$B$17:$B$20,MATCH(J329,Roles!$A$17:$A$20,0)),1)</f>
        <v/>
      </c>
      <c r="L329" s="18" t="n">
        <v>1</v>
      </c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3">
        <f>SUMPRODUCT(M329:X329,$M$2:$X$2)*$K329*$L329</f>
        <v/>
      </c>
      <c r="Z329" s="14">
        <f>SUM(M329:X329)</f>
        <v/>
      </c>
      <c r="AA329" s="13">
        <f>SUMPRODUCT(M329:X329,$M$3:$X$3)*$K329*$L329</f>
        <v/>
      </c>
      <c r="AB329" s="13">
        <f>SUMPRODUCT(M329:X329,$M$4:$X$4)*$K329*$L329</f>
        <v/>
      </c>
      <c r="AC329" s="15">
        <f>SUMPRODUCT(M329:X329,$M$5:$X$5)*$K329*$L329</f>
        <v/>
      </c>
      <c r="AD329" s="15">
        <f>SUMPRODUCT(M329:X329,$M$6:$X$6)*$K329*$L329</f>
        <v/>
      </c>
      <c r="AE329" s="19" t="n"/>
    </row>
    <row r="330">
      <c r="A330" s="9" t="n">
        <v>477132</v>
      </c>
      <c r="B330" s="9" t="inlineStr">
        <is>
          <t>Clayton Kershaw</t>
        </is>
      </c>
      <c r="C330" s="9" t="inlineStr">
        <is>
          <t>LAD</t>
        </is>
      </c>
      <c r="D330" s="9" t="n">
        <v>39</v>
      </c>
      <c r="E330" s="17" t="inlineStr">
        <is>
          <t>L</t>
        </is>
      </c>
      <c r="F330" s="17" t="n"/>
      <c r="G330" s="9" t="n">
        <v>463</v>
      </c>
      <c r="H330" s="9" t="n">
        <v>1612</v>
      </c>
      <c r="I330" s="9" t="inlineStr">
        <is>
          <t>End-of-Rotation Starter (SP4-5)</t>
        </is>
      </c>
      <c r="J330" s="17" t="inlineStr">
        <is>
          <t>Opening Day</t>
        </is>
      </c>
      <c r="K330" s="11">
        <f>IFERROR(INDEX(Roles!$B$17:$B$20,MATCH(J330,Roles!$A$17:$A$20,0)),1)</f>
        <v/>
      </c>
      <c r="L330" s="18" t="n">
        <v>1</v>
      </c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3">
        <f>SUMPRODUCT(M330:X330,$M$2:$X$2)*$K330*$L330</f>
        <v/>
      </c>
      <c r="Z330" s="14">
        <f>SUM(M330:X330)</f>
        <v/>
      </c>
      <c r="AA330" s="13">
        <f>SUMPRODUCT(M330:X330,$M$3:$X$3)*$K330*$L330</f>
        <v/>
      </c>
      <c r="AB330" s="13">
        <f>SUMPRODUCT(M330:X330,$M$4:$X$4)*$K330*$L330</f>
        <v/>
      </c>
      <c r="AC330" s="15">
        <f>SUMPRODUCT(M330:X330,$M$5:$X$5)*$K330*$L330</f>
        <v/>
      </c>
      <c r="AD330" s="15">
        <f>SUMPRODUCT(M330:X330,$M$6:$X$6)*$K330*$L330</f>
        <v/>
      </c>
      <c r="AE330" s="19" t="n"/>
    </row>
    <row r="331">
      <c r="A331" s="9" t="n">
        <v>815083</v>
      </c>
      <c r="B331" s="9" t="inlineStr">
        <is>
          <t>Mitch Farris</t>
        </is>
      </c>
      <c r="C331" s="9" t="inlineStr">
        <is>
          <t>LAA</t>
        </is>
      </c>
      <c r="D331" s="9" t="n">
        <v>26</v>
      </c>
      <c r="E331" s="17" t="inlineStr">
        <is>
          <t>L</t>
        </is>
      </c>
      <c r="F331" s="17" t="n"/>
      <c r="G331" s="9" t="n">
        <v>106</v>
      </c>
      <c r="H331" s="9" t="n">
        <v>213</v>
      </c>
      <c r="I331" s="9" t="inlineStr">
        <is>
          <t>Bullpen Depth Arm</t>
        </is>
      </c>
      <c r="J331" s="17" t="inlineStr">
        <is>
          <t>Opening Day</t>
        </is>
      </c>
      <c r="K331" s="11">
        <f>IFERROR(INDEX(Roles!$B$17:$B$20,MATCH(J331,Roles!$A$17:$A$20,0)),1)</f>
        <v/>
      </c>
      <c r="L331" s="18" t="n">
        <v>1</v>
      </c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3">
        <f>SUMPRODUCT(M331:X331,$M$2:$X$2)*$K331*$L331</f>
        <v/>
      </c>
      <c r="Z331" s="14">
        <f>SUM(M331:X331)</f>
        <v/>
      </c>
      <c r="AA331" s="13">
        <f>SUMPRODUCT(M331:X331,$M$3:$X$3)*$K331*$L331</f>
        <v/>
      </c>
      <c r="AB331" s="13">
        <f>SUMPRODUCT(M331:X331,$M$4:$X$4)*$K331*$L331</f>
        <v/>
      </c>
      <c r="AC331" s="15">
        <f>SUMPRODUCT(M331:X331,$M$5:$X$5)*$K331*$L331</f>
        <v/>
      </c>
      <c r="AD331" s="15">
        <f>SUMPRODUCT(M331:X331,$M$6:$X$6)*$K331*$L331</f>
        <v/>
      </c>
      <c r="AE331" s="19" t="n"/>
    </row>
    <row r="332">
      <c r="A332" s="9" t="n">
        <v>669084</v>
      </c>
      <c r="B332" s="9" t="inlineStr">
        <is>
          <t>DL Hall</t>
        </is>
      </c>
      <c r="C332" s="9" t="inlineStr">
        <is>
          <t>MIL</t>
        </is>
      </c>
      <c r="D332" s="9" t="n">
        <v>28</v>
      </c>
      <c r="E332" s="17" t="inlineStr">
        <is>
          <t>L</t>
        </is>
      </c>
      <c r="F332" s="17" t="n"/>
      <c r="G332" s="9" t="n">
        <v>126</v>
      </c>
      <c r="H332" s="9" t="n">
        <v>623</v>
      </c>
      <c r="I332" s="9" t="inlineStr">
        <is>
          <t>Bullpen Depth Arm</t>
        </is>
      </c>
      <c r="J332" s="17" t="inlineStr">
        <is>
          <t>Opening Day</t>
        </is>
      </c>
      <c r="K332" s="11">
        <f>IFERROR(INDEX(Roles!$B$17:$B$20,MATCH(J332,Roles!$A$17:$A$20,0)),1)</f>
        <v/>
      </c>
      <c r="L332" s="18" t="n">
        <v>1</v>
      </c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3">
        <f>SUMPRODUCT(M332:X332,$M$2:$X$2)*$K332*$L332</f>
        <v/>
      </c>
      <c r="Z332" s="14">
        <f>SUM(M332:X332)</f>
        <v/>
      </c>
      <c r="AA332" s="13">
        <f>SUMPRODUCT(M332:X332,$M$3:$X$3)*$K332*$L332</f>
        <v/>
      </c>
      <c r="AB332" s="13">
        <f>SUMPRODUCT(M332:X332,$M$4:$X$4)*$K332*$L332</f>
        <v/>
      </c>
      <c r="AC332" s="15">
        <f>SUMPRODUCT(M332:X332,$M$5:$X$5)*$K332*$L332</f>
        <v/>
      </c>
      <c r="AD332" s="15">
        <f>SUMPRODUCT(M332:X332,$M$6:$X$6)*$K332*$L332</f>
        <v/>
      </c>
      <c r="AE332" s="19" t="n"/>
    </row>
    <row r="333">
      <c r="A333" s="9" t="n">
        <v>681857</v>
      </c>
      <c r="B333" s="9" t="inlineStr">
        <is>
          <t>Reese Olson</t>
        </is>
      </c>
      <c r="C333" s="9" t="inlineStr">
        <is>
          <t>DET</t>
        </is>
      </c>
      <c r="D333" s="9" t="n">
        <v>27</v>
      </c>
      <c r="E333" s="17" t="inlineStr">
        <is>
          <t>R</t>
        </is>
      </c>
      <c r="F333" s="17" t="n"/>
      <c r="G333" s="9" t="n">
        <v>285</v>
      </c>
      <c r="H333" s="9" t="n">
        <v>1172</v>
      </c>
      <c r="I333" s="9" t="inlineStr">
        <is>
          <t>Mid-Rotation Starter (SP2-3)</t>
        </is>
      </c>
      <c r="J333" s="17" t="inlineStr">
        <is>
          <t>Opening Day</t>
        </is>
      </c>
      <c r="K333" s="11">
        <f>IFERROR(INDEX(Roles!$B$17:$B$20,MATCH(J333,Roles!$A$17:$A$20,0)),1)</f>
        <v/>
      </c>
      <c r="L333" s="18" t="n">
        <v>1</v>
      </c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3">
        <f>SUMPRODUCT(M333:X333,$M$2:$X$2)*$K333*$L333</f>
        <v/>
      </c>
      <c r="Z333" s="14">
        <f>SUM(M333:X333)</f>
        <v/>
      </c>
      <c r="AA333" s="13">
        <f>SUMPRODUCT(M333:X333,$M$3:$X$3)*$K333*$L333</f>
        <v/>
      </c>
      <c r="AB333" s="13">
        <f>SUMPRODUCT(M333:X333,$M$4:$X$4)*$K333*$L333</f>
        <v/>
      </c>
      <c r="AC333" s="15">
        <f>SUMPRODUCT(M333:X333,$M$5:$X$5)*$K333*$L333</f>
        <v/>
      </c>
      <c r="AD333" s="15">
        <f>SUMPRODUCT(M333:X333,$M$6:$X$6)*$K333*$L333</f>
        <v/>
      </c>
      <c r="AE333" s="19" t="n"/>
    </row>
    <row r="334">
      <c r="A334" s="9" t="n">
        <v>669713</v>
      </c>
      <c r="B334" s="9" t="inlineStr">
        <is>
          <t>Hayden Wesneski</t>
        </is>
      </c>
      <c r="C334" s="9" t="inlineStr">
        <is>
          <t>HOU</t>
        </is>
      </c>
      <c r="D334" s="9" t="n">
        <v>29</v>
      </c>
      <c r="E334" s="17" t="inlineStr">
        <is>
          <t>R</t>
        </is>
      </c>
      <c r="F334" s="17" t="n"/>
      <c r="G334" s="9" t="n">
        <v>131</v>
      </c>
      <c r="H334" s="9" t="n">
        <v>925</v>
      </c>
      <c r="I334" s="9" t="inlineStr">
        <is>
          <t>Bullpen Depth Arm</t>
        </is>
      </c>
      <c r="J334" s="17" t="inlineStr">
        <is>
          <t>Opening Day</t>
        </is>
      </c>
      <c r="K334" s="11">
        <f>IFERROR(INDEX(Roles!$B$17:$B$20,MATCH(J334,Roles!$A$17:$A$20,0)),1)</f>
        <v/>
      </c>
      <c r="L334" s="18" t="n">
        <v>1</v>
      </c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3">
        <f>SUMPRODUCT(M334:X334,$M$2:$X$2)*$K334*$L334</f>
        <v/>
      </c>
      <c r="Z334" s="14">
        <f>SUM(M334:X334)</f>
        <v/>
      </c>
      <c r="AA334" s="13">
        <f>SUMPRODUCT(M334:X334,$M$3:$X$3)*$K334*$L334</f>
        <v/>
      </c>
      <c r="AB334" s="13">
        <f>SUMPRODUCT(M334:X334,$M$4:$X$4)*$K334*$L334</f>
        <v/>
      </c>
      <c r="AC334" s="15">
        <f>SUMPRODUCT(M334:X334,$M$5:$X$5)*$K334*$L334</f>
        <v/>
      </c>
      <c r="AD334" s="15">
        <f>SUMPRODUCT(M334:X334,$M$6:$X$6)*$K334*$L334</f>
        <v/>
      </c>
      <c r="AE334" s="19" t="n"/>
    </row>
    <row r="335">
      <c r="A335" s="9" t="n">
        <v>663795</v>
      </c>
      <c r="B335" s="9" t="inlineStr">
        <is>
          <t>Justin Hagenman</t>
        </is>
      </c>
      <c r="C335" s="9" t="inlineStr">
        <is>
          <t>NYM</t>
        </is>
      </c>
      <c r="D335" s="9" t="n">
        <v>30</v>
      </c>
      <c r="E335" s="17" t="inlineStr">
        <is>
          <t>R</t>
        </is>
      </c>
      <c r="F335" s="17" t="n"/>
      <c r="G335" s="9" t="n">
        <v>99</v>
      </c>
      <c r="H335" s="9" t="n">
        <v>99</v>
      </c>
      <c r="I335" s="9" t="inlineStr">
        <is>
          <t>Bullpen Depth Arm</t>
        </is>
      </c>
      <c r="J335" s="17" t="inlineStr">
        <is>
          <t>Opening Day</t>
        </is>
      </c>
      <c r="K335" s="11">
        <f>IFERROR(INDEX(Roles!$B$17:$B$20,MATCH(J335,Roles!$A$17:$A$20,0)),1)</f>
        <v/>
      </c>
      <c r="L335" s="18" t="n">
        <v>1</v>
      </c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3">
        <f>SUMPRODUCT(M335:X335,$M$2:$X$2)*$K335*$L335</f>
        <v/>
      </c>
      <c r="Z335" s="14">
        <f>SUM(M335:X335)</f>
        <v/>
      </c>
      <c r="AA335" s="13">
        <f>SUMPRODUCT(M335:X335,$M$3:$X$3)*$K335*$L335</f>
        <v/>
      </c>
      <c r="AB335" s="13">
        <f>SUMPRODUCT(M335:X335,$M$4:$X$4)*$K335*$L335</f>
        <v/>
      </c>
      <c r="AC335" s="15">
        <f>SUMPRODUCT(M335:X335,$M$5:$X$5)*$K335*$L335</f>
        <v/>
      </c>
      <c r="AD335" s="15">
        <f>SUMPRODUCT(M335:X335,$M$6:$X$6)*$K335*$L335</f>
        <v/>
      </c>
      <c r="AE335" s="19" t="n"/>
    </row>
    <row r="336">
      <c r="A336" s="9" t="n">
        <v>656794</v>
      </c>
      <c r="B336" s="9" t="inlineStr">
        <is>
          <t>Sean Newcomb</t>
        </is>
      </c>
      <c r="C336" s="9" t="inlineStr">
        <is>
          <t>CWS</t>
        </is>
      </c>
      <c r="D336" s="9" t="n">
        <v>34</v>
      </c>
      <c r="E336" s="17" t="inlineStr">
        <is>
          <t>L</t>
        </is>
      </c>
      <c r="F336" s="17" t="n"/>
      <c r="G336" s="9" t="n">
        <v>151</v>
      </c>
      <c r="H336" s="9" t="n">
        <v>782</v>
      </c>
      <c r="I336" s="9" t="inlineStr">
        <is>
          <t>Bullpen Depth Arm</t>
        </is>
      </c>
      <c r="J336" s="17" t="inlineStr">
        <is>
          <t>Opening Day</t>
        </is>
      </c>
      <c r="K336" s="11">
        <f>IFERROR(INDEX(Roles!$B$17:$B$20,MATCH(J336,Roles!$A$17:$A$20,0)),1)</f>
        <v/>
      </c>
      <c r="L336" s="18" t="n">
        <v>1</v>
      </c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3">
        <f>SUMPRODUCT(M336:X336,$M$2:$X$2)*$K336*$L336</f>
        <v/>
      </c>
      <c r="Z336" s="14">
        <f>SUM(M336:X336)</f>
        <v/>
      </c>
      <c r="AA336" s="13">
        <f>SUMPRODUCT(M336:X336,$M$3:$X$3)*$K336*$L336</f>
        <v/>
      </c>
      <c r="AB336" s="13">
        <f>SUMPRODUCT(M336:X336,$M$4:$X$4)*$K336*$L336</f>
        <v/>
      </c>
      <c r="AC336" s="15">
        <f>SUMPRODUCT(M336:X336,$M$5:$X$5)*$K336*$L336</f>
        <v/>
      </c>
      <c r="AD336" s="15">
        <f>SUMPRODUCT(M336:X336,$M$6:$X$6)*$K336*$L336</f>
        <v/>
      </c>
      <c r="AE336" s="19" t="n"/>
    </row>
    <row r="337">
      <c r="A337" s="9" t="n">
        <v>677960</v>
      </c>
      <c r="B337" s="9" t="inlineStr">
        <is>
          <t>Ryan Weathers</t>
        </is>
      </c>
      <c r="C337" s="9" t="inlineStr">
        <is>
          <t>NYY</t>
        </is>
      </c>
      <c r="D337" s="9" t="n">
        <v>27</v>
      </c>
      <c r="E337" s="17" t="inlineStr">
        <is>
          <t>L</t>
        </is>
      </c>
      <c r="F337" s="17" t="n"/>
      <c r="G337" s="9" t="n">
        <v>285</v>
      </c>
      <c r="H337" s="9" t="n">
        <v>1096</v>
      </c>
      <c r="I337" s="9" t="inlineStr">
        <is>
          <t>Mid-Rotation Starter (SP2-3)</t>
        </is>
      </c>
      <c r="J337" s="17" t="inlineStr">
        <is>
          <t>Opening Day</t>
        </is>
      </c>
      <c r="K337" s="11">
        <f>IFERROR(INDEX(Roles!$B$17:$B$20,MATCH(J337,Roles!$A$17:$A$20,0)),1)</f>
        <v/>
      </c>
      <c r="L337" s="18" t="n">
        <v>1</v>
      </c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3">
        <f>SUMPRODUCT(M337:X337,$M$2:$X$2)*$K337*$L337</f>
        <v/>
      </c>
      <c r="Z337" s="14">
        <f>SUM(M337:X337)</f>
        <v/>
      </c>
      <c r="AA337" s="13">
        <f>SUMPRODUCT(M337:X337,$M$3:$X$3)*$K337*$L337</f>
        <v/>
      </c>
      <c r="AB337" s="13">
        <f>SUMPRODUCT(M337:X337,$M$4:$X$4)*$K337*$L337</f>
        <v/>
      </c>
      <c r="AC337" s="15">
        <f>SUMPRODUCT(M337:X337,$M$5:$X$5)*$K337*$L337</f>
        <v/>
      </c>
      <c r="AD337" s="15">
        <f>SUMPRODUCT(M337:X337,$M$6:$X$6)*$K337*$L337</f>
        <v/>
      </c>
      <c r="AE337" s="19" t="n"/>
    </row>
    <row r="338">
      <c r="A338" s="9" t="n">
        <v>624522</v>
      </c>
      <c r="B338" s="9" t="inlineStr">
        <is>
          <t>Keegan Thompson</t>
        </is>
      </c>
      <c r="C338" s="9" t="inlineStr">
        <is>
          <t>COL</t>
        </is>
      </c>
      <c r="D338" s="9" t="n">
        <v>32</v>
      </c>
      <c r="E338" s="17" t="inlineStr">
        <is>
          <t>R</t>
        </is>
      </c>
      <c r="F338" s="17" t="n"/>
      <c r="G338" s="9" t="n">
        <v>57</v>
      </c>
      <c r="H338" s="9" t="n">
        <v>794</v>
      </c>
      <c r="I338" s="9" t="inlineStr">
        <is>
          <t>Bullpen Depth Arm</t>
        </is>
      </c>
      <c r="J338" s="17" t="inlineStr">
        <is>
          <t>Opening Day</t>
        </is>
      </c>
      <c r="K338" s="11">
        <f>IFERROR(INDEX(Roles!$B$17:$B$20,MATCH(J338,Roles!$A$17:$A$20,0)),1)</f>
        <v/>
      </c>
      <c r="L338" s="18" t="n">
        <v>1</v>
      </c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3">
        <f>SUMPRODUCT(M338:X338,$M$2:$X$2)*$K338*$L338</f>
        <v/>
      </c>
      <c r="Z338" s="14">
        <f>SUM(M338:X338)</f>
        <v/>
      </c>
      <c r="AA338" s="13">
        <f>SUMPRODUCT(M338:X338,$M$3:$X$3)*$K338*$L338</f>
        <v/>
      </c>
      <c r="AB338" s="13">
        <f>SUMPRODUCT(M338:X338,$M$4:$X$4)*$K338*$L338</f>
        <v/>
      </c>
      <c r="AC338" s="15">
        <f>SUMPRODUCT(M338:X338,$M$5:$X$5)*$K338*$L338</f>
        <v/>
      </c>
      <c r="AD338" s="15">
        <f>SUMPRODUCT(M338:X338,$M$6:$X$6)*$K338*$L338</f>
        <v/>
      </c>
      <c r="AE338" s="19" t="n"/>
    </row>
    <row r="339">
      <c r="A339" s="9" t="n">
        <v>592426</v>
      </c>
      <c r="B339" s="9" t="inlineStr">
        <is>
          <t>Luke Jackson</t>
        </is>
      </c>
      <c r="C339" s="9" t="inlineStr">
        <is>
          <t>SEA</t>
        </is>
      </c>
      <c r="D339" s="9" t="n">
        <v>35</v>
      </c>
      <c r="E339" s="17" t="inlineStr">
        <is>
          <t>R</t>
        </is>
      </c>
      <c r="F339" s="17" t="n"/>
      <c r="G339" s="9" t="n">
        <v>219</v>
      </c>
      <c r="H339" s="9" t="n">
        <v>597</v>
      </c>
      <c r="I339" s="9" t="inlineStr">
        <is>
          <t>Bullpen Depth Arm</t>
        </is>
      </c>
      <c r="J339" s="17" t="inlineStr">
        <is>
          <t>Opening Day</t>
        </is>
      </c>
      <c r="K339" s="11">
        <f>IFERROR(INDEX(Roles!$B$17:$B$20,MATCH(J339,Roles!$A$17:$A$20,0)),1)</f>
        <v/>
      </c>
      <c r="L339" s="18" t="n">
        <v>1</v>
      </c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3">
        <f>SUMPRODUCT(M339:X339,$M$2:$X$2)*$K339*$L339</f>
        <v/>
      </c>
      <c r="Z339" s="14">
        <f>SUM(M339:X339)</f>
        <v/>
      </c>
      <c r="AA339" s="13">
        <f>SUMPRODUCT(M339:X339,$M$3:$X$3)*$K339*$L339</f>
        <v/>
      </c>
      <c r="AB339" s="13">
        <f>SUMPRODUCT(M339:X339,$M$4:$X$4)*$K339*$L339</f>
        <v/>
      </c>
      <c r="AC339" s="15">
        <f>SUMPRODUCT(M339:X339,$M$5:$X$5)*$K339*$L339</f>
        <v/>
      </c>
      <c r="AD339" s="15">
        <f>SUMPRODUCT(M339:X339,$M$6:$X$6)*$K339*$L339</f>
        <v/>
      </c>
      <c r="AE339" s="19" t="n"/>
    </row>
    <row r="340">
      <c r="A340" s="9" t="n">
        <v>608337</v>
      </c>
      <c r="B340" s="9" t="inlineStr">
        <is>
          <t>Lucas Giolito</t>
        </is>
      </c>
      <c r="C340" s="9" t="inlineStr">
        <is>
          <t>SD</t>
        </is>
      </c>
      <c r="D340" s="9" t="n">
        <v>32</v>
      </c>
      <c r="E340" s="17" t="inlineStr">
        <is>
          <t>R</t>
        </is>
      </c>
      <c r="F340" s="17" t="n"/>
      <c r="G340" s="9" t="n">
        <v>95</v>
      </c>
      <c r="H340" s="9" t="n">
        <v>2200</v>
      </c>
      <c r="I340" s="9" t="inlineStr">
        <is>
          <t>Mid-Rotation Starter (SP2-3)</t>
        </is>
      </c>
      <c r="J340" s="17" t="inlineStr">
        <is>
          <t>Opening Day</t>
        </is>
      </c>
      <c r="K340" s="11">
        <f>IFERROR(INDEX(Roles!$B$17:$B$20,MATCH(J340,Roles!$A$17:$A$20,0)),1)</f>
        <v/>
      </c>
      <c r="L340" s="18" t="n">
        <v>1</v>
      </c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3">
        <f>SUMPRODUCT(M340:X340,$M$2:$X$2)*$K340*$L340</f>
        <v/>
      </c>
      <c r="Z340" s="14">
        <f>SUM(M340:X340)</f>
        <v/>
      </c>
      <c r="AA340" s="13">
        <f>SUMPRODUCT(M340:X340,$M$3:$X$3)*$K340*$L340</f>
        <v/>
      </c>
      <c r="AB340" s="13">
        <f>SUMPRODUCT(M340:X340,$M$4:$X$4)*$K340*$L340</f>
        <v/>
      </c>
      <c r="AC340" s="15">
        <f>SUMPRODUCT(M340:X340,$M$5:$X$5)*$K340*$L340</f>
        <v/>
      </c>
      <c r="AD340" s="15">
        <f>SUMPRODUCT(M340:X340,$M$6:$X$6)*$K340*$L340</f>
        <v/>
      </c>
      <c r="AE340" s="19" t="n"/>
    </row>
    <row r="341">
      <c r="A341" s="9" t="n">
        <v>679883</v>
      </c>
      <c r="B341" s="9" t="inlineStr">
        <is>
          <t>Luinder Avila</t>
        </is>
      </c>
      <c r="C341" s="9" t="inlineStr">
        <is>
          <t>KC</t>
        </is>
      </c>
      <c r="D341" s="9" t="n">
        <v>25</v>
      </c>
      <c r="E341" s="17" t="inlineStr">
        <is>
          <t>R</t>
        </is>
      </c>
      <c r="F341" s="17" t="n"/>
      <c r="G341" s="9" t="n">
        <v>134</v>
      </c>
      <c r="H341" s="9" t="n">
        <v>190</v>
      </c>
      <c r="I341" s="9" t="inlineStr">
        <is>
          <t>Bullpen Depth Arm</t>
        </is>
      </c>
      <c r="J341" s="17" t="inlineStr">
        <is>
          <t>Opening Day</t>
        </is>
      </c>
      <c r="K341" s="11">
        <f>IFERROR(INDEX(Roles!$B$17:$B$20,MATCH(J341,Roles!$A$17:$A$20,0)),1)</f>
        <v/>
      </c>
      <c r="L341" s="18" t="n">
        <v>1</v>
      </c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3">
        <f>SUMPRODUCT(M341:X341,$M$2:$X$2)*$K341*$L341</f>
        <v/>
      </c>
      <c r="Z341" s="14">
        <f>SUM(M341:X341)</f>
        <v/>
      </c>
      <c r="AA341" s="13">
        <f>SUMPRODUCT(M341:X341,$M$3:$X$3)*$K341*$L341</f>
        <v/>
      </c>
      <c r="AB341" s="13">
        <f>SUMPRODUCT(M341:X341,$M$4:$X$4)*$K341*$L341</f>
        <v/>
      </c>
      <c r="AC341" s="15">
        <f>SUMPRODUCT(M341:X341,$M$5:$X$5)*$K341*$L341</f>
        <v/>
      </c>
      <c r="AD341" s="15">
        <f>SUMPRODUCT(M341:X341,$M$6:$X$6)*$K341*$L341</f>
        <v/>
      </c>
      <c r="AE341" s="19" t="n"/>
    </row>
    <row r="342">
      <c r="A342" s="9" t="n">
        <v>683004</v>
      </c>
      <c r="B342" s="9" t="inlineStr">
        <is>
          <t>Jack Leiter</t>
        </is>
      </c>
      <c r="C342" s="9" t="inlineStr">
        <is>
          <t>TEX</t>
        </is>
      </c>
      <c r="D342" s="9" t="n">
        <v>27</v>
      </c>
      <c r="E342" s="17" t="inlineStr">
        <is>
          <t>R</t>
        </is>
      </c>
      <c r="F342" s="17" t="n"/>
      <c r="G342" s="9" t="n">
        <v>310</v>
      </c>
      <c r="H342" s="9" t="n">
        <v>1129</v>
      </c>
      <c r="I342" s="9" t="inlineStr">
        <is>
          <t>Mid-Rotation Starter (SP2-3)</t>
        </is>
      </c>
      <c r="J342" s="17" t="inlineStr">
        <is>
          <t>Opening Day</t>
        </is>
      </c>
      <c r="K342" s="11">
        <f>IFERROR(INDEX(Roles!$B$17:$B$20,MATCH(J342,Roles!$A$17:$A$20,0)),1)</f>
        <v/>
      </c>
      <c r="L342" s="18" t="n">
        <v>1</v>
      </c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3">
        <f>SUMPRODUCT(M342:X342,$M$2:$X$2)*$K342*$L342</f>
        <v/>
      </c>
      <c r="Z342" s="14">
        <f>SUM(M342:X342)</f>
        <v/>
      </c>
      <c r="AA342" s="13">
        <f>SUMPRODUCT(M342:X342,$M$3:$X$3)*$K342*$L342</f>
        <v/>
      </c>
      <c r="AB342" s="13">
        <f>SUMPRODUCT(M342:X342,$M$4:$X$4)*$K342*$L342</f>
        <v/>
      </c>
      <c r="AC342" s="15">
        <f>SUMPRODUCT(M342:X342,$M$5:$X$5)*$K342*$L342</f>
        <v/>
      </c>
      <c r="AD342" s="15">
        <f>SUMPRODUCT(M342:X342,$M$6:$X$6)*$K342*$L342</f>
        <v/>
      </c>
      <c r="AE342" s="19" t="n"/>
    </row>
    <row r="343">
      <c r="A343" s="9" t="n">
        <v>667755</v>
      </c>
      <c r="B343" s="9" t="inlineStr">
        <is>
          <t>José Soriano</t>
        </is>
      </c>
      <c r="C343" s="9" t="inlineStr">
        <is>
          <t>LAA</t>
        </is>
      </c>
      <c r="D343" s="9" t="n">
        <v>28</v>
      </c>
      <c r="E343" s="17" t="inlineStr">
        <is>
          <t>R</t>
        </is>
      </c>
      <c r="F343" s="17" t="n"/>
      <c r="G343" s="9" t="n">
        <v>341</v>
      </c>
      <c r="H343" s="9" t="n">
        <v>1718</v>
      </c>
      <c r="I343" s="9" t="inlineStr">
        <is>
          <t>Mid-Rotation Starter (SP2-3)</t>
        </is>
      </c>
      <c r="J343" s="17" t="inlineStr">
        <is>
          <t>Opening Day</t>
        </is>
      </c>
      <c r="K343" s="11">
        <f>IFERROR(INDEX(Roles!$B$17:$B$20,MATCH(J343,Roles!$A$17:$A$20,0)),1)</f>
        <v/>
      </c>
      <c r="L343" s="18" t="n">
        <v>1</v>
      </c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3">
        <f>SUMPRODUCT(M343:X343,$M$2:$X$2)*$K343*$L343</f>
        <v/>
      </c>
      <c r="Z343" s="14">
        <f>SUM(M343:X343)</f>
        <v/>
      </c>
      <c r="AA343" s="13">
        <f>SUMPRODUCT(M343:X343,$M$3:$X$3)*$K343*$L343</f>
        <v/>
      </c>
      <c r="AB343" s="13">
        <f>SUMPRODUCT(M343:X343,$M$4:$X$4)*$K343*$L343</f>
        <v/>
      </c>
      <c r="AC343" s="15">
        <f>SUMPRODUCT(M343:X343,$M$5:$X$5)*$K343*$L343</f>
        <v/>
      </c>
      <c r="AD343" s="15">
        <f>SUMPRODUCT(M343:X343,$M$6:$X$6)*$K343*$L343</f>
        <v/>
      </c>
      <c r="AE343" s="19" t="n"/>
    </row>
    <row r="344">
      <c r="A344" s="9" t="n">
        <v>670183</v>
      </c>
      <c r="B344" s="9" t="inlineStr">
        <is>
          <t>Garrett Acton</t>
        </is>
      </c>
      <c r="C344" s="9" t="inlineStr">
        <is>
          <t>MIN</t>
        </is>
      </c>
      <c r="D344" s="9" t="n">
        <v>29</v>
      </c>
      <c r="E344" s="17" t="inlineStr">
        <is>
          <t>R</t>
        </is>
      </c>
      <c r="F344" s="17" t="n"/>
      <c r="G344" s="9" t="n">
        <v>28</v>
      </c>
      <c r="H344" s="9" t="n">
        <v>65</v>
      </c>
      <c r="I344" s="9" t="inlineStr">
        <is>
          <t>Bullpen Depth Arm</t>
        </is>
      </c>
      <c r="J344" s="17" t="inlineStr">
        <is>
          <t>Opening Day</t>
        </is>
      </c>
      <c r="K344" s="11">
        <f>IFERROR(INDEX(Roles!$B$17:$B$20,MATCH(J344,Roles!$A$17:$A$20,0)),1)</f>
        <v/>
      </c>
      <c r="L344" s="18" t="n">
        <v>1</v>
      </c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3">
        <f>SUMPRODUCT(M344:X344,$M$2:$X$2)*$K344*$L344</f>
        <v/>
      </c>
      <c r="Z344" s="14">
        <f>SUM(M344:X344)</f>
        <v/>
      </c>
      <c r="AA344" s="13">
        <f>SUMPRODUCT(M344:X344,$M$3:$X$3)*$K344*$L344</f>
        <v/>
      </c>
      <c r="AB344" s="13">
        <f>SUMPRODUCT(M344:X344,$M$4:$X$4)*$K344*$L344</f>
        <v/>
      </c>
      <c r="AC344" s="15">
        <f>SUMPRODUCT(M344:X344,$M$5:$X$5)*$K344*$L344</f>
        <v/>
      </c>
      <c r="AD344" s="15">
        <f>SUMPRODUCT(M344:X344,$M$6:$X$6)*$K344*$L344</f>
        <v/>
      </c>
      <c r="AE344" s="19" t="n"/>
    </row>
    <row r="345">
      <c r="A345" s="9" t="n">
        <v>628317</v>
      </c>
      <c r="B345" s="9" t="inlineStr">
        <is>
          <t>Kenta Maeda</t>
        </is>
      </c>
      <c r="C345" s="9" t="inlineStr">
        <is>
          <t>DET</t>
        </is>
      </c>
      <c r="D345" s="9" t="n">
        <v>39</v>
      </c>
      <c r="E345" s="17" t="inlineStr">
        <is>
          <t>R</t>
        </is>
      </c>
      <c r="F345" s="17" t="n"/>
      <c r="G345" s="9" t="n">
        <v>43</v>
      </c>
      <c r="H345" s="9" t="n">
        <v>956</v>
      </c>
      <c r="I345" s="9" t="inlineStr">
        <is>
          <t>End-of-Rotation Starter (SP4-5)</t>
        </is>
      </c>
      <c r="J345" s="17" t="inlineStr">
        <is>
          <t>Opening Day</t>
        </is>
      </c>
      <c r="K345" s="11">
        <f>IFERROR(INDEX(Roles!$B$17:$B$20,MATCH(J345,Roles!$A$17:$A$20,0)),1)</f>
        <v/>
      </c>
      <c r="L345" s="18" t="n">
        <v>1</v>
      </c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3">
        <f>SUMPRODUCT(M345:X345,$M$2:$X$2)*$K345*$L345</f>
        <v/>
      </c>
      <c r="Z345" s="14">
        <f>SUM(M345:X345)</f>
        <v/>
      </c>
      <c r="AA345" s="13">
        <f>SUMPRODUCT(M345:X345,$M$3:$X$3)*$K345*$L345</f>
        <v/>
      </c>
      <c r="AB345" s="13">
        <f>SUMPRODUCT(M345:X345,$M$4:$X$4)*$K345*$L345</f>
        <v/>
      </c>
      <c r="AC345" s="15">
        <f>SUMPRODUCT(M345:X345,$M$5:$X$5)*$K345*$L345</f>
        <v/>
      </c>
      <c r="AD345" s="15">
        <f>SUMPRODUCT(M345:X345,$M$6:$X$6)*$K345*$L345</f>
        <v/>
      </c>
      <c r="AE345" s="19" t="n"/>
    </row>
    <row r="346">
      <c r="A346" s="9" t="n">
        <v>593833</v>
      </c>
      <c r="B346" s="9" t="inlineStr">
        <is>
          <t>Wander Suero</t>
        </is>
      </c>
      <c r="C346" s="9" t="inlineStr">
        <is>
          <t>ATL</t>
        </is>
      </c>
      <c r="D346" s="9" t="n">
        <v>35</v>
      </c>
      <c r="E346" s="17" t="inlineStr">
        <is>
          <t>R</t>
        </is>
      </c>
      <c r="F346" s="17" t="n"/>
      <c r="G346" s="9" t="n">
        <v>32</v>
      </c>
      <c r="H346" s="9" t="n">
        <v>68</v>
      </c>
      <c r="I346" s="9" t="inlineStr">
        <is>
          <t>Bullpen Depth Arm</t>
        </is>
      </c>
      <c r="J346" s="17" t="inlineStr">
        <is>
          <t>Opening Day</t>
        </is>
      </c>
      <c r="K346" s="11">
        <f>IFERROR(INDEX(Roles!$B$17:$B$20,MATCH(J346,Roles!$A$17:$A$20,0)),1)</f>
        <v/>
      </c>
      <c r="L346" s="18" t="n">
        <v>1</v>
      </c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3">
        <f>SUMPRODUCT(M346:X346,$M$2:$X$2)*$K346*$L346</f>
        <v/>
      </c>
      <c r="Z346" s="14">
        <f>SUM(M346:X346)</f>
        <v/>
      </c>
      <c r="AA346" s="13">
        <f>SUMPRODUCT(M346:X346,$M$3:$X$3)*$K346*$L346</f>
        <v/>
      </c>
      <c r="AB346" s="13">
        <f>SUMPRODUCT(M346:X346,$M$4:$X$4)*$K346*$L346</f>
        <v/>
      </c>
      <c r="AC346" s="15">
        <f>SUMPRODUCT(M346:X346,$M$5:$X$5)*$K346*$L346</f>
        <v/>
      </c>
      <c r="AD346" s="15">
        <f>SUMPRODUCT(M346:X346,$M$6:$X$6)*$K346*$L346</f>
        <v/>
      </c>
      <c r="AE346" s="19" t="n"/>
    </row>
    <row r="347">
      <c r="A347" s="9" t="n">
        <v>680802</v>
      </c>
      <c r="B347" s="9" t="inlineStr">
        <is>
          <t>Ryan Weiss</t>
        </is>
      </c>
      <c r="C347" s="9" t="inlineStr">
        <is>
          <t>HOU</t>
        </is>
      </c>
      <c r="D347" s="9" t="n">
        <v>30</v>
      </c>
      <c r="E347" s="17" t="inlineStr">
        <is>
          <t>R</t>
        </is>
      </c>
      <c r="F347" s="17" t="n"/>
      <c r="G347" s="9" t="n">
        <v>131</v>
      </c>
      <c r="H347" s="9" t="n">
        <v>131</v>
      </c>
      <c r="I347" s="9" t="inlineStr">
        <is>
          <t>Bullpen Depth Arm</t>
        </is>
      </c>
      <c r="J347" s="17" t="inlineStr">
        <is>
          <t>Opening Day</t>
        </is>
      </c>
      <c r="K347" s="11">
        <f>IFERROR(INDEX(Roles!$B$17:$B$20,MATCH(J347,Roles!$A$17:$A$20,0)),1)</f>
        <v/>
      </c>
      <c r="L347" s="18" t="n">
        <v>1</v>
      </c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3">
        <f>SUMPRODUCT(M347:X347,$M$2:$X$2)*$K347*$L347</f>
        <v/>
      </c>
      <c r="Z347" s="14">
        <f>SUM(M347:X347)</f>
        <v/>
      </c>
      <c r="AA347" s="13">
        <f>SUMPRODUCT(M347:X347,$M$3:$X$3)*$K347*$L347</f>
        <v/>
      </c>
      <c r="AB347" s="13">
        <f>SUMPRODUCT(M347:X347,$M$4:$X$4)*$K347*$L347</f>
        <v/>
      </c>
      <c r="AC347" s="15">
        <f>SUMPRODUCT(M347:X347,$M$5:$X$5)*$K347*$L347</f>
        <v/>
      </c>
      <c r="AD347" s="15">
        <f>SUMPRODUCT(M347:X347,$M$6:$X$6)*$K347*$L347</f>
        <v/>
      </c>
      <c r="AE347" s="19" t="n"/>
    </row>
    <row r="348">
      <c r="A348" s="9" t="n">
        <v>666974</v>
      </c>
      <c r="B348" s="9" t="inlineStr">
        <is>
          <t>Yennier Cano</t>
        </is>
      </c>
      <c r="C348" s="9" t="inlineStr">
        <is>
          <t>BAL</t>
        </is>
      </c>
      <c r="D348" s="9" t="n">
        <v>33</v>
      </c>
      <c r="E348" s="17" t="inlineStr">
        <is>
          <t>R</t>
        </is>
      </c>
      <c r="F348" s="17" t="n"/>
      <c r="G348" s="9" t="n">
        <v>81</v>
      </c>
      <c r="H348" s="9" t="n">
        <v>961</v>
      </c>
      <c r="I348" s="9" t="inlineStr">
        <is>
          <t>Bullpen Depth Arm</t>
        </is>
      </c>
      <c r="J348" s="17" t="inlineStr">
        <is>
          <t>Opening Day</t>
        </is>
      </c>
      <c r="K348" s="11">
        <f>IFERROR(INDEX(Roles!$B$17:$B$20,MATCH(J348,Roles!$A$17:$A$20,0)),1)</f>
        <v/>
      </c>
      <c r="L348" s="18" t="n">
        <v>1</v>
      </c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3">
        <f>SUMPRODUCT(M348:X348,$M$2:$X$2)*$K348*$L348</f>
        <v/>
      </c>
      <c r="Z348" s="14">
        <f>SUM(M348:X348)</f>
        <v/>
      </c>
      <c r="AA348" s="13">
        <f>SUMPRODUCT(M348:X348,$M$3:$X$3)*$K348*$L348</f>
        <v/>
      </c>
      <c r="AB348" s="13">
        <f>SUMPRODUCT(M348:X348,$M$4:$X$4)*$K348*$L348</f>
        <v/>
      </c>
      <c r="AC348" s="15">
        <f>SUMPRODUCT(M348:X348,$M$5:$X$5)*$K348*$L348</f>
        <v/>
      </c>
      <c r="AD348" s="15">
        <f>SUMPRODUCT(M348:X348,$M$6:$X$6)*$K348*$L348</f>
        <v/>
      </c>
      <c r="AE348" s="19" t="n"/>
    </row>
    <row r="349">
      <c r="A349" s="9" t="n">
        <v>695380</v>
      </c>
      <c r="B349" s="9" t="inlineStr">
        <is>
          <t>Alex Hoppe</t>
        </is>
      </c>
      <c r="C349" s="9" t="inlineStr">
        <is>
          <t>SEA</t>
        </is>
      </c>
      <c r="D349" s="9" t="n">
        <v>28</v>
      </c>
      <c r="E349" s="17" t="inlineStr">
        <is>
          <t>R</t>
        </is>
      </c>
      <c r="F349" s="17" t="n"/>
      <c r="G349" s="9" t="n">
        <v>74</v>
      </c>
      <c r="H349" s="9" t="n">
        <v>74</v>
      </c>
      <c r="I349" s="9" t="inlineStr">
        <is>
          <t>Bullpen Depth Arm</t>
        </is>
      </c>
      <c r="J349" s="17" t="inlineStr">
        <is>
          <t>Opening Day</t>
        </is>
      </c>
      <c r="K349" s="11">
        <f>IFERROR(INDEX(Roles!$B$17:$B$20,MATCH(J349,Roles!$A$17:$A$20,0)),1)</f>
        <v/>
      </c>
      <c r="L349" s="18" t="n">
        <v>1</v>
      </c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3">
        <f>SUMPRODUCT(M349:X349,$M$2:$X$2)*$K349*$L349</f>
        <v/>
      </c>
      <c r="Z349" s="14">
        <f>SUM(M349:X349)</f>
        <v/>
      </c>
      <c r="AA349" s="13">
        <f>SUMPRODUCT(M349:X349,$M$3:$X$3)*$K349*$L349</f>
        <v/>
      </c>
      <c r="AB349" s="13">
        <f>SUMPRODUCT(M349:X349,$M$4:$X$4)*$K349*$L349</f>
        <v/>
      </c>
      <c r="AC349" s="15">
        <f>SUMPRODUCT(M349:X349,$M$5:$X$5)*$K349*$L349</f>
        <v/>
      </c>
      <c r="AD349" s="15">
        <f>SUMPRODUCT(M349:X349,$M$6:$X$6)*$K349*$L349</f>
        <v/>
      </c>
      <c r="AE349" s="19" t="n"/>
    </row>
    <row r="350">
      <c r="A350" s="9" t="n">
        <v>664875</v>
      </c>
      <c r="B350" s="9" t="inlineStr">
        <is>
          <t>Justin Lawrence</t>
        </is>
      </c>
      <c r="C350" s="9" t="inlineStr">
        <is>
          <t>MIN</t>
        </is>
      </c>
      <c r="D350" s="9" t="n">
        <v>32</v>
      </c>
      <c r="E350" s="17" t="inlineStr">
        <is>
          <t>R</t>
        </is>
      </c>
      <c r="F350" s="17" t="n"/>
      <c r="G350" s="9" t="n">
        <v>126</v>
      </c>
      <c r="H350" s="9" t="n">
        <v>991</v>
      </c>
      <c r="I350" s="9" t="inlineStr">
        <is>
          <t>Bullpen Depth Arm</t>
        </is>
      </c>
      <c r="J350" s="17" t="inlineStr">
        <is>
          <t>Opening Day</t>
        </is>
      </c>
      <c r="K350" s="11">
        <f>IFERROR(INDEX(Roles!$B$17:$B$20,MATCH(J350,Roles!$A$17:$A$20,0)),1)</f>
        <v/>
      </c>
      <c r="L350" s="18" t="n">
        <v>1</v>
      </c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3">
        <f>SUMPRODUCT(M350:X350,$M$2:$X$2)*$K350*$L350</f>
        <v/>
      </c>
      <c r="Z350" s="14">
        <f>SUM(M350:X350)</f>
        <v/>
      </c>
      <c r="AA350" s="13">
        <f>SUMPRODUCT(M350:X350,$M$3:$X$3)*$K350*$L350</f>
        <v/>
      </c>
      <c r="AB350" s="13">
        <f>SUMPRODUCT(M350:X350,$M$4:$X$4)*$K350*$L350</f>
        <v/>
      </c>
      <c r="AC350" s="15">
        <f>SUMPRODUCT(M350:X350,$M$5:$X$5)*$K350*$L350</f>
        <v/>
      </c>
      <c r="AD350" s="15">
        <f>SUMPRODUCT(M350:X350,$M$6:$X$6)*$K350*$L350</f>
        <v/>
      </c>
      <c r="AE350" s="19" t="n"/>
    </row>
    <row r="351">
      <c r="A351" s="9" t="n">
        <v>518489</v>
      </c>
      <c r="B351" s="9" t="inlineStr">
        <is>
          <t>Ryan Brasier</t>
        </is>
      </c>
      <c r="C351" s="9" t="inlineStr">
        <is>
          <t>CHC</t>
        </is>
      </c>
      <c r="D351" s="9" t="n">
        <v>39</v>
      </c>
      <c r="E351" s="17" t="inlineStr">
        <is>
          <t>R</t>
        </is>
      </c>
      <c r="F351" s="17" t="n"/>
      <c r="G351" s="9" t="n">
        <v>105</v>
      </c>
      <c r="H351" s="9" t="n">
        <v>716</v>
      </c>
      <c r="I351" s="9" t="inlineStr">
        <is>
          <t>Late Inning RP (Setup)</t>
        </is>
      </c>
      <c r="J351" s="17" t="inlineStr">
        <is>
          <t>Opening Day</t>
        </is>
      </c>
      <c r="K351" s="11">
        <f>IFERROR(INDEX(Roles!$B$17:$B$20,MATCH(J351,Roles!$A$17:$A$20,0)),1)</f>
        <v/>
      </c>
      <c r="L351" s="18" t="n">
        <v>1</v>
      </c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3">
        <f>SUMPRODUCT(M351:X351,$M$2:$X$2)*$K351*$L351</f>
        <v/>
      </c>
      <c r="Z351" s="14">
        <f>SUM(M351:X351)</f>
        <v/>
      </c>
      <c r="AA351" s="13">
        <f>SUMPRODUCT(M351:X351,$M$3:$X$3)*$K351*$L351</f>
        <v/>
      </c>
      <c r="AB351" s="13">
        <f>SUMPRODUCT(M351:X351,$M$4:$X$4)*$K351*$L351</f>
        <v/>
      </c>
      <c r="AC351" s="15">
        <f>SUMPRODUCT(M351:X351,$M$5:$X$5)*$K351*$L351</f>
        <v/>
      </c>
      <c r="AD351" s="15">
        <f>SUMPRODUCT(M351:X351,$M$6:$X$6)*$K351*$L351</f>
        <v/>
      </c>
      <c r="AE351" s="19" t="n"/>
    </row>
    <row r="352">
      <c r="A352" s="9" t="n">
        <v>608650</v>
      </c>
      <c r="B352" s="9" t="inlineStr">
        <is>
          <t>Dietrich Enns</t>
        </is>
      </c>
      <c r="C352" s="9" t="inlineStr">
        <is>
          <t>BAL</t>
        </is>
      </c>
      <c r="D352" s="9" t="n">
        <v>36</v>
      </c>
      <c r="E352" s="17" t="inlineStr">
        <is>
          <t>L</t>
        </is>
      </c>
      <c r="F352" s="17" t="n"/>
      <c r="G352" s="9" t="n">
        <v>70</v>
      </c>
      <c r="H352" s="9" t="n">
        <v>270</v>
      </c>
      <c r="I352" s="9" t="inlineStr">
        <is>
          <t>Bullpen Depth Arm</t>
        </is>
      </c>
      <c r="J352" s="17" t="inlineStr">
        <is>
          <t>Opening Day</t>
        </is>
      </c>
      <c r="K352" s="11">
        <f>IFERROR(INDEX(Roles!$B$17:$B$20,MATCH(J352,Roles!$A$17:$A$20,0)),1)</f>
        <v/>
      </c>
      <c r="L352" s="18" t="n">
        <v>1</v>
      </c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3">
        <f>SUMPRODUCT(M352:X352,$M$2:$X$2)*$K352*$L352</f>
        <v/>
      </c>
      <c r="Z352" s="14">
        <f>SUM(M352:X352)</f>
        <v/>
      </c>
      <c r="AA352" s="13">
        <f>SUMPRODUCT(M352:X352,$M$3:$X$3)*$K352*$L352</f>
        <v/>
      </c>
      <c r="AB352" s="13">
        <f>SUMPRODUCT(M352:X352,$M$4:$X$4)*$K352*$L352</f>
        <v/>
      </c>
      <c r="AC352" s="15">
        <f>SUMPRODUCT(M352:X352,$M$5:$X$5)*$K352*$L352</f>
        <v/>
      </c>
      <c r="AD352" s="15">
        <f>SUMPRODUCT(M352:X352,$M$6:$X$6)*$K352*$L352</f>
        <v/>
      </c>
      <c r="AE352" s="19" t="n"/>
    </row>
    <row r="353">
      <c r="A353" s="9" t="n">
        <v>682243</v>
      </c>
      <c r="B353" s="9" t="inlineStr">
        <is>
          <t>Bryce Miller</t>
        </is>
      </c>
      <c r="C353" s="9" t="inlineStr">
        <is>
          <t>SEA</t>
        </is>
      </c>
      <c r="D353" s="9" t="n">
        <v>28</v>
      </c>
      <c r="E353" s="17" t="inlineStr">
        <is>
          <t>R</t>
        </is>
      </c>
      <c r="F353" s="17" t="n"/>
      <c r="G353" s="9" t="n">
        <v>99</v>
      </c>
      <c r="H353" s="9" t="n">
        <v>1732</v>
      </c>
      <c r="I353" s="9" t="inlineStr">
        <is>
          <t>Mid-Rotation Starter (SP2-3)</t>
        </is>
      </c>
      <c r="J353" s="17" t="inlineStr">
        <is>
          <t>Opening Day</t>
        </is>
      </c>
      <c r="K353" s="11">
        <f>IFERROR(INDEX(Roles!$B$17:$B$20,MATCH(J353,Roles!$A$17:$A$20,0)),1)</f>
        <v/>
      </c>
      <c r="L353" s="18" t="n">
        <v>1</v>
      </c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3">
        <f>SUMPRODUCT(M353:X353,$M$2:$X$2)*$K353*$L353</f>
        <v/>
      </c>
      <c r="Z353" s="14">
        <f>SUM(M353:X353)</f>
        <v/>
      </c>
      <c r="AA353" s="13">
        <f>SUMPRODUCT(M353:X353,$M$3:$X$3)*$K353*$L353</f>
        <v/>
      </c>
      <c r="AB353" s="13">
        <f>SUMPRODUCT(M353:X353,$M$4:$X$4)*$K353*$L353</f>
        <v/>
      </c>
      <c r="AC353" s="15">
        <f>SUMPRODUCT(M353:X353,$M$5:$X$5)*$K353*$L353</f>
        <v/>
      </c>
      <c r="AD353" s="15">
        <f>SUMPRODUCT(M353:X353,$M$6:$X$6)*$K353*$L353</f>
        <v/>
      </c>
      <c r="AE353" s="19" t="n"/>
    </row>
    <row r="354">
      <c r="A354" s="9" t="n">
        <v>696070</v>
      </c>
      <c r="B354" s="9" t="inlineStr">
        <is>
          <t>Kendry Rojas</t>
        </is>
      </c>
      <c r="C354" s="9" t="inlineStr">
        <is>
          <t>MIN</t>
        </is>
      </c>
      <c r="D354" s="9" t="n">
        <v>24</v>
      </c>
      <c r="E354" s="17" t="inlineStr">
        <is>
          <t>L</t>
        </is>
      </c>
      <c r="F354" s="17" t="n"/>
      <c r="G354" s="9" t="n">
        <v>61</v>
      </c>
      <c r="H354" s="9" t="n">
        <v>61</v>
      </c>
      <c r="I354" s="9" t="inlineStr">
        <is>
          <t>Bullpen Depth Arm</t>
        </is>
      </c>
      <c r="J354" s="17" t="inlineStr">
        <is>
          <t>Opening Day</t>
        </is>
      </c>
      <c r="K354" s="11">
        <f>IFERROR(INDEX(Roles!$B$17:$B$20,MATCH(J354,Roles!$A$17:$A$20,0)),1)</f>
        <v/>
      </c>
      <c r="L354" s="18" t="n">
        <v>1</v>
      </c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3">
        <f>SUMPRODUCT(M354:X354,$M$2:$X$2)*$K354*$L354</f>
        <v/>
      </c>
      <c r="Z354" s="14">
        <f>SUM(M354:X354)</f>
        <v/>
      </c>
      <c r="AA354" s="13">
        <f>SUMPRODUCT(M354:X354,$M$3:$X$3)*$K354*$L354</f>
        <v/>
      </c>
      <c r="AB354" s="13">
        <f>SUMPRODUCT(M354:X354,$M$4:$X$4)*$K354*$L354</f>
        <v/>
      </c>
      <c r="AC354" s="15">
        <f>SUMPRODUCT(M354:X354,$M$5:$X$5)*$K354*$L354</f>
        <v/>
      </c>
      <c r="AD354" s="15">
        <f>SUMPRODUCT(M354:X354,$M$6:$X$6)*$K354*$L354</f>
        <v/>
      </c>
      <c r="AE354" s="19" t="n"/>
    </row>
    <row r="355">
      <c r="A355" s="9" t="n">
        <v>702021</v>
      </c>
      <c r="B355" s="9" t="inlineStr">
        <is>
          <t>Will Dion</t>
        </is>
      </c>
      <c r="C355" s="9" t="inlineStr">
        <is>
          <t>CLE</t>
        </is>
      </c>
      <c r="D355" s="9" t="n">
        <v>27</v>
      </c>
      <c r="E355" s="17" t="inlineStr">
        <is>
          <t>L</t>
        </is>
      </c>
      <c r="F355" s="17" t="n"/>
      <c r="G355" s="9" t="n">
        <v>39</v>
      </c>
      <c r="H355" s="9" t="n">
        <v>39</v>
      </c>
      <c r="I355" s="9" t="inlineStr">
        <is>
          <t>Middle Relief</t>
        </is>
      </c>
      <c r="J355" s="17" t="inlineStr">
        <is>
          <t>Opening Day</t>
        </is>
      </c>
      <c r="K355" s="11">
        <f>IFERROR(INDEX(Roles!$B$17:$B$20,MATCH(J355,Roles!$A$17:$A$20,0)),1)</f>
        <v/>
      </c>
      <c r="L355" s="18" t="n">
        <v>1</v>
      </c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3">
        <f>SUMPRODUCT(M355:X355,$M$2:$X$2)*$K355*$L355</f>
        <v/>
      </c>
      <c r="Z355" s="14">
        <f>SUM(M355:X355)</f>
        <v/>
      </c>
      <c r="AA355" s="13">
        <f>SUMPRODUCT(M355:X355,$M$3:$X$3)*$K355*$L355</f>
        <v/>
      </c>
      <c r="AB355" s="13">
        <f>SUMPRODUCT(M355:X355,$M$4:$X$4)*$K355*$L355</f>
        <v/>
      </c>
      <c r="AC355" s="15">
        <f>SUMPRODUCT(M355:X355,$M$5:$X$5)*$K355*$L355</f>
        <v/>
      </c>
      <c r="AD355" s="15">
        <f>SUMPRODUCT(M355:X355,$M$6:$X$6)*$K355*$L355</f>
        <v/>
      </c>
      <c r="AE355" s="19" t="n"/>
    </row>
    <row r="356">
      <c r="A356" s="9" t="n">
        <v>696147</v>
      </c>
      <c r="B356" s="9" t="inlineStr">
        <is>
          <t>Sam Bachman</t>
        </is>
      </c>
      <c r="C356" s="9" t="inlineStr">
        <is>
          <t>LAA</t>
        </is>
      </c>
      <c r="D356" s="9" t="n">
        <v>27</v>
      </c>
      <c r="E356" s="17" t="inlineStr">
        <is>
          <t>R</t>
        </is>
      </c>
      <c r="F356" s="17" t="n"/>
      <c r="G356" s="9" t="n">
        <v>123</v>
      </c>
      <c r="H356" s="9" t="n">
        <v>294</v>
      </c>
      <c r="I356" s="9" t="inlineStr">
        <is>
          <t>Bullpen Depth Arm</t>
        </is>
      </c>
      <c r="J356" s="17" t="inlineStr">
        <is>
          <t>Opening Day</t>
        </is>
      </c>
      <c r="K356" s="11">
        <f>IFERROR(INDEX(Roles!$B$17:$B$20,MATCH(J356,Roles!$A$17:$A$20,0)),1)</f>
        <v/>
      </c>
      <c r="L356" s="18" t="n">
        <v>1</v>
      </c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3">
        <f>SUMPRODUCT(M356:X356,$M$2:$X$2)*$K356*$L356</f>
        <v/>
      </c>
      <c r="Z356" s="14">
        <f>SUM(M356:X356)</f>
        <v/>
      </c>
      <c r="AA356" s="13">
        <f>SUMPRODUCT(M356:X356,$M$3:$X$3)*$K356*$L356</f>
        <v/>
      </c>
      <c r="AB356" s="13">
        <f>SUMPRODUCT(M356:X356,$M$4:$X$4)*$K356*$L356</f>
        <v/>
      </c>
      <c r="AC356" s="15">
        <f>SUMPRODUCT(M356:X356,$M$5:$X$5)*$K356*$L356</f>
        <v/>
      </c>
      <c r="AD356" s="15">
        <f>SUMPRODUCT(M356:X356,$M$6:$X$6)*$K356*$L356</f>
        <v/>
      </c>
      <c r="AE356" s="19" t="n"/>
    </row>
    <row r="357">
      <c r="A357" s="9" t="n">
        <v>700712</v>
      </c>
      <c r="B357" s="9" t="inlineStr">
        <is>
          <t>Walbert Ureña</t>
        </is>
      </c>
      <c r="C357" s="9" t="inlineStr">
        <is>
          <t>LAA</t>
        </is>
      </c>
      <c r="D357" s="9" t="n">
        <v>23</v>
      </c>
      <c r="E357" s="17" t="inlineStr">
        <is>
          <t>R</t>
        </is>
      </c>
      <c r="F357" s="17" t="n"/>
      <c r="G357" s="9" t="n">
        <v>242</v>
      </c>
      <c r="H357" s="9" t="n">
        <v>242</v>
      </c>
      <c r="I357" s="9" t="inlineStr">
        <is>
          <t>End-of-Rotation Starter (SP4-5)</t>
        </is>
      </c>
      <c r="J357" s="17" t="inlineStr">
        <is>
          <t>Opening Day</t>
        </is>
      </c>
      <c r="K357" s="11">
        <f>IFERROR(INDEX(Roles!$B$17:$B$20,MATCH(J357,Roles!$A$17:$A$20,0)),1)</f>
        <v/>
      </c>
      <c r="L357" s="18" t="n">
        <v>1</v>
      </c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3">
        <f>SUMPRODUCT(M357:X357,$M$2:$X$2)*$K357*$L357</f>
        <v/>
      </c>
      <c r="Z357" s="14">
        <f>SUM(M357:X357)</f>
        <v/>
      </c>
      <c r="AA357" s="13">
        <f>SUMPRODUCT(M357:X357,$M$3:$X$3)*$K357*$L357</f>
        <v/>
      </c>
      <c r="AB357" s="13">
        <f>SUMPRODUCT(M357:X357,$M$4:$X$4)*$K357*$L357</f>
        <v/>
      </c>
      <c r="AC357" s="15">
        <f>SUMPRODUCT(M357:X357,$M$5:$X$5)*$K357*$L357</f>
        <v/>
      </c>
      <c r="AD357" s="15">
        <f>SUMPRODUCT(M357:X357,$M$6:$X$6)*$K357*$L357</f>
        <v/>
      </c>
      <c r="AE357" s="19" t="n"/>
    </row>
    <row r="358">
      <c r="A358" s="9" t="n">
        <v>657277</v>
      </c>
      <c r="B358" s="9" t="inlineStr">
        <is>
          <t>Logan Webb</t>
        </is>
      </c>
      <c r="C358" s="9" t="inlineStr">
        <is>
          <t>SF</t>
        </is>
      </c>
      <c r="D358" s="9" t="n">
        <v>30</v>
      </c>
      <c r="E358" s="17" t="inlineStr">
        <is>
          <t>R</t>
        </is>
      </c>
      <c r="F358" s="17" t="n"/>
      <c r="G358" s="9" t="n">
        <v>278</v>
      </c>
      <c r="H358" s="9" t="n">
        <v>3612</v>
      </c>
      <c r="I358" s="9" t="inlineStr">
        <is>
          <t>Ace (SP1)</t>
        </is>
      </c>
      <c r="J358" s="17" t="inlineStr">
        <is>
          <t>Opening Day</t>
        </is>
      </c>
      <c r="K358" s="11">
        <f>IFERROR(INDEX(Roles!$B$17:$B$20,MATCH(J358,Roles!$A$17:$A$20,0)),1)</f>
        <v/>
      </c>
      <c r="L358" s="18" t="n">
        <v>1</v>
      </c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3">
        <f>SUMPRODUCT(M358:X358,$M$2:$X$2)*$K358*$L358</f>
        <v/>
      </c>
      <c r="Z358" s="14">
        <f>SUM(M358:X358)</f>
        <v/>
      </c>
      <c r="AA358" s="13">
        <f>SUMPRODUCT(M358:X358,$M$3:$X$3)*$K358*$L358</f>
        <v/>
      </c>
      <c r="AB358" s="13">
        <f>SUMPRODUCT(M358:X358,$M$4:$X$4)*$K358*$L358</f>
        <v/>
      </c>
      <c r="AC358" s="15">
        <f>SUMPRODUCT(M358:X358,$M$5:$X$5)*$K358*$L358</f>
        <v/>
      </c>
      <c r="AD358" s="15">
        <f>SUMPRODUCT(M358:X358,$M$6:$X$6)*$K358*$L358</f>
        <v/>
      </c>
      <c r="AE358" s="19" t="n"/>
    </row>
    <row r="359">
      <c r="A359" s="9" t="n">
        <v>663878</v>
      </c>
      <c r="B359" s="9" t="inlineStr">
        <is>
          <t>Nate Pearson</t>
        </is>
      </c>
      <c r="C359" s="9" t="inlineStr">
        <is>
          <t>HOU</t>
        </is>
      </c>
      <c r="D359" s="9" t="n">
        <v>30</v>
      </c>
      <c r="E359" s="17" t="inlineStr">
        <is>
          <t>R</t>
        </is>
      </c>
      <c r="F359" s="17" t="n"/>
      <c r="G359" s="9" t="n">
        <v>28</v>
      </c>
      <c r="H359" s="9" t="n">
        <v>570</v>
      </c>
      <c r="I359" s="9" t="inlineStr">
        <is>
          <t>Bullpen Depth Arm</t>
        </is>
      </c>
      <c r="J359" s="17" t="inlineStr">
        <is>
          <t>Opening Day</t>
        </is>
      </c>
      <c r="K359" s="11">
        <f>IFERROR(INDEX(Roles!$B$17:$B$20,MATCH(J359,Roles!$A$17:$A$20,0)),1)</f>
        <v/>
      </c>
      <c r="L359" s="18" t="n">
        <v>1</v>
      </c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3">
        <f>SUMPRODUCT(M359:X359,$M$2:$X$2)*$K359*$L359</f>
        <v/>
      </c>
      <c r="Z359" s="14">
        <f>SUM(M359:X359)</f>
        <v/>
      </c>
      <c r="AA359" s="13">
        <f>SUMPRODUCT(M359:X359,$M$3:$X$3)*$K359*$L359</f>
        <v/>
      </c>
      <c r="AB359" s="13">
        <f>SUMPRODUCT(M359:X359,$M$4:$X$4)*$K359*$L359</f>
        <v/>
      </c>
      <c r="AC359" s="15">
        <f>SUMPRODUCT(M359:X359,$M$5:$X$5)*$K359*$L359</f>
        <v/>
      </c>
      <c r="AD359" s="15">
        <f>SUMPRODUCT(M359:X359,$M$6:$X$6)*$K359*$L359</f>
        <v/>
      </c>
      <c r="AE359" s="19" t="n"/>
    </row>
    <row r="360">
      <c r="A360" s="9" t="n">
        <v>656641</v>
      </c>
      <c r="B360" s="9" t="inlineStr">
        <is>
          <t>Jacob Latz</t>
        </is>
      </c>
      <c r="C360" s="9" t="inlineStr">
        <is>
          <t>TEX</t>
        </is>
      </c>
      <c r="D360" s="9" t="n">
        <v>31</v>
      </c>
      <c r="E360" s="17" t="inlineStr">
        <is>
          <t>L</t>
        </is>
      </c>
      <c r="F360" s="17" t="n"/>
      <c r="G360" s="9" t="n">
        <v>106</v>
      </c>
      <c r="H360" s="9" t="n">
        <v>668</v>
      </c>
      <c r="I360" s="9" t="inlineStr">
        <is>
          <t>Middle Relief</t>
        </is>
      </c>
      <c r="J360" s="17" t="inlineStr">
        <is>
          <t>Opening Day</t>
        </is>
      </c>
      <c r="K360" s="11">
        <f>IFERROR(INDEX(Roles!$B$17:$B$20,MATCH(J360,Roles!$A$17:$A$20,0)),1)</f>
        <v/>
      </c>
      <c r="L360" s="18" t="n">
        <v>1</v>
      </c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3">
        <f>SUMPRODUCT(M360:X360,$M$2:$X$2)*$K360*$L360</f>
        <v/>
      </c>
      <c r="Z360" s="14">
        <f>SUM(M360:X360)</f>
        <v/>
      </c>
      <c r="AA360" s="13">
        <f>SUMPRODUCT(M360:X360,$M$3:$X$3)*$K360*$L360</f>
        <v/>
      </c>
      <c r="AB360" s="13">
        <f>SUMPRODUCT(M360:X360,$M$4:$X$4)*$K360*$L360</f>
        <v/>
      </c>
      <c r="AC360" s="15">
        <f>SUMPRODUCT(M360:X360,$M$5:$X$5)*$K360*$L360</f>
        <v/>
      </c>
      <c r="AD360" s="15">
        <f>SUMPRODUCT(M360:X360,$M$6:$X$6)*$K360*$L360</f>
        <v/>
      </c>
      <c r="AE360" s="19" t="n"/>
    </row>
    <row r="361">
      <c r="A361" s="9" t="n">
        <v>656492</v>
      </c>
      <c r="B361" s="9" t="inlineStr">
        <is>
          <t>Foster Griffin</t>
        </is>
      </c>
      <c r="C361" s="9" t="inlineStr">
        <is>
          <t>WSH</t>
        </is>
      </c>
      <c r="D361" s="9" t="n">
        <v>31</v>
      </c>
      <c r="E361" s="17" t="inlineStr">
        <is>
          <t>L</t>
        </is>
      </c>
      <c r="F361" s="17" t="n"/>
      <c r="G361" s="9" t="n">
        <v>297</v>
      </c>
      <c r="H361" s="9" t="n">
        <v>329</v>
      </c>
      <c r="I361" s="9" t="inlineStr">
        <is>
          <t>Mid-Rotation Starter (SP2-3)</t>
        </is>
      </c>
      <c r="J361" s="17" t="inlineStr">
        <is>
          <t>Opening Day</t>
        </is>
      </c>
      <c r="K361" s="11">
        <f>IFERROR(INDEX(Roles!$B$17:$B$20,MATCH(J361,Roles!$A$17:$A$20,0)),1)</f>
        <v/>
      </c>
      <c r="L361" s="18" t="n">
        <v>1</v>
      </c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3">
        <f>SUMPRODUCT(M361:X361,$M$2:$X$2)*$K361*$L361</f>
        <v/>
      </c>
      <c r="Z361" s="14">
        <f>SUM(M361:X361)</f>
        <v/>
      </c>
      <c r="AA361" s="13">
        <f>SUMPRODUCT(M361:X361,$M$3:$X$3)*$K361*$L361</f>
        <v/>
      </c>
      <c r="AB361" s="13">
        <f>SUMPRODUCT(M361:X361,$M$4:$X$4)*$K361*$L361</f>
        <v/>
      </c>
      <c r="AC361" s="15">
        <f>SUMPRODUCT(M361:X361,$M$5:$X$5)*$K361*$L361</f>
        <v/>
      </c>
      <c r="AD361" s="15">
        <f>SUMPRODUCT(M361:X361,$M$6:$X$6)*$K361*$L361</f>
        <v/>
      </c>
      <c r="AE361" s="19" t="n"/>
    </row>
    <row r="362">
      <c r="A362" s="9" t="n">
        <v>688883</v>
      </c>
      <c r="B362" s="9" t="inlineStr">
        <is>
          <t>Peyton Pallette</t>
        </is>
      </c>
      <c r="C362" s="9" t="inlineStr">
        <is>
          <t>CLE</t>
        </is>
      </c>
      <c r="D362" s="9" t="n">
        <v>26</v>
      </c>
      <c r="E362" s="17" t="inlineStr">
        <is>
          <t>R</t>
        </is>
      </c>
      <c r="F362" s="17" t="n"/>
      <c r="G362" s="9" t="n">
        <v>97</v>
      </c>
      <c r="H362" s="9" t="n">
        <v>97</v>
      </c>
      <c r="I362" s="9" t="inlineStr">
        <is>
          <t>Bullpen Depth Arm</t>
        </is>
      </c>
      <c r="J362" s="17" t="inlineStr">
        <is>
          <t>Opening Day</t>
        </is>
      </c>
      <c r="K362" s="11">
        <f>IFERROR(INDEX(Roles!$B$17:$B$20,MATCH(J362,Roles!$A$17:$A$20,0)),1)</f>
        <v/>
      </c>
      <c r="L362" s="18" t="n">
        <v>1</v>
      </c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3">
        <f>SUMPRODUCT(M362:X362,$M$2:$X$2)*$K362*$L362</f>
        <v/>
      </c>
      <c r="Z362" s="14">
        <f>SUM(M362:X362)</f>
        <v/>
      </c>
      <c r="AA362" s="13">
        <f>SUMPRODUCT(M362:X362,$M$3:$X$3)*$K362*$L362</f>
        <v/>
      </c>
      <c r="AB362" s="13">
        <f>SUMPRODUCT(M362:X362,$M$4:$X$4)*$K362*$L362</f>
        <v/>
      </c>
      <c r="AC362" s="15">
        <f>SUMPRODUCT(M362:X362,$M$5:$X$5)*$K362*$L362</f>
        <v/>
      </c>
      <c r="AD362" s="15">
        <f>SUMPRODUCT(M362:X362,$M$6:$X$6)*$K362*$L362</f>
        <v/>
      </c>
      <c r="AE362" s="19" t="n"/>
    </row>
    <row r="363">
      <c r="A363" s="9" t="n">
        <v>656848</v>
      </c>
      <c r="B363" s="9" t="inlineStr">
        <is>
          <t>Michael Petersen</t>
        </is>
      </c>
      <c r="C363" s="9" t="inlineStr">
        <is>
          <t>MIA</t>
        </is>
      </c>
      <c r="D363" s="9" t="n">
        <v>33</v>
      </c>
      <c r="E363" s="17" t="inlineStr">
        <is>
          <t>R</t>
        </is>
      </c>
      <c r="F363" s="17" t="n"/>
      <c r="G363" s="9" t="n">
        <v>109</v>
      </c>
      <c r="H363" s="9" t="n">
        <v>278</v>
      </c>
      <c r="I363" s="9" t="inlineStr">
        <is>
          <t>Bullpen Depth Arm</t>
        </is>
      </c>
      <c r="J363" s="17" t="inlineStr">
        <is>
          <t>Opening Day</t>
        </is>
      </c>
      <c r="K363" s="11">
        <f>IFERROR(INDEX(Roles!$B$17:$B$20,MATCH(J363,Roles!$A$17:$A$20,0)),1)</f>
        <v/>
      </c>
      <c r="L363" s="18" t="n">
        <v>1</v>
      </c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3">
        <f>SUMPRODUCT(M363:X363,$M$2:$X$2)*$K363*$L363</f>
        <v/>
      </c>
      <c r="Z363" s="14">
        <f>SUM(M363:X363)</f>
        <v/>
      </c>
      <c r="AA363" s="13">
        <f>SUMPRODUCT(M363:X363,$M$3:$X$3)*$K363*$L363</f>
        <v/>
      </c>
      <c r="AB363" s="13">
        <f>SUMPRODUCT(M363:X363,$M$4:$X$4)*$K363*$L363</f>
        <v/>
      </c>
      <c r="AC363" s="15">
        <f>SUMPRODUCT(M363:X363,$M$5:$X$5)*$K363*$L363</f>
        <v/>
      </c>
      <c r="AD363" s="15">
        <f>SUMPRODUCT(M363:X363,$M$6:$X$6)*$K363*$L363</f>
        <v/>
      </c>
      <c r="AE363" s="19" t="n"/>
    </row>
    <row r="364">
      <c r="A364" s="9" t="n">
        <v>686701</v>
      </c>
      <c r="B364" s="9" t="inlineStr">
        <is>
          <t>Ryan Bergert</t>
        </is>
      </c>
      <c r="C364" s="9" t="inlineStr">
        <is>
          <t>KC</t>
        </is>
      </c>
      <c r="D364" s="9" t="n">
        <v>27</v>
      </c>
      <c r="E364" s="17" t="inlineStr">
        <is>
          <t>R</t>
        </is>
      </c>
      <c r="F364" s="17" t="n"/>
      <c r="G364" s="9" t="n">
        <v>323</v>
      </c>
      <c r="H364" s="9" t="n">
        <v>323</v>
      </c>
      <c r="I364" s="9" t="inlineStr">
        <is>
          <t>End-of-Rotation Starter (SP4-5)</t>
        </is>
      </c>
      <c r="J364" s="17" t="inlineStr">
        <is>
          <t>Opening Day</t>
        </is>
      </c>
      <c r="K364" s="11">
        <f>IFERROR(INDEX(Roles!$B$17:$B$20,MATCH(J364,Roles!$A$17:$A$20,0)),1)</f>
        <v/>
      </c>
      <c r="L364" s="18" t="n">
        <v>1</v>
      </c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3">
        <f>SUMPRODUCT(M364:X364,$M$2:$X$2)*$K364*$L364</f>
        <v/>
      </c>
      <c r="Z364" s="14">
        <f>SUM(M364:X364)</f>
        <v/>
      </c>
      <c r="AA364" s="13">
        <f>SUMPRODUCT(M364:X364,$M$3:$X$3)*$K364*$L364</f>
        <v/>
      </c>
      <c r="AB364" s="13">
        <f>SUMPRODUCT(M364:X364,$M$4:$X$4)*$K364*$L364</f>
        <v/>
      </c>
      <c r="AC364" s="15">
        <f>SUMPRODUCT(M364:X364,$M$5:$X$5)*$K364*$L364</f>
        <v/>
      </c>
      <c r="AD364" s="15">
        <f>SUMPRODUCT(M364:X364,$M$6:$X$6)*$K364*$L364</f>
        <v/>
      </c>
      <c r="AE364" s="19" t="n"/>
    </row>
    <row r="365">
      <c r="A365" s="9" t="n">
        <v>677161</v>
      </c>
      <c r="B365" s="9" t="inlineStr">
        <is>
          <t>Zack Kelly</t>
        </is>
      </c>
      <c r="C365" s="9" t="inlineStr">
        <is>
          <t>BOS</t>
        </is>
      </c>
      <c r="D365" s="9" t="n">
        <v>32</v>
      </c>
      <c r="E365" s="17" t="inlineStr">
        <is>
          <t>R</t>
        </is>
      </c>
      <c r="F365" s="17" t="n"/>
      <c r="G365" s="9" t="n">
        <v>71</v>
      </c>
      <c r="H365" s="9" t="n">
        <v>566</v>
      </c>
      <c r="I365" s="9" t="inlineStr">
        <is>
          <t>Bullpen Depth Arm</t>
        </is>
      </c>
      <c r="J365" s="17" t="inlineStr">
        <is>
          <t>Opening Day</t>
        </is>
      </c>
      <c r="K365" s="11">
        <f>IFERROR(INDEX(Roles!$B$17:$B$20,MATCH(J365,Roles!$A$17:$A$20,0)),1)</f>
        <v/>
      </c>
      <c r="L365" s="18" t="n">
        <v>1</v>
      </c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3">
        <f>SUMPRODUCT(M365:X365,$M$2:$X$2)*$K365*$L365</f>
        <v/>
      </c>
      <c r="Z365" s="14">
        <f>SUM(M365:X365)</f>
        <v/>
      </c>
      <c r="AA365" s="13">
        <f>SUMPRODUCT(M365:X365,$M$3:$X$3)*$K365*$L365</f>
        <v/>
      </c>
      <c r="AB365" s="13">
        <f>SUMPRODUCT(M365:X365,$M$4:$X$4)*$K365*$L365</f>
        <v/>
      </c>
      <c r="AC365" s="15">
        <f>SUMPRODUCT(M365:X365,$M$5:$X$5)*$K365*$L365</f>
        <v/>
      </c>
      <c r="AD365" s="15">
        <f>SUMPRODUCT(M365:X365,$M$6:$X$6)*$K365*$L365</f>
        <v/>
      </c>
      <c r="AE365" s="19" t="n"/>
    </row>
    <row r="366">
      <c r="A366" s="9" t="n">
        <v>656686</v>
      </c>
      <c r="B366" s="9" t="inlineStr">
        <is>
          <t>Corbin Martin</t>
        </is>
      </c>
      <c r="C366" s="9" t="inlineStr">
        <is>
          <t>CHC</t>
        </is>
      </c>
      <c r="D366" s="9" t="n">
        <v>31</v>
      </c>
      <c r="E366" s="17" t="inlineStr">
        <is>
          <t>R</t>
        </is>
      </c>
      <c r="F366" s="17" t="n"/>
      <c r="G366" s="9" t="n">
        <v>25</v>
      </c>
      <c r="H366" s="9" t="n">
        <v>215</v>
      </c>
      <c r="I366" s="9" t="inlineStr">
        <is>
          <t>Bullpen Depth Arm</t>
        </is>
      </c>
      <c r="J366" s="17" t="inlineStr">
        <is>
          <t>Opening Day</t>
        </is>
      </c>
      <c r="K366" s="11">
        <f>IFERROR(INDEX(Roles!$B$17:$B$20,MATCH(J366,Roles!$A$17:$A$20,0)),1)</f>
        <v/>
      </c>
      <c r="L366" s="18" t="n">
        <v>1</v>
      </c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3">
        <f>SUMPRODUCT(M366:X366,$M$2:$X$2)*$K366*$L366</f>
        <v/>
      </c>
      <c r="Z366" s="14">
        <f>SUM(M366:X366)</f>
        <v/>
      </c>
      <c r="AA366" s="13">
        <f>SUMPRODUCT(M366:X366,$M$3:$X$3)*$K366*$L366</f>
        <v/>
      </c>
      <c r="AB366" s="13">
        <f>SUMPRODUCT(M366:X366,$M$4:$X$4)*$K366*$L366</f>
        <v/>
      </c>
      <c r="AC366" s="15">
        <f>SUMPRODUCT(M366:X366,$M$5:$X$5)*$K366*$L366</f>
        <v/>
      </c>
      <c r="AD366" s="15">
        <f>SUMPRODUCT(M366:X366,$M$6:$X$6)*$K366*$L366</f>
        <v/>
      </c>
      <c r="AE366" s="19" t="n"/>
    </row>
    <row r="367">
      <c r="A367" s="9" t="n">
        <v>691945</v>
      </c>
      <c r="B367" s="9" t="inlineStr">
        <is>
          <t>Carter Baumler</t>
        </is>
      </c>
      <c r="C367" s="9" t="inlineStr">
        <is>
          <t>TEX</t>
        </is>
      </c>
      <c r="D367" s="9" t="n">
        <v>25</v>
      </c>
      <c r="E367" s="17" t="inlineStr">
        <is>
          <t>R</t>
        </is>
      </c>
      <c r="F367" s="17" t="n"/>
      <c r="G367" s="9" t="n">
        <v>27</v>
      </c>
      <c r="H367" s="9" t="n">
        <v>27</v>
      </c>
      <c r="I367" s="9" t="inlineStr">
        <is>
          <t>Bullpen Depth Arm</t>
        </is>
      </c>
      <c r="J367" s="17" t="inlineStr">
        <is>
          <t>Opening Day</t>
        </is>
      </c>
      <c r="K367" s="11">
        <f>IFERROR(INDEX(Roles!$B$17:$B$20,MATCH(J367,Roles!$A$17:$A$20,0)),1)</f>
        <v/>
      </c>
      <c r="L367" s="18" t="n">
        <v>1</v>
      </c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3">
        <f>SUMPRODUCT(M367:X367,$M$2:$X$2)*$K367*$L367</f>
        <v/>
      </c>
      <c r="Z367" s="14">
        <f>SUM(M367:X367)</f>
        <v/>
      </c>
      <c r="AA367" s="13">
        <f>SUMPRODUCT(M367:X367,$M$3:$X$3)*$K367*$L367</f>
        <v/>
      </c>
      <c r="AB367" s="13">
        <f>SUMPRODUCT(M367:X367,$M$4:$X$4)*$K367*$L367</f>
        <v/>
      </c>
      <c r="AC367" s="15">
        <f>SUMPRODUCT(M367:X367,$M$5:$X$5)*$K367*$L367</f>
        <v/>
      </c>
      <c r="AD367" s="15">
        <f>SUMPRODUCT(M367:X367,$M$6:$X$6)*$K367*$L367</f>
        <v/>
      </c>
      <c r="AE367" s="19" t="n"/>
    </row>
    <row r="368">
      <c r="A368" s="9" t="n">
        <v>664123</v>
      </c>
      <c r="B368" s="9" t="inlineStr">
        <is>
          <t>Scott Effross</t>
        </is>
      </c>
      <c r="C368" s="9" t="inlineStr">
        <is>
          <t>NYY</t>
        </is>
      </c>
      <c r="D368" s="9" t="n">
        <v>33</v>
      </c>
      <c r="E368" s="17" t="inlineStr">
        <is>
          <t>R</t>
        </is>
      </c>
      <c r="F368" s="17" t="n"/>
      <c r="G368" s="9" t="n">
        <v>51</v>
      </c>
      <c r="H368" s="9" t="n">
        <v>294</v>
      </c>
      <c r="I368" s="9" t="inlineStr">
        <is>
          <t>Middle Relief</t>
        </is>
      </c>
      <c r="J368" s="17" t="inlineStr">
        <is>
          <t>Opening Day</t>
        </is>
      </c>
      <c r="K368" s="11">
        <f>IFERROR(INDEX(Roles!$B$17:$B$20,MATCH(J368,Roles!$A$17:$A$20,0)),1)</f>
        <v/>
      </c>
      <c r="L368" s="18" t="n">
        <v>1</v>
      </c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3">
        <f>SUMPRODUCT(M368:X368,$M$2:$X$2)*$K368*$L368</f>
        <v/>
      </c>
      <c r="Z368" s="14">
        <f>SUM(M368:X368)</f>
        <v/>
      </c>
      <c r="AA368" s="13">
        <f>SUMPRODUCT(M368:X368,$M$3:$X$3)*$K368*$L368</f>
        <v/>
      </c>
      <c r="AB368" s="13">
        <f>SUMPRODUCT(M368:X368,$M$4:$X$4)*$K368*$L368</f>
        <v/>
      </c>
      <c r="AC368" s="15">
        <f>SUMPRODUCT(M368:X368,$M$5:$X$5)*$K368*$L368</f>
        <v/>
      </c>
      <c r="AD368" s="15">
        <f>SUMPRODUCT(M368:X368,$M$6:$X$6)*$K368*$L368</f>
        <v/>
      </c>
      <c r="AE368" s="19" t="n"/>
    </row>
    <row r="369">
      <c r="A369" s="9" t="n">
        <v>607455</v>
      </c>
      <c r="B369" s="9" t="inlineStr">
        <is>
          <t>Anthony Banda</t>
        </is>
      </c>
      <c r="C369" s="9" t="inlineStr">
        <is>
          <t>MIN</t>
        </is>
      </c>
      <c r="D369" s="9" t="n">
        <v>33</v>
      </c>
      <c r="E369" s="17" t="inlineStr">
        <is>
          <t>L</t>
        </is>
      </c>
      <c r="F369" s="17" t="n"/>
      <c r="G369" s="9" t="n">
        <v>122</v>
      </c>
      <c r="H369" s="9" t="n">
        <v>769</v>
      </c>
      <c r="I369" s="9" t="inlineStr">
        <is>
          <t>Late Inning RP (Setup)</t>
        </is>
      </c>
      <c r="J369" s="17" t="inlineStr">
        <is>
          <t>Opening Day</t>
        </is>
      </c>
      <c r="K369" s="11">
        <f>IFERROR(INDEX(Roles!$B$17:$B$20,MATCH(J369,Roles!$A$17:$A$20,0)),1)</f>
        <v/>
      </c>
      <c r="L369" s="18" t="n">
        <v>1</v>
      </c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3">
        <f>SUMPRODUCT(M369:X369,$M$2:$X$2)*$K369*$L369</f>
        <v/>
      </c>
      <c r="Z369" s="14">
        <f>SUM(M369:X369)</f>
        <v/>
      </c>
      <c r="AA369" s="13">
        <f>SUMPRODUCT(M369:X369,$M$3:$X$3)*$K369*$L369</f>
        <v/>
      </c>
      <c r="AB369" s="13">
        <f>SUMPRODUCT(M369:X369,$M$4:$X$4)*$K369*$L369</f>
        <v/>
      </c>
      <c r="AC369" s="15">
        <f>SUMPRODUCT(M369:X369,$M$5:$X$5)*$K369*$L369</f>
        <v/>
      </c>
      <c r="AD369" s="15">
        <f>SUMPRODUCT(M369:X369,$M$6:$X$6)*$K369*$L369</f>
        <v/>
      </c>
      <c r="AE369" s="19" t="n"/>
    </row>
    <row r="370">
      <c r="A370" s="9" t="n">
        <v>614179</v>
      </c>
      <c r="B370" s="9" t="inlineStr">
        <is>
          <t>José Ruiz</t>
        </is>
      </c>
      <c r="C370" s="9" t="inlineStr">
        <is>
          <t>ATL</t>
        </is>
      </c>
      <c r="D370" s="9" t="n">
        <v>32</v>
      </c>
      <c r="E370" s="17" t="inlineStr">
        <is>
          <t>R</t>
        </is>
      </c>
      <c r="F370" s="17" t="n"/>
      <c r="G370" s="9" t="n">
        <v>79</v>
      </c>
      <c r="H370" s="9" t="n">
        <v>768</v>
      </c>
      <c r="I370" s="9" t="inlineStr">
        <is>
          <t>Bullpen Depth Arm</t>
        </is>
      </c>
      <c r="J370" s="17" t="inlineStr">
        <is>
          <t>Opening Day</t>
        </is>
      </c>
      <c r="K370" s="11">
        <f>IFERROR(INDEX(Roles!$B$17:$B$20,MATCH(J370,Roles!$A$17:$A$20,0)),1)</f>
        <v/>
      </c>
      <c r="L370" s="18" t="n">
        <v>1</v>
      </c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3">
        <f>SUMPRODUCT(M370:X370,$M$2:$X$2)*$K370*$L370</f>
        <v/>
      </c>
      <c r="Z370" s="14">
        <f>SUM(M370:X370)</f>
        <v/>
      </c>
      <c r="AA370" s="13">
        <f>SUMPRODUCT(M370:X370,$M$3:$X$3)*$K370*$L370</f>
        <v/>
      </c>
      <c r="AB370" s="13">
        <f>SUMPRODUCT(M370:X370,$M$4:$X$4)*$K370*$L370</f>
        <v/>
      </c>
      <c r="AC370" s="15">
        <f>SUMPRODUCT(M370:X370,$M$5:$X$5)*$K370*$L370</f>
        <v/>
      </c>
      <c r="AD370" s="15">
        <f>SUMPRODUCT(M370:X370,$M$6:$X$6)*$K370*$L370</f>
        <v/>
      </c>
      <c r="AE370" s="19" t="n"/>
    </row>
    <row r="371">
      <c r="A371" s="9" t="n">
        <v>605218</v>
      </c>
      <c r="B371" s="9" t="inlineStr">
        <is>
          <t>Carl Edwards Jr.</t>
        </is>
      </c>
      <c r="C371" s="9" t="inlineStr">
        <is>
          <t>NYM</t>
        </is>
      </c>
      <c r="D371" s="9" t="n">
        <v>35</v>
      </c>
      <c r="E371" s="17" t="inlineStr">
        <is>
          <t>R</t>
        </is>
      </c>
      <c r="F371" s="17" t="n"/>
      <c r="G371" s="9" t="n">
        <v>25</v>
      </c>
      <c r="H371" s="9" t="n">
        <v>450</v>
      </c>
      <c r="I371" s="9" t="inlineStr">
        <is>
          <t>Bullpen Depth Arm</t>
        </is>
      </c>
      <c r="J371" s="17" t="inlineStr">
        <is>
          <t>Opening Day</t>
        </is>
      </c>
      <c r="K371" s="11">
        <f>IFERROR(INDEX(Roles!$B$17:$B$20,MATCH(J371,Roles!$A$17:$A$20,0)),1)</f>
        <v/>
      </c>
      <c r="L371" s="18" t="n">
        <v>1</v>
      </c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3">
        <f>SUMPRODUCT(M371:X371,$M$2:$X$2)*$K371*$L371</f>
        <v/>
      </c>
      <c r="Z371" s="14">
        <f>SUM(M371:X371)</f>
        <v/>
      </c>
      <c r="AA371" s="13">
        <f>SUMPRODUCT(M371:X371,$M$3:$X$3)*$K371*$L371</f>
        <v/>
      </c>
      <c r="AB371" s="13">
        <f>SUMPRODUCT(M371:X371,$M$4:$X$4)*$K371*$L371</f>
        <v/>
      </c>
      <c r="AC371" s="15">
        <f>SUMPRODUCT(M371:X371,$M$5:$X$5)*$K371*$L371</f>
        <v/>
      </c>
      <c r="AD371" s="15">
        <f>SUMPRODUCT(M371:X371,$M$6:$X$6)*$K371*$L371</f>
        <v/>
      </c>
      <c r="AE371" s="19" t="n"/>
    </row>
    <row r="372">
      <c r="A372" s="9" t="n">
        <v>676272</v>
      </c>
      <c r="B372" s="9" t="inlineStr">
        <is>
          <t>Bobby Miller</t>
        </is>
      </c>
      <c r="C372" s="9" t="inlineStr">
        <is>
          <t>LAD</t>
        </is>
      </c>
      <c r="D372" s="9" t="n">
        <v>28</v>
      </c>
      <c r="E372" s="17" t="inlineStr">
        <is>
          <t>R</t>
        </is>
      </c>
      <c r="F372" s="17" t="n"/>
      <c r="G372" s="9" t="n">
        <v>28</v>
      </c>
      <c r="H372" s="9" t="n">
        <v>791</v>
      </c>
      <c r="I372" s="9" t="inlineStr">
        <is>
          <t>End-of-Rotation Starter (SP4-5)</t>
        </is>
      </c>
      <c r="J372" s="17" t="inlineStr">
        <is>
          <t>Opening Day</t>
        </is>
      </c>
      <c r="K372" s="11">
        <f>IFERROR(INDEX(Roles!$B$17:$B$20,MATCH(J372,Roles!$A$17:$A$20,0)),1)</f>
        <v/>
      </c>
      <c r="L372" s="18" t="n">
        <v>1</v>
      </c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3">
        <f>SUMPRODUCT(M372:X372,$M$2:$X$2)*$K372*$L372</f>
        <v/>
      </c>
      <c r="Z372" s="14">
        <f>SUM(M372:X372)</f>
        <v/>
      </c>
      <c r="AA372" s="13">
        <f>SUMPRODUCT(M372:X372,$M$3:$X$3)*$K372*$L372</f>
        <v/>
      </c>
      <c r="AB372" s="13">
        <f>SUMPRODUCT(M372:X372,$M$4:$X$4)*$K372*$L372</f>
        <v/>
      </c>
      <c r="AC372" s="15">
        <f>SUMPRODUCT(M372:X372,$M$5:$X$5)*$K372*$L372</f>
        <v/>
      </c>
      <c r="AD372" s="15">
        <f>SUMPRODUCT(M372:X372,$M$6:$X$6)*$K372*$L372</f>
        <v/>
      </c>
      <c r="AE372" s="19" t="n"/>
    </row>
    <row r="373">
      <c r="A373" s="9" t="n">
        <v>642121</v>
      </c>
      <c r="B373" s="9" t="inlineStr">
        <is>
          <t>Cole Sulser</t>
        </is>
      </c>
      <c r="C373" s="9" t="inlineStr">
        <is>
          <t>TB</t>
        </is>
      </c>
      <c r="D373" s="9" t="n">
        <v>37</v>
      </c>
      <c r="E373" s="17" t="inlineStr">
        <is>
          <t>R</t>
        </is>
      </c>
      <c r="F373" s="17" t="n"/>
      <c r="G373" s="9" t="n">
        <v>114</v>
      </c>
      <c r="H373" s="9" t="n">
        <v>442</v>
      </c>
      <c r="I373" s="9" t="inlineStr">
        <is>
          <t>Bullpen Depth Arm</t>
        </is>
      </c>
      <c r="J373" s="17" t="inlineStr">
        <is>
          <t>Opening Day</t>
        </is>
      </c>
      <c r="K373" s="11">
        <f>IFERROR(INDEX(Roles!$B$17:$B$20,MATCH(J373,Roles!$A$17:$A$20,0)),1)</f>
        <v/>
      </c>
      <c r="L373" s="18" t="n">
        <v>1</v>
      </c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3">
        <f>SUMPRODUCT(M373:X373,$M$2:$X$2)*$K373*$L373</f>
        <v/>
      </c>
      <c r="Z373" s="14">
        <f>SUM(M373:X373)</f>
        <v/>
      </c>
      <c r="AA373" s="13">
        <f>SUMPRODUCT(M373:X373,$M$3:$X$3)*$K373*$L373</f>
        <v/>
      </c>
      <c r="AB373" s="13">
        <f>SUMPRODUCT(M373:X373,$M$4:$X$4)*$K373*$L373</f>
        <v/>
      </c>
      <c r="AC373" s="15">
        <f>SUMPRODUCT(M373:X373,$M$5:$X$5)*$K373*$L373</f>
        <v/>
      </c>
      <c r="AD373" s="15">
        <f>SUMPRODUCT(M373:X373,$M$6:$X$6)*$K373*$L373</f>
        <v/>
      </c>
      <c r="AE373" s="19" t="n"/>
    </row>
    <row r="374">
      <c r="A374" s="9" t="n">
        <v>624133</v>
      </c>
      <c r="B374" s="9" t="inlineStr">
        <is>
          <t>Ranger Suarez</t>
        </is>
      </c>
      <c r="C374" s="9" t="inlineStr">
        <is>
          <t>BOS</t>
        </is>
      </c>
      <c r="D374" s="9" t="n">
        <v>31</v>
      </c>
      <c r="E374" s="17" t="inlineStr">
        <is>
          <t>L</t>
        </is>
      </c>
      <c r="F374" s="17" t="n"/>
      <c r="G374" s="9" t="n">
        <v>263</v>
      </c>
      <c r="H374" s="9" t="n">
        <v>2742</v>
      </c>
      <c r="I374" s="9" t="inlineStr">
        <is>
          <t>Mid-Rotation Starter (SP2-3)</t>
        </is>
      </c>
      <c r="J374" s="17" t="inlineStr">
        <is>
          <t>Opening Day</t>
        </is>
      </c>
      <c r="K374" s="11">
        <f>IFERROR(INDEX(Roles!$B$17:$B$20,MATCH(J374,Roles!$A$17:$A$20,0)),1)</f>
        <v/>
      </c>
      <c r="L374" s="18" t="n">
        <v>1</v>
      </c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3">
        <f>SUMPRODUCT(M374:X374,$M$2:$X$2)*$K374*$L374</f>
        <v/>
      </c>
      <c r="Z374" s="14">
        <f>SUM(M374:X374)</f>
        <v/>
      </c>
      <c r="AA374" s="13">
        <f>SUMPRODUCT(M374:X374,$M$3:$X$3)*$K374*$L374</f>
        <v/>
      </c>
      <c r="AB374" s="13">
        <f>SUMPRODUCT(M374:X374,$M$4:$X$4)*$K374*$L374</f>
        <v/>
      </c>
      <c r="AC374" s="15">
        <f>SUMPRODUCT(M374:X374,$M$5:$X$5)*$K374*$L374</f>
        <v/>
      </c>
      <c r="AD374" s="15">
        <f>SUMPRODUCT(M374:X374,$M$6:$X$6)*$K374*$L374</f>
        <v/>
      </c>
      <c r="AE374" s="19" t="n"/>
    </row>
    <row r="375">
      <c r="A375" s="9" t="n">
        <v>656849</v>
      </c>
      <c r="B375" s="9" t="inlineStr">
        <is>
          <t>David Peterson</t>
        </is>
      </c>
      <c r="C375" s="9" t="inlineStr">
        <is>
          <t>NYM</t>
        </is>
      </c>
      <c r="D375" s="9" t="n">
        <v>31</v>
      </c>
      <c r="E375" s="17" t="inlineStr">
        <is>
          <t>L</t>
        </is>
      </c>
      <c r="F375" s="17" t="n"/>
      <c r="G375" s="9" t="n">
        <v>266</v>
      </c>
      <c r="H375" s="9" t="n">
        <v>2445</v>
      </c>
      <c r="I375" s="9" t="inlineStr">
        <is>
          <t>Mid-Rotation Starter (SP2-3)</t>
        </is>
      </c>
      <c r="J375" s="17" t="inlineStr">
        <is>
          <t>Opening Day</t>
        </is>
      </c>
      <c r="K375" s="11">
        <f>IFERROR(INDEX(Roles!$B$17:$B$20,MATCH(J375,Roles!$A$17:$A$20,0)),1)</f>
        <v/>
      </c>
      <c r="L375" s="18" t="n">
        <v>1</v>
      </c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3">
        <f>SUMPRODUCT(M375:X375,$M$2:$X$2)*$K375*$L375</f>
        <v/>
      </c>
      <c r="Z375" s="14">
        <f>SUM(M375:X375)</f>
        <v/>
      </c>
      <c r="AA375" s="13">
        <f>SUMPRODUCT(M375:X375,$M$3:$X$3)*$K375*$L375</f>
        <v/>
      </c>
      <c r="AB375" s="13">
        <f>SUMPRODUCT(M375:X375,$M$4:$X$4)*$K375*$L375</f>
        <v/>
      </c>
      <c r="AC375" s="15">
        <f>SUMPRODUCT(M375:X375,$M$5:$X$5)*$K375*$L375</f>
        <v/>
      </c>
      <c r="AD375" s="15">
        <f>SUMPRODUCT(M375:X375,$M$6:$X$6)*$K375*$L375</f>
        <v/>
      </c>
      <c r="AE375" s="19" t="n"/>
    </row>
    <row r="376">
      <c r="A376" s="9" t="n">
        <v>641927</v>
      </c>
      <c r="B376" s="9" t="inlineStr">
        <is>
          <t>Bailey Ober</t>
        </is>
      </c>
      <c r="C376" s="9" t="inlineStr">
        <is>
          <t>MIN</t>
        </is>
      </c>
      <c r="D376" s="9" t="n">
        <v>31</v>
      </c>
      <c r="E376" s="17" t="inlineStr">
        <is>
          <t>R</t>
        </is>
      </c>
      <c r="F376" s="17" t="n"/>
      <c r="G376" s="9" t="n">
        <v>281</v>
      </c>
      <c r="H376" s="9" t="n">
        <v>2418</v>
      </c>
      <c r="I376" s="9" t="inlineStr">
        <is>
          <t>Mid-Rotation Starter (SP2-3)</t>
        </is>
      </c>
      <c r="J376" s="17" t="inlineStr">
        <is>
          <t>Opening Day</t>
        </is>
      </c>
      <c r="K376" s="11">
        <f>IFERROR(INDEX(Roles!$B$17:$B$20,MATCH(J376,Roles!$A$17:$A$20,0)),1)</f>
        <v/>
      </c>
      <c r="L376" s="18" t="n">
        <v>1</v>
      </c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3">
        <f>SUMPRODUCT(M376:X376,$M$2:$X$2)*$K376*$L376</f>
        <v/>
      </c>
      <c r="Z376" s="14">
        <f>SUM(M376:X376)</f>
        <v/>
      </c>
      <c r="AA376" s="13">
        <f>SUMPRODUCT(M376:X376,$M$3:$X$3)*$K376*$L376</f>
        <v/>
      </c>
      <c r="AB376" s="13">
        <f>SUMPRODUCT(M376:X376,$M$4:$X$4)*$K376*$L376</f>
        <v/>
      </c>
      <c r="AC376" s="15">
        <f>SUMPRODUCT(M376:X376,$M$5:$X$5)*$K376*$L376</f>
        <v/>
      </c>
      <c r="AD376" s="15">
        <f>SUMPRODUCT(M376:X376,$M$6:$X$6)*$K376*$L376</f>
        <v/>
      </c>
      <c r="AE376" s="19" t="n"/>
    </row>
    <row r="377">
      <c r="A377" s="9" t="n">
        <v>641816</v>
      </c>
      <c r="B377" s="9" t="inlineStr">
        <is>
          <t>Tyler Mahle</t>
        </is>
      </c>
      <c r="C377" s="9" t="inlineStr">
        <is>
          <t>SF</t>
        </is>
      </c>
      <c r="D377" s="9" t="n">
        <v>32</v>
      </c>
      <c r="E377" s="17" t="inlineStr">
        <is>
          <t>R</t>
        </is>
      </c>
      <c r="F377" s="17" t="n"/>
      <c r="G377" s="9" t="n">
        <v>249</v>
      </c>
      <c r="H377" s="9" t="n">
        <v>1256</v>
      </c>
      <c r="I377" s="9" t="inlineStr">
        <is>
          <t>Mid-Rotation Starter (SP2-3)</t>
        </is>
      </c>
      <c r="J377" s="17" t="inlineStr">
        <is>
          <t>Opening Day</t>
        </is>
      </c>
      <c r="K377" s="11">
        <f>IFERROR(INDEX(Roles!$B$17:$B$20,MATCH(J377,Roles!$A$17:$A$20,0)),1)</f>
        <v/>
      </c>
      <c r="L377" s="18" t="n">
        <v>1</v>
      </c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3">
        <f>SUMPRODUCT(M377:X377,$M$2:$X$2)*$K377*$L377</f>
        <v/>
      </c>
      <c r="Z377" s="14">
        <f>SUM(M377:X377)</f>
        <v/>
      </c>
      <c r="AA377" s="13">
        <f>SUMPRODUCT(M377:X377,$M$3:$X$3)*$K377*$L377</f>
        <v/>
      </c>
      <c r="AB377" s="13">
        <f>SUMPRODUCT(M377:X377,$M$4:$X$4)*$K377*$L377</f>
        <v/>
      </c>
      <c r="AC377" s="15">
        <f>SUMPRODUCT(M377:X377,$M$5:$X$5)*$K377*$L377</f>
        <v/>
      </c>
      <c r="AD377" s="15">
        <f>SUMPRODUCT(M377:X377,$M$6:$X$6)*$K377*$L377</f>
        <v/>
      </c>
      <c r="AE377" s="19" t="n"/>
    </row>
    <row r="378">
      <c r="A378" s="9" t="n">
        <v>686790</v>
      </c>
      <c r="B378" s="9" t="inlineStr">
        <is>
          <t>Trevor McDonald</t>
        </is>
      </c>
      <c r="C378" s="9" t="inlineStr">
        <is>
          <t>SF</t>
        </is>
      </c>
      <c r="D378" s="9" t="n">
        <v>26</v>
      </c>
      <c r="E378" s="17" t="inlineStr">
        <is>
          <t>R</t>
        </is>
      </c>
      <c r="F378" s="17" t="n"/>
      <c r="G378" s="9" t="n">
        <v>165</v>
      </c>
      <c r="H378" s="9" t="n">
        <v>235</v>
      </c>
      <c r="I378" s="9" t="inlineStr">
        <is>
          <t>Mid-Rotation Starter (SP2-3)</t>
        </is>
      </c>
      <c r="J378" s="17" t="inlineStr">
        <is>
          <t>Opening Day</t>
        </is>
      </c>
      <c r="K378" s="11">
        <f>IFERROR(INDEX(Roles!$B$17:$B$20,MATCH(J378,Roles!$A$17:$A$20,0)),1)</f>
        <v/>
      </c>
      <c r="L378" s="18" t="n">
        <v>1</v>
      </c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3">
        <f>SUMPRODUCT(M378:X378,$M$2:$X$2)*$K378*$L378</f>
        <v/>
      </c>
      <c r="Z378" s="14">
        <f>SUM(M378:X378)</f>
        <v/>
      </c>
      <c r="AA378" s="13">
        <f>SUMPRODUCT(M378:X378,$M$3:$X$3)*$K378*$L378</f>
        <v/>
      </c>
      <c r="AB378" s="13">
        <f>SUMPRODUCT(M378:X378,$M$4:$X$4)*$K378*$L378</f>
        <v/>
      </c>
      <c r="AC378" s="15">
        <f>SUMPRODUCT(M378:X378,$M$5:$X$5)*$K378*$L378</f>
        <v/>
      </c>
      <c r="AD378" s="15">
        <f>SUMPRODUCT(M378:X378,$M$6:$X$6)*$K378*$L378</f>
        <v/>
      </c>
      <c r="AE378" s="19" t="n"/>
    </row>
    <row r="379">
      <c r="A379" s="9" t="n">
        <v>571760</v>
      </c>
      <c r="B379" s="9" t="inlineStr">
        <is>
          <t>Andrew Heaney</t>
        </is>
      </c>
      <c r="C379" s="9" t="inlineStr">
        <is>
          <t>LAD</t>
        </is>
      </c>
      <c r="D379" s="9" t="n">
        <v>36</v>
      </c>
      <c r="E379" s="17" t="inlineStr">
        <is>
          <t>L</t>
        </is>
      </c>
      <c r="F379" s="17" t="n"/>
      <c r="G379" s="9" t="n">
        <v>536</v>
      </c>
      <c r="H379" s="9" t="n">
        <v>2180</v>
      </c>
      <c r="I379" s="9" t="inlineStr">
        <is>
          <t>End-of-Rotation Starter (SP4-5)</t>
        </is>
      </c>
      <c r="J379" s="17" t="inlineStr">
        <is>
          <t>Opening Day</t>
        </is>
      </c>
      <c r="K379" s="11">
        <f>IFERROR(INDEX(Roles!$B$17:$B$20,MATCH(J379,Roles!$A$17:$A$20,0)),1)</f>
        <v/>
      </c>
      <c r="L379" s="18" t="n">
        <v>1</v>
      </c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3">
        <f>SUMPRODUCT(M379:X379,$M$2:$X$2)*$K379*$L379</f>
        <v/>
      </c>
      <c r="Z379" s="14">
        <f>SUM(M379:X379)</f>
        <v/>
      </c>
      <c r="AA379" s="13">
        <f>SUMPRODUCT(M379:X379,$M$3:$X$3)*$K379*$L379</f>
        <v/>
      </c>
      <c r="AB379" s="13">
        <f>SUMPRODUCT(M379:X379,$M$4:$X$4)*$K379*$L379</f>
        <v/>
      </c>
      <c r="AC379" s="15">
        <f>SUMPRODUCT(M379:X379,$M$5:$X$5)*$K379*$L379</f>
        <v/>
      </c>
      <c r="AD379" s="15">
        <f>SUMPRODUCT(M379:X379,$M$6:$X$6)*$K379*$L379</f>
        <v/>
      </c>
      <c r="AE379" s="19" t="n"/>
    </row>
    <row r="380">
      <c r="A380" s="9" t="n">
        <v>660761</v>
      </c>
      <c r="B380" s="9" t="inlineStr">
        <is>
          <t>José Suarez</t>
        </is>
      </c>
      <c r="C380" s="9" t="inlineStr">
        <is>
          <t>OAK</t>
        </is>
      </c>
      <c r="D380" s="9" t="n">
        <v>29</v>
      </c>
      <c r="E380" s="17" t="inlineStr">
        <is>
          <t>L</t>
        </is>
      </c>
      <c r="F380" s="17" t="n"/>
      <c r="G380" s="9" t="n">
        <v>154</v>
      </c>
      <c r="H380" s="9" t="n">
        <v>1102</v>
      </c>
      <c r="I380" s="9" t="inlineStr">
        <is>
          <t>Bullpen Depth Arm</t>
        </is>
      </c>
      <c r="J380" s="17" t="inlineStr">
        <is>
          <t>Opening Day</t>
        </is>
      </c>
      <c r="K380" s="11">
        <f>IFERROR(INDEX(Roles!$B$17:$B$20,MATCH(J380,Roles!$A$17:$A$20,0)),1)</f>
        <v/>
      </c>
      <c r="L380" s="18" t="n">
        <v>1</v>
      </c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3">
        <f>SUMPRODUCT(M380:X380,$M$2:$X$2)*$K380*$L380</f>
        <v/>
      </c>
      <c r="Z380" s="14">
        <f>SUM(M380:X380)</f>
        <v/>
      </c>
      <c r="AA380" s="13">
        <f>SUMPRODUCT(M380:X380,$M$3:$X$3)*$K380*$L380</f>
        <v/>
      </c>
      <c r="AB380" s="13">
        <f>SUMPRODUCT(M380:X380,$M$4:$X$4)*$K380*$L380</f>
        <v/>
      </c>
      <c r="AC380" s="15">
        <f>SUMPRODUCT(M380:X380,$M$5:$X$5)*$K380*$L380</f>
        <v/>
      </c>
      <c r="AD380" s="15">
        <f>SUMPRODUCT(M380:X380,$M$6:$X$6)*$K380*$L380</f>
        <v/>
      </c>
      <c r="AE380" s="19" t="n"/>
    </row>
    <row r="381">
      <c r="A381" s="9" t="n">
        <v>676428</v>
      </c>
      <c r="B381" s="9" t="inlineStr">
        <is>
          <t>Brant Hurter</t>
        </is>
      </c>
      <c r="C381" s="9" t="inlineStr">
        <is>
          <t>DET</t>
        </is>
      </c>
      <c r="D381" s="9" t="n">
        <v>28</v>
      </c>
      <c r="E381" s="17" t="inlineStr">
        <is>
          <t>L</t>
        </is>
      </c>
      <c r="F381" s="17" t="n"/>
      <c r="G381" s="9" t="n">
        <v>101</v>
      </c>
      <c r="H381" s="9" t="n">
        <v>553</v>
      </c>
      <c r="I381" s="9" t="inlineStr">
        <is>
          <t>Middle Relief</t>
        </is>
      </c>
      <c r="J381" s="17" t="inlineStr">
        <is>
          <t>Opening Day</t>
        </is>
      </c>
      <c r="K381" s="11">
        <f>IFERROR(INDEX(Roles!$B$17:$B$20,MATCH(J381,Roles!$A$17:$A$20,0)),1)</f>
        <v/>
      </c>
      <c r="L381" s="18" t="n">
        <v>1</v>
      </c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3">
        <f>SUMPRODUCT(M381:X381,$M$2:$X$2)*$K381*$L381</f>
        <v/>
      </c>
      <c r="Z381" s="14">
        <f>SUM(M381:X381)</f>
        <v/>
      </c>
      <c r="AA381" s="13">
        <f>SUMPRODUCT(M381:X381,$M$3:$X$3)*$K381*$L381</f>
        <v/>
      </c>
      <c r="AB381" s="13">
        <f>SUMPRODUCT(M381:X381,$M$4:$X$4)*$K381*$L381</f>
        <v/>
      </c>
      <c r="AC381" s="15">
        <f>SUMPRODUCT(M381:X381,$M$5:$X$5)*$K381*$L381</f>
        <v/>
      </c>
      <c r="AD381" s="15">
        <f>SUMPRODUCT(M381:X381,$M$6:$X$6)*$K381*$L381</f>
        <v/>
      </c>
      <c r="AE381" s="19" t="n"/>
    </row>
    <row r="382">
      <c r="A382" s="9" t="n">
        <v>700187</v>
      </c>
      <c r="B382" s="9" t="inlineStr">
        <is>
          <t>Troy Taylor</t>
        </is>
      </c>
      <c r="C382" s="9" t="inlineStr">
        <is>
          <t>SEA</t>
        </is>
      </c>
      <c r="D382" s="9" t="n">
        <v>25</v>
      </c>
      <c r="E382" s="17" t="inlineStr">
        <is>
          <t>R</t>
        </is>
      </c>
      <c r="F382" s="17" t="n"/>
      <c r="G382" s="9" t="n">
        <v>37</v>
      </c>
      <c r="H382" s="9" t="n">
        <v>118</v>
      </c>
      <c r="I382" s="9" t="inlineStr">
        <is>
          <t>Middle Relief</t>
        </is>
      </c>
      <c r="J382" s="17" t="inlineStr">
        <is>
          <t>Opening Day</t>
        </is>
      </c>
      <c r="K382" s="11">
        <f>IFERROR(INDEX(Roles!$B$17:$B$20,MATCH(J382,Roles!$A$17:$A$20,0)),1)</f>
        <v/>
      </c>
      <c r="L382" s="18" t="n">
        <v>1</v>
      </c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3">
        <f>SUMPRODUCT(M382:X382,$M$2:$X$2)*$K382*$L382</f>
        <v/>
      </c>
      <c r="Z382" s="14">
        <f>SUM(M382:X382)</f>
        <v/>
      </c>
      <c r="AA382" s="13">
        <f>SUMPRODUCT(M382:X382,$M$3:$X$3)*$K382*$L382</f>
        <v/>
      </c>
      <c r="AB382" s="13">
        <f>SUMPRODUCT(M382:X382,$M$4:$X$4)*$K382*$L382</f>
        <v/>
      </c>
      <c r="AC382" s="15">
        <f>SUMPRODUCT(M382:X382,$M$5:$X$5)*$K382*$L382</f>
        <v/>
      </c>
      <c r="AD382" s="15">
        <f>SUMPRODUCT(M382:X382,$M$6:$X$6)*$K382*$L382</f>
        <v/>
      </c>
      <c r="AE382" s="19" t="n"/>
    </row>
    <row r="383">
      <c r="A383" s="9" t="n">
        <v>682052</v>
      </c>
      <c r="B383" s="9" t="inlineStr">
        <is>
          <t>Jacob Lopez</t>
        </is>
      </c>
      <c r="C383" s="9" t="inlineStr">
        <is>
          <t>OAK</t>
        </is>
      </c>
      <c r="D383" s="9" t="n">
        <v>29</v>
      </c>
      <c r="E383" s="17" t="inlineStr">
        <is>
          <t>L</t>
        </is>
      </c>
      <c r="F383" s="17" t="n"/>
      <c r="G383" s="9" t="n">
        <v>243</v>
      </c>
      <c r="H383" s="9" t="n">
        <v>742</v>
      </c>
      <c r="I383" s="9" t="inlineStr">
        <is>
          <t>End-of-Rotation Starter (SP4-5)</t>
        </is>
      </c>
      <c r="J383" s="17" t="inlineStr">
        <is>
          <t>Opening Day</t>
        </is>
      </c>
      <c r="K383" s="11">
        <f>IFERROR(INDEX(Roles!$B$17:$B$20,MATCH(J383,Roles!$A$17:$A$20,0)),1)</f>
        <v/>
      </c>
      <c r="L383" s="18" t="n">
        <v>1</v>
      </c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3">
        <f>SUMPRODUCT(M383:X383,$M$2:$X$2)*$K383*$L383</f>
        <v/>
      </c>
      <c r="Z383" s="14">
        <f>SUM(M383:X383)</f>
        <v/>
      </c>
      <c r="AA383" s="13">
        <f>SUMPRODUCT(M383:X383,$M$3:$X$3)*$K383*$L383</f>
        <v/>
      </c>
      <c r="AB383" s="13">
        <f>SUMPRODUCT(M383:X383,$M$4:$X$4)*$K383*$L383</f>
        <v/>
      </c>
      <c r="AC383" s="15">
        <f>SUMPRODUCT(M383:X383,$M$5:$X$5)*$K383*$L383</f>
        <v/>
      </c>
      <c r="AD383" s="15">
        <f>SUMPRODUCT(M383:X383,$M$6:$X$6)*$K383*$L383</f>
        <v/>
      </c>
      <c r="AE383" s="19" t="n"/>
    </row>
    <row r="384">
      <c r="A384" s="9" t="n">
        <v>694462</v>
      </c>
      <c r="B384" s="9" t="inlineStr">
        <is>
          <t>Hurston Waldrep</t>
        </is>
      </c>
      <c r="C384" s="9" t="inlineStr">
        <is>
          <t>ATL</t>
        </is>
      </c>
      <c r="D384" s="9" t="n">
        <v>25</v>
      </c>
      <c r="E384" s="17" t="inlineStr">
        <is>
          <t>R</t>
        </is>
      </c>
      <c r="F384" s="17" t="n"/>
      <c r="G384" s="9" t="n">
        <v>229</v>
      </c>
      <c r="H384" s="9" t="n">
        <v>265</v>
      </c>
      <c r="I384" s="9" t="inlineStr">
        <is>
          <t>Mid-Rotation Starter (SP2-3)</t>
        </is>
      </c>
      <c r="J384" s="17" t="inlineStr">
        <is>
          <t>Opening Day</t>
        </is>
      </c>
      <c r="K384" s="11">
        <f>IFERROR(INDEX(Roles!$B$17:$B$20,MATCH(J384,Roles!$A$17:$A$20,0)),1)</f>
        <v/>
      </c>
      <c r="L384" s="18" t="n">
        <v>1</v>
      </c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3">
        <f>SUMPRODUCT(M384:X384,$M$2:$X$2)*$K384*$L384</f>
        <v/>
      </c>
      <c r="Z384" s="14">
        <f>SUM(M384:X384)</f>
        <v/>
      </c>
      <c r="AA384" s="13">
        <f>SUMPRODUCT(M384:X384,$M$3:$X$3)*$K384*$L384</f>
        <v/>
      </c>
      <c r="AB384" s="13">
        <f>SUMPRODUCT(M384:X384,$M$4:$X$4)*$K384*$L384</f>
        <v/>
      </c>
      <c r="AC384" s="15">
        <f>SUMPRODUCT(M384:X384,$M$5:$X$5)*$K384*$L384</f>
        <v/>
      </c>
      <c r="AD384" s="15">
        <f>SUMPRODUCT(M384:X384,$M$6:$X$6)*$K384*$L384</f>
        <v/>
      </c>
      <c r="AE384" s="19" t="n"/>
    </row>
    <row r="385">
      <c r="A385" s="9" t="n">
        <v>661563</v>
      </c>
      <c r="B385" s="9" t="inlineStr">
        <is>
          <t>Luis Gil</t>
        </is>
      </c>
      <c r="C385" s="9" t="inlineStr">
        <is>
          <t>NYY</t>
        </is>
      </c>
      <c r="D385" s="9" t="n">
        <v>29</v>
      </c>
      <c r="E385" s="17" t="inlineStr">
        <is>
          <t>R</t>
        </is>
      </c>
      <c r="F385" s="17" t="n"/>
      <c r="G385" s="9" t="n">
        <v>85</v>
      </c>
      <c r="H385" s="9" t="n">
        <v>985</v>
      </c>
      <c r="I385" s="9" t="inlineStr">
        <is>
          <t>Mid-Rotation Starter (SP2-3)</t>
        </is>
      </c>
      <c r="J385" s="17" t="inlineStr">
        <is>
          <t>Opening Day</t>
        </is>
      </c>
      <c r="K385" s="11">
        <f>IFERROR(INDEX(Roles!$B$17:$B$20,MATCH(J385,Roles!$A$17:$A$20,0)),1)</f>
        <v/>
      </c>
      <c r="L385" s="18" t="n">
        <v>1</v>
      </c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3">
        <f>SUMPRODUCT(M385:X385,$M$2:$X$2)*$K385*$L385</f>
        <v/>
      </c>
      <c r="Z385" s="14">
        <f>SUM(M385:X385)</f>
        <v/>
      </c>
      <c r="AA385" s="13">
        <f>SUMPRODUCT(M385:X385,$M$3:$X$3)*$K385*$L385</f>
        <v/>
      </c>
      <c r="AB385" s="13">
        <f>SUMPRODUCT(M385:X385,$M$4:$X$4)*$K385*$L385</f>
        <v/>
      </c>
      <c r="AC385" s="15">
        <f>SUMPRODUCT(M385:X385,$M$5:$X$5)*$K385*$L385</f>
        <v/>
      </c>
      <c r="AD385" s="15">
        <f>SUMPRODUCT(M385:X385,$M$6:$X$6)*$K385*$L385</f>
        <v/>
      </c>
      <c r="AE385" s="19" t="n"/>
    </row>
    <row r="386">
      <c r="A386" s="9" t="n">
        <v>677955</v>
      </c>
      <c r="B386" s="9" t="inlineStr">
        <is>
          <t>Jaden Hill</t>
        </is>
      </c>
      <c r="C386" s="9" t="inlineStr">
        <is>
          <t>COL</t>
        </is>
      </c>
      <c r="D386" s="9" t="n">
        <v>27</v>
      </c>
      <c r="E386" s="17" t="inlineStr">
        <is>
          <t>R</t>
        </is>
      </c>
      <c r="F386" s="17" t="n"/>
      <c r="G386" s="9" t="n">
        <v>109</v>
      </c>
      <c r="H386" s="9" t="n">
        <v>283</v>
      </c>
      <c r="I386" s="9" t="inlineStr">
        <is>
          <t>Middle Relief</t>
        </is>
      </c>
      <c r="J386" s="17" t="inlineStr">
        <is>
          <t>Opening Day</t>
        </is>
      </c>
      <c r="K386" s="11">
        <f>IFERROR(INDEX(Roles!$B$17:$B$20,MATCH(J386,Roles!$A$17:$A$20,0)),1)</f>
        <v/>
      </c>
      <c r="L386" s="18" t="n">
        <v>1</v>
      </c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3">
        <f>SUMPRODUCT(M386:X386,$M$2:$X$2)*$K386*$L386</f>
        <v/>
      </c>
      <c r="Z386" s="14">
        <f>SUM(M386:X386)</f>
        <v/>
      </c>
      <c r="AA386" s="13">
        <f>SUMPRODUCT(M386:X386,$M$3:$X$3)*$K386*$L386</f>
        <v/>
      </c>
      <c r="AB386" s="13">
        <f>SUMPRODUCT(M386:X386,$M$4:$X$4)*$K386*$L386</f>
        <v/>
      </c>
      <c r="AC386" s="15">
        <f>SUMPRODUCT(M386:X386,$M$5:$X$5)*$K386*$L386</f>
        <v/>
      </c>
      <c r="AD386" s="15">
        <f>SUMPRODUCT(M386:X386,$M$6:$X$6)*$K386*$L386</f>
        <v/>
      </c>
      <c r="AE386" s="19" t="n"/>
    </row>
    <row r="387">
      <c r="A387" s="9" t="n">
        <v>686228</v>
      </c>
      <c r="B387" s="9" t="inlineStr">
        <is>
          <t>Juan Burgos</t>
        </is>
      </c>
      <c r="C387" s="9" t="inlineStr">
        <is>
          <t>ARI</t>
        </is>
      </c>
      <c r="D387" s="9" t="n">
        <v>27</v>
      </c>
      <c r="E387" s="17" t="inlineStr">
        <is>
          <t>R</t>
        </is>
      </c>
      <c r="F387" s="17" t="n"/>
      <c r="G387" s="9" t="n">
        <v>65</v>
      </c>
      <c r="H387" s="9" t="n">
        <v>65</v>
      </c>
      <c r="I387" s="9" t="inlineStr">
        <is>
          <t>Bullpen Depth Arm</t>
        </is>
      </c>
      <c r="J387" s="17" t="inlineStr">
        <is>
          <t>Opening Day</t>
        </is>
      </c>
      <c r="K387" s="11">
        <f>IFERROR(INDEX(Roles!$B$17:$B$20,MATCH(J387,Roles!$A$17:$A$20,0)),1)</f>
        <v/>
      </c>
      <c r="L387" s="18" t="n">
        <v>1</v>
      </c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3">
        <f>SUMPRODUCT(M387:X387,$M$2:$X$2)*$K387*$L387</f>
        <v/>
      </c>
      <c r="Z387" s="14">
        <f>SUM(M387:X387)</f>
        <v/>
      </c>
      <c r="AA387" s="13">
        <f>SUMPRODUCT(M387:X387,$M$3:$X$3)*$K387*$L387</f>
        <v/>
      </c>
      <c r="AB387" s="13">
        <f>SUMPRODUCT(M387:X387,$M$4:$X$4)*$K387*$L387</f>
        <v/>
      </c>
      <c r="AC387" s="15">
        <f>SUMPRODUCT(M387:X387,$M$5:$X$5)*$K387*$L387</f>
        <v/>
      </c>
      <c r="AD387" s="15">
        <f>SUMPRODUCT(M387:X387,$M$6:$X$6)*$K387*$L387</f>
        <v/>
      </c>
      <c r="AE387" s="19" t="n"/>
    </row>
    <row r="388">
      <c r="A388" s="9" t="n">
        <v>687209</v>
      </c>
      <c r="B388" s="9" t="inlineStr">
        <is>
          <t>Zach Maxwell</t>
        </is>
      </c>
      <c r="C388" s="9" t="inlineStr">
        <is>
          <t>CIN</t>
        </is>
      </c>
      <c r="D388" s="9" t="n">
        <v>26</v>
      </c>
      <c r="E388" s="17" t="inlineStr">
        <is>
          <t>R</t>
        </is>
      </c>
      <c r="F388" s="17" t="n"/>
      <c r="G388" s="9" t="n">
        <v>33</v>
      </c>
      <c r="H388" s="9" t="n">
        <v>76</v>
      </c>
      <c r="I388" s="9" t="inlineStr">
        <is>
          <t>Late Inning RP (Setup)</t>
        </is>
      </c>
      <c r="J388" s="17" t="inlineStr">
        <is>
          <t>Opening Day</t>
        </is>
      </c>
      <c r="K388" s="11">
        <f>IFERROR(INDEX(Roles!$B$17:$B$20,MATCH(J388,Roles!$A$17:$A$20,0)),1)</f>
        <v/>
      </c>
      <c r="L388" s="18" t="n">
        <v>1</v>
      </c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3">
        <f>SUMPRODUCT(M388:X388,$M$2:$X$2)*$K388*$L388</f>
        <v/>
      </c>
      <c r="Z388" s="14">
        <f>SUM(M388:X388)</f>
        <v/>
      </c>
      <c r="AA388" s="13">
        <f>SUMPRODUCT(M388:X388,$M$3:$X$3)*$K388*$L388</f>
        <v/>
      </c>
      <c r="AB388" s="13">
        <f>SUMPRODUCT(M388:X388,$M$4:$X$4)*$K388*$L388</f>
        <v/>
      </c>
      <c r="AC388" s="15">
        <f>SUMPRODUCT(M388:X388,$M$5:$X$5)*$K388*$L388</f>
        <v/>
      </c>
      <c r="AD388" s="15">
        <f>SUMPRODUCT(M388:X388,$M$6:$X$6)*$K388*$L388</f>
        <v/>
      </c>
      <c r="AE388" s="19" t="n"/>
    </row>
    <row r="389">
      <c r="A389" s="9" t="n">
        <v>668390</v>
      </c>
      <c r="B389" s="9" t="inlineStr">
        <is>
          <t>Cole Winn</t>
        </is>
      </c>
      <c r="C389" s="9" t="inlineStr">
        <is>
          <t>TEX</t>
        </is>
      </c>
      <c r="D389" s="9" t="n">
        <v>27</v>
      </c>
      <c r="E389" s="17" t="inlineStr">
        <is>
          <t>R</t>
        </is>
      </c>
      <c r="F389" s="17" t="n"/>
      <c r="G389" s="9" t="n">
        <v>91</v>
      </c>
      <c r="H389" s="9" t="n">
        <v>330</v>
      </c>
      <c r="I389" s="9" t="inlineStr">
        <is>
          <t>Middle Relief</t>
        </is>
      </c>
      <c r="J389" s="17" t="inlineStr">
        <is>
          <t>Opening Day</t>
        </is>
      </c>
      <c r="K389" s="11">
        <f>IFERROR(INDEX(Roles!$B$17:$B$20,MATCH(J389,Roles!$A$17:$A$20,0)),1)</f>
        <v/>
      </c>
      <c r="L389" s="18" t="n">
        <v>1</v>
      </c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3">
        <f>SUMPRODUCT(M389:X389,$M$2:$X$2)*$K389*$L389</f>
        <v/>
      </c>
      <c r="Z389" s="14">
        <f>SUM(M389:X389)</f>
        <v/>
      </c>
      <c r="AA389" s="13">
        <f>SUMPRODUCT(M389:X389,$M$3:$X$3)*$K389*$L389</f>
        <v/>
      </c>
      <c r="AB389" s="13">
        <f>SUMPRODUCT(M389:X389,$M$4:$X$4)*$K389*$L389</f>
        <v/>
      </c>
      <c r="AC389" s="15">
        <f>SUMPRODUCT(M389:X389,$M$5:$X$5)*$K389*$L389</f>
        <v/>
      </c>
      <c r="AD389" s="15">
        <f>SUMPRODUCT(M389:X389,$M$6:$X$6)*$K389*$L389</f>
        <v/>
      </c>
      <c r="AE389" s="19" t="n"/>
    </row>
    <row r="390">
      <c r="A390" s="9" t="n">
        <v>685801</v>
      </c>
      <c r="B390" s="9" t="inlineStr">
        <is>
          <t>Hunter Bigge</t>
        </is>
      </c>
      <c r="C390" s="9" t="inlineStr">
        <is>
          <t>TB</t>
        </is>
      </c>
      <c r="D390" s="9" t="n">
        <v>29</v>
      </c>
      <c r="E390" s="17" t="inlineStr">
        <is>
          <t>R</t>
        </is>
      </c>
      <c r="F390" s="17" t="n"/>
      <c r="G390" s="9" t="n">
        <v>85</v>
      </c>
      <c r="H390" s="9" t="n">
        <v>218</v>
      </c>
      <c r="I390" s="9" t="inlineStr">
        <is>
          <t>Bullpen Depth Arm</t>
        </is>
      </c>
      <c r="J390" s="17" t="inlineStr">
        <is>
          <t>Opening Day</t>
        </is>
      </c>
      <c r="K390" s="11">
        <f>IFERROR(INDEX(Roles!$B$17:$B$20,MATCH(J390,Roles!$A$17:$A$20,0)),1)</f>
        <v/>
      </c>
      <c r="L390" s="18" t="n">
        <v>1</v>
      </c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3">
        <f>SUMPRODUCT(M390:X390,$M$2:$X$2)*$K390*$L390</f>
        <v/>
      </c>
      <c r="Z390" s="14">
        <f>SUM(M390:X390)</f>
        <v/>
      </c>
      <c r="AA390" s="13">
        <f>SUMPRODUCT(M390:X390,$M$3:$X$3)*$K390*$L390</f>
        <v/>
      </c>
      <c r="AB390" s="13">
        <f>SUMPRODUCT(M390:X390,$M$4:$X$4)*$K390*$L390</f>
        <v/>
      </c>
      <c r="AC390" s="15">
        <f>SUMPRODUCT(M390:X390,$M$5:$X$5)*$K390*$L390</f>
        <v/>
      </c>
      <c r="AD390" s="15">
        <f>SUMPRODUCT(M390:X390,$M$6:$X$6)*$K390*$L390</f>
        <v/>
      </c>
      <c r="AE390" s="19" t="n"/>
    </row>
    <row r="391">
      <c r="A391" s="9" t="n">
        <v>681869</v>
      </c>
      <c r="B391" s="9" t="inlineStr">
        <is>
          <t>Shawn Dubin</t>
        </is>
      </c>
      <c r="C391" s="9" t="inlineStr">
        <is>
          <t>BAL</t>
        </is>
      </c>
      <c r="D391" s="9" t="n">
        <v>31</v>
      </c>
      <c r="E391" s="17" t="inlineStr">
        <is>
          <t>R</t>
        </is>
      </c>
      <c r="F391" s="17" t="n"/>
      <c r="G391" s="9" t="n">
        <v>145</v>
      </c>
      <c r="H391" s="9" t="n">
        <v>394</v>
      </c>
      <c r="I391" s="9" t="inlineStr">
        <is>
          <t>Bullpen Depth Arm</t>
        </is>
      </c>
      <c r="J391" s="17" t="inlineStr">
        <is>
          <t>Opening Day</t>
        </is>
      </c>
      <c r="K391" s="11">
        <f>IFERROR(INDEX(Roles!$B$17:$B$20,MATCH(J391,Roles!$A$17:$A$20,0)),1)</f>
        <v/>
      </c>
      <c r="L391" s="18" t="n">
        <v>1</v>
      </c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3">
        <f>SUMPRODUCT(M391:X391,$M$2:$X$2)*$K391*$L391</f>
        <v/>
      </c>
      <c r="Z391" s="14">
        <f>SUM(M391:X391)</f>
        <v/>
      </c>
      <c r="AA391" s="13">
        <f>SUMPRODUCT(M391:X391,$M$3:$X$3)*$K391*$L391</f>
        <v/>
      </c>
      <c r="AB391" s="13">
        <f>SUMPRODUCT(M391:X391,$M$4:$X$4)*$K391*$L391</f>
        <v/>
      </c>
      <c r="AC391" s="15">
        <f>SUMPRODUCT(M391:X391,$M$5:$X$5)*$K391*$L391</f>
        <v/>
      </c>
      <c r="AD391" s="15">
        <f>SUMPRODUCT(M391:X391,$M$6:$X$6)*$K391*$L391</f>
        <v/>
      </c>
      <c r="AE391" s="19" t="n"/>
    </row>
    <row r="392">
      <c r="A392" s="9" t="n">
        <v>687888</v>
      </c>
      <c r="B392" s="9" t="inlineStr">
        <is>
          <t>Brandon Walter</t>
        </is>
      </c>
      <c r="C392" s="9" t="inlineStr">
        <is>
          <t>HOU</t>
        </is>
      </c>
      <c r="D392" s="9" t="n">
        <v>30</v>
      </c>
      <c r="E392" s="17" t="inlineStr">
        <is>
          <t>L</t>
        </is>
      </c>
      <c r="F392" s="17" t="n"/>
      <c r="G392" s="9" t="n">
        <v>212</v>
      </c>
      <c r="H392" s="9" t="n">
        <v>318</v>
      </c>
      <c r="I392" s="9" t="inlineStr">
        <is>
          <t>Ace (SP1)</t>
        </is>
      </c>
      <c r="J392" s="17" t="inlineStr">
        <is>
          <t>Opening Day</t>
        </is>
      </c>
      <c r="K392" s="11">
        <f>IFERROR(INDEX(Roles!$B$17:$B$20,MATCH(J392,Roles!$A$17:$A$20,0)),1)</f>
        <v/>
      </c>
      <c r="L392" s="18" t="n">
        <v>1</v>
      </c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3">
        <f>SUMPRODUCT(M392:X392,$M$2:$X$2)*$K392*$L392</f>
        <v/>
      </c>
      <c r="Z392" s="14">
        <f>SUM(M392:X392)</f>
        <v/>
      </c>
      <c r="AA392" s="13">
        <f>SUMPRODUCT(M392:X392,$M$3:$X$3)*$K392*$L392</f>
        <v/>
      </c>
      <c r="AB392" s="13">
        <f>SUMPRODUCT(M392:X392,$M$4:$X$4)*$K392*$L392</f>
        <v/>
      </c>
      <c r="AC392" s="15">
        <f>SUMPRODUCT(M392:X392,$M$5:$X$5)*$K392*$L392</f>
        <v/>
      </c>
      <c r="AD392" s="15">
        <f>SUMPRODUCT(M392:X392,$M$6:$X$6)*$K392*$L392</f>
        <v/>
      </c>
      <c r="AE392" s="19" t="n"/>
    </row>
    <row r="393">
      <c r="A393" s="9" t="n">
        <v>676917</v>
      </c>
      <c r="B393" s="9" t="inlineStr">
        <is>
          <t>Cade Cavalli</t>
        </is>
      </c>
      <c r="C393" s="9" t="inlineStr">
        <is>
          <t>WSH</t>
        </is>
      </c>
      <c r="D393" s="9" t="n">
        <v>28</v>
      </c>
      <c r="E393" s="17" t="inlineStr">
        <is>
          <t>R</t>
        </is>
      </c>
      <c r="F393" s="17" t="n"/>
      <c r="G393" s="9" t="n">
        <v>313</v>
      </c>
      <c r="H393" s="9" t="n">
        <v>555</v>
      </c>
      <c r="I393" s="9" t="inlineStr">
        <is>
          <t>End-of-Rotation Starter (SP4-5)</t>
        </is>
      </c>
      <c r="J393" s="17" t="inlineStr">
        <is>
          <t>Opening Day</t>
        </is>
      </c>
      <c r="K393" s="11">
        <f>IFERROR(INDEX(Roles!$B$17:$B$20,MATCH(J393,Roles!$A$17:$A$20,0)),1)</f>
        <v/>
      </c>
      <c r="L393" s="18" t="n">
        <v>1</v>
      </c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3">
        <f>SUMPRODUCT(M393:X393,$M$2:$X$2)*$K393*$L393</f>
        <v/>
      </c>
      <c r="Z393" s="14">
        <f>SUM(M393:X393)</f>
        <v/>
      </c>
      <c r="AA393" s="13">
        <f>SUMPRODUCT(M393:X393,$M$3:$X$3)*$K393*$L393</f>
        <v/>
      </c>
      <c r="AB393" s="13">
        <f>SUMPRODUCT(M393:X393,$M$4:$X$4)*$K393*$L393</f>
        <v/>
      </c>
      <c r="AC393" s="15">
        <f>SUMPRODUCT(M393:X393,$M$5:$X$5)*$K393*$L393</f>
        <v/>
      </c>
      <c r="AD393" s="15">
        <f>SUMPRODUCT(M393:X393,$M$6:$X$6)*$K393*$L393</f>
        <v/>
      </c>
      <c r="AE393" s="19" t="n"/>
    </row>
    <row r="394">
      <c r="A394" s="9" t="n">
        <v>605463</v>
      </c>
      <c r="B394" s="9" t="inlineStr">
        <is>
          <t>Tayler Scott</t>
        </is>
      </c>
      <c r="C394" s="9" t="inlineStr">
        <is>
          <t>HOU</t>
        </is>
      </c>
      <c r="D394" s="9" t="n">
        <v>35</v>
      </c>
      <c r="E394" s="17" t="inlineStr">
        <is>
          <t>R</t>
        </is>
      </c>
      <c r="F394" s="17" t="n"/>
      <c r="G394" s="9" t="n">
        <v>134</v>
      </c>
      <c r="H394" s="9" t="n">
        <v>563</v>
      </c>
      <c r="I394" s="9" t="inlineStr">
        <is>
          <t>Middle Relief</t>
        </is>
      </c>
      <c r="J394" s="17" t="inlineStr">
        <is>
          <t>Opening Day</t>
        </is>
      </c>
      <c r="K394" s="11">
        <f>IFERROR(INDEX(Roles!$B$17:$B$20,MATCH(J394,Roles!$A$17:$A$20,0)),1)</f>
        <v/>
      </c>
      <c r="L394" s="18" t="n">
        <v>1</v>
      </c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3">
        <f>SUMPRODUCT(M394:X394,$M$2:$X$2)*$K394*$L394</f>
        <v/>
      </c>
      <c r="Z394" s="14">
        <f>SUM(M394:X394)</f>
        <v/>
      </c>
      <c r="AA394" s="13">
        <f>SUMPRODUCT(M394:X394,$M$3:$X$3)*$K394*$L394</f>
        <v/>
      </c>
      <c r="AB394" s="13">
        <f>SUMPRODUCT(M394:X394,$M$4:$X$4)*$K394*$L394</f>
        <v/>
      </c>
      <c r="AC394" s="15">
        <f>SUMPRODUCT(M394:X394,$M$5:$X$5)*$K394*$L394</f>
        <v/>
      </c>
      <c r="AD394" s="15">
        <f>SUMPRODUCT(M394:X394,$M$6:$X$6)*$K394*$L394</f>
        <v/>
      </c>
      <c r="AE394" s="19" t="n"/>
    </row>
    <row r="395">
      <c r="A395" s="9" t="n">
        <v>680735</v>
      </c>
      <c r="B395" s="9" t="inlineStr">
        <is>
          <t>Austin Cox</t>
        </is>
      </c>
      <c r="C395" s="9" t="inlineStr">
        <is>
          <t>ATL</t>
        </is>
      </c>
      <c r="D395" s="9" t="n">
        <v>30</v>
      </c>
      <c r="E395" s="17" t="inlineStr">
        <is>
          <t>L</t>
        </is>
      </c>
      <c r="F395" s="17" t="n"/>
      <c r="G395" s="9" t="n">
        <v>102</v>
      </c>
      <c r="H395" s="9" t="n">
        <v>251</v>
      </c>
      <c r="I395" s="9" t="inlineStr">
        <is>
          <t>Bullpen Depth Arm</t>
        </is>
      </c>
      <c r="J395" s="17" t="inlineStr">
        <is>
          <t>Opening Day</t>
        </is>
      </c>
      <c r="K395" s="11">
        <f>IFERROR(INDEX(Roles!$B$17:$B$20,MATCH(J395,Roles!$A$17:$A$20,0)),1)</f>
        <v/>
      </c>
      <c r="L395" s="18" t="n">
        <v>1</v>
      </c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3">
        <f>SUMPRODUCT(M395:X395,$M$2:$X$2)*$K395*$L395</f>
        <v/>
      </c>
      <c r="Z395" s="14">
        <f>SUM(M395:X395)</f>
        <v/>
      </c>
      <c r="AA395" s="13">
        <f>SUMPRODUCT(M395:X395,$M$3:$X$3)*$K395*$L395</f>
        <v/>
      </c>
      <c r="AB395" s="13">
        <f>SUMPRODUCT(M395:X395,$M$4:$X$4)*$K395*$L395</f>
        <v/>
      </c>
      <c r="AC395" s="15">
        <f>SUMPRODUCT(M395:X395,$M$5:$X$5)*$K395*$L395</f>
        <v/>
      </c>
      <c r="AD395" s="15">
        <f>SUMPRODUCT(M395:X395,$M$6:$X$6)*$K395*$L395</f>
        <v/>
      </c>
      <c r="AE395" s="19" t="n"/>
    </row>
    <row r="396">
      <c r="A396" s="9" t="n">
        <v>668716</v>
      </c>
      <c r="B396" s="9" t="inlineStr">
        <is>
          <t>Noah Murdock</t>
        </is>
      </c>
      <c r="C396" s="9" t="inlineStr">
        <is>
          <t>OAK</t>
        </is>
      </c>
      <c r="D396" s="9" t="n">
        <v>28</v>
      </c>
      <c r="E396" s="17" t="inlineStr">
        <is>
          <t>R</t>
        </is>
      </c>
      <c r="F396" s="17" t="n"/>
      <c r="G396" s="9" t="n">
        <v>98</v>
      </c>
      <c r="H396" s="9" t="n">
        <v>98</v>
      </c>
      <c r="I396" s="9" t="inlineStr">
        <is>
          <t>Bullpen Depth Arm</t>
        </is>
      </c>
      <c r="J396" s="17" t="inlineStr">
        <is>
          <t>Opening Day</t>
        </is>
      </c>
      <c r="K396" s="11">
        <f>IFERROR(INDEX(Roles!$B$17:$B$20,MATCH(J396,Roles!$A$17:$A$20,0)),1)</f>
        <v/>
      </c>
      <c r="L396" s="18" t="n">
        <v>1</v>
      </c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3">
        <f>SUMPRODUCT(M396:X396,$M$2:$X$2)*$K396*$L396</f>
        <v/>
      </c>
      <c r="Z396" s="14">
        <f>SUM(M396:X396)</f>
        <v/>
      </c>
      <c r="AA396" s="13">
        <f>SUMPRODUCT(M396:X396,$M$3:$X$3)*$K396*$L396</f>
        <v/>
      </c>
      <c r="AB396" s="13">
        <f>SUMPRODUCT(M396:X396,$M$4:$X$4)*$K396*$L396</f>
        <v/>
      </c>
      <c r="AC396" s="15">
        <f>SUMPRODUCT(M396:X396,$M$5:$X$5)*$K396*$L396</f>
        <v/>
      </c>
      <c r="AD396" s="15">
        <f>SUMPRODUCT(M396:X396,$M$6:$X$6)*$K396*$L396</f>
        <v/>
      </c>
      <c r="AE396" s="19" t="n"/>
    </row>
    <row r="397">
      <c r="A397" s="9" t="n">
        <v>695001</v>
      </c>
      <c r="B397" s="9" t="inlineStr">
        <is>
          <t>Alimber Santa</t>
        </is>
      </c>
      <c r="C397" s="9" t="inlineStr">
        <is>
          <t>HOU</t>
        </is>
      </c>
      <c r="D397" s="9" t="n">
        <v>24</v>
      </c>
      <c r="E397" s="17" t="inlineStr">
        <is>
          <t>R</t>
        </is>
      </c>
      <c r="F397" s="17" t="n"/>
      <c r="G397" s="9" t="n">
        <v>39</v>
      </c>
      <c r="H397" s="9" t="n">
        <v>39</v>
      </c>
      <c r="I397" s="9" t="inlineStr">
        <is>
          <t>Middle Relief</t>
        </is>
      </c>
      <c r="J397" s="17" t="inlineStr">
        <is>
          <t>Opening Day</t>
        </is>
      </c>
      <c r="K397" s="11">
        <f>IFERROR(INDEX(Roles!$B$17:$B$20,MATCH(J397,Roles!$A$17:$A$20,0)),1)</f>
        <v/>
      </c>
      <c r="L397" s="18" t="n">
        <v>1</v>
      </c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3">
        <f>SUMPRODUCT(M397:X397,$M$2:$X$2)*$K397*$L397</f>
        <v/>
      </c>
      <c r="Z397" s="14">
        <f>SUM(M397:X397)</f>
        <v/>
      </c>
      <c r="AA397" s="13">
        <f>SUMPRODUCT(M397:X397,$M$3:$X$3)*$K397*$L397</f>
        <v/>
      </c>
      <c r="AB397" s="13">
        <f>SUMPRODUCT(M397:X397,$M$4:$X$4)*$K397*$L397</f>
        <v/>
      </c>
      <c r="AC397" s="15">
        <f>SUMPRODUCT(M397:X397,$M$5:$X$5)*$K397*$L397</f>
        <v/>
      </c>
      <c r="AD397" s="15">
        <f>SUMPRODUCT(M397:X397,$M$6:$X$6)*$K397*$L397</f>
        <v/>
      </c>
      <c r="AE397" s="19" t="n"/>
    </row>
    <row r="398">
      <c r="A398" s="9" t="n">
        <v>640448</v>
      </c>
      <c r="B398" s="9" t="inlineStr">
        <is>
          <t>Kyle Finnegan</t>
        </is>
      </c>
      <c r="C398" s="9" t="inlineStr">
        <is>
          <t>DET</t>
        </is>
      </c>
      <c r="D398" s="9" t="n">
        <v>35</v>
      </c>
      <c r="E398" s="17" t="inlineStr">
        <is>
          <t>R</t>
        </is>
      </c>
      <c r="F398" s="17" t="n"/>
      <c r="G398" s="9" t="n">
        <v>130</v>
      </c>
      <c r="H398" s="9" t="n">
        <v>1186</v>
      </c>
      <c r="I398" s="9" t="inlineStr">
        <is>
          <t>Bullpen Depth Arm</t>
        </is>
      </c>
      <c r="J398" s="17" t="inlineStr">
        <is>
          <t>Opening Day</t>
        </is>
      </c>
      <c r="K398" s="11">
        <f>IFERROR(INDEX(Roles!$B$17:$B$20,MATCH(J398,Roles!$A$17:$A$20,0)),1)</f>
        <v/>
      </c>
      <c r="L398" s="18" t="n">
        <v>1</v>
      </c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3">
        <f>SUMPRODUCT(M398:X398,$M$2:$X$2)*$K398*$L398</f>
        <v/>
      </c>
      <c r="Z398" s="14">
        <f>SUM(M398:X398)</f>
        <v/>
      </c>
      <c r="AA398" s="13">
        <f>SUMPRODUCT(M398:X398,$M$3:$X$3)*$K398*$L398</f>
        <v/>
      </c>
      <c r="AB398" s="13">
        <f>SUMPRODUCT(M398:X398,$M$4:$X$4)*$K398*$L398</f>
        <v/>
      </c>
      <c r="AC398" s="15">
        <f>SUMPRODUCT(M398:X398,$M$5:$X$5)*$K398*$L398</f>
        <v/>
      </c>
      <c r="AD398" s="15">
        <f>SUMPRODUCT(M398:X398,$M$6:$X$6)*$K398*$L398</f>
        <v/>
      </c>
      <c r="AE398" s="19" t="n"/>
    </row>
    <row r="399">
      <c r="A399" s="9" t="n">
        <v>681810</v>
      </c>
      <c r="B399" s="9" t="inlineStr">
        <is>
          <t>Austin Warren</t>
        </is>
      </c>
      <c r="C399" s="9" t="inlineStr">
        <is>
          <t>NYM</t>
        </is>
      </c>
      <c r="D399" s="9" t="n">
        <v>31</v>
      </c>
      <c r="E399" s="17" t="inlineStr">
        <is>
          <t>R</t>
        </is>
      </c>
      <c r="F399" s="17" t="n"/>
      <c r="G399" s="9" t="n">
        <v>91</v>
      </c>
      <c r="H399" s="9" t="n">
        <v>243</v>
      </c>
      <c r="I399" s="9" t="inlineStr">
        <is>
          <t>Bullpen Depth Arm</t>
        </is>
      </c>
      <c r="J399" s="17" t="inlineStr">
        <is>
          <t>Opening Day</t>
        </is>
      </c>
      <c r="K399" s="11">
        <f>IFERROR(INDEX(Roles!$B$17:$B$20,MATCH(J399,Roles!$A$17:$A$20,0)),1)</f>
        <v/>
      </c>
      <c r="L399" s="18" t="n">
        <v>1</v>
      </c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3">
        <f>SUMPRODUCT(M399:X399,$M$2:$X$2)*$K399*$L399</f>
        <v/>
      </c>
      <c r="Z399" s="14">
        <f>SUM(M399:X399)</f>
        <v/>
      </c>
      <c r="AA399" s="13">
        <f>SUMPRODUCT(M399:X399,$M$3:$X$3)*$K399*$L399</f>
        <v/>
      </c>
      <c r="AB399" s="13">
        <f>SUMPRODUCT(M399:X399,$M$4:$X$4)*$K399*$L399</f>
        <v/>
      </c>
      <c r="AC399" s="15">
        <f>SUMPRODUCT(M399:X399,$M$5:$X$5)*$K399*$L399</f>
        <v/>
      </c>
      <c r="AD399" s="15">
        <f>SUMPRODUCT(M399:X399,$M$6:$X$6)*$K399*$L399</f>
        <v/>
      </c>
      <c r="AE399" s="19" t="n"/>
    </row>
    <row r="400">
      <c r="A400" s="9" t="n">
        <v>680744</v>
      </c>
      <c r="B400" s="9" t="inlineStr">
        <is>
          <t>Ty Madden</t>
        </is>
      </c>
      <c r="C400" s="9" t="inlineStr">
        <is>
          <t>DET</t>
        </is>
      </c>
      <c r="D400" s="9" t="n">
        <v>27</v>
      </c>
      <c r="E400" s="17" t="inlineStr">
        <is>
          <t>R</t>
        </is>
      </c>
      <c r="F400" s="17" t="n"/>
      <c r="G400" s="9" t="n">
        <v>71</v>
      </c>
      <c r="H400" s="9" t="n">
        <v>172</v>
      </c>
      <c r="I400" s="9" t="inlineStr">
        <is>
          <t>End-of-Rotation Starter (SP4-5)</t>
        </is>
      </c>
      <c r="J400" s="17" t="inlineStr">
        <is>
          <t>Opening Day</t>
        </is>
      </c>
      <c r="K400" s="11">
        <f>IFERROR(INDEX(Roles!$B$17:$B$20,MATCH(J400,Roles!$A$17:$A$20,0)),1)</f>
        <v/>
      </c>
      <c r="L400" s="18" t="n">
        <v>1</v>
      </c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3">
        <f>SUMPRODUCT(M400:X400,$M$2:$X$2)*$K400*$L400</f>
        <v/>
      </c>
      <c r="Z400" s="14">
        <f>SUM(M400:X400)</f>
        <v/>
      </c>
      <c r="AA400" s="13">
        <f>SUMPRODUCT(M400:X400,$M$3:$X$3)*$K400*$L400</f>
        <v/>
      </c>
      <c r="AB400" s="13">
        <f>SUMPRODUCT(M400:X400,$M$4:$X$4)*$K400*$L400</f>
        <v/>
      </c>
      <c r="AC400" s="15">
        <f>SUMPRODUCT(M400:X400,$M$5:$X$5)*$K400*$L400</f>
        <v/>
      </c>
      <c r="AD400" s="15">
        <f>SUMPRODUCT(M400:X400,$M$6:$X$6)*$K400*$L400</f>
        <v/>
      </c>
      <c r="AE400" s="19" t="n"/>
    </row>
    <row r="401">
      <c r="A401" s="9" t="n">
        <v>687075</v>
      </c>
      <c r="B401" s="9" t="inlineStr">
        <is>
          <t>Brandon Sproat</t>
        </is>
      </c>
      <c r="C401" s="9" t="inlineStr">
        <is>
          <t>MIL</t>
        </is>
      </c>
      <c r="D401" s="9" t="n">
        <v>26</v>
      </c>
      <c r="E401" s="17" t="inlineStr">
        <is>
          <t>R</t>
        </is>
      </c>
      <c r="F401" s="17" t="n"/>
      <c r="G401" s="9" t="n">
        <v>240</v>
      </c>
      <c r="H401" s="9" t="n">
        <v>324</v>
      </c>
      <c r="I401" s="9" t="inlineStr">
        <is>
          <t>End-of-Rotation Starter (SP4-5)</t>
        </is>
      </c>
      <c r="J401" s="17" t="inlineStr">
        <is>
          <t>Opening Day</t>
        </is>
      </c>
      <c r="K401" s="11">
        <f>IFERROR(INDEX(Roles!$B$17:$B$20,MATCH(J401,Roles!$A$17:$A$20,0)),1)</f>
        <v/>
      </c>
      <c r="L401" s="18" t="n">
        <v>1</v>
      </c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3">
        <f>SUMPRODUCT(M401:X401,$M$2:$X$2)*$K401*$L401</f>
        <v/>
      </c>
      <c r="Z401" s="14">
        <f>SUM(M401:X401)</f>
        <v/>
      </c>
      <c r="AA401" s="13">
        <f>SUMPRODUCT(M401:X401,$M$3:$X$3)*$K401*$L401</f>
        <v/>
      </c>
      <c r="AB401" s="13">
        <f>SUMPRODUCT(M401:X401,$M$4:$X$4)*$K401*$L401</f>
        <v/>
      </c>
      <c r="AC401" s="15">
        <f>SUMPRODUCT(M401:X401,$M$5:$X$5)*$K401*$L401</f>
        <v/>
      </c>
      <c r="AD401" s="15">
        <f>SUMPRODUCT(M401:X401,$M$6:$X$6)*$K401*$L401</f>
        <v/>
      </c>
      <c r="AE401" s="19" t="n"/>
    </row>
    <row r="402">
      <c r="A402" s="9" t="n">
        <v>663432</v>
      </c>
      <c r="B402" s="9" t="inlineStr">
        <is>
          <t>Tanner Rainey</t>
        </is>
      </c>
      <c r="C402" s="9" t="inlineStr">
        <is>
          <t>DET</t>
        </is>
      </c>
      <c r="D402" s="9" t="n">
        <v>34</v>
      </c>
      <c r="E402" s="17" t="inlineStr">
        <is>
          <t>R</t>
        </is>
      </c>
      <c r="F402" s="17" t="n"/>
      <c r="G402" s="9" t="n">
        <v>47</v>
      </c>
      <c r="H402" s="9" t="n">
        <v>411</v>
      </c>
      <c r="I402" s="9" t="inlineStr">
        <is>
          <t>Bullpen Depth Arm</t>
        </is>
      </c>
      <c r="J402" s="17" t="inlineStr">
        <is>
          <t>Opening Day</t>
        </is>
      </c>
      <c r="K402" s="11">
        <f>IFERROR(INDEX(Roles!$B$17:$B$20,MATCH(J402,Roles!$A$17:$A$20,0)),1)</f>
        <v/>
      </c>
      <c r="L402" s="18" t="n">
        <v>1</v>
      </c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3">
        <f>SUMPRODUCT(M402:X402,$M$2:$X$2)*$K402*$L402</f>
        <v/>
      </c>
      <c r="Z402" s="14">
        <f>SUM(M402:X402)</f>
        <v/>
      </c>
      <c r="AA402" s="13">
        <f>SUMPRODUCT(M402:X402,$M$3:$X$3)*$K402*$L402</f>
        <v/>
      </c>
      <c r="AB402" s="13">
        <f>SUMPRODUCT(M402:X402,$M$4:$X$4)*$K402*$L402</f>
        <v/>
      </c>
      <c r="AC402" s="15">
        <f>SUMPRODUCT(M402:X402,$M$5:$X$5)*$K402*$L402</f>
        <v/>
      </c>
      <c r="AD402" s="15">
        <f>SUMPRODUCT(M402:X402,$M$6:$X$6)*$K402*$L402</f>
        <v/>
      </c>
      <c r="AE402" s="19" t="n"/>
    </row>
    <row r="403">
      <c r="A403" s="9" t="n">
        <v>593423</v>
      </c>
      <c r="B403" s="9" t="inlineStr">
        <is>
          <t>Frankie Montas</t>
        </is>
      </c>
      <c r="C403" s="9" t="inlineStr">
        <is>
          <t>NYM</t>
        </is>
      </c>
      <c r="D403" s="9" t="n">
        <v>34</v>
      </c>
      <c r="E403" s="17" t="inlineStr">
        <is>
          <t>R</t>
        </is>
      </c>
      <c r="F403" s="17" t="n"/>
      <c r="G403" s="9" t="n">
        <v>178</v>
      </c>
      <c r="H403" s="9" t="n">
        <v>1448</v>
      </c>
      <c r="I403" s="9" t="inlineStr">
        <is>
          <t>End-of-Rotation Starter (SP4-5)</t>
        </is>
      </c>
      <c r="J403" s="17" t="inlineStr">
        <is>
          <t>Opening Day</t>
        </is>
      </c>
      <c r="K403" s="11">
        <f>IFERROR(INDEX(Roles!$B$17:$B$20,MATCH(J403,Roles!$A$17:$A$20,0)),1)</f>
        <v/>
      </c>
      <c r="L403" s="18" t="n">
        <v>1</v>
      </c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3">
        <f>SUMPRODUCT(M403:X403,$M$2:$X$2)*$K403*$L403</f>
        <v/>
      </c>
      <c r="Z403" s="14">
        <f>SUM(M403:X403)</f>
        <v/>
      </c>
      <c r="AA403" s="13">
        <f>SUMPRODUCT(M403:X403,$M$3:$X$3)*$K403*$L403</f>
        <v/>
      </c>
      <c r="AB403" s="13">
        <f>SUMPRODUCT(M403:X403,$M$4:$X$4)*$K403*$L403</f>
        <v/>
      </c>
      <c r="AC403" s="15">
        <f>SUMPRODUCT(M403:X403,$M$5:$X$5)*$K403*$L403</f>
        <v/>
      </c>
      <c r="AD403" s="15">
        <f>SUMPRODUCT(M403:X403,$M$6:$X$6)*$K403*$L403</f>
        <v/>
      </c>
      <c r="AE403" s="19" t="n"/>
    </row>
    <row r="404">
      <c r="A404" s="9" t="n">
        <v>663687</v>
      </c>
      <c r="B404" s="9" t="inlineStr">
        <is>
          <t>Hogan Harris</t>
        </is>
      </c>
      <c r="C404" s="9" t="inlineStr">
        <is>
          <t>OAK</t>
        </is>
      </c>
      <c r="D404" s="9" t="n">
        <v>30</v>
      </c>
      <c r="E404" s="17" t="inlineStr">
        <is>
          <t>L</t>
        </is>
      </c>
      <c r="F404" s="17" t="n"/>
      <c r="G404" s="9" t="n">
        <v>144</v>
      </c>
      <c r="H404" s="9" t="n">
        <v>1010</v>
      </c>
      <c r="I404" s="9" t="inlineStr">
        <is>
          <t>Bullpen Depth Arm</t>
        </is>
      </c>
      <c r="J404" s="17" t="inlineStr">
        <is>
          <t>Opening Day</t>
        </is>
      </c>
      <c r="K404" s="11">
        <f>IFERROR(INDEX(Roles!$B$17:$B$20,MATCH(J404,Roles!$A$17:$A$20,0)),1)</f>
        <v/>
      </c>
      <c r="L404" s="18" t="n">
        <v>1</v>
      </c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3">
        <f>SUMPRODUCT(M404:X404,$M$2:$X$2)*$K404*$L404</f>
        <v/>
      </c>
      <c r="Z404" s="14">
        <f>SUM(M404:X404)</f>
        <v/>
      </c>
      <c r="AA404" s="13">
        <f>SUMPRODUCT(M404:X404,$M$3:$X$3)*$K404*$L404</f>
        <v/>
      </c>
      <c r="AB404" s="13">
        <f>SUMPRODUCT(M404:X404,$M$4:$X$4)*$K404*$L404</f>
        <v/>
      </c>
      <c r="AC404" s="15">
        <f>SUMPRODUCT(M404:X404,$M$5:$X$5)*$K404*$L404</f>
        <v/>
      </c>
      <c r="AD404" s="15">
        <f>SUMPRODUCT(M404:X404,$M$6:$X$6)*$K404*$L404</f>
        <v/>
      </c>
      <c r="AE404" s="19" t="n"/>
    </row>
    <row r="405">
      <c r="A405" s="9" t="n">
        <v>702193</v>
      </c>
      <c r="B405" s="9" t="inlineStr">
        <is>
          <t>Andrew Morris</t>
        </is>
      </c>
      <c r="C405" s="9" t="inlineStr">
        <is>
          <t>MIN</t>
        </is>
      </c>
      <c r="D405" s="9" t="n">
        <v>25</v>
      </c>
      <c r="E405" s="17" t="inlineStr">
        <is>
          <t>R</t>
        </is>
      </c>
      <c r="F405" s="17" t="n"/>
      <c r="G405" s="9" t="n">
        <v>130</v>
      </c>
      <c r="H405" s="9" t="n">
        <v>130</v>
      </c>
      <c r="I405" s="9" t="inlineStr">
        <is>
          <t>Closer</t>
        </is>
      </c>
      <c r="J405" s="17" t="inlineStr">
        <is>
          <t>Opening Day</t>
        </is>
      </c>
      <c r="K405" s="11">
        <f>IFERROR(INDEX(Roles!$B$17:$B$20,MATCH(J405,Roles!$A$17:$A$20,0)),1)</f>
        <v/>
      </c>
      <c r="L405" s="18" t="n">
        <v>1</v>
      </c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3">
        <f>SUMPRODUCT(M405:X405,$M$2:$X$2)*$K405*$L405</f>
        <v/>
      </c>
      <c r="Z405" s="14">
        <f>SUM(M405:X405)</f>
        <v/>
      </c>
      <c r="AA405" s="13">
        <f>SUMPRODUCT(M405:X405,$M$3:$X$3)*$K405*$L405</f>
        <v/>
      </c>
      <c r="AB405" s="13">
        <f>SUMPRODUCT(M405:X405,$M$4:$X$4)*$K405*$L405</f>
        <v/>
      </c>
      <c r="AC405" s="15">
        <f>SUMPRODUCT(M405:X405,$M$5:$X$5)*$K405*$L405</f>
        <v/>
      </c>
      <c r="AD405" s="15">
        <f>SUMPRODUCT(M405:X405,$M$6:$X$6)*$K405*$L405</f>
        <v/>
      </c>
      <c r="AE405" s="19" t="n"/>
    </row>
    <row r="406">
      <c r="A406" s="9" t="n">
        <v>669711</v>
      </c>
      <c r="B406" s="9" t="inlineStr">
        <is>
          <t>Greg Weissert</t>
        </is>
      </c>
      <c r="C406" s="9" t="inlineStr">
        <is>
          <t>BOS</t>
        </is>
      </c>
      <c r="D406" s="9" t="n">
        <v>32</v>
      </c>
      <c r="E406" s="17" t="inlineStr">
        <is>
          <t>R</t>
        </is>
      </c>
      <c r="F406" s="17" t="n"/>
      <c r="G406" s="9" t="n">
        <v>111</v>
      </c>
      <c r="H406" s="9" t="n">
        <v>787</v>
      </c>
      <c r="I406" s="9" t="inlineStr">
        <is>
          <t>Middle Relief</t>
        </is>
      </c>
      <c r="J406" s="17" t="inlineStr">
        <is>
          <t>Opening Day</t>
        </is>
      </c>
      <c r="K406" s="11">
        <f>IFERROR(INDEX(Roles!$B$17:$B$20,MATCH(J406,Roles!$A$17:$A$20,0)),1)</f>
        <v/>
      </c>
      <c r="L406" s="18" t="n">
        <v>1</v>
      </c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3">
        <f>SUMPRODUCT(M406:X406,$M$2:$X$2)*$K406*$L406</f>
        <v/>
      </c>
      <c r="Z406" s="14">
        <f>SUM(M406:X406)</f>
        <v/>
      </c>
      <c r="AA406" s="13">
        <f>SUMPRODUCT(M406:X406,$M$3:$X$3)*$K406*$L406</f>
        <v/>
      </c>
      <c r="AB406" s="13">
        <f>SUMPRODUCT(M406:X406,$M$4:$X$4)*$K406*$L406</f>
        <v/>
      </c>
      <c r="AC406" s="15">
        <f>SUMPRODUCT(M406:X406,$M$5:$X$5)*$K406*$L406</f>
        <v/>
      </c>
      <c r="AD406" s="15">
        <f>SUMPRODUCT(M406:X406,$M$6:$X$6)*$K406*$L406</f>
        <v/>
      </c>
      <c r="AE406" s="19" t="n"/>
    </row>
    <row r="407">
      <c r="A407" s="9" t="n">
        <v>699823</v>
      </c>
      <c r="B407" s="9" t="inlineStr">
        <is>
          <t>Tyler Davis</t>
        </is>
      </c>
      <c r="C407" s="9" t="inlineStr">
        <is>
          <t>CWS</t>
        </is>
      </c>
      <c r="D407" s="9" t="n">
        <v>28</v>
      </c>
      <c r="E407" s="17" t="inlineStr">
        <is>
          <t>R</t>
        </is>
      </c>
      <c r="F407" s="17" t="n"/>
      <c r="G407" s="9" t="n">
        <v>85</v>
      </c>
      <c r="H407" s="9" t="n">
        <v>85</v>
      </c>
      <c r="I407" s="9" t="inlineStr">
        <is>
          <t>Bullpen Depth Arm</t>
        </is>
      </c>
      <c r="J407" s="17" t="inlineStr">
        <is>
          <t>Opening Day</t>
        </is>
      </c>
      <c r="K407" s="11">
        <f>IFERROR(INDEX(Roles!$B$17:$B$20,MATCH(J407,Roles!$A$17:$A$20,0)),1)</f>
        <v/>
      </c>
      <c r="L407" s="18" t="n">
        <v>1</v>
      </c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3">
        <f>SUMPRODUCT(M407:X407,$M$2:$X$2)*$K407*$L407</f>
        <v/>
      </c>
      <c r="Z407" s="14">
        <f>SUM(M407:X407)</f>
        <v/>
      </c>
      <c r="AA407" s="13">
        <f>SUMPRODUCT(M407:X407,$M$3:$X$3)*$K407*$L407</f>
        <v/>
      </c>
      <c r="AB407" s="13">
        <f>SUMPRODUCT(M407:X407,$M$4:$X$4)*$K407*$L407</f>
        <v/>
      </c>
      <c r="AC407" s="15">
        <f>SUMPRODUCT(M407:X407,$M$5:$X$5)*$K407*$L407</f>
        <v/>
      </c>
      <c r="AD407" s="15">
        <f>SUMPRODUCT(M407:X407,$M$6:$X$6)*$K407*$L407</f>
        <v/>
      </c>
      <c r="AE407" s="19" t="n"/>
    </row>
    <row r="408">
      <c r="A408" s="9" t="n">
        <v>678020</v>
      </c>
      <c r="B408" s="9" t="inlineStr">
        <is>
          <t>Seth Halvorsen</t>
        </is>
      </c>
      <c r="C408" s="9" t="inlineStr">
        <is>
          <t>COL</t>
        </is>
      </c>
      <c r="D408" s="9" t="n">
        <v>27</v>
      </c>
      <c r="E408" s="17" t="inlineStr">
        <is>
          <t>R</t>
        </is>
      </c>
      <c r="F408" s="17" t="n"/>
      <c r="G408" s="9" t="n">
        <v>68</v>
      </c>
      <c r="H408" s="9" t="n">
        <v>287</v>
      </c>
      <c r="I408" s="9" t="inlineStr">
        <is>
          <t>Bullpen Depth Arm</t>
        </is>
      </c>
      <c r="J408" s="17" t="inlineStr">
        <is>
          <t>Opening Day</t>
        </is>
      </c>
      <c r="K408" s="11">
        <f>IFERROR(INDEX(Roles!$B$17:$B$20,MATCH(J408,Roles!$A$17:$A$20,0)),1)</f>
        <v/>
      </c>
      <c r="L408" s="18" t="n">
        <v>1</v>
      </c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3">
        <f>SUMPRODUCT(M408:X408,$M$2:$X$2)*$K408*$L408</f>
        <v/>
      </c>
      <c r="Z408" s="14">
        <f>SUM(M408:X408)</f>
        <v/>
      </c>
      <c r="AA408" s="13">
        <f>SUMPRODUCT(M408:X408,$M$3:$X$3)*$K408*$L408</f>
        <v/>
      </c>
      <c r="AB408" s="13">
        <f>SUMPRODUCT(M408:X408,$M$4:$X$4)*$K408*$L408</f>
        <v/>
      </c>
      <c r="AC408" s="15">
        <f>SUMPRODUCT(M408:X408,$M$5:$X$5)*$K408*$L408</f>
        <v/>
      </c>
      <c r="AD408" s="15">
        <f>SUMPRODUCT(M408:X408,$M$6:$X$6)*$K408*$L408</f>
        <v/>
      </c>
      <c r="AE408" s="19" t="n"/>
    </row>
    <row r="409">
      <c r="A409" s="9" t="n">
        <v>685107</v>
      </c>
      <c r="B409" s="9" t="inlineStr">
        <is>
          <t>Anthony Veneziano</t>
        </is>
      </c>
      <c r="C409" s="9" t="inlineStr">
        <is>
          <t>STL</t>
        </is>
      </c>
      <c r="D409" s="9" t="n">
        <v>29</v>
      </c>
      <c r="E409" s="17" t="inlineStr">
        <is>
          <t>L</t>
        </is>
      </c>
      <c r="F409" s="17" t="n"/>
      <c r="G409" s="9" t="n">
        <v>117</v>
      </c>
      <c r="H409" s="9" t="n">
        <v>187</v>
      </c>
      <c r="I409" s="9" t="inlineStr">
        <is>
          <t>Middle Relief</t>
        </is>
      </c>
      <c r="J409" s="17" t="inlineStr">
        <is>
          <t>Opening Day</t>
        </is>
      </c>
      <c r="K409" s="11">
        <f>IFERROR(INDEX(Roles!$B$17:$B$20,MATCH(J409,Roles!$A$17:$A$20,0)),1)</f>
        <v/>
      </c>
      <c r="L409" s="18" t="n">
        <v>1</v>
      </c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3">
        <f>SUMPRODUCT(M409:X409,$M$2:$X$2)*$K409*$L409</f>
        <v/>
      </c>
      <c r="Z409" s="14">
        <f>SUM(M409:X409)</f>
        <v/>
      </c>
      <c r="AA409" s="13">
        <f>SUMPRODUCT(M409:X409,$M$3:$X$3)*$K409*$L409</f>
        <v/>
      </c>
      <c r="AB409" s="13">
        <f>SUMPRODUCT(M409:X409,$M$4:$X$4)*$K409*$L409</f>
        <v/>
      </c>
      <c r="AC409" s="15">
        <f>SUMPRODUCT(M409:X409,$M$5:$X$5)*$K409*$L409</f>
        <v/>
      </c>
      <c r="AD409" s="15">
        <f>SUMPRODUCT(M409:X409,$M$6:$X$6)*$K409*$L409</f>
        <v/>
      </c>
      <c r="AE409" s="19" t="n"/>
    </row>
    <row r="410">
      <c r="A410" s="9" t="n">
        <v>605488</v>
      </c>
      <c r="B410" s="9" t="inlineStr">
        <is>
          <t>Jeffrey Springs</t>
        </is>
      </c>
      <c r="C410" s="9" t="inlineStr">
        <is>
          <t>OAK</t>
        </is>
      </c>
      <c r="D410" s="9" t="n">
        <v>34</v>
      </c>
      <c r="E410" s="17" t="inlineStr">
        <is>
          <t>L</t>
        </is>
      </c>
      <c r="F410" s="17" t="n"/>
      <c r="G410" s="9" t="n">
        <v>320</v>
      </c>
      <c r="H410" s="9" t="n">
        <v>1779</v>
      </c>
      <c r="I410" s="9" t="inlineStr">
        <is>
          <t>Mid-Rotation Starter (SP2-3)</t>
        </is>
      </c>
      <c r="J410" s="17" t="inlineStr">
        <is>
          <t>Opening Day</t>
        </is>
      </c>
      <c r="K410" s="11">
        <f>IFERROR(INDEX(Roles!$B$17:$B$20,MATCH(J410,Roles!$A$17:$A$20,0)),1)</f>
        <v/>
      </c>
      <c r="L410" s="18" t="n">
        <v>1</v>
      </c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3">
        <f>SUMPRODUCT(M410:X410,$M$2:$X$2)*$K410*$L410</f>
        <v/>
      </c>
      <c r="Z410" s="14">
        <f>SUM(M410:X410)</f>
        <v/>
      </c>
      <c r="AA410" s="13">
        <f>SUMPRODUCT(M410:X410,$M$3:$X$3)*$K410*$L410</f>
        <v/>
      </c>
      <c r="AB410" s="13">
        <f>SUMPRODUCT(M410:X410,$M$4:$X$4)*$K410*$L410</f>
        <v/>
      </c>
      <c r="AC410" s="15">
        <f>SUMPRODUCT(M410:X410,$M$5:$X$5)*$K410*$L410</f>
        <v/>
      </c>
      <c r="AD410" s="15">
        <f>SUMPRODUCT(M410:X410,$M$6:$X$6)*$K410*$L410</f>
        <v/>
      </c>
      <c r="AE410" s="19" t="n"/>
    </row>
    <row r="411">
      <c r="A411" s="9" t="n">
        <v>702674</v>
      </c>
      <c r="B411" s="9" t="inlineStr">
        <is>
          <t>Caden Dana</t>
        </is>
      </c>
      <c r="C411" s="9" t="inlineStr">
        <is>
          <t>LAA</t>
        </is>
      </c>
      <c r="D411" s="9" t="n">
        <v>23</v>
      </c>
      <c r="E411" s="17" t="inlineStr">
        <is>
          <t>R</t>
        </is>
      </c>
      <c r="F411" s="17" t="n"/>
      <c r="G411" s="9" t="n">
        <v>141</v>
      </c>
      <c r="H411" s="9" t="n">
        <v>193</v>
      </c>
      <c r="I411" s="9" t="inlineStr">
        <is>
          <t>End-of-Rotation Starter (SP4-5)</t>
        </is>
      </c>
      <c r="J411" s="17" t="inlineStr">
        <is>
          <t>Opening Day</t>
        </is>
      </c>
      <c r="K411" s="11">
        <f>IFERROR(INDEX(Roles!$B$17:$B$20,MATCH(J411,Roles!$A$17:$A$20,0)),1)</f>
        <v/>
      </c>
      <c r="L411" s="18" t="n">
        <v>1</v>
      </c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3">
        <f>SUMPRODUCT(M411:X411,$M$2:$X$2)*$K411*$L411</f>
        <v/>
      </c>
      <c r="Z411" s="14">
        <f>SUM(M411:X411)</f>
        <v/>
      </c>
      <c r="AA411" s="13">
        <f>SUMPRODUCT(M411:X411,$M$3:$X$3)*$K411*$L411</f>
        <v/>
      </c>
      <c r="AB411" s="13">
        <f>SUMPRODUCT(M411:X411,$M$4:$X$4)*$K411*$L411</f>
        <v/>
      </c>
      <c r="AC411" s="15">
        <f>SUMPRODUCT(M411:X411,$M$5:$X$5)*$K411*$L411</f>
        <v/>
      </c>
      <c r="AD411" s="15">
        <f>SUMPRODUCT(M411:X411,$M$6:$X$6)*$K411*$L411</f>
        <v/>
      </c>
      <c r="AE411" s="19" t="n"/>
    </row>
    <row r="412">
      <c r="A412" s="9" t="n">
        <v>808963</v>
      </c>
      <c r="B412" s="9" t="inlineStr">
        <is>
          <t>Roki Sasaki</t>
        </is>
      </c>
      <c r="C412" s="9" t="inlineStr">
        <is>
          <t>LAD</t>
        </is>
      </c>
      <c r="D412" s="9" t="n">
        <v>25</v>
      </c>
      <c r="E412" s="17" t="inlineStr">
        <is>
          <t>R</t>
        </is>
      </c>
      <c r="F412" s="17" t="n"/>
      <c r="G412" s="9" t="n">
        <v>247</v>
      </c>
      <c r="H412" s="9" t="n">
        <v>408</v>
      </c>
      <c r="I412" s="9" t="inlineStr">
        <is>
          <t>End-of-Rotation Starter (SP4-5)</t>
        </is>
      </c>
      <c r="J412" s="17" t="inlineStr">
        <is>
          <t>Opening Day</t>
        </is>
      </c>
      <c r="K412" s="11">
        <f>IFERROR(INDEX(Roles!$B$17:$B$20,MATCH(J412,Roles!$A$17:$A$20,0)),1)</f>
        <v/>
      </c>
      <c r="L412" s="18" t="n">
        <v>1</v>
      </c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3">
        <f>SUMPRODUCT(M412:X412,$M$2:$X$2)*$K412*$L412</f>
        <v/>
      </c>
      <c r="Z412" s="14">
        <f>SUM(M412:X412)</f>
        <v/>
      </c>
      <c r="AA412" s="13">
        <f>SUMPRODUCT(M412:X412,$M$3:$X$3)*$K412*$L412</f>
        <v/>
      </c>
      <c r="AB412" s="13">
        <f>SUMPRODUCT(M412:X412,$M$4:$X$4)*$K412*$L412</f>
        <v/>
      </c>
      <c r="AC412" s="15">
        <f>SUMPRODUCT(M412:X412,$M$5:$X$5)*$K412*$L412</f>
        <v/>
      </c>
      <c r="AD412" s="15">
        <f>SUMPRODUCT(M412:X412,$M$6:$X$6)*$K412*$L412</f>
        <v/>
      </c>
      <c r="AE412" s="19" t="n"/>
    </row>
    <row r="413">
      <c r="A413" s="9" t="n">
        <v>805299</v>
      </c>
      <c r="B413" s="9" t="inlineStr">
        <is>
          <t>Brandyn Garcia</t>
        </is>
      </c>
      <c r="C413" s="9" t="inlineStr">
        <is>
          <t>ARI</t>
        </is>
      </c>
      <c r="D413" s="9" t="n">
        <v>27</v>
      </c>
      <c r="E413" s="17" t="inlineStr">
        <is>
          <t>L</t>
        </is>
      </c>
      <c r="F413" s="17" t="n"/>
      <c r="G413" s="9" t="n">
        <v>52</v>
      </c>
      <c r="H413" s="9" t="n">
        <v>118</v>
      </c>
      <c r="I413" s="9" t="inlineStr">
        <is>
          <t>Bullpen Depth Arm</t>
        </is>
      </c>
      <c r="J413" s="17" t="inlineStr">
        <is>
          <t>Opening Day</t>
        </is>
      </c>
      <c r="K413" s="11">
        <f>IFERROR(INDEX(Roles!$B$17:$B$20,MATCH(J413,Roles!$A$17:$A$20,0)),1)</f>
        <v/>
      </c>
      <c r="L413" s="18" t="n">
        <v>1</v>
      </c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3">
        <f>SUMPRODUCT(M413:X413,$M$2:$X$2)*$K413*$L413</f>
        <v/>
      </c>
      <c r="Z413" s="14">
        <f>SUM(M413:X413)</f>
        <v/>
      </c>
      <c r="AA413" s="13">
        <f>SUMPRODUCT(M413:X413,$M$3:$X$3)*$K413*$L413</f>
        <v/>
      </c>
      <c r="AB413" s="13">
        <f>SUMPRODUCT(M413:X413,$M$4:$X$4)*$K413*$L413</f>
        <v/>
      </c>
      <c r="AC413" s="15">
        <f>SUMPRODUCT(M413:X413,$M$5:$X$5)*$K413*$L413</f>
        <v/>
      </c>
      <c r="AD413" s="15">
        <f>SUMPRODUCT(M413:X413,$M$6:$X$6)*$K413*$L413</f>
        <v/>
      </c>
      <c r="AE413" s="19" t="n"/>
    </row>
    <row r="414">
      <c r="A414" s="9" t="n">
        <v>664062</v>
      </c>
      <c r="B414" s="9" t="inlineStr">
        <is>
          <t>Tony Gonsolin</t>
        </is>
      </c>
      <c r="C414" s="9" t="inlineStr">
        <is>
          <t>LAD</t>
        </is>
      </c>
      <c r="D414" s="9" t="n">
        <v>33</v>
      </c>
      <c r="E414" s="17" t="inlineStr">
        <is>
          <t>R</t>
        </is>
      </c>
      <c r="F414" s="17" t="n"/>
      <c r="G414" s="9" t="n">
        <v>157</v>
      </c>
      <c r="H414" s="9" t="n">
        <v>1090</v>
      </c>
      <c r="I414" s="9" t="inlineStr">
        <is>
          <t>Mid-Rotation Starter (SP2-3)</t>
        </is>
      </c>
      <c r="J414" s="17" t="inlineStr">
        <is>
          <t>Opening Day</t>
        </is>
      </c>
      <c r="K414" s="11">
        <f>IFERROR(INDEX(Roles!$B$17:$B$20,MATCH(J414,Roles!$A$17:$A$20,0)),1)</f>
        <v/>
      </c>
      <c r="L414" s="18" t="n">
        <v>1</v>
      </c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3">
        <f>SUMPRODUCT(M414:X414,$M$2:$X$2)*$K414*$L414</f>
        <v/>
      </c>
      <c r="Z414" s="14">
        <f>SUM(M414:X414)</f>
        <v/>
      </c>
      <c r="AA414" s="13">
        <f>SUMPRODUCT(M414:X414,$M$3:$X$3)*$K414*$L414</f>
        <v/>
      </c>
      <c r="AB414" s="13">
        <f>SUMPRODUCT(M414:X414,$M$4:$X$4)*$K414*$L414</f>
        <v/>
      </c>
      <c r="AC414" s="15">
        <f>SUMPRODUCT(M414:X414,$M$5:$X$5)*$K414*$L414</f>
        <v/>
      </c>
      <c r="AD414" s="15">
        <f>SUMPRODUCT(M414:X414,$M$6:$X$6)*$K414*$L414</f>
        <v/>
      </c>
      <c r="AE414" s="19" t="n"/>
    </row>
    <row r="415">
      <c r="A415" s="9" t="n">
        <v>684320</v>
      </c>
      <c r="B415" s="9" t="inlineStr">
        <is>
          <t>Yariel Rodríguez</t>
        </is>
      </c>
      <c r="C415" s="9" t="inlineStr">
        <is>
          <t>TOR</t>
        </is>
      </c>
      <c r="D415" s="9" t="n">
        <v>30</v>
      </c>
      <c r="E415" s="17" t="inlineStr">
        <is>
          <t>R</t>
        </is>
      </c>
      <c r="F415" s="17" t="n"/>
      <c r="G415" s="9" t="n">
        <v>45</v>
      </c>
      <c r="H415" s="9" t="n">
        <v>711</v>
      </c>
      <c r="I415" s="9" t="inlineStr">
        <is>
          <t>Bullpen Depth Arm</t>
        </is>
      </c>
      <c r="J415" s="17" t="inlineStr">
        <is>
          <t>Opening Day</t>
        </is>
      </c>
      <c r="K415" s="11">
        <f>IFERROR(INDEX(Roles!$B$17:$B$20,MATCH(J415,Roles!$A$17:$A$20,0)),1)</f>
        <v/>
      </c>
      <c r="L415" s="18" t="n">
        <v>1</v>
      </c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3">
        <f>SUMPRODUCT(M415:X415,$M$2:$X$2)*$K415*$L415</f>
        <v/>
      </c>
      <c r="Z415" s="14">
        <f>SUM(M415:X415)</f>
        <v/>
      </c>
      <c r="AA415" s="13">
        <f>SUMPRODUCT(M415:X415,$M$3:$X$3)*$K415*$L415</f>
        <v/>
      </c>
      <c r="AB415" s="13">
        <f>SUMPRODUCT(M415:X415,$M$4:$X$4)*$K415*$L415</f>
        <v/>
      </c>
      <c r="AC415" s="15">
        <f>SUMPRODUCT(M415:X415,$M$5:$X$5)*$K415*$L415</f>
        <v/>
      </c>
      <c r="AD415" s="15">
        <f>SUMPRODUCT(M415:X415,$M$6:$X$6)*$K415*$L415</f>
        <v/>
      </c>
      <c r="AE415" s="19" t="n"/>
    </row>
    <row r="416">
      <c r="A416" s="9" t="n">
        <v>656234</v>
      </c>
      <c r="B416" s="9" t="inlineStr">
        <is>
          <t>Jake Bird</t>
        </is>
      </c>
      <c r="C416" s="9" t="inlineStr">
        <is>
          <t>NYY</t>
        </is>
      </c>
      <c r="D416" s="9" t="n">
        <v>31</v>
      </c>
      <c r="E416" s="17" t="inlineStr">
        <is>
          <t>R</t>
        </is>
      </c>
      <c r="F416" s="17" t="n"/>
      <c r="G416" s="9" t="n">
        <v>85</v>
      </c>
      <c r="H416" s="9" t="n">
        <v>1110</v>
      </c>
      <c r="I416" s="9" t="inlineStr">
        <is>
          <t>Bullpen Depth Arm</t>
        </is>
      </c>
      <c r="J416" s="17" t="inlineStr">
        <is>
          <t>Opening Day</t>
        </is>
      </c>
      <c r="K416" s="11">
        <f>IFERROR(INDEX(Roles!$B$17:$B$20,MATCH(J416,Roles!$A$17:$A$20,0)),1)</f>
        <v/>
      </c>
      <c r="L416" s="18" t="n">
        <v>1</v>
      </c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3">
        <f>SUMPRODUCT(M416:X416,$M$2:$X$2)*$K416*$L416</f>
        <v/>
      </c>
      <c r="Z416" s="14">
        <f>SUM(M416:X416)</f>
        <v/>
      </c>
      <c r="AA416" s="13">
        <f>SUMPRODUCT(M416:X416,$M$3:$X$3)*$K416*$L416</f>
        <v/>
      </c>
      <c r="AB416" s="13">
        <f>SUMPRODUCT(M416:X416,$M$4:$X$4)*$K416*$L416</f>
        <v/>
      </c>
      <c r="AC416" s="15">
        <f>SUMPRODUCT(M416:X416,$M$5:$X$5)*$K416*$L416</f>
        <v/>
      </c>
      <c r="AD416" s="15">
        <f>SUMPRODUCT(M416:X416,$M$6:$X$6)*$K416*$L416</f>
        <v/>
      </c>
      <c r="AE416" s="19" t="n"/>
    </row>
    <row r="417">
      <c r="A417" s="9" t="n">
        <v>804636</v>
      </c>
      <c r="B417" s="9" t="inlineStr">
        <is>
          <t>Jonah Tong</t>
        </is>
      </c>
      <c r="C417" s="9" t="inlineStr">
        <is>
          <t>NYM</t>
        </is>
      </c>
      <c r="D417" s="9" t="n">
        <v>24</v>
      </c>
      <c r="E417" s="17" t="inlineStr">
        <is>
          <t>R</t>
        </is>
      </c>
      <c r="F417" s="17" t="n"/>
      <c r="G417" s="9" t="n">
        <v>47</v>
      </c>
      <c r="H417" s="9" t="n">
        <v>134</v>
      </c>
      <c r="I417" s="9" t="inlineStr">
        <is>
          <t>End-of-Rotation Starter (SP4-5)</t>
        </is>
      </c>
      <c r="J417" s="17" t="inlineStr">
        <is>
          <t>Opening Day</t>
        </is>
      </c>
      <c r="K417" s="11">
        <f>IFERROR(INDEX(Roles!$B$17:$B$20,MATCH(J417,Roles!$A$17:$A$20,0)),1)</f>
        <v/>
      </c>
      <c r="L417" s="18" t="n">
        <v>1</v>
      </c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3">
        <f>SUMPRODUCT(M417:X417,$M$2:$X$2)*$K417*$L417</f>
        <v/>
      </c>
      <c r="Z417" s="14">
        <f>SUM(M417:X417)</f>
        <v/>
      </c>
      <c r="AA417" s="13">
        <f>SUMPRODUCT(M417:X417,$M$3:$X$3)*$K417*$L417</f>
        <v/>
      </c>
      <c r="AB417" s="13">
        <f>SUMPRODUCT(M417:X417,$M$4:$X$4)*$K417*$L417</f>
        <v/>
      </c>
      <c r="AC417" s="15">
        <f>SUMPRODUCT(M417:X417,$M$5:$X$5)*$K417*$L417</f>
        <v/>
      </c>
      <c r="AD417" s="15">
        <f>SUMPRODUCT(M417:X417,$M$6:$X$6)*$K417*$L417</f>
        <v/>
      </c>
      <c r="AE417" s="19" t="n"/>
    </row>
    <row r="418">
      <c r="A418" s="9" t="n">
        <v>683769</v>
      </c>
      <c r="B418" s="9" t="inlineStr">
        <is>
          <t>Hunter Gaddis</t>
        </is>
      </c>
      <c r="C418" s="9" t="inlineStr">
        <is>
          <t>CLE</t>
        </is>
      </c>
      <c r="D418" s="9" t="n">
        <v>29</v>
      </c>
      <c r="E418" s="17" t="inlineStr">
        <is>
          <t>R</t>
        </is>
      </c>
      <c r="F418" s="17" t="n"/>
      <c r="G418" s="9" t="n">
        <v>78</v>
      </c>
      <c r="H418" s="9" t="n">
        <v>852</v>
      </c>
      <c r="I418" s="9" t="inlineStr">
        <is>
          <t>Bullpen Depth Arm</t>
        </is>
      </c>
      <c r="J418" s="17" t="inlineStr">
        <is>
          <t>Opening Day</t>
        </is>
      </c>
      <c r="K418" s="11">
        <f>IFERROR(INDEX(Roles!$B$17:$B$20,MATCH(J418,Roles!$A$17:$A$20,0)),1)</f>
        <v/>
      </c>
      <c r="L418" s="18" t="n">
        <v>1</v>
      </c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3">
        <f>SUMPRODUCT(M418:X418,$M$2:$X$2)*$K418*$L418</f>
        <v/>
      </c>
      <c r="Z418" s="14">
        <f>SUM(M418:X418)</f>
        <v/>
      </c>
      <c r="AA418" s="13">
        <f>SUMPRODUCT(M418:X418,$M$3:$X$3)*$K418*$L418</f>
        <v/>
      </c>
      <c r="AB418" s="13">
        <f>SUMPRODUCT(M418:X418,$M$4:$X$4)*$K418*$L418</f>
        <v/>
      </c>
      <c r="AC418" s="15">
        <f>SUMPRODUCT(M418:X418,$M$5:$X$5)*$K418*$L418</f>
        <v/>
      </c>
      <c r="AD418" s="15">
        <f>SUMPRODUCT(M418:X418,$M$6:$X$6)*$K418*$L418</f>
        <v/>
      </c>
      <c r="AE418" s="19" t="n"/>
    </row>
    <row r="419">
      <c r="A419" s="9" t="n">
        <v>592351</v>
      </c>
      <c r="B419" s="9" t="inlineStr">
        <is>
          <t>Jon Gray</t>
        </is>
      </c>
      <c r="C419" s="9" t="inlineStr">
        <is>
          <t>TEX</t>
        </is>
      </c>
      <c r="D419" s="9" t="n">
        <v>35</v>
      </c>
      <c r="E419" s="17" t="inlineStr">
        <is>
          <t>R</t>
        </is>
      </c>
      <c r="F419" s="17" t="n"/>
      <c r="G419" s="9" t="n">
        <v>63</v>
      </c>
      <c r="H419" s="9" t="n">
        <v>1679</v>
      </c>
      <c r="I419" s="9" t="inlineStr">
        <is>
          <t>End-of-Rotation Starter (SP4-5)</t>
        </is>
      </c>
      <c r="J419" s="17" t="inlineStr">
        <is>
          <t>Opening Day</t>
        </is>
      </c>
      <c r="K419" s="11">
        <f>IFERROR(INDEX(Roles!$B$17:$B$20,MATCH(J419,Roles!$A$17:$A$20,0)),1)</f>
        <v/>
      </c>
      <c r="L419" s="18" t="n">
        <v>1</v>
      </c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3">
        <f>SUMPRODUCT(M419:X419,$M$2:$X$2)*$K419*$L419</f>
        <v/>
      </c>
      <c r="Z419" s="14">
        <f>SUM(M419:X419)</f>
        <v/>
      </c>
      <c r="AA419" s="13">
        <f>SUMPRODUCT(M419:X419,$M$3:$X$3)*$K419*$L419</f>
        <v/>
      </c>
      <c r="AB419" s="13">
        <f>SUMPRODUCT(M419:X419,$M$4:$X$4)*$K419*$L419</f>
        <v/>
      </c>
      <c r="AC419" s="15">
        <f>SUMPRODUCT(M419:X419,$M$5:$X$5)*$K419*$L419</f>
        <v/>
      </c>
      <c r="AD419" s="15">
        <f>SUMPRODUCT(M419:X419,$M$6:$X$6)*$K419*$L419</f>
        <v/>
      </c>
      <c r="AE419" s="19" t="n"/>
    </row>
    <row r="420">
      <c r="A420" s="9" t="n">
        <v>669330</v>
      </c>
      <c r="B420" s="9" t="inlineStr">
        <is>
          <t>Tyler Wells</t>
        </is>
      </c>
      <c r="C420" s="9" t="inlineStr">
        <is>
          <t>BAL</t>
        </is>
      </c>
      <c r="D420" s="9" t="n">
        <v>32</v>
      </c>
      <c r="E420" s="17" t="inlineStr">
        <is>
          <t>R</t>
        </is>
      </c>
      <c r="F420" s="17" t="n"/>
      <c r="G420" s="9" t="n">
        <v>122</v>
      </c>
      <c r="H420" s="9" t="n">
        <v>1164</v>
      </c>
      <c r="I420" s="9" t="inlineStr">
        <is>
          <t>Middle Relief</t>
        </is>
      </c>
      <c r="J420" s="17" t="inlineStr">
        <is>
          <t>Opening Day</t>
        </is>
      </c>
      <c r="K420" s="11">
        <f>IFERROR(INDEX(Roles!$B$17:$B$20,MATCH(J420,Roles!$A$17:$A$20,0)),1)</f>
        <v/>
      </c>
      <c r="L420" s="18" t="n">
        <v>1</v>
      </c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3">
        <f>SUMPRODUCT(M420:X420,$M$2:$X$2)*$K420*$L420</f>
        <v/>
      </c>
      <c r="Z420" s="14">
        <f>SUM(M420:X420)</f>
        <v/>
      </c>
      <c r="AA420" s="13">
        <f>SUMPRODUCT(M420:X420,$M$3:$X$3)*$K420*$L420</f>
        <v/>
      </c>
      <c r="AB420" s="13">
        <f>SUMPRODUCT(M420:X420,$M$4:$X$4)*$K420*$L420</f>
        <v/>
      </c>
      <c r="AC420" s="15">
        <f>SUMPRODUCT(M420:X420,$M$5:$X$5)*$K420*$L420</f>
        <v/>
      </c>
      <c r="AD420" s="15">
        <f>SUMPRODUCT(M420:X420,$M$6:$X$6)*$K420*$L420</f>
        <v/>
      </c>
      <c r="AE420" s="19" t="n"/>
    </row>
    <row r="421">
      <c r="A421" s="9" t="n">
        <v>668873</v>
      </c>
      <c r="B421" s="9" t="inlineStr">
        <is>
          <t>Caleb Kilian</t>
        </is>
      </c>
      <c r="C421" s="9" t="inlineStr">
        <is>
          <t>SF</t>
        </is>
      </c>
      <c r="D421" s="9" t="n">
        <v>30</v>
      </c>
      <c r="E421" s="17" t="inlineStr">
        <is>
          <t>R</t>
        </is>
      </c>
      <c r="F421" s="17" t="n"/>
      <c r="G421" s="9" t="n">
        <v>124</v>
      </c>
      <c r="H421" s="9" t="n">
        <v>261</v>
      </c>
      <c r="I421" s="9" t="inlineStr">
        <is>
          <t>Bullpen Depth Arm</t>
        </is>
      </c>
      <c r="J421" s="17" t="inlineStr">
        <is>
          <t>Opening Day</t>
        </is>
      </c>
      <c r="K421" s="11">
        <f>IFERROR(INDEX(Roles!$B$17:$B$20,MATCH(J421,Roles!$A$17:$A$20,0)),1)</f>
        <v/>
      </c>
      <c r="L421" s="18" t="n">
        <v>1</v>
      </c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3">
        <f>SUMPRODUCT(M421:X421,$M$2:$X$2)*$K421*$L421</f>
        <v/>
      </c>
      <c r="Z421" s="14">
        <f>SUM(M421:X421)</f>
        <v/>
      </c>
      <c r="AA421" s="13">
        <f>SUMPRODUCT(M421:X421,$M$3:$X$3)*$K421*$L421</f>
        <v/>
      </c>
      <c r="AB421" s="13">
        <f>SUMPRODUCT(M421:X421,$M$4:$X$4)*$K421*$L421</f>
        <v/>
      </c>
      <c r="AC421" s="15">
        <f>SUMPRODUCT(M421:X421,$M$5:$X$5)*$K421*$L421</f>
        <v/>
      </c>
      <c r="AD421" s="15">
        <f>SUMPRODUCT(M421:X421,$M$6:$X$6)*$K421*$L421</f>
        <v/>
      </c>
      <c r="AE421" s="19" t="n"/>
    </row>
    <row r="422">
      <c r="A422" s="9" t="n">
        <v>657514</v>
      </c>
      <c r="B422" s="9" t="inlineStr">
        <is>
          <t>Brennan Bernardino</t>
        </is>
      </c>
      <c r="C422" s="9" t="inlineStr">
        <is>
          <t>COL</t>
        </is>
      </c>
      <c r="D422" s="9" t="n">
        <v>35</v>
      </c>
      <c r="E422" s="17" t="inlineStr">
        <is>
          <t>L</t>
        </is>
      </c>
      <c r="F422" s="17" t="n"/>
      <c r="G422" s="9" t="n">
        <v>114</v>
      </c>
      <c r="H422" s="9" t="n">
        <v>793</v>
      </c>
      <c r="I422" s="9" t="inlineStr">
        <is>
          <t>Closer</t>
        </is>
      </c>
      <c r="J422" s="17" t="inlineStr">
        <is>
          <t>Opening Day</t>
        </is>
      </c>
      <c r="K422" s="11">
        <f>IFERROR(INDEX(Roles!$B$17:$B$20,MATCH(J422,Roles!$A$17:$A$20,0)),1)</f>
        <v/>
      </c>
      <c r="L422" s="18" t="n">
        <v>1</v>
      </c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3">
        <f>SUMPRODUCT(M422:X422,$M$2:$X$2)*$K422*$L422</f>
        <v/>
      </c>
      <c r="Z422" s="14">
        <f>SUM(M422:X422)</f>
        <v/>
      </c>
      <c r="AA422" s="13">
        <f>SUMPRODUCT(M422:X422,$M$3:$X$3)*$K422*$L422</f>
        <v/>
      </c>
      <c r="AB422" s="13">
        <f>SUMPRODUCT(M422:X422,$M$4:$X$4)*$K422*$L422</f>
        <v/>
      </c>
      <c r="AC422" s="15">
        <f>SUMPRODUCT(M422:X422,$M$5:$X$5)*$K422*$L422</f>
        <v/>
      </c>
      <c r="AD422" s="15">
        <f>SUMPRODUCT(M422:X422,$M$6:$X$6)*$K422*$L422</f>
        <v/>
      </c>
      <c r="AE422" s="19" t="n"/>
    </row>
    <row r="423">
      <c r="A423" s="9" t="n">
        <v>605513</v>
      </c>
      <c r="B423" s="9" t="inlineStr">
        <is>
          <t>Spencer Turnbull</t>
        </is>
      </c>
      <c r="C423" s="9" t="inlineStr">
        <is>
          <t>TOR</t>
        </is>
      </c>
      <c r="D423" s="9" t="n">
        <v>34</v>
      </c>
      <c r="E423" s="17" t="inlineStr">
        <is>
          <t>R</t>
        </is>
      </c>
      <c r="F423" s="17" t="n"/>
      <c r="G423" s="9" t="n">
        <v>33</v>
      </c>
      <c r="H423" s="9" t="n">
        <v>400</v>
      </c>
      <c r="I423" s="9" t="inlineStr">
        <is>
          <t>Bullpen Depth Arm</t>
        </is>
      </c>
      <c r="J423" s="17" t="inlineStr">
        <is>
          <t>Opening Day</t>
        </is>
      </c>
      <c r="K423" s="11">
        <f>IFERROR(INDEX(Roles!$B$17:$B$20,MATCH(J423,Roles!$A$17:$A$20,0)),1)</f>
        <v/>
      </c>
      <c r="L423" s="18" t="n">
        <v>1</v>
      </c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3">
        <f>SUMPRODUCT(M423:X423,$M$2:$X$2)*$K423*$L423</f>
        <v/>
      </c>
      <c r="Z423" s="14">
        <f>SUM(M423:X423)</f>
        <v/>
      </c>
      <c r="AA423" s="13">
        <f>SUMPRODUCT(M423:X423,$M$3:$X$3)*$K423*$L423</f>
        <v/>
      </c>
      <c r="AB423" s="13">
        <f>SUMPRODUCT(M423:X423,$M$4:$X$4)*$K423*$L423</f>
        <v/>
      </c>
      <c r="AC423" s="15">
        <f>SUMPRODUCT(M423:X423,$M$5:$X$5)*$K423*$L423</f>
        <v/>
      </c>
      <c r="AD423" s="15">
        <f>SUMPRODUCT(M423:X423,$M$6:$X$6)*$K423*$L423</f>
        <v/>
      </c>
      <c r="AE423" s="19" t="n"/>
    </row>
    <row r="424">
      <c r="A424" s="9" t="n">
        <v>681252</v>
      </c>
      <c r="B424" s="9" t="inlineStr">
        <is>
          <t>Jack Anderson</t>
        </is>
      </c>
      <c r="C424" s="9" t="inlineStr">
        <is>
          <t>BOS</t>
        </is>
      </c>
      <c r="D424" s="9" t="n">
        <v>27</v>
      </c>
      <c r="E424" s="17" t="inlineStr">
        <is>
          <t>R</t>
        </is>
      </c>
      <c r="F424" s="17" t="n"/>
      <c r="G424" s="9" t="n">
        <v>32</v>
      </c>
      <c r="H424" s="9" t="n">
        <v>32</v>
      </c>
      <c r="I424" s="9" t="inlineStr">
        <is>
          <t>Bullpen Depth Arm</t>
        </is>
      </c>
      <c r="J424" s="17" t="inlineStr">
        <is>
          <t>Opening Day</t>
        </is>
      </c>
      <c r="K424" s="11">
        <f>IFERROR(INDEX(Roles!$B$17:$B$20,MATCH(J424,Roles!$A$17:$A$20,0)),1)</f>
        <v/>
      </c>
      <c r="L424" s="18" t="n">
        <v>1</v>
      </c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3">
        <f>SUMPRODUCT(M424:X424,$M$2:$X$2)*$K424*$L424</f>
        <v/>
      </c>
      <c r="Z424" s="14">
        <f>SUM(M424:X424)</f>
        <v/>
      </c>
      <c r="AA424" s="13">
        <f>SUMPRODUCT(M424:X424,$M$3:$X$3)*$K424*$L424</f>
        <v/>
      </c>
      <c r="AB424" s="13">
        <f>SUMPRODUCT(M424:X424,$M$4:$X$4)*$K424*$L424</f>
        <v/>
      </c>
      <c r="AC424" s="15">
        <f>SUMPRODUCT(M424:X424,$M$5:$X$5)*$K424*$L424</f>
        <v/>
      </c>
      <c r="AD424" s="15">
        <f>SUMPRODUCT(M424:X424,$M$6:$X$6)*$K424*$L424</f>
        <v/>
      </c>
      <c r="AE424" s="19" t="n"/>
    </row>
    <row r="425">
      <c r="A425" s="9" t="n">
        <v>690155</v>
      </c>
      <c r="B425" s="9" t="inlineStr">
        <is>
          <t>Matt Pushard</t>
        </is>
      </c>
      <c r="C425" s="9" t="inlineStr">
        <is>
          <t>STL</t>
        </is>
      </c>
      <c r="D425" s="9" t="n">
        <v>29</v>
      </c>
      <c r="E425" s="17" t="inlineStr">
        <is>
          <t>R</t>
        </is>
      </c>
      <c r="F425" s="17" t="n"/>
      <c r="G425" s="9" t="n">
        <v>32</v>
      </c>
      <c r="H425" s="9" t="n">
        <v>32</v>
      </c>
      <c r="I425" s="9" t="inlineStr">
        <is>
          <t>Middle Relief</t>
        </is>
      </c>
      <c r="J425" s="17" t="inlineStr">
        <is>
          <t>Opening Day</t>
        </is>
      </c>
      <c r="K425" s="11">
        <f>IFERROR(INDEX(Roles!$B$17:$B$20,MATCH(J425,Roles!$A$17:$A$20,0)),1)</f>
        <v/>
      </c>
      <c r="L425" s="18" t="n">
        <v>1</v>
      </c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3">
        <f>SUMPRODUCT(M425:X425,$M$2:$X$2)*$K425*$L425</f>
        <v/>
      </c>
      <c r="Z425" s="14">
        <f>SUM(M425:X425)</f>
        <v/>
      </c>
      <c r="AA425" s="13">
        <f>SUMPRODUCT(M425:X425,$M$3:$X$3)*$K425*$L425</f>
        <v/>
      </c>
      <c r="AB425" s="13">
        <f>SUMPRODUCT(M425:X425,$M$4:$X$4)*$K425*$L425</f>
        <v/>
      </c>
      <c r="AC425" s="15">
        <f>SUMPRODUCT(M425:X425,$M$5:$X$5)*$K425*$L425</f>
        <v/>
      </c>
      <c r="AD425" s="15">
        <f>SUMPRODUCT(M425:X425,$M$6:$X$6)*$K425*$L425</f>
        <v/>
      </c>
      <c r="AE425" s="19" t="n"/>
    </row>
    <row r="426">
      <c r="A426" s="9" t="n">
        <v>691946</v>
      </c>
      <c r="B426" s="9" t="inlineStr">
        <is>
          <t>George Klassen</t>
        </is>
      </c>
      <c r="C426" s="9" t="inlineStr">
        <is>
          <t>LAA</t>
        </is>
      </c>
      <c r="D426" s="9" t="n">
        <v>25</v>
      </c>
      <c r="E426" s="17" t="inlineStr">
        <is>
          <t>R</t>
        </is>
      </c>
      <c r="F426" s="17" t="n"/>
      <c r="G426" s="9" t="n">
        <v>32</v>
      </c>
      <c r="H426" s="9" t="n">
        <v>32</v>
      </c>
      <c r="I426" s="9" t="inlineStr">
        <is>
          <t>Bullpen Depth Arm</t>
        </is>
      </c>
      <c r="J426" s="17" t="inlineStr">
        <is>
          <t>Opening Day</t>
        </is>
      </c>
      <c r="K426" s="11">
        <f>IFERROR(INDEX(Roles!$B$17:$B$20,MATCH(J426,Roles!$A$17:$A$20,0)),1)</f>
        <v/>
      </c>
      <c r="L426" s="18" t="n">
        <v>1</v>
      </c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3">
        <f>SUMPRODUCT(M426:X426,$M$2:$X$2)*$K426*$L426</f>
        <v/>
      </c>
      <c r="Z426" s="14">
        <f>SUM(M426:X426)</f>
        <v/>
      </c>
      <c r="AA426" s="13">
        <f>SUMPRODUCT(M426:X426,$M$3:$X$3)*$K426*$L426</f>
        <v/>
      </c>
      <c r="AB426" s="13">
        <f>SUMPRODUCT(M426:X426,$M$4:$X$4)*$K426*$L426</f>
        <v/>
      </c>
      <c r="AC426" s="15">
        <f>SUMPRODUCT(M426:X426,$M$5:$X$5)*$K426*$L426</f>
        <v/>
      </c>
      <c r="AD426" s="15">
        <f>SUMPRODUCT(M426:X426,$M$6:$X$6)*$K426*$L426</f>
        <v/>
      </c>
      <c r="AE426" s="19" t="n"/>
    </row>
    <row r="427">
      <c r="A427" s="9" t="n">
        <v>642701</v>
      </c>
      <c r="B427" s="9" t="inlineStr">
        <is>
          <t>Dennis Santana</t>
        </is>
      </c>
      <c r="C427" s="9" t="inlineStr">
        <is>
          <t>PIT</t>
        </is>
      </c>
      <c r="D427" s="9" t="n">
        <v>31</v>
      </c>
      <c r="E427" s="17" t="inlineStr">
        <is>
          <t>R</t>
        </is>
      </c>
      <c r="F427" s="17" t="n"/>
      <c r="G427" s="9" t="n">
        <v>124</v>
      </c>
      <c r="H427" s="9" t="n">
        <v>986</v>
      </c>
      <c r="I427" s="9" t="inlineStr">
        <is>
          <t>Middle Relief</t>
        </is>
      </c>
      <c r="J427" s="17" t="inlineStr">
        <is>
          <t>Opening Day</t>
        </is>
      </c>
      <c r="K427" s="11">
        <f>IFERROR(INDEX(Roles!$B$17:$B$20,MATCH(J427,Roles!$A$17:$A$20,0)),1)</f>
        <v/>
      </c>
      <c r="L427" s="18" t="n">
        <v>1</v>
      </c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3">
        <f>SUMPRODUCT(M427:X427,$M$2:$X$2)*$K427*$L427</f>
        <v/>
      </c>
      <c r="Z427" s="14">
        <f>SUM(M427:X427)</f>
        <v/>
      </c>
      <c r="AA427" s="13">
        <f>SUMPRODUCT(M427:X427,$M$3:$X$3)*$K427*$L427</f>
        <v/>
      </c>
      <c r="AB427" s="13">
        <f>SUMPRODUCT(M427:X427,$M$4:$X$4)*$K427*$L427</f>
        <v/>
      </c>
      <c r="AC427" s="15">
        <f>SUMPRODUCT(M427:X427,$M$5:$X$5)*$K427*$L427</f>
        <v/>
      </c>
      <c r="AD427" s="15">
        <f>SUMPRODUCT(M427:X427,$M$6:$X$6)*$K427*$L427</f>
        <v/>
      </c>
      <c r="AE427" s="19" t="n"/>
    </row>
    <row r="428">
      <c r="A428" s="9" t="n">
        <v>572143</v>
      </c>
      <c r="B428" s="9" t="inlineStr">
        <is>
          <t>Burch Smith</t>
        </is>
      </c>
      <c r="C428" s="9" t="inlineStr">
        <is>
          <t>DET</t>
        </is>
      </c>
      <c r="D428" s="9" t="n">
        <v>37</v>
      </c>
      <c r="E428" s="17" t="inlineStr">
        <is>
          <t>R</t>
        </is>
      </c>
      <c r="F428" s="17" t="n"/>
      <c r="G428" s="9" t="n">
        <v>73</v>
      </c>
      <c r="H428" s="9" t="n">
        <v>314</v>
      </c>
      <c r="I428" s="9" t="inlineStr">
        <is>
          <t>Middle Relief</t>
        </is>
      </c>
      <c r="J428" s="17" t="inlineStr">
        <is>
          <t>Opening Day</t>
        </is>
      </c>
      <c r="K428" s="11">
        <f>IFERROR(INDEX(Roles!$B$17:$B$20,MATCH(J428,Roles!$A$17:$A$20,0)),1)</f>
        <v/>
      </c>
      <c r="L428" s="18" t="n">
        <v>1</v>
      </c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3">
        <f>SUMPRODUCT(M428:X428,$M$2:$X$2)*$K428*$L428</f>
        <v/>
      </c>
      <c r="Z428" s="14">
        <f>SUM(M428:X428)</f>
        <v/>
      </c>
      <c r="AA428" s="13">
        <f>SUMPRODUCT(M428:X428,$M$3:$X$3)*$K428*$L428</f>
        <v/>
      </c>
      <c r="AB428" s="13">
        <f>SUMPRODUCT(M428:X428,$M$4:$X$4)*$K428*$L428</f>
        <v/>
      </c>
      <c r="AC428" s="15">
        <f>SUMPRODUCT(M428:X428,$M$5:$X$5)*$K428*$L428</f>
        <v/>
      </c>
      <c r="AD428" s="15">
        <f>SUMPRODUCT(M428:X428,$M$6:$X$6)*$K428*$L428</f>
        <v/>
      </c>
      <c r="AE428" s="19" t="n"/>
    </row>
    <row r="429">
      <c r="A429" s="9" t="n">
        <v>669371</v>
      </c>
      <c r="B429" s="9" t="inlineStr">
        <is>
          <t>Cole Henry</t>
        </is>
      </c>
      <c r="C429" s="9" t="inlineStr">
        <is>
          <t>WSH</t>
        </is>
      </c>
      <c r="D429" s="9" t="n">
        <v>27</v>
      </c>
      <c r="E429" s="17" t="inlineStr">
        <is>
          <t>R</t>
        </is>
      </c>
      <c r="F429" s="17" t="n"/>
      <c r="G429" s="9" t="n">
        <v>61</v>
      </c>
      <c r="H429" s="9" t="n">
        <v>302</v>
      </c>
      <c r="I429" s="9" t="inlineStr">
        <is>
          <t>Bullpen Depth Arm</t>
        </is>
      </c>
      <c r="J429" s="17" t="inlineStr">
        <is>
          <t>Opening Day</t>
        </is>
      </c>
      <c r="K429" s="11">
        <f>IFERROR(INDEX(Roles!$B$17:$B$20,MATCH(J429,Roles!$A$17:$A$20,0)),1)</f>
        <v/>
      </c>
      <c r="L429" s="18" t="n">
        <v>1</v>
      </c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3">
        <f>SUMPRODUCT(M429:X429,$M$2:$X$2)*$K429*$L429</f>
        <v/>
      </c>
      <c r="Z429" s="14">
        <f>SUM(M429:X429)</f>
        <v/>
      </c>
      <c r="AA429" s="13">
        <f>SUMPRODUCT(M429:X429,$M$3:$X$3)*$K429*$L429</f>
        <v/>
      </c>
      <c r="AB429" s="13">
        <f>SUMPRODUCT(M429:X429,$M$4:$X$4)*$K429*$L429</f>
        <v/>
      </c>
      <c r="AC429" s="15">
        <f>SUMPRODUCT(M429:X429,$M$5:$X$5)*$K429*$L429</f>
        <v/>
      </c>
      <c r="AD429" s="15">
        <f>SUMPRODUCT(M429:X429,$M$6:$X$6)*$K429*$L429</f>
        <v/>
      </c>
      <c r="AE429" s="19" t="n"/>
    </row>
    <row r="430">
      <c r="A430" s="9" t="n">
        <v>518876</v>
      </c>
      <c r="B430" s="9" t="inlineStr">
        <is>
          <t>Merrill Kelly</t>
        </is>
      </c>
      <c r="C430" s="9" t="inlineStr">
        <is>
          <t>ARI</t>
        </is>
      </c>
      <c r="D430" s="9" t="n">
        <v>38</v>
      </c>
      <c r="E430" s="17" t="inlineStr">
        <is>
          <t>R</t>
        </is>
      </c>
      <c r="F430" s="17" t="n"/>
      <c r="G430" s="9" t="n">
        <v>259</v>
      </c>
      <c r="H430" s="9" t="n">
        <v>2833</v>
      </c>
      <c r="I430" s="9" t="inlineStr">
        <is>
          <t>Mid-Rotation Starter (SP2-3)</t>
        </is>
      </c>
      <c r="J430" s="17" t="inlineStr">
        <is>
          <t>Opening Day</t>
        </is>
      </c>
      <c r="K430" s="11">
        <f>IFERROR(INDEX(Roles!$B$17:$B$20,MATCH(J430,Roles!$A$17:$A$20,0)),1)</f>
        <v/>
      </c>
      <c r="L430" s="18" t="n">
        <v>1</v>
      </c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3">
        <f>SUMPRODUCT(M430:X430,$M$2:$X$2)*$K430*$L430</f>
        <v/>
      </c>
      <c r="Z430" s="14">
        <f>SUM(M430:X430)</f>
        <v/>
      </c>
      <c r="AA430" s="13">
        <f>SUMPRODUCT(M430:X430,$M$3:$X$3)*$K430*$L430</f>
        <v/>
      </c>
      <c r="AB430" s="13">
        <f>SUMPRODUCT(M430:X430,$M$4:$X$4)*$K430*$L430</f>
        <v/>
      </c>
      <c r="AC430" s="15">
        <f>SUMPRODUCT(M430:X430,$M$5:$X$5)*$K430*$L430</f>
        <v/>
      </c>
      <c r="AD430" s="15">
        <f>SUMPRODUCT(M430:X430,$M$6:$X$6)*$K430*$L430</f>
        <v/>
      </c>
      <c r="AE430" s="19" t="n"/>
    </row>
    <row r="431">
      <c r="A431" s="9" t="n">
        <v>690382</v>
      </c>
      <c r="B431" s="9" t="inlineStr">
        <is>
          <t>Michael Darrell-Hicks</t>
        </is>
      </c>
      <c r="C431" s="9" t="inlineStr">
        <is>
          <t>PIT</t>
        </is>
      </c>
      <c r="D431" s="9" t="n">
        <v>29</v>
      </c>
      <c r="E431" s="17" t="inlineStr">
        <is>
          <t>R</t>
        </is>
      </c>
      <c r="F431" s="17" t="n"/>
      <c r="G431" s="9" t="n">
        <v>43</v>
      </c>
      <c r="H431" s="9" t="n">
        <v>43</v>
      </c>
      <c r="I431" s="9" t="inlineStr">
        <is>
          <t>Bullpen Depth Arm</t>
        </is>
      </c>
      <c r="J431" s="17" t="inlineStr">
        <is>
          <t>Opening Day</t>
        </is>
      </c>
      <c r="K431" s="11">
        <f>IFERROR(INDEX(Roles!$B$17:$B$20,MATCH(J431,Roles!$A$17:$A$20,0)),1)</f>
        <v/>
      </c>
      <c r="L431" s="18" t="n">
        <v>1</v>
      </c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3">
        <f>SUMPRODUCT(M431:X431,$M$2:$X$2)*$K431*$L431</f>
        <v/>
      </c>
      <c r="Z431" s="14">
        <f>SUM(M431:X431)</f>
        <v/>
      </c>
      <c r="AA431" s="13">
        <f>SUMPRODUCT(M431:X431,$M$3:$X$3)*$K431*$L431</f>
        <v/>
      </c>
      <c r="AB431" s="13">
        <f>SUMPRODUCT(M431:X431,$M$4:$X$4)*$K431*$L431</f>
        <v/>
      </c>
      <c r="AC431" s="15">
        <f>SUMPRODUCT(M431:X431,$M$5:$X$5)*$K431*$L431</f>
        <v/>
      </c>
      <c r="AD431" s="15">
        <f>SUMPRODUCT(M431:X431,$M$6:$X$6)*$K431*$L431</f>
        <v/>
      </c>
      <c r="AE431" s="19" t="n"/>
    </row>
    <row r="432">
      <c r="A432" s="9" t="n">
        <v>672782</v>
      </c>
      <c r="B432" s="9" t="inlineStr">
        <is>
          <t>Yoendrys Gómez</t>
        </is>
      </c>
      <c r="C432" s="9" t="inlineStr">
        <is>
          <t>MIN</t>
        </is>
      </c>
      <c r="D432" s="9" t="n">
        <v>27</v>
      </c>
      <c r="E432" s="17" t="inlineStr">
        <is>
          <t>R</t>
        </is>
      </c>
      <c r="F432" s="17" t="n"/>
      <c r="G432" s="9" t="n">
        <v>137</v>
      </c>
      <c r="H432" s="9" t="n">
        <v>476</v>
      </c>
      <c r="I432" s="9" t="inlineStr">
        <is>
          <t>Bullpen Depth Arm</t>
        </is>
      </c>
      <c r="J432" s="17" t="inlineStr">
        <is>
          <t>Opening Day</t>
        </is>
      </c>
      <c r="K432" s="11">
        <f>IFERROR(INDEX(Roles!$B$17:$B$20,MATCH(J432,Roles!$A$17:$A$20,0)),1)</f>
        <v/>
      </c>
      <c r="L432" s="18" t="n">
        <v>1</v>
      </c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3">
        <f>SUMPRODUCT(M432:X432,$M$2:$X$2)*$K432*$L432</f>
        <v/>
      </c>
      <c r="Z432" s="14">
        <f>SUM(M432:X432)</f>
        <v/>
      </c>
      <c r="AA432" s="13">
        <f>SUMPRODUCT(M432:X432,$M$3:$X$3)*$K432*$L432</f>
        <v/>
      </c>
      <c r="AB432" s="13">
        <f>SUMPRODUCT(M432:X432,$M$4:$X$4)*$K432*$L432</f>
        <v/>
      </c>
      <c r="AC432" s="15">
        <f>SUMPRODUCT(M432:X432,$M$5:$X$5)*$K432*$L432</f>
        <v/>
      </c>
      <c r="AD432" s="15">
        <f>SUMPRODUCT(M432:X432,$M$6:$X$6)*$K432*$L432</f>
        <v/>
      </c>
      <c r="AE432" s="19" t="n"/>
    </row>
    <row r="433">
      <c r="A433" s="9" t="n">
        <v>666277</v>
      </c>
      <c r="B433" s="9" t="inlineStr">
        <is>
          <t>George Soriano</t>
        </is>
      </c>
      <c r="C433" s="9" t="inlineStr">
        <is>
          <t>STL</t>
        </is>
      </c>
      <c r="D433" s="9" t="n">
        <v>28</v>
      </c>
      <c r="E433" s="17" t="inlineStr">
        <is>
          <t>R</t>
        </is>
      </c>
      <c r="F433" s="17" t="n"/>
      <c r="G433" s="9" t="n">
        <v>110</v>
      </c>
      <c r="H433" s="9" t="n">
        <v>642</v>
      </c>
      <c r="I433" s="9" t="inlineStr">
        <is>
          <t>Bullpen Depth Arm</t>
        </is>
      </c>
      <c r="J433" s="17" t="inlineStr">
        <is>
          <t>Opening Day</t>
        </is>
      </c>
      <c r="K433" s="11">
        <f>IFERROR(INDEX(Roles!$B$17:$B$20,MATCH(J433,Roles!$A$17:$A$20,0)),1)</f>
        <v/>
      </c>
      <c r="L433" s="18" t="n">
        <v>1</v>
      </c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3">
        <f>SUMPRODUCT(M433:X433,$M$2:$X$2)*$K433*$L433</f>
        <v/>
      </c>
      <c r="Z433" s="14">
        <f>SUM(M433:X433)</f>
        <v/>
      </c>
      <c r="AA433" s="13">
        <f>SUMPRODUCT(M433:X433,$M$3:$X$3)*$K433*$L433</f>
        <v/>
      </c>
      <c r="AB433" s="13">
        <f>SUMPRODUCT(M433:X433,$M$4:$X$4)*$K433*$L433</f>
        <v/>
      </c>
      <c r="AC433" s="15">
        <f>SUMPRODUCT(M433:X433,$M$5:$X$5)*$K433*$L433</f>
        <v/>
      </c>
      <c r="AD433" s="15">
        <f>SUMPRODUCT(M433:X433,$M$6:$X$6)*$K433*$L433</f>
        <v/>
      </c>
      <c r="AE433" s="19" t="n"/>
    </row>
    <row r="434">
      <c r="A434" s="9" t="n">
        <v>641778</v>
      </c>
      <c r="B434" s="9" t="inlineStr">
        <is>
          <t>Eric Lauer</t>
        </is>
      </c>
      <c r="C434" s="9" t="inlineStr">
        <is>
          <t>LAD</t>
        </is>
      </c>
      <c r="D434" s="9" t="n">
        <v>32</v>
      </c>
      <c r="E434" s="17" t="inlineStr">
        <is>
          <t>L</t>
        </is>
      </c>
      <c r="F434" s="17" t="n"/>
      <c r="G434" s="9" t="n">
        <v>224</v>
      </c>
      <c r="H434" s="9" t="n">
        <v>1522</v>
      </c>
      <c r="I434" s="9" t="inlineStr">
        <is>
          <t>End-of-Rotation Starter (SP4-5)</t>
        </is>
      </c>
      <c r="J434" s="17" t="inlineStr">
        <is>
          <t>Opening Day</t>
        </is>
      </c>
      <c r="K434" s="11">
        <f>IFERROR(INDEX(Roles!$B$17:$B$20,MATCH(J434,Roles!$A$17:$A$20,0)),1)</f>
        <v/>
      </c>
      <c r="L434" s="18" t="n">
        <v>1</v>
      </c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3">
        <f>SUMPRODUCT(M434:X434,$M$2:$X$2)*$K434*$L434</f>
        <v/>
      </c>
      <c r="Z434" s="14">
        <f>SUM(M434:X434)</f>
        <v/>
      </c>
      <c r="AA434" s="13">
        <f>SUMPRODUCT(M434:X434,$M$3:$X$3)*$K434*$L434</f>
        <v/>
      </c>
      <c r="AB434" s="13">
        <f>SUMPRODUCT(M434:X434,$M$4:$X$4)*$K434*$L434</f>
        <v/>
      </c>
      <c r="AC434" s="15">
        <f>SUMPRODUCT(M434:X434,$M$5:$X$5)*$K434*$L434</f>
        <v/>
      </c>
      <c r="AD434" s="15">
        <f>SUMPRODUCT(M434:X434,$M$6:$X$6)*$K434*$L434</f>
        <v/>
      </c>
      <c r="AE434" s="19" t="n"/>
    </row>
    <row r="435">
      <c r="A435" s="9" t="n">
        <v>685068</v>
      </c>
      <c r="B435" s="9" t="inlineStr">
        <is>
          <t>Carson Ragsdale</t>
        </is>
      </c>
      <c r="C435" s="9" t="inlineStr">
        <is>
          <t>BAL</t>
        </is>
      </c>
      <c r="D435" s="9" t="n">
        <v>29</v>
      </c>
      <c r="E435" s="17" t="inlineStr">
        <is>
          <t>R</t>
        </is>
      </c>
      <c r="F435" s="17" t="n"/>
      <c r="G435" s="9" t="n">
        <v>25</v>
      </c>
      <c r="H435" s="9" t="n">
        <v>25</v>
      </c>
      <c r="I435" s="9" t="inlineStr">
        <is>
          <t>Bullpen Depth Arm</t>
        </is>
      </c>
      <c r="J435" s="17" t="inlineStr">
        <is>
          <t>Opening Day</t>
        </is>
      </c>
      <c r="K435" s="11">
        <f>IFERROR(INDEX(Roles!$B$17:$B$20,MATCH(J435,Roles!$A$17:$A$20,0)),1)</f>
        <v/>
      </c>
      <c r="L435" s="18" t="n">
        <v>1</v>
      </c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3">
        <f>SUMPRODUCT(M435:X435,$M$2:$X$2)*$K435*$L435</f>
        <v/>
      </c>
      <c r="Z435" s="14">
        <f>SUM(M435:X435)</f>
        <v/>
      </c>
      <c r="AA435" s="13">
        <f>SUMPRODUCT(M435:X435,$M$3:$X$3)*$K435*$L435</f>
        <v/>
      </c>
      <c r="AB435" s="13">
        <f>SUMPRODUCT(M435:X435,$M$4:$X$4)*$K435*$L435</f>
        <v/>
      </c>
      <c r="AC435" s="15">
        <f>SUMPRODUCT(M435:X435,$M$5:$X$5)*$K435*$L435</f>
        <v/>
      </c>
      <c r="AD435" s="15">
        <f>SUMPRODUCT(M435:X435,$M$6:$X$6)*$K435*$L435</f>
        <v/>
      </c>
      <c r="AE435" s="19" t="n"/>
    </row>
    <row r="436">
      <c r="A436" s="9" t="n">
        <v>663462</v>
      </c>
      <c r="B436" s="9" t="inlineStr">
        <is>
          <t>Isaiah Campbell</t>
        </is>
      </c>
      <c r="C436" s="9" t="inlineStr">
        <is>
          <t>BOS</t>
        </is>
      </c>
      <c r="D436" s="9" t="n">
        <v>29</v>
      </c>
      <c r="E436" s="17" t="inlineStr">
        <is>
          <t>R</t>
        </is>
      </c>
      <c r="F436" s="17" t="n"/>
      <c r="G436" s="9" t="n">
        <v>35</v>
      </c>
      <c r="H436" s="9" t="n">
        <v>192</v>
      </c>
      <c r="I436" s="9" t="inlineStr">
        <is>
          <t>Bullpen Depth Arm</t>
        </is>
      </c>
      <c r="J436" s="17" t="inlineStr">
        <is>
          <t>Opening Day</t>
        </is>
      </c>
      <c r="K436" s="11">
        <f>IFERROR(INDEX(Roles!$B$17:$B$20,MATCH(J436,Roles!$A$17:$A$20,0)),1)</f>
        <v/>
      </c>
      <c r="L436" s="18" t="n">
        <v>1</v>
      </c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3">
        <f>SUMPRODUCT(M436:X436,$M$2:$X$2)*$K436*$L436</f>
        <v/>
      </c>
      <c r="Z436" s="14">
        <f>SUM(M436:X436)</f>
        <v/>
      </c>
      <c r="AA436" s="13">
        <f>SUMPRODUCT(M436:X436,$M$3:$X$3)*$K436*$L436</f>
        <v/>
      </c>
      <c r="AB436" s="13">
        <f>SUMPRODUCT(M436:X436,$M$4:$X$4)*$K436*$L436</f>
        <v/>
      </c>
      <c r="AC436" s="15">
        <f>SUMPRODUCT(M436:X436,$M$5:$X$5)*$K436*$L436</f>
        <v/>
      </c>
      <c r="AD436" s="15">
        <f>SUMPRODUCT(M436:X436,$M$6:$X$6)*$K436*$L436</f>
        <v/>
      </c>
      <c r="AE436" s="19" t="n"/>
    </row>
    <row r="437">
      <c r="A437" s="9" t="n">
        <v>643338</v>
      </c>
      <c r="B437" s="9" t="inlineStr">
        <is>
          <t>Chad Green</t>
        </is>
      </c>
      <c r="C437" s="9" t="inlineStr">
        <is>
          <t>TOR</t>
        </is>
      </c>
      <c r="D437" s="9" t="n">
        <v>36</v>
      </c>
      <c r="E437" s="17" t="inlineStr">
        <is>
          <t>R</t>
        </is>
      </c>
      <c r="F437" s="17" t="n"/>
      <c r="G437" s="9" t="n">
        <v>190</v>
      </c>
      <c r="H437" s="9" t="n">
        <v>514</v>
      </c>
      <c r="I437" s="9" t="inlineStr">
        <is>
          <t>Bullpen Depth Arm</t>
        </is>
      </c>
      <c r="J437" s="17" t="inlineStr">
        <is>
          <t>Opening Day</t>
        </is>
      </c>
      <c r="K437" s="11">
        <f>IFERROR(INDEX(Roles!$B$17:$B$20,MATCH(J437,Roles!$A$17:$A$20,0)),1)</f>
        <v/>
      </c>
      <c r="L437" s="18" t="n">
        <v>1</v>
      </c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3">
        <f>SUMPRODUCT(M437:X437,$M$2:$X$2)*$K437*$L437</f>
        <v/>
      </c>
      <c r="Z437" s="14">
        <f>SUM(M437:X437)</f>
        <v/>
      </c>
      <c r="AA437" s="13">
        <f>SUMPRODUCT(M437:X437,$M$3:$X$3)*$K437*$L437</f>
        <v/>
      </c>
      <c r="AB437" s="13">
        <f>SUMPRODUCT(M437:X437,$M$4:$X$4)*$K437*$L437</f>
        <v/>
      </c>
      <c r="AC437" s="15">
        <f>SUMPRODUCT(M437:X437,$M$5:$X$5)*$K437*$L437</f>
        <v/>
      </c>
      <c r="AD437" s="15">
        <f>SUMPRODUCT(M437:X437,$M$6:$X$6)*$K437*$L437</f>
        <v/>
      </c>
      <c r="AE437" s="19" t="n"/>
    </row>
    <row r="438">
      <c r="A438" s="9" t="n">
        <v>663546</v>
      </c>
      <c r="B438" s="9" t="inlineStr">
        <is>
          <t>Sean Hjelle</t>
        </is>
      </c>
      <c r="C438" s="9" t="inlineStr">
        <is>
          <t>SF</t>
        </is>
      </c>
      <c r="D438" s="9" t="n">
        <v>30</v>
      </c>
      <c r="E438" s="17" t="inlineStr">
        <is>
          <t>R</t>
        </is>
      </c>
      <c r="F438" s="17" t="n"/>
      <c r="G438" s="9" t="n">
        <v>73</v>
      </c>
      <c r="H438" s="9" t="n">
        <v>664</v>
      </c>
      <c r="I438" s="9" t="inlineStr">
        <is>
          <t>Middle Relief</t>
        </is>
      </c>
      <c r="J438" s="17" t="inlineStr">
        <is>
          <t>Opening Day</t>
        </is>
      </c>
      <c r="K438" s="11">
        <f>IFERROR(INDEX(Roles!$B$17:$B$20,MATCH(J438,Roles!$A$17:$A$20,0)),1)</f>
        <v/>
      </c>
      <c r="L438" s="18" t="n">
        <v>1</v>
      </c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3">
        <f>SUMPRODUCT(M438:X438,$M$2:$X$2)*$K438*$L438</f>
        <v/>
      </c>
      <c r="Z438" s="14">
        <f>SUM(M438:X438)</f>
        <v/>
      </c>
      <c r="AA438" s="13">
        <f>SUMPRODUCT(M438:X438,$M$3:$X$3)*$K438*$L438</f>
        <v/>
      </c>
      <c r="AB438" s="13">
        <f>SUMPRODUCT(M438:X438,$M$4:$X$4)*$K438*$L438</f>
        <v/>
      </c>
      <c r="AC438" s="15">
        <f>SUMPRODUCT(M438:X438,$M$5:$X$5)*$K438*$L438</f>
        <v/>
      </c>
      <c r="AD438" s="15">
        <f>SUMPRODUCT(M438:X438,$M$6:$X$6)*$K438*$L438</f>
        <v/>
      </c>
      <c r="AE438" s="19" t="n"/>
    </row>
    <row r="439">
      <c r="A439" s="9" t="n">
        <v>669684</v>
      </c>
      <c r="B439" s="9" t="inlineStr">
        <is>
          <t>Chris Murphy</t>
        </is>
      </c>
      <c r="C439" s="9" t="inlineStr">
        <is>
          <t>CWS</t>
        </is>
      </c>
      <c r="D439" s="9" t="n">
        <v>29</v>
      </c>
      <c r="E439" s="17" t="inlineStr">
        <is>
          <t>L</t>
        </is>
      </c>
      <c r="F439" s="17" t="n"/>
      <c r="G439" s="9" t="n">
        <v>46</v>
      </c>
      <c r="H439" s="9" t="n">
        <v>406</v>
      </c>
      <c r="I439" s="9" t="inlineStr">
        <is>
          <t>Bullpen Depth Arm</t>
        </is>
      </c>
      <c r="J439" s="17" t="inlineStr">
        <is>
          <t>Opening Day</t>
        </is>
      </c>
      <c r="K439" s="11">
        <f>IFERROR(INDEX(Roles!$B$17:$B$20,MATCH(J439,Roles!$A$17:$A$20,0)),1)</f>
        <v/>
      </c>
      <c r="L439" s="18" t="n">
        <v>1</v>
      </c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3">
        <f>SUMPRODUCT(M439:X439,$M$2:$X$2)*$K439*$L439</f>
        <v/>
      </c>
      <c r="Z439" s="14">
        <f>SUM(M439:X439)</f>
        <v/>
      </c>
      <c r="AA439" s="13">
        <f>SUMPRODUCT(M439:X439,$M$3:$X$3)*$K439*$L439</f>
        <v/>
      </c>
      <c r="AB439" s="13">
        <f>SUMPRODUCT(M439:X439,$M$4:$X$4)*$K439*$L439</f>
        <v/>
      </c>
      <c r="AC439" s="15">
        <f>SUMPRODUCT(M439:X439,$M$5:$X$5)*$K439*$L439</f>
        <v/>
      </c>
      <c r="AD439" s="15">
        <f>SUMPRODUCT(M439:X439,$M$6:$X$6)*$K439*$L439</f>
        <v/>
      </c>
      <c r="AE439" s="19" t="n"/>
    </row>
    <row r="440">
      <c r="A440" s="9" t="n">
        <v>663767</v>
      </c>
      <c r="B440" s="9" t="inlineStr">
        <is>
          <t>Chase Shugart</t>
        </is>
      </c>
      <c r="C440" s="9" t="inlineStr">
        <is>
          <t>PHI</t>
        </is>
      </c>
      <c r="D440" s="9" t="n">
        <v>30</v>
      </c>
      <c r="E440" s="17" t="inlineStr">
        <is>
          <t>R</t>
        </is>
      </c>
      <c r="F440" s="17" t="n"/>
      <c r="G440" s="9" t="n">
        <v>79</v>
      </c>
      <c r="H440" s="9" t="n">
        <v>296</v>
      </c>
      <c r="I440" s="9" t="inlineStr">
        <is>
          <t>Bullpen Depth Arm</t>
        </is>
      </c>
      <c r="J440" s="17" t="inlineStr">
        <is>
          <t>Opening Day</t>
        </is>
      </c>
      <c r="K440" s="11">
        <f>IFERROR(INDEX(Roles!$B$17:$B$20,MATCH(J440,Roles!$A$17:$A$20,0)),1)</f>
        <v/>
      </c>
      <c r="L440" s="18" t="n">
        <v>1</v>
      </c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3">
        <f>SUMPRODUCT(M440:X440,$M$2:$X$2)*$K440*$L440</f>
        <v/>
      </c>
      <c r="Z440" s="14">
        <f>SUM(M440:X440)</f>
        <v/>
      </c>
      <c r="AA440" s="13">
        <f>SUMPRODUCT(M440:X440,$M$3:$X$3)*$K440*$L440</f>
        <v/>
      </c>
      <c r="AB440" s="13">
        <f>SUMPRODUCT(M440:X440,$M$4:$X$4)*$K440*$L440</f>
        <v/>
      </c>
      <c r="AC440" s="15">
        <f>SUMPRODUCT(M440:X440,$M$5:$X$5)*$K440*$L440</f>
        <v/>
      </c>
      <c r="AD440" s="15">
        <f>SUMPRODUCT(M440:X440,$M$6:$X$6)*$K440*$L440</f>
        <v/>
      </c>
      <c r="AE440" s="19" t="n"/>
    </row>
    <row r="441">
      <c r="A441" s="9" t="n">
        <v>675989</v>
      </c>
      <c r="B441" s="9" t="inlineStr">
        <is>
          <t>Cody Bolton</t>
        </is>
      </c>
      <c r="C441" s="9" t="inlineStr">
        <is>
          <t>HOU</t>
        </is>
      </c>
      <c r="D441" s="9" t="n">
        <v>29</v>
      </c>
      <c r="E441" s="17" t="inlineStr">
        <is>
          <t>R</t>
        </is>
      </c>
      <c r="F441" s="17" t="n"/>
      <c r="G441" s="9" t="n">
        <v>95</v>
      </c>
      <c r="H441" s="9" t="n">
        <v>295</v>
      </c>
      <c r="I441" s="9" t="inlineStr">
        <is>
          <t>Bullpen Depth Arm</t>
        </is>
      </c>
      <c r="J441" s="17" t="inlineStr">
        <is>
          <t>Opening Day</t>
        </is>
      </c>
      <c r="K441" s="11">
        <f>IFERROR(INDEX(Roles!$B$17:$B$20,MATCH(J441,Roles!$A$17:$A$20,0)),1)</f>
        <v/>
      </c>
      <c r="L441" s="18" t="n">
        <v>1</v>
      </c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3">
        <f>SUMPRODUCT(M441:X441,$M$2:$X$2)*$K441*$L441</f>
        <v/>
      </c>
      <c r="Z441" s="14">
        <f>SUM(M441:X441)</f>
        <v/>
      </c>
      <c r="AA441" s="13">
        <f>SUMPRODUCT(M441:X441,$M$3:$X$3)*$K441*$L441</f>
        <v/>
      </c>
      <c r="AB441" s="13">
        <f>SUMPRODUCT(M441:X441,$M$4:$X$4)*$K441*$L441</f>
        <v/>
      </c>
      <c r="AC441" s="15">
        <f>SUMPRODUCT(M441:X441,$M$5:$X$5)*$K441*$L441</f>
        <v/>
      </c>
      <c r="AD441" s="15">
        <f>SUMPRODUCT(M441:X441,$M$6:$X$6)*$K441*$L441</f>
        <v/>
      </c>
      <c r="AE441" s="19" t="n"/>
    </row>
    <row r="442">
      <c r="A442" s="9" t="n">
        <v>663804</v>
      </c>
      <c r="B442" s="9" t="inlineStr">
        <is>
          <t>Jackson Kowar</t>
        </is>
      </c>
      <c r="C442" s="9" t="inlineStr">
        <is>
          <t>SEA</t>
        </is>
      </c>
      <c r="D442" s="9" t="n">
        <v>30</v>
      </c>
      <c r="E442" s="17" t="inlineStr">
        <is>
          <t>R</t>
        </is>
      </c>
      <c r="F442" s="17" t="n"/>
      <c r="G442" s="9" t="n">
        <v>71</v>
      </c>
      <c r="H442" s="9" t="n">
        <v>290</v>
      </c>
      <c r="I442" s="9" t="inlineStr">
        <is>
          <t>Bullpen Depth Arm</t>
        </is>
      </c>
      <c r="J442" s="17" t="inlineStr">
        <is>
          <t>Opening Day</t>
        </is>
      </c>
      <c r="K442" s="11">
        <f>IFERROR(INDEX(Roles!$B$17:$B$20,MATCH(J442,Roles!$A$17:$A$20,0)),1)</f>
        <v/>
      </c>
      <c r="L442" s="18" t="n">
        <v>1</v>
      </c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3">
        <f>SUMPRODUCT(M442:X442,$M$2:$X$2)*$K442*$L442</f>
        <v/>
      </c>
      <c r="Z442" s="14">
        <f>SUM(M442:X442)</f>
        <v/>
      </c>
      <c r="AA442" s="13">
        <f>SUMPRODUCT(M442:X442,$M$3:$X$3)*$K442*$L442</f>
        <v/>
      </c>
      <c r="AB442" s="13">
        <f>SUMPRODUCT(M442:X442,$M$4:$X$4)*$K442*$L442</f>
        <v/>
      </c>
      <c r="AC442" s="15">
        <f>SUMPRODUCT(M442:X442,$M$5:$X$5)*$K442*$L442</f>
        <v/>
      </c>
      <c r="AD442" s="15">
        <f>SUMPRODUCT(M442:X442,$M$6:$X$6)*$K442*$L442</f>
        <v/>
      </c>
      <c r="AE442" s="19" t="n"/>
    </row>
    <row r="443">
      <c r="A443" s="9" t="n">
        <v>642546</v>
      </c>
      <c r="B443" s="9" t="inlineStr">
        <is>
          <t>Jonathan Hernández</t>
        </is>
      </c>
      <c r="C443" s="9" t="inlineStr">
        <is>
          <t>LAD</t>
        </is>
      </c>
      <c r="D443" s="9" t="n">
        <v>30</v>
      </c>
      <c r="E443" s="17" t="inlineStr">
        <is>
          <t>R</t>
        </is>
      </c>
      <c r="F443" s="17" t="n"/>
      <c r="G443" s="9" t="n">
        <v>40</v>
      </c>
      <c r="H443" s="9" t="n">
        <v>510</v>
      </c>
      <c r="I443" s="9" t="inlineStr">
        <is>
          <t>Bullpen Depth Arm</t>
        </is>
      </c>
      <c r="J443" s="17" t="inlineStr">
        <is>
          <t>Opening Day</t>
        </is>
      </c>
      <c r="K443" s="11">
        <f>IFERROR(INDEX(Roles!$B$17:$B$20,MATCH(J443,Roles!$A$17:$A$20,0)),1)</f>
        <v/>
      </c>
      <c r="L443" s="18" t="n">
        <v>1</v>
      </c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3">
        <f>SUMPRODUCT(M443:X443,$M$2:$X$2)*$K443*$L443</f>
        <v/>
      </c>
      <c r="Z443" s="14">
        <f>SUM(M443:X443)</f>
        <v/>
      </c>
      <c r="AA443" s="13">
        <f>SUMPRODUCT(M443:X443,$M$3:$X$3)*$K443*$L443</f>
        <v/>
      </c>
      <c r="AB443" s="13">
        <f>SUMPRODUCT(M443:X443,$M$4:$X$4)*$K443*$L443</f>
        <v/>
      </c>
      <c r="AC443" s="15">
        <f>SUMPRODUCT(M443:X443,$M$5:$X$5)*$K443*$L443</f>
        <v/>
      </c>
      <c r="AD443" s="15">
        <f>SUMPRODUCT(M443:X443,$M$6:$X$6)*$K443*$L443</f>
        <v/>
      </c>
      <c r="AE443" s="19" t="n"/>
    </row>
    <row r="444">
      <c r="A444" s="9" t="n">
        <v>666659</v>
      </c>
      <c r="B444" s="9" t="inlineStr">
        <is>
          <t>Sauryn Lao</t>
        </is>
      </c>
      <c r="C444" s="9" t="inlineStr">
        <is>
          <t>WSH</t>
        </is>
      </c>
      <c r="D444" s="9" t="n">
        <v>27</v>
      </c>
      <c r="E444" s="17" t="inlineStr">
        <is>
          <t>R</t>
        </is>
      </c>
      <c r="F444" s="17" t="n"/>
      <c r="G444" s="9" t="n">
        <v>49</v>
      </c>
      <c r="H444" s="9" t="n">
        <v>49</v>
      </c>
      <c r="I444" s="9" t="inlineStr">
        <is>
          <t>Late Inning RP (Setup)</t>
        </is>
      </c>
      <c r="J444" s="17" t="inlineStr">
        <is>
          <t>Opening Day</t>
        </is>
      </c>
      <c r="K444" s="11">
        <f>IFERROR(INDEX(Roles!$B$17:$B$20,MATCH(J444,Roles!$A$17:$A$20,0)),1)</f>
        <v/>
      </c>
      <c r="L444" s="18" t="n">
        <v>1</v>
      </c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3">
        <f>SUMPRODUCT(M444:X444,$M$2:$X$2)*$K444*$L444</f>
        <v/>
      </c>
      <c r="Z444" s="14">
        <f>SUM(M444:X444)</f>
        <v/>
      </c>
      <c r="AA444" s="13">
        <f>SUMPRODUCT(M444:X444,$M$3:$X$3)*$K444*$L444</f>
        <v/>
      </c>
      <c r="AB444" s="13">
        <f>SUMPRODUCT(M444:X444,$M$4:$X$4)*$K444*$L444</f>
        <v/>
      </c>
      <c r="AC444" s="15">
        <f>SUMPRODUCT(M444:X444,$M$5:$X$5)*$K444*$L444</f>
        <v/>
      </c>
      <c r="AD444" s="15">
        <f>SUMPRODUCT(M444:X444,$M$6:$X$6)*$K444*$L444</f>
        <v/>
      </c>
      <c r="AE444" s="19" t="n"/>
    </row>
    <row r="445">
      <c r="A445" s="9" t="n">
        <v>676742</v>
      </c>
      <c r="B445" s="9" t="inlineStr">
        <is>
          <t>Cam Sanders</t>
        </is>
      </c>
      <c r="C445" s="9" t="inlineStr">
        <is>
          <t>PIT</t>
        </is>
      </c>
      <c r="D445" s="9" t="n">
        <v>30</v>
      </c>
      <c r="E445" s="17" t="inlineStr">
        <is>
          <t>R</t>
        </is>
      </c>
      <c r="F445" s="17" t="n"/>
      <c r="G445" s="9" t="n">
        <v>30</v>
      </c>
      <c r="H445" s="9" t="n">
        <v>64</v>
      </c>
      <c r="I445" s="9" t="inlineStr">
        <is>
          <t>Middle Relief</t>
        </is>
      </c>
      <c r="J445" s="17" t="inlineStr">
        <is>
          <t>Opening Day</t>
        </is>
      </c>
      <c r="K445" s="11">
        <f>IFERROR(INDEX(Roles!$B$17:$B$20,MATCH(J445,Roles!$A$17:$A$20,0)),1)</f>
        <v/>
      </c>
      <c r="L445" s="18" t="n">
        <v>1</v>
      </c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3">
        <f>SUMPRODUCT(M445:X445,$M$2:$X$2)*$K445*$L445</f>
        <v/>
      </c>
      <c r="Z445" s="14">
        <f>SUM(M445:X445)</f>
        <v/>
      </c>
      <c r="AA445" s="13">
        <f>SUMPRODUCT(M445:X445,$M$3:$X$3)*$K445*$L445</f>
        <v/>
      </c>
      <c r="AB445" s="13">
        <f>SUMPRODUCT(M445:X445,$M$4:$X$4)*$K445*$L445</f>
        <v/>
      </c>
      <c r="AC445" s="15">
        <f>SUMPRODUCT(M445:X445,$M$5:$X$5)*$K445*$L445</f>
        <v/>
      </c>
      <c r="AD445" s="15">
        <f>SUMPRODUCT(M445:X445,$M$6:$X$6)*$K445*$L445</f>
        <v/>
      </c>
      <c r="AE445" s="19" t="n"/>
    </row>
    <row r="446">
      <c r="A446" s="9" t="n">
        <v>700249</v>
      </c>
      <c r="B446" s="9" t="inlineStr">
        <is>
          <t>Cade Povich</t>
        </is>
      </c>
      <c r="C446" s="9" t="inlineStr">
        <is>
          <t>BAL</t>
        </is>
      </c>
      <c r="D446" s="9" t="n">
        <v>27</v>
      </c>
      <c r="E446" s="17" t="inlineStr">
        <is>
          <t>L</t>
        </is>
      </c>
      <c r="F446" s="17" t="n"/>
      <c r="G446" s="9" t="n">
        <v>82</v>
      </c>
      <c r="H446" s="9" t="n">
        <v>922</v>
      </c>
      <c r="I446" s="9" t="inlineStr">
        <is>
          <t>Mid-Rotation Starter (SP2-3)</t>
        </is>
      </c>
      <c r="J446" s="17" t="inlineStr">
        <is>
          <t>Opening Day</t>
        </is>
      </c>
      <c r="K446" s="11">
        <f>IFERROR(INDEX(Roles!$B$17:$B$20,MATCH(J446,Roles!$A$17:$A$20,0)),1)</f>
        <v/>
      </c>
      <c r="L446" s="18" t="n">
        <v>1</v>
      </c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3">
        <f>SUMPRODUCT(M446:X446,$M$2:$X$2)*$K446*$L446</f>
        <v/>
      </c>
      <c r="Z446" s="14">
        <f>SUM(M446:X446)</f>
        <v/>
      </c>
      <c r="AA446" s="13">
        <f>SUMPRODUCT(M446:X446,$M$3:$X$3)*$K446*$L446</f>
        <v/>
      </c>
      <c r="AB446" s="13">
        <f>SUMPRODUCT(M446:X446,$M$4:$X$4)*$K446*$L446</f>
        <v/>
      </c>
      <c r="AC446" s="15">
        <f>SUMPRODUCT(M446:X446,$M$5:$X$5)*$K446*$L446</f>
        <v/>
      </c>
      <c r="AD446" s="15">
        <f>SUMPRODUCT(M446:X446,$M$6:$X$6)*$K446*$L446</f>
        <v/>
      </c>
      <c r="AE446" s="19" t="n"/>
    </row>
    <row r="447">
      <c r="A447" s="9" t="n">
        <v>681402</v>
      </c>
      <c r="B447" s="9" t="inlineStr">
        <is>
          <t>Gus Varland</t>
        </is>
      </c>
      <c r="C447" s="9" t="inlineStr">
        <is>
          <t>WSH</t>
        </is>
      </c>
      <c r="D447" s="9" t="n">
        <v>30</v>
      </c>
      <c r="E447" s="17" t="inlineStr">
        <is>
          <t>R</t>
        </is>
      </c>
      <c r="F447" s="17" t="n"/>
      <c r="G447" s="9" t="n">
        <v>112</v>
      </c>
      <c r="H447" s="9" t="n">
        <v>330</v>
      </c>
      <c r="I447" s="9" t="inlineStr">
        <is>
          <t>Middle Relief</t>
        </is>
      </c>
      <c r="J447" s="17" t="inlineStr">
        <is>
          <t>Opening Day</t>
        </is>
      </c>
      <c r="K447" s="11">
        <f>IFERROR(INDEX(Roles!$B$17:$B$20,MATCH(J447,Roles!$A$17:$A$20,0)),1)</f>
        <v/>
      </c>
      <c r="L447" s="18" t="n">
        <v>1</v>
      </c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3">
        <f>SUMPRODUCT(M447:X447,$M$2:$X$2)*$K447*$L447</f>
        <v/>
      </c>
      <c r="Z447" s="14">
        <f>SUM(M447:X447)</f>
        <v/>
      </c>
      <c r="AA447" s="13">
        <f>SUMPRODUCT(M447:X447,$M$3:$X$3)*$K447*$L447</f>
        <v/>
      </c>
      <c r="AB447" s="13">
        <f>SUMPRODUCT(M447:X447,$M$4:$X$4)*$K447*$L447</f>
        <v/>
      </c>
      <c r="AC447" s="15">
        <f>SUMPRODUCT(M447:X447,$M$5:$X$5)*$K447*$L447</f>
        <v/>
      </c>
      <c r="AD447" s="15">
        <f>SUMPRODUCT(M447:X447,$M$6:$X$6)*$K447*$L447</f>
        <v/>
      </c>
      <c r="AE447" s="19" t="n"/>
    </row>
    <row r="448">
      <c r="A448" s="9" t="n">
        <v>694350</v>
      </c>
      <c r="B448" s="9" t="inlineStr">
        <is>
          <t>Zach Brzykcy</t>
        </is>
      </c>
      <c r="C448" s="9" t="inlineStr">
        <is>
          <t>WSH</t>
        </is>
      </c>
      <c r="D448" s="9" t="n">
        <v>27</v>
      </c>
      <c r="E448" s="17" t="inlineStr">
        <is>
          <t>R</t>
        </is>
      </c>
      <c r="F448" s="17" t="n"/>
      <c r="G448" s="9" t="n">
        <v>110</v>
      </c>
      <c r="H448" s="9" t="n">
        <v>138</v>
      </c>
      <c r="I448" s="9" t="inlineStr">
        <is>
          <t>Bullpen Depth Arm</t>
        </is>
      </c>
      <c r="J448" s="17" t="inlineStr">
        <is>
          <t>Opening Day</t>
        </is>
      </c>
      <c r="K448" s="11">
        <f>IFERROR(INDEX(Roles!$B$17:$B$20,MATCH(J448,Roles!$A$17:$A$20,0)),1)</f>
        <v/>
      </c>
      <c r="L448" s="18" t="n">
        <v>1</v>
      </c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3">
        <f>SUMPRODUCT(M448:X448,$M$2:$X$2)*$K448*$L448</f>
        <v/>
      </c>
      <c r="Z448" s="14">
        <f>SUM(M448:X448)</f>
        <v/>
      </c>
      <c r="AA448" s="13">
        <f>SUMPRODUCT(M448:X448,$M$3:$X$3)*$K448*$L448</f>
        <v/>
      </c>
      <c r="AB448" s="13">
        <f>SUMPRODUCT(M448:X448,$M$4:$X$4)*$K448*$L448</f>
        <v/>
      </c>
      <c r="AC448" s="15">
        <f>SUMPRODUCT(M448:X448,$M$5:$X$5)*$K448*$L448</f>
        <v/>
      </c>
      <c r="AD448" s="15">
        <f>SUMPRODUCT(M448:X448,$M$6:$X$6)*$K448*$L448</f>
        <v/>
      </c>
      <c r="AE448" s="19" t="n"/>
    </row>
    <row r="449">
      <c r="A449" s="9" t="n">
        <v>671162</v>
      </c>
      <c r="B449" s="9" t="inlineStr">
        <is>
          <t>Connor Thomas</t>
        </is>
      </c>
      <c r="C449" s="9" t="inlineStr">
        <is>
          <t>MIL</t>
        </is>
      </c>
      <c r="D449" s="9" t="n">
        <v>29</v>
      </c>
      <c r="E449" s="17" t="inlineStr">
        <is>
          <t>L</t>
        </is>
      </c>
      <c r="F449" s="17" t="n"/>
      <c r="G449" s="9" t="n">
        <v>31</v>
      </c>
      <c r="H449" s="9" t="n">
        <v>31</v>
      </c>
      <c r="I449" s="9" t="inlineStr">
        <is>
          <t>Bullpen Depth Arm</t>
        </is>
      </c>
      <c r="J449" s="17" t="inlineStr">
        <is>
          <t>Opening Day</t>
        </is>
      </c>
      <c r="K449" s="11">
        <f>IFERROR(INDEX(Roles!$B$17:$B$20,MATCH(J449,Roles!$A$17:$A$20,0)),1)</f>
        <v/>
      </c>
      <c r="L449" s="18" t="n">
        <v>1</v>
      </c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3">
        <f>SUMPRODUCT(M449:X449,$M$2:$X$2)*$K449*$L449</f>
        <v/>
      </c>
      <c r="Z449" s="14">
        <f>SUM(M449:X449)</f>
        <v/>
      </c>
      <c r="AA449" s="13">
        <f>SUMPRODUCT(M449:X449,$M$3:$X$3)*$K449*$L449</f>
        <v/>
      </c>
      <c r="AB449" s="13">
        <f>SUMPRODUCT(M449:X449,$M$4:$X$4)*$K449*$L449</f>
        <v/>
      </c>
      <c r="AC449" s="15">
        <f>SUMPRODUCT(M449:X449,$M$5:$X$5)*$K449*$L449</f>
        <v/>
      </c>
      <c r="AD449" s="15">
        <f>SUMPRODUCT(M449:X449,$M$6:$X$6)*$K449*$L449</f>
        <v/>
      </c>
      <c r="AE449" s="19" t="n"/>
    </row>
    <row r="450">
      <c r="A450" s="9" t="n">
        <v>679775</v>
      </c>
      <c r="B450" s="9" t="inlineStr">
        <is>
          <t>Kyle Backhus</t>
        </is>
      </c>
      <c r="C450" s="9" t="inlineStr">
        <is>
          <t>PHI</t>
        </is>
      </c>
      <c r="D450" s="9" t="n">
        <v>29</v>
      </c>
      <c r="E450" s="17" t="inlineStr">
        <is>
          <t>L</t>
        </is>
      </c>
      <c r="F450" s="17" t="n"/>
      <c r="G450" s="9" t="n">
        <v>41</v>
      </c>
      <c r="H450" s="9" t="n">
        <v>156</v>
      </c>
      <c r="I450" s="9" t="inlineStr">
        <is>
          <t>Bullpen Depth Arm</t>
        </is>
      </c>
      <c r="J450" s="17" t="inlineStr">
        <is>
          <t>Opening Day</t>
        </is>
      </c>
      <c r="K450" s="11">
        <f>IFERROR(INDEX(Roles!$B$17:$B$20,MATCH(J450,Roles!$A$17:$A$20,0)),1)</f>
        <v/>
      </c>
      <c r="L450" s="18" t="n">
        <v>1</v>
      </c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3">
        <f>SUMPRODUCT(M450:X450,$M$2:$X$2)*$K450*$L450</f>
        <v/>
      </c>
      <c r="Z450" s="14">
        <f>SUM(M450:X450)</f>
        <v/>
      </c>
      <c r="AA450" s="13">
        <f>SUMPRODUCT(M450:X450,$M$3:$X$3)*$K450*$L450</f>
        <v/>
      </c>
      <c r="AB450" s="13">
        <f>SUMPRODUCT(M450:X450,$M$4:$X$4)*$K450*$L450</f>
        <v/>
      </c>
      <c r="AC450" s="15">
        <f>SUMPRODUCT(M450:X450,$M$5:$X$5)*$K450*$L450</f>
        <v/>
      </c>
      <c r="AD450" s="15">
        <f>SUMPRODUCT(M450:X450,$M$6:$X$6)*$K450*$L450</f>
        <v/>
      </c>
      <c r="AE450" s="19" t="n"/>
    </row>
    <row r="451">
      <c r="A451" s="9" t="n">
        <v>664139</v>
      </c>
      <c r="B451" s="9" t="inlineStr">
        <is>
          <t>Ian Gibaut</t>
        </is>
      </c>
      <c r="C451" s="9" t="inlineStr">
        <is>
          <t>CIN</t>
        </is>
      </c>
      <c r="D451" s="9" t="n">
        <v>33</v>
      </c>
      <c r="E451" s="17" t="inlineStr">
        <is>
          <t>R</t>
        </is>
      </c>
      <c r="F451" s="17" t="n"/>
      <c r="G451" s="9" t="n">
        <v>109</v>
      </c>
      <c r="H451" s="9" t="n">
        <v>597</v>
      </c>
      <c r="I451" s="9" t="inlineStr">
        <is>
          <t>Bullpen Depth Arm</t>
        </is>
      </c>
      <c r="J451" s="17" t="inlineStr">
        <is>
          <t>Opening Day</t>
        </is>
      </c>
      <c r="K451" s="11">
        <f>IFERROR(INDEX(Roles!$B$17:$B$20,MATCH(J451,Roles!$A$17:$A$20,0)),1)</f>
        <v/>
      </c>
      <c r="L451" s="18" t="n">
        <v>1</v>
      </c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3">
        <f>SUMPRODUCT(M451:X451,$M$2:$X$2)*$K451*$L451</f>
        <v/>
      </c>
      <c r="Z451" s="14">
        <f>SUM(M451:X451)</f>
        <v/>
      </c>
      <c r="AA451" s="13">
        <f>SUMPRODUCT(M451:X451,$M$3:$X$3)*$K451*$L451</f>
        <v/>
      </c>
      <c r="AB451" s="13">
        <f>SUMPRODUCT(M451:X451,$M$4:$X$4)*$K451*$L451</f>
        <v/>
      </c>
      <c r="AC451" s="15">
        <f>SUMPRODUCT(M451:X451,$M$5:$X$5)*$K451*$L451</f>
        <v/>
      </c>
      <c r="AD451" s="15">
        <f>SUMPRODUCT(M451:X451,$M$6:$X$6)*$K451*$L451</f>
        <v/>
      </c>
      <c r="AE451" s="19" t="n"/>
    </row>
    <row r="452">
      <c r="A452" s="9" t="n">
        <v>700363</v>
      </c>
      <c r="B452" s="9" t="inlineStr">
        <is>
          <t>AJ Smith-Shawver</t>
        </is>
      </c>
      <c r="C452" s="9" t="inlineStr">
        <is>
          <t>ATL</t>
        </is>
      </c>
      <c r="D452" s="9" t="n">
        <v>24</v>
      </c>
      <c r="E452" s="17" t="inlineStr">
        <is>
          <t>R</t>
        </is>
      </c>
      <c r="F452" s="17" t="n"/>
      <c r="G452" s="9" t="n">
        <v>192</v>
      </c>
      <c r="H452" s="9" t="n">
        <v>315</v>
      </c>
      <c r="I452" s="9" t="inlineStr">
        <is>
          <t>End-of-Rotation Starter (SP4-5)</t>
        </is>
      </c>
      <c r="J452" s="17" t="inlineStr">
        <is>
          <t>Opening Day</t>
        </is>
      </c>
      <c r="K452" s="11">
        <f>IFERROR(INDEX(Roles!$B$17:$B$20,MATCH(J452,Roles!$A$17:$A$20,0)),1)</f>
        <v/>
      </c>
      <c r="L452" s="18" t="n">
        <v>1</v>
      </c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3">
        <f>SUMPRODUCT(M452:X452,$M$2:$X$2)*$K452*$L452</f>
        <v/>
      </c>
      <c r="Z452" s="14">
        <f>SUM(M452:X452)</f>
        <v/>
      </c>
      <c r="AA452" s="13">
        <f>SUMPRODUCT(M452:X452,$M$3:$X$3)*$K452*$L452</f>
        <v/>
      </c>
      <c r="AB452" s="13">
        <f>SUMPRODUCT(M452:X452,$M$4:$X$4)*$K452*$L452</f>
        <v/>
      </c>
      <c r="AC452" s="15">
        <f>SUMPRODUCT(M452:X452,$M$5:$X$5)*$K452*$L452</f>
        <v/>
      </c>
      <c r="AD452" s="15">
        <f>SUMPRODUCT(M452:X452,$M$6:$X$6)*$K452*$L452</f>
        <v/>
      </c>
      <c r="AE452" s="19" t="n"/>
    </row>
    <row r="453">
      <c r="A453" s="9" t="n">
        <v>670102</v>
      </c>
      <c r="B453" s="9" t="inlineStr">
        <is>
          <t>Bowden Francis</t>
        </is>
      </c>
      <c r="C453" s="9" t="inlineStr">
        <is>
          <t>TOR</t>
        </is>
      </c>
      <c r="D453" s="9" t="n">
        <v>31</v>
      </c>
      <c r="E453" s="17" t="inlineStr">
        <is>
          <t>R</t>
        </is>
      </c>
      <c r="F453" s="17" t="n"/>
      <c r="G453" s="9" t="n">
        <v>288</v>
      </c>
      <c r="H453" s="9" t="n">
        <v>835</v>
      </c>
      <c r="I453" s="9" t="inlineStr">
        <is>
          <t>End-of-Rotation Starter (SP4-5)</t>
        </is>
      </c>
      <c r="J453" s="17" t="inlineStr">
        <is>
          <t>Opening Day</t>
        </is>
      </c>
      <c r="K453" s="11">
        <f>IFERROR(INDEX(Roles!$B$17:$B$20,MATCH(J453,Roles!$A$17:$A$20,0)),1)</f>
        <v/>
      </c>
      <c r="L453" s="18" t="n">
        <v>1</v>
      </c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3">
        <f>SUMPRODUCT(M453:X453,$M$2:$X$2)*$K453*$L453</f>
        <v/>
      </c>
      <c r="Z453" s="14">
        <f>SUM(M453:X453)</f>
        <v/>
      </c>
      <c r="AA453" s="13">
        <f>SUMPRODUCT(M453:X453,$M$3:$X$3)*$K453*$L453</f>
        <v/>
      </c>
      <c r="AB453" s="13">
        <f>SUMPRODUCT(M453:X453,$M$4:$X$4)*$K453*$L453</f>
        <v/>
      </c>
      <c r="AC453" s="15">
        <f>SUMPRODUCT(M453:X453,$M$5:$X$5)*$K453*$L453</f>
        <v/>
      </c>
      <c r="AD453" s="15">
        <f>SUMPRODUCT(M453:X453,$M$6:$X$6)*$K453*$L453</f>
        <v/>
      </c>
      <c r="AE453" s="19" t="n"/>
    </row>
    <row r="454">
      <c r="A454" s="9" t="n">
        <v>676961</v>
      </c>
      <c r="B454" s="9" t="inlineStr">
        <is>
          <t>Caleb Boushley</t>
        </is>
      </c>
      <c r="C454" s="9" t="inlineStr">
        <is>
          <t>TEX</t>
        </is>
      </c>
      <c r="D454" s="9" t="n">
        <v>33</v>
      </c>
      <c r="E454" s="17" t="inlineStr">
        <is>
          <t>R</t>
        </is>
      </c>
      <c r="F454" s="17" t="n"/>
      <c r="G454" s="9" t="n">
        <v>193</v>
      </c>
      <c r="H454" s="9" t="n">
        <v>223</v>
      </c>
      <c r="I454" s="9" t="inlineStr">
        <is>
          <t>Bullpen Depth Arm</t>
        </is>
      </c>
      <c r="J454" s="17" t="inlineStr">
        <is>
          <t>Opening Day</t>
        </is>
      </c>
      <c r="K454" s="11">
        <f>IFERROR(INDEX(Roles!$B$17:$B$20,MATCH(J454,Roles!$A$17:$A$20,0)),1)</f>
        <v/>
      </c>
      <c r="L454" s="18" t="n">
        <v>1</v>
      </c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3">
        <f>SUMPRODUCT(M454:X454,$M$2:$X$2)*$K454*$L454</f>
        <v/>
      </c>
      <c r="Z454" s="14">
        <f>SUM(M454:X454)</f>
        <v/>
      </c>
      <c r="AA454" s="13">
        <f>SUMPRODUCT(M454:X454,$M$3:$X$3)*$K454*$L454</f>
        <v/>
      </c>
      <c r="AB454" s="13">
        <f>SUMPRODUCT(M454:X454,$M$4:$X$4)*$K454*$L454</f>
        <v/>
      </c>
      <c r="AC454" s="15">
        <f>SUMPRODUCT(M454:X454,$M$5:$X$5)*$K454*$L454</f>
        <v/>
      </c>
      <c r="AD454" s="15">
        <f>SUMPRODUCT(M454:X454,$M$6:$X$6)*$K454*$L454</f>
        <v/>
      </c>
      <c r="AE454" s="19" t="n"/>
    </row>
    <row r="455">
      <c r="A455" s="9" t="n">
        <v>622786</v>
      </c>
      <c r="B455" s="9" t="inlineStr">
        <is>
          <t>Jesus Tinoco</t>
        </is>
      </c>
      <c r="C455" s="9" t="inlineStr">
        <is>
          <t>MIA</t>
        </is>
      </c>
      <c r="D455" s="9" t="n">
        <v>32</v>
      </c>
      <c r="E455" s="17" t="inlineStr">
        <is>
          <t>R</t>
        </is>
      </c>
      <c r="F455" s="17" t="n"/>
      <c r="G455" s="9" t="n">
        <v>80</v>
      </c>
      <c r="H455" s="9" t="n">
        <v>326</v>
      </c>
      <c r="I455" s="9" t="inlineStr">
        <is>
          <t>Middle Relief</t>
        </is>
      </c>
      <c r="J455" s="17" t="inlineStr">
        <is>
          <t>Opening Day</t>
        </is>
      </c>
      <c r="K455" s="11">
        <f>IFERROR(INDEX(Roles!$B$17:$B$20,MATCH(J455,Roles!$A$17:$A$20,0)),1)</f>
        <v/>
      </c>
      <c r="L455" s="18" t="n">
        <v>1</v>
      </c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3">
        <f>SUMPRODUCT(M455:X455,$M$2:$X$2)*$K455*$L455</f>
        <v/>
      </c>
      <c r="Z455" s="14">
        <f>SUM(M455:X455)</f>
        <v/>
      </c>
      <c r="AA455" s="13">
        <f>SUMPRODUCT(M455:X455,$M$3:$X$3)*$K455*$L455</f>
        <v/>
      </c>
      <c r="AB455" s="13">
        <f>SUMPRODUCT(M455:X455,$M$4:$X$4)*$K455*$L455</f>
        <v/>
      </c>
      <c r="AC455" s="15">
        <f>SUMPRODUCT(M455:X455,$M$5:$X$5)*$K455*$L455</f>
        <v/>
      </c>
      <c r="AD455" s="15">
        <f>SUMPRODUCT(M455:X455,$M$6:$X$6)*$K455*$L455</f>
        <v/>
      </c>
      <c r="AE455" s="19" t="n"/>
    </row>
    <row r="456">
      <c r="A456" s="9" t="n">
        <v>702153</v>
      </c>
      <c r="B456" s="9" t="inlineStr">
        <is>
          <t>Brian Fitzpatrick</t>
        </is>
      </c>
      <c r="C456" s="9" t="inlineStr">
        <is>
          <t>MIL</t>
        </is>
      </c>
      <c r="D456" s="9" t="n">
        <v>27</v>
      </c>
      <c r="E456" s="17" t="inlineStr">
        <is>
          <t>L</t>
        </is>
      </c>
      <c r="F456" s="17" t="n"/>
      <c r="G456" s="9" t="n">
        <v>30</v>
      </c>
      <c r="H456" s="9" t="n">
        <v>30</v>
      </c>
      <c r="I456" s="9" t="inlineStr">
        <is>
          <t>Bullpen Depth Arm</t>
        </is>
      </c>
      <c r="J456" s="17" t="inlineStr">
        <is>
          <t>Opening Day</t>
        </is>
      </c>
      <c r="K456" s="11">
        <f>IFERROR(INDEX(Roles!$B$17:$B$20,MATCH(J456,Roles!$A$17:$A$20,0)),1)</f>
        <v/>
      </c>
      <c r="L456" s="18" t="n">
        <v>1</v>
      </c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3">
        <f>SUMPRODUCT(M456:X456,$M$2:$X$2)*$K456*$L456</f>
        <v/>
      </c>
      <c r="Z456" s="14">
        <f>SUM(M456:X456)</f>
        <v/>
      </c>
      <c r="AA456" s="13">
        <f>SUMPRODUCT(M456:X456,$M$3:$X$3)*$K456*$L456</f>
        <v/>
      </c>
      <c r="AB456" s="13">
        <f>SUMPRODUCT(M456:X456,$M$4:$X$4)*$K456*$L456</f>
        <v/>
      </c>
      <c r="AC456" s="15">
        <f>SUMPRODUCT(M456:X456,$M$5:$X$5)*$K456*$L456</f>
        <v/>
      </c>
      <c r="AD456" s="15">
        <f>SUMPRODUCT(M456:X456,$M$6:$X$6)*$K456*$L456</f>
        <v/>
      </c>
      <c r="AE456" s="19" t="n"/>
    </row>
    <row r="457">
      <c r="A457" s="9" t="n">
        <v>686560</v>
      </c>
      <c r="B457" s="9" t="inlineStr">
        <is>
          <t>Gavin Collyer</t>
        </is>
      </c>
      <c r="C457" s="9" t="inlineStr">
        <is>
          <t>TEX</t>
        </is>
      </c>
      <c r="D457" s="9" t="n">
        <v>26</v>
      </c>
      <c r="E457" s="17" t="inlineStr">
        <is>
          <t>R</t>
        </is>
      </c>
      <c r="F457" s="17" t="n"/>
      <c r="G457" s="9" t="n">
        <v>76</v>
      </c>
      <c r="H457" s="9" t="n">
        <v>76</v>
      </c>
      <c r="I457" s="9" t="inlineStr">
        <is>
          <t>Bullpen Depth Arm</t>
        </is>
      </c>
      <c r="J457" s="17" t="inlineStr">
        <is>
          <t>Opening Day</t>
        </is>
      </c>
      <c r="K457" s="11">
        <f>IFERROR(INDEX(Roles!$B$17:$B$20,MATCH(J457,Roles!$A$17:$A$20,0)),1)</f>
        <v/>
      </c>
      <c r="L457" s="18" t="n">
        <v>1</v>
      </c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3">
        <f>SUMPRODUCT(M457:X457,$M$2:$X$2)*$K457*$L457</f>
        <v/>
      </c>
      <c r="Z457" s="14">
        <f>SUM(M457:X457)</f>
        <v/>
      </c>
      <c r="AA457" s="13">
        <f>SUMPRODUCT(M457:X457,$M$3:$X$3)*$K457*$L457</f>
        <v/>
      </c>
      <c r="AB457" s="13">
        <f>SUMPRODUCT(M457:X457,$M$4:$X$4)*$K457*$L457</f>
        <v/>
      </c>
      <c r="AC457" s="15">
        <f>SUMPRODUCT(M457:X457,$M$5:$X$5)*$K457*$L457</f>
        <v/>
      </c>
      <c r="AD457" s="15">
        <f>SUMPRODUCT(M457:X457,$M$6:$X$6)*$K457*$L457</f>
        <v/>
      </c>
      <c r="AE457" s="19" t="n"/>
    </row>
    <row r="458">
      <c r="A458" s="9" t="n">
        <v>666215</v>
      </c>
      <c r="B458" s="9" t="inlineStr">
        <is>
          <t>Forrest Whitley</t>
        </is>
      </c>
      <c r="C458" s="9" t="inlineStr">
        <is>
          <t>TB</t>
        </is>
      </c>
      <c r="D458" s="9" t="n">
        <v>29</v>
      </c>
      <c r="E458" s="17" t="inlineStr">
        <is>
          <t>R</t>
        </is>
      </c>
      <c r="F458" s="17" t="n"/>
      <c r="G458" s="9" t="n">
        <v>66</v>
      </c>
      <c r="H458" s="9" t="n">
        <v>86</v>
      </c>
      <c r="I458" s="9" t="inlineStr">
        <is>
          <t>Bullpen Depth Arm</t>
        </is>
      </c>
      <c r="J458" s="17" t="inlineStr">
        <is>
          <t>Opening Day</t>
        </is>
      </c>
      <c r="K458" s="11">
        <f>IFERROR(INDEX(Roles!$B$17:$B$20,MATCH(J458,Roles!$A$17:$A$20,0)),1)</f>
        <v/>
      </c>
      <c r="L458" s="18" t="n">
        <v>1</v>
      </c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3">
        <f>SUMPRODUCT(M458:X458,$M$2:$X$2)*$K458*$L458</f>
        <v/>
      </c>
      <c r="Z458" s="14">
        <f>SUM(M458:X458)</f>
        <v/>
      </c>
      <c r="AA458" s="13">
        <f>SUMPRODUCT(M458:X458,$M$3:$X$3)*$K458*$L458</f>
        <v/>
      </c>
      <c r="AB458" s="13">
        <f>SUMPRODUCT(M458:X458,$M$4:$X$4)*$K458*$L458</f>
        <v/>
      </c>
      <c r="AC458" s="15">
        <f>SUMPRODUCT(M458:X458,$M$5:$X$5)*$K458*$L458</f>
        <v/>
      </c>
      <c r="AD458" s="15">
        <f>SUMPRODUCT(M458:X458,$M$6:$X$6)*$K458*$L458</f>
        <v/>
      </c>
      <c r="AE458" s="19" t="n"/>
    </row>
    <row r="459">
      <c r="A459" s="9" t="n">
        <v>676755</v>
      </c>
      <c r="B459" s="9" t="inlineStr">
        <is>
          <t>Isaac Mattson</t>
        </is>
      </c>
      <c r="C459" s="9" t="inlineStr">
        <is>
          <t>PIT</t>
        </is>
      </c>
      <c r="D459" s="9" t="n">
        <v>31</v>
      </c>
      <c r="E459" s="17" t="inlineStr">
        <is>
          <t>R</t>
        </is>
      </c>
      <c r="F459" s="17" t="n"/>
      <c r="G459" s="9" t="n">
        <v>87</v>
      </c>
      <c r="H459" s="9" t="n">
        <v>308</v>
      </c>
      <c r="I459" s="9" t="inlineStr">
        <is>
          <t>Bullpen Depth Arm</t>
        </is>
      </c>
      <c r="J459" s="17" t="inlineStr">
        <is>
          <t>Opening Day</t>
        </is>
      </c>
      <c r="K459" s="11">
        <f>IFERROR(INDEX(Roles!$B$17:$B$20,MATCH(J459,Roles!$A$17:$A$20,0)),1)</f>
        <v/>
      </c>
      <c r="L459" s="18" t="n">
        <v>1</v>
      </c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3">
        <f>SUMPRODUCT(M459:X459,$M$2:$X$2)*$K459*$L459</f>
        <v/>
      </c>
      <c r="Z459" s="14">
        <f>SUM(M459:X459)</f>
        <v/>
      </c>
      <c r="AA459" s="13">
        <f>SUMPRODUCT(M459:X459,$M$3:$X$3)*$K459*$L459</f>
        <v/>
      </c>
      <c r="AB459" s="13">
        <f>SUMPRODUCT(M459:X459,$M$4:$X$4)*$K459*$L459</f>
        <v/>
      </c>
      <c r="AC459" s="15">
        <f>SUMPRODUCT(M459:X459,$M$5:$X$5)*$K459*$L459</f>
        <v/>
      </c>
      <c r="AD459" s="15">
        <f>SUMPRODUCT(M459:X459,$M$6:$X$6)*$K459*$L459</f>
        <v/>
      </c>
      <c r="AE459" s="19" t="n"/>
    </row>
    <row r="460">
      <c r="A460" s="9" t="n">
        <v>687003</v>
      </c>
      <c r="B460" s="9" t="inlineStr">
        <is>
          <t>Brian Van Belle</t>
        </is>
      </c>
      <c r="C460" s="9" t="inlineStr">
        <is>
          <t>TB</t>
        </is>
      </c>
      <c r="D460" s="9" t="n">
        <v>30</v>
      </c>
      <c r="E460" s="17" t="inlineStr">
        <is>
          <t>R</t>
        </is>
      </c>
      <c r="F460" s="17" t="n"/>
      <c r="G460" s="9" t="n">
        <v>36</v>
      </c>
      <c r="H460" s="9" t="n">
        <v>36</v>
      </c>
      <c r="I460" s="9" t="inlineStr">
        <is>
          <t>Bullpen Depth Arm</t>
        </is>
      </c>
      <c r="J460" s="17" t="inlineStr">
        <is>
          <t>Opening Day</t>
        </is>
      </c>
      <c r="K460" s="11">
        <f>IFERROR(INDEX(Roles!$B$17:$B$20,MATCH(J460,Roles!$A$17:$A$20,0)),1)</f>
        <v/>
      </c>
      <c r="L460" s="18" t="n">
        <v>1</v>
      </c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3">
        <f>SUMPRODUCT(M460:X460,$M$2:$X$2)*$K460*$L460</f>
        <v/>
      </c>
      <c r="Z460" s="14">
        <f>SUM(M460:X460)</f>
        <v/>
      </c>
      <c r="AA460" s="13">
        <f>SUMPRODUCT(M460:X460,$M$3:$X$3)*$K460*$L460</f>
        <v/>
      </c>
      <c r="AB460" s="13">
        <f>SUMPRODUCT(M460:X460,$M$4:$X$4)*$K460*$L460</f>
        <v/>
      </c>
      <c r="AC460" s="15">
        <f>SUMPRODUCT(M460:X460,$M$5:$X$5)*$K460*$L460</f>
        <v/>
      </c>
      <c r="AD460" s="15">
        <f>SUMPRODUCT(M460:X460,$M$6:$X$6)*$K460*$L460</f>
        <v/>
      </c>
      <c r="AE460" s="19" t="n"/>
    </row>
    <row r="461">
      <c r="A461" s="9" t="n">
        <v>677961</v>
      </c>
      <c r="B461" s="9" t="inlineStr">
        <is>
          <t>Cole Wilcox</t>
        </is>
      </c>
      <c r="C461" s="9" t="inlineStr">
        <is>
          <t>SEA</t>
        </is>
      </c>
      <c r="D461" s="9" t="n">
        <v>27</v>
      </c>
      <c r="E461" s="17" t="inlineStr">
        <is>
          <t>R</t>
        </is>
      </c>
      <c r="F461" s="17" t="n"/>
      <c r="G461" s="9" t="n">
        <v>70</v>
      </c>
      <c r="H461" s="9" t="n">
        <v>82</v>
      </c>
      <c r="I461" s="9" t="inlineStr">
        <is>
          <t>Bullpen Depth Arm</t>
        </is>
      </c>
      <c r="J461" s="17" t="inlineStr">
        <is>
          <t>Opening Day</t>
        </is>
      </c>
      <c r="K461" s="11">
        <f>IFERROR(INDEX(Roles!$B$17:$B$20,MATCH(J461,Roles!$A$17:$A$20,0)),1)</f>
        <v/>
      </c>
      <c r="L461" s="18" t="n">
        <v>1</v>
      </c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3">
        <f>SUMPRODUCT(M461:X461,$M$2:$X$2)*$K461*$L461</f>
        <v/>
      </c>
      <c r="Z461" s="14">
        <f>SUM(M461:X461)</f>
        <v/>
      </c>
      <c r="AA461" s="13">
        <f>SUMPRODUCT(M461:X461,$M$3:$X$3)*$K461*$L461</f>
        <v/>
      </c>
      <c r="AB461" s="13">
        <f>SUMPRODUCT(M461:X461,$M$4:$X$4)*$K461*$L461</f>
        <v/>
      </c>
      <c r="AC461" s="15">
        <f>SUMPRODUCT(M461:X461,$M$5:$X$5)*$K461*$L461</f>
        <v/>
      </c>
      <c r="AD461" s="15">
        <f>SUMPRODUCT(M461:X461,$M$6:$X$6)*$K461*$L461</f>
        <v/>
      </c>
      <c r="AE461" s="19" t="n"/>
    </row>
    <row r="462">
      <c r="A462" s="9" t="n">
        <v>693312</v>
      </c>
      <c r="B462" s="9" t="inlineStr">
        <is>
          <t>Kyle Nicolas</t>
        </is>
      </c>
      <c r="C462" s="9" t="inlineStr">
        <is>
          <t>CIN</t>
        </is>
      </c>
      <c r="D462" s="9" t="n">
        <v>28</v>
      </c>
      <c r="E462" s="17" t="inlineStr">
        <is>
          <t>R</t>
        </is>
      </c>
      <c r="F462" s="17" t="n"/>
      <c r="G462" s="9" t="n">
        <v>42</v>
      </c>
      <c r="H462" s="9" t="n">
        <v>478</v>
      </c>
      <c r="I462" s="9" t="inlineStr">
        <is>
          <t>Bullpen Depth Arm</t>
        </is>
      </c>
      <c r="J462" s="17" t="inlineStr">
        <is>
          <t>Opening Day</t>
        </is>
      </c>
      <c r="K462" s="11">
        <f>IFERROR(INDEX(Roles!$B$17:$B$20,MATCH(J462,Roles!$A$17:$A$20,0)),1)</f>
        <v/>
      </c>
      <c r="L462" s="18" t="n">
        <v>1</v>
      </c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3">
        <f>SUMPRODUCT(M462:X462,$M$2:$X$2)*$K462*$L462</f>
        <v/>
      </c>
      <c r="Z462" s="14">
        <f>SUM(M462:X462)</f>
        <v/>
      </c>
      <c r="AA462" s="13">
        <f>SUMPRODUCT(M462:X462,$M$3:$X$3)*$K462*$L462</f>
        <v/>
      </c>
      <c r="AB462" s="13">
        <f>SUMPRODUCT(M462:X462,$M$4:$X$4)*$K462*$L462</f>
        <v/>
      </c>
      <c r="AC462" s="15">
        <f>SUMPRODUCT(M462:X462,$M$5:$X$5)*$K462*$L462</f>
        <v/>
      </c>
      <c r="AD462" s="15">
        <f>SUMPRODUCT(M462:X462,$M$6:$X$6)*$K462*$L462</f>
        <v/>
      </c>
      <c r="AE462" s="19" t="n"/>
    </row>
    <row r="463">
      <c r="A463" s="9" t="n">
        <v>701487</v>
      </c>
      <c r="B463" s="9" t="inlineStr">
        <is>
          <t>Pierson Ohl</t>
        </is>
      </c>
      <c r="C463" s="9" t="inlineStr">
        <is>
          <t>MIN</t>
        </is>
      </c>
      <c r="D463" s="9" t="n">
        <v>27</v>
      </c>
      <c r="E463" s="17" t="inlineStr">
        <is>
          <t>R</t>
        </is>
      </c>
      <c r="F463" s="17" t="n"/>
      <c r="G463" s="9" t="n">
        <v>133</v>
      </c>
      <c r="H463" s="9" t="n">
        <v>133</v>
      </c>
      <c r="I463" s="9" t="inlineStr">
        <is>
          <t>Middle Relief</t>
        </is>
      </c>
      <c r="J463" s="17" t="inlineStr">
        <is>
          <t>Opening Day</t>
        </is>
      </c>
      <c r="K463" s="11">
        <f>IFERROR(INDEX(Roles!$B$17:$B$20,MATCH(J463,Roles!$A$17:$A$20,0)),1)</f>
        <v/>
      </c>
      <c r="L463" s="18" t="n">
        <v>1</v>
      </c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3">
        <f>SUMPRODUCT(M463:X463,$M$2:$X$2)*$K463*$L463</f>
        <v/>
      </c>
      <c r="Z463" s="14">
        <f>SUM(M463:X463)</f>
        <v/>
      </c>
      <c r="AA463" s="13">
        <f>SUMPRODUCT(M463:X463,$M$3:$X$3)*$K463*$L463</f>
        <v/>
      </c>
      <c r="AB463" s="13">
        <f>SUMPRODUCT(M463:X463,$M$4:$X$4)*$K463*$L463</f>
        <v/>
      </c>
      <c r="AC463" s="15">
        <f>SUMPRODUCT(M463:X463,$M$5:$X$5)*$K463*$L463</f>
        <v/>
      </c>
      <c r="AD463" s="15">
        <f>SUMPRODUCT(M463:X463,$M$6:$X$6)*$K463*$L463</f>
        <v/>
      </c>
      <c r="AE463" s="19" t="n"/>
    </row>
    <row r="464">
      <c r="A464" s="9" t="n">
        <v>665622</v>
      </c>
      <c r="B464" s="9" t="inlineStr">
        <is>
          <t>Luis Medina</t>
        </is>
      </c>
      <c r="C464" s="9" t="inlineStr">
        <is>
          <t>OAK</t>
        </is>
      </c>
      <c r="D464" s="9" t="n">
        <v>28</v>
      </c>
      <c r="E464" s="17" t="inlineStr">
        <is>
          <t>R</t>
        </is>
      </c>
      <c r="F464" s="17" t="n"/>
      <c r="G464" s="9" t="n">
        <v>118</v>
      </c>
      <c r="H464" s="9" t="n">
        <v>793</v>
      </c>
      <c r="I464" s="9" t="inlineStr">
        <is>
          <t>Bullpen Depth Arm</t>
        </is>
      </c>
      <c r="J464" s="17" t="inlineStr">
        <is>
          <t>Opening Day</t>
        </is>
      </c>
      <c r="K464" s="11">
        <f>IFERROR(INDEX(Roles!$B$17:$B$20,MATCH(J464,Roles!$A$17:$A$20,0)),1)</f>
        <v/>
      </c>
      <c r="L464" s="18" t="n">
        <v>1</v>
      </c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3">
        <f>SUMPRODUCT(M464:X464,$M$2:$X$2)*$K464*$L464</f>
        <v/>
      </c>
      <c r="Z464" s="14">
        <f>SUM(M464:X464)</f>
        <v/>
      </c>
      <c r="AA464" s="13">
        <f>SUMPRODUCT(M464:X464,$M$3:$X$3)*$K464*$L464</f>
        <v/>
      </c>
      <c r="AB464" s="13">
        <f>SUMPRODUCT(M464:X464,$M$4:$X$4)*$K464*$L464</f>
        <v/>
      </c>
      <c r="AC464" s="15">
        <f>SUMPRODUCT(M464:X464,$M$5:$X$5)*$K464*$L464</f>
        <v/>
      </c>
      <c r="AD464" s="15">
        <f>SUMPRODUCT(M464:X464,$M$6:$X$6)*$K464*$L464</f>
        <v/>
      </c>
      <c r="AE464" s="19" t="n"/>
    </row>
    <row r="465">
      <c r="A465" s="9" t="n">
        <v>668984</v>
      </c>
      <c r="B465" s="9" t="inlineStr">
        <is>
          <t>Casey Legumina</t>
        </is>
      </c>
      <c r="C465" s="9" t="inlineStr">
        <is>
          <t>TB</t>
        </is>
      </c>
      <c r="D465" s="9" t="n">
        <v>30</v>
      </c>
      <c r="E465" s="17" t="inlineStr">
        <is>
          <t>R</t>
        </is>
      </c>
      <c r="F465" s="17" t="n"/>
      <c r="G465" s="9" t="n">
        <v>121</v>
      </c>
      <c r="H465" s="9" t="n">
        <v>448</v>
      </c>
      <c r="I465" s="9" t="inlineStr">
        <is>
          <t>Bullpen Depth Arm</t>
        </is>
      </c>
      <c r="J465" s="17" t="inlineStr">
        <is>
          <t>Opening Day</t>
        </is>
      </c>
      <c r="K465" s="11">
        <f>IFERROR(INDEX(Roles!$B$17:$B$20,MATCH(J465,Roles!$A$17:$A$20,0)),1)</f>
        <v/>
      </c>
      <c r="L465" s="18" t="n">
        <v>1</v>
      </c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3">
        <f>SUMPRODUCT(M465:X465,$M$2:$X$2)*$K465*$L465</f>
        <v/>
      </c>
      <c r="Z465" s="14">
        <f>SUM(M465:X465)</f>
        <v/>
      </c>
      <c r="AA465" s="13">
        <f>SUMPRODUCT(M465:X465,$M$3:$X$3)*$K465*$L465</f>
        <v/>
      </c>
      <c r="AB465" s="13">
        <f>SUMPRODUCT(M465:X465,$M$4:$X$4)*$K465*$L465</f>
        <v/>
      </c>
      <c r="AC465" s="15">
        <f>SUMPRODUCT(M465:X465,$M$5:$X$5)*$K465*$L465</f>
        <v/>
      </c>
      <c r="AD465" s="15">
        <f>SUMPRODUCT(M465:X465,$M$6:$X$6)*$K465*$L465</f>
        <v/>
      </c>
      <c r="AE465" s="19" t="n"/>
    </row>
    <row r="466">
      <c r="A466" s="9" t="n">
        <v>607625</v>
      </c>
      <c r="B466" s="9" t="inlineStr">
        <is>
          <t>Seth Lugo</t>
        </is>
      </c>
      <c r="C466" s="9" t="inlineStr">
        <is>
          <t>KC</t>
        </is>
      </c>
      <c r="D466" s="9" t="n">
        <v>37</v>
      </c>
      <c r="E466" s="17" t="inlineStr">
        <is>
          <t>R</t>
        </is>
      </c>
      <c r="F466" s="17" t="n"/>
      <c r="G466" s="9" t="n">
        <v>321</v>
      </c>
      <c r="H466" s="9" t="n">
        <v>2644</v>
      </c>
      <c r="I466" s="9" t="inlineStr">
        <is>
          <t>Ace (SP1)</t>
        </is>
      </c>
      <c r="J466" s="17" t="inlineStr">
        <is>
          <t>Opening Day</t>
        </is>
      </c>
      <c r="K466" s="11">
        <f>IFERROR(INDEX(Roles!$B$17:$B$20,MATCH(J466,Roles!$A$17:$A$20,0)),1)</f>
        <v/>
      </c>
      <c r="L466" s="18" t="n">
        <v>1</v>
      </c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3">
        <f>SUMPRODUCT(M466:X466,$M$2:$X$2)*$K466*$L466</f>
        <v/>
      </c>
      <c r="Z466" s="14">
        <f>SUM(M466:X466)</f>
        <v/>
      </c>
      <c r="AA466" s="13">
        <f>SUMPRODUCT(M466:X466,$M$3:$X$3)*$K466*$L466</f>
        <v/>
      </c>
      <c r="AB466" s="13">
        <f>SUMPRODUCT(M466:X466,$M$4:$X$4)*$K466*$L466</f>
        <v/>
      </c>
      <c r="AC466" s="15">
        <f>SUMPRODUCT(M466:X466,$M$5:$X$5)*$K466*$L466</f>
        <v/>
      </c>
      <c r="AD466" s="15">
        <f>SUMPRODUCT(M466:X466,$M$6:$X$6)*$K466*$L466</f>
        <v/>
      </c>
      <c r="AE466" s="19" t="n"/>
    </row>
    <row r="467">
      <c r="A467" s="9" t="n">
        <v>646241</v>
      </c>
      <c r="B467" s="9" t="inlineStr">
        <is>
          <t>Enmanuel De Jesus</t>
        </is>
      </c>
      <c r="C467" s="9" t="inlineStr">
        <is>
          <t>DET</t>
        </is>
      </c>
      <c r="D467" s="9" t="n">
        <v>30</v>
      </c>
      <c r="E467" s="17" t="inlineStr">
        <is>
          <t>L</t>
        </is>
      </c>
      <c r="F467" s="17" t="n"/>
      <c r="G467" s="9" t="n">
        <v>116</v>
      </c>
      <c r="H467" s="9" t="n">
        <v>150</v>
      </c>
      <c r="I467" s="9" t="inlineStr">
        <is>
          <t>Bullpen Depth Arm</t>
        </is>
      </c>
      <c r="J467" s="17" t="inlineStr">
        <is>
          <t>Opening Day</t>
        </is>
      </c>
      <c r="K467" s="11">
        <f>IFERROR(INDEX(Roles!$B$17:$B$20,MATCH(J467,Roles!$A$17:$A$20,0)),1)</f>
        <v/>
      </c>
      <c r="L467" s="18" t="n">
        <v>1</v>
      </c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3">
        <f>SUMPRODUCT(M467:X467,$M$2:$X$2)*$K467*$L467</f>
        <v/>
      </c>
      <c r="Z467" s="14">
        <f>SUM(M467:X467)</f>
        <v/>
      </c>
      <c r="AA467" s="13">
        <f>SUMPRODUCT(M467:X467,$M$3:$X$3)*$K467*$L467</f>
        <v/>
      </c>
      <c r="AB467" s="13">
        <f>SUMPRODUCT(M467:X467,$M$4:$X$4)*$K467*$L467</f>
        <v/>
      </c>
      <c r="AC467" s="15">
        <f>SUMPRODUCT(M467:X467,$M$5:$X$5)*$K467*$L467</f>
        <v/>
      </c>
      <c r="AD467" s="15">
        <f>SUMPRODUCT(M467:X467,$M$6:$X$6)*$K467*$L467</f>
        <v/>
      </c>
      <c r="AE467" s="19" t="n"/>
    </row>
    <row r="468">
      <c r="A468" s="9" t="n">
        <v>671382</v>
      </c>
      <c r="B468" s="9" t="inlineStr">
        <is>
          <t>Cameron Foster</t>
        </is>
      </c>
      <c r="C468" s="9" t="inlineStr">
        <is>
          <t>BAL</t>
        </is>
      </c>
      <c r="D468" s="9" t="n">
        <v>28</v>
      </c>
      <c r="E468" s="17" t="inlineStr">
        <is>
          <t>R</t>
        </is>
      </c>
      <c r="F468" s="17" t="n"/>
      <c r="G468" s="9" t="n">
        <v>49</v>
      </c>
      <c r="H468" s="9" t="n">
        <v>49</v>
      </c>
      <c r="I468" s="9" t="inlineStr">
        <is>
          <t>Bullpen Depth Arm</t>
        </is>
      </c>
      <c r="J468" s="17" t="inlineStr">
        <is>
          <t>Opening Day</t>
        </is>
      </c>
      <c r="K468" s="11">
        <f>IFERROR(INDEX(Roles!$B$17:$B$20,MATCH(J468,Roles!$A$17:$A$20,0)),1)</f>
        <v/>
      </c>
      <c r="L468" s="18" t="n">
        <v>1</v>
      </c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3">
        <f>SUMPRODUCT(M468:X468,$M$2:$X$2)*$K468*$L468</f>
        <v/>
      </c>
      <c r="Z468" s="14">
        <f>SUM(M468:X468)</f>
        <v/>
      </c>
      <c r="AA468" s="13">
        <f>SUMPRODUCT(M468:X468,$M$3:$X$3)*$K468*$L468</f>
        <v/>
      </c>
      <c r="AB468" s="13">
        <f>SUMPRODUCT(M468:X468,$M$4:$X$4)*$K468*$L468</f>
        <v/>
      </c>
      <c r="AC468" s="15">
        <f>SUMPRODUCT(M468:X468,$M$5:$X$5)*$K468*$L468</f>
        <v/>
      </c>
      <c r="AD468" s="15">
        <f>SUMPRODUCT(M468:X468,$M$6:$X$6)*$K468*$L468</f>
        <v/>
      </c>
      <c r="AE468" s="19" t="n"/>
    </row>
    <row r="469">
      <c r="A469" s="9" t="n">
        <v>678215</v>
      </c>
      <c r="B469" s="9" t="inlineStr">
        <is>
          <t>Luarbert Arias</t>
        </is>
      </c>
      <c r="C469" s="9" t="inlineStr">
        <is>
          <t>MIA</t>
        </is>
      </c>
      <c r="D469" s="9" t="n">
        <v>26</v>
      </c>
      <c r="E469" s="17" t="inlineStr">
        <is>
          <t>R</t>
        </is>
      </c>
      <c r="F469" s="17" t="n"/>
      <c r="G469" s="9" t="n">
        <v>55</v>
      </c>
      <c r="H469" s="9" t="n">
        <v>55</v>
      </c>
      <c r="I469" s="9" t="inlineStr">
        <is>
          <t>Bullpen Depth Arm</t>
        </is>
      </c>
      <c r="J469" s="17" t="inlineStr">
        <is>
          <t>Opening Day</t>
        </is>
      </c>
      <c r="K469" s="11">
        <f>IFERROR(INDEX(Roles!$B$17:$B$20,MATCH(J469,Roles!$A$17:$A$20,0)),1)</f>
        <v/>
      </c>
      <c r="L469" s="18" t="n">
        <v>1</v>
      </c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3">
        <f>SUMPRODUCT(M469:X469,$M$2:$X$2)*$K469*$L469</f>
        <v/>
      </c>
      <c r="Z469" s="14">
        <f>SUM(M469:X469)</f>
        <v/>
      </c>
      <c r="AA469" s="13">
        <f>SUMPRODUCT(M469:X469,$M$3:$X$3)*$K469*$L469</f>
        <v/>
      </c>
      <c r="AB469" s="13">
        <f>SUMPRODUCT(M469:X469,$M$4:$X$4)*$K469*$L469</f>
        <v/>
      </c>
      <c r="AC469" s="15">
        <f>SUMPRODUCT(M469:X469,$M$5:$X$5)*$K469*$L469</f>
        <v/>
      </c>
      <c r="AD469" s="15">
        <f>SUMPRODUCT(M469:X469,$M$6:$X$6)*$K469*$L469</f>
        <v/>
      </c>
      <c r="AE469" s="19" t="n"/>
    </row>
    <row r="470">
      <c r="A470" s="9" t="n">
        <v>674384</v>
      </c>
      <c r="B470" s="9" t="inlineStr">
        <is>
          <t>Eduarniel Núñez</t>
        </is>
      </c>
      <c r="C470" s="9" t="inlineStr">
        <is>
          <t>OAK</t>
        </is>
      </c>
      <c r="D470" s="9" t="n">
        <v>28</v>
      </c>
      <c r="E470" s="17" t="inlineStr">
        <is>
          <t>R</t>
        </is>
      </c>
      <c r="F470" s="17" t="n"/>
      <c r="G470" s="9" t="n">
        <v>60</v>
      </c>
      <c r="H470" s="9" t="n">
        <v>60</v>
      </c>
      <c r="I470" s="9" t="inlineStr">
        <is>
          <t>Bullpen Depth Arm</t>
        </is>
      </c>
      <c r="J470" s="17" t="inlineStr">
        <is>
          <t>Opening Day</t>
        </is>
      </c>
      <c r="K470" s="11">
        <f>IFERROR(INDEX(Roles!$B$17:$B$20,MATCH(J470,Roles!$A$17:$A$20,0)),1)</f>
        <v/>
      </c>
      <c r="L470" s="18" t="n">
        <v>1</v>
      </c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3">
        <f>SUMPRODUCT(M470:X470,$M$2:$X$2)*$K470*$L470</f>
        <v/>
      </c>
      <c r="Z470" s="14">
        <f>SUM(M470:X470)</f>
        <v/>
      </c>
      <c r="AA470" s="13">
        <f>SUMPRODUCT(M470:X470,$M$3:$X$3)*$K470*$L470</f>
        <v/>
      </c>
      <c r="AB470" s="13">
        <f>SUMPRODUCT(M470:X470,$M$4:$X$4)*$K470*$L470</f>
        <v/>
      </c>
      <c r="AC470" s="15">
        <f>SUMPRODUCT(M470:X470,$M$5:$X$5)*$K470*$L470</f>
        <v/>
      </c>
      <c r="AD470" s="15">
        <f>SUMPRODUCT(M470:X470,$M$6:$X$6)*$K470*$L470</f>
        <v/>
      </c>
      <c r="AE470" s="19" t="n"/>
    </row>
    <row r="471">
      <c r="A471" s="9" t="n">
        <v>605280</v>
      </c>
      <c r="B471" s="9" t="inlineStr">
        <is>
          <t>Clay Holmes</t>
        </is>
      </c>
      <c r="C471" s="9" t="inlineStr">
        <is>
          <t>NYM</t>
        </is>
      </c>
      <c r="D471" s="9" t="n">
        <v>34</v>
      </c>
      <c r="E471" s="17" t="inlineStr">
        <is>
          <t>R</t>
        </is>
      </c>
      <c r="F471" s="17" t="n"/>
      <c r="G471" s="9" t="n">
        <v>215</v>
      </c>
      <c r="H471" s="9" t="n">
        <v>1716</v>
      </c>
      <c r="I471" s="9" t="inlineStr">
        <is>
          <t>End-of-Rotation Starter (SP4-5)</t>
        </is>
      </c>
      <c r="J471" s="17" t="inlineStr">
        <is>
          <t>Opening Day</t>
        </is>
      </c>
      <c r="K471" s="11">
        <f>IFERROR(INDEX(Roles!$B$17:$B$20,MATCH(J471,Roles!$A$17:$A$20,0)),1)</f>
        <v/>
      </c>
      <c r="L471" s="18" t="n">
        <v>1</v>
      </c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3">
        <f>SUMPRODUCT(M471:X471,$M$2:$X$2)*$K471*$L471</f>
        <v/>
      </c>
      <c r="Z471" s="14">
        <f>SUM(M471:X471)</f>
        <v/>
      </c>
      <c r="AA471" s="13">
        <f>SUMPRODUCT(M471:X471,$M$3:$X$3)*$K471*$L471</f>
        <v/>
      </c>
      <c r="AB471" s="13">
        <f>SUMPRODUCT(M471:X471,$M$4:$X$4)*$K471*$L471</f>
        <v/>
      </c>
      <c r="AC471" s="15">
        <f>SUMPRODUCT(M471:X471,$M$5:$X$5)*$K471*$L471</f>
        <v/>
      </c>
      <c r="AD471" s="15">
        <f>SUMPRODUCT(M471:X471,$M$6:$X$6)*$K471*$L471</f>
        <v/>
      </c>
      <c r="AE471" s="19" t="n"/>
    </row>
    <row r="472">
      <c r="A472" s="9" t="n">
        <v>702070</v>
      </c>
      <c r="B472" s="9" t="inlineStr">
        <is>
          <t>Noah Cameron</t>
        </is>
      </c>
      <c r="C472" s="9" t="inlineStr">
        <is>
          <t>KC</t>
        </is>
      </c>
      <c r="D472" s="9" t="n">
        <v>27</v>
      </c>
      <c r="E472" s="17" t="inlineStr">
        <is>
          <t>L</t>
        </is>
      </c>
      <c r="F472" s="17" t="n"/>
      <c r="G472" s="9" t="n">
        <v>275</v>
      </c>
      <c r="H472" s="9" t="n">
        <v>831</v>
      </c>
      <c r="I472" s="9" t="inlineStr">
        <is>
          <t>Mid-Rotation Starter (SP2-3)</t>
        </is>
      </c>
      <c r="J472" s="17" t="inlineStr">
        <is>
          <t>Opening Day</t>
        </is>
      </c>
      <c r="K472" s="11">
        <f>IFERROR(INDEX(Roles!$B$17:$B$20,MATCH(J472,Roles!$A$17:$A$20,0)),1)</f>
        <v/>
      </c>
      <c r="L472" s="18" t="n">
        <v>1</v>
      </c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3">
        <f>SUMPRODUCT(M472:X472,$M$2:$X$2)*$K472*$L472</f>
        <v/>
      </c>
      <c r="Z472" s="14">
        <f>SUM(M472:X472)</f>
        <v/>
      </c>
      <c r="AA472" s="13">
        <f>SUMPRODUCT(M472:X472,$M$3:$X$3)*$K472*$L472</f>
        <v/>
      </c>
      <c r="AB472" s="13">
        <f>SUMPRODUCT(M472:X472,$M$4:$X$4)*$K472*$L472</f>
        <v/>
      </c>
      <c r="AC472" s="15">
        <f>SUMPRODUCT(M472:X472,$M$5:$X$5)*$K472*$L472</f>
        <v/>
      </c>
      <c r="AD472" s="15">
        <f>SUMPRODUCT(M472:X472,$M$6:$X$6)*$K472*$L472</f>
        <v/>
      </c>
      <c r="AE472" s="19" t="n"/>
    </row>
    <row r="473">
      <c r="A473" s="9" t="n">
        <v>694851</v>
      </c>
      <c r="B473" s="9" t="inlineStr">
        <is>
          <t>Andrew Hoffmann</t>
        </is>
      </c>
      <c r="C473" s="9" t="inlineStr">
        <is>
          <t>ARI</t>
        </is>
      </c>
      <c r="D473" s="9" t="n">
        <v>27</v>
      </c>
      <c r="E473" s="17" t="inlineStr">
        <is>
          <t>R</t>
        </is>
      </c>
      <c r="F473" s="17" t="n"/>
      <c r="G473" s="9" t="n">
        <v>59</v>
      </c>
      <c r="H473" s="9" t="n">
        <v>120</v>
      </c>
      <c r="I473" s="9" t="inlineStr">
        <is>
          <t>Bullpen Depth Arm</t>
        </is>
      </c>
      <c r="J473" s="17" t="inlineStr">
        <is>
          <t>Opening Day</t>
        </is>
      </c>
      <c r="K473" s="11">
        <f>IFERROR(INDEX(Roles!$B$17:$B$20,MATCH(J473,Roles!$A$17:$A$20,0)),1)</f>
        <v/>
      </c>
      <c r="L473" s="18" t="n">
        <v>1</v>
      </c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3">
        <f>SUMPRODUCT(M473:X473,$M$2:$X$2)*$K473*$L473</f>
        <v/>
      </c>
      <c r="Z473" s="14">
        <f>SUM(M473:X473)</f>
        <v/>
      </c>
      <c r="AA473" s="13">
        <f>SUMPRODUCT(M473:X473,$M$3:$X$3)*$K473*$L473</f>
        <v/>
      </c>
      <c r="AB473" s="13">
        <f>SUMPRODUCT(M473:X473,$M$4:$X$4)*$K473*$L473</f>
        <v/>
      </c>
      <c r="AC473" s="15">
        <f>SUMPRODUCT(M473:X473,$M$5:$X$5)*$K473*$L473</f>
        <v/>
      </c>
      <c r="AD473" s="15">
        <f>SUMPRODUCT(M473:X473,$M$6:$X$6)*$K473*$L473</f>
        <v/>
      </c>
      <c r="AE473" s="19" t="n"/>
    </row>
    <row r="474">
      <c r="A474" s="9" t="n">
        <v>701519</v>
      </c>
      <c r="B474" s="9" t="inlineStr">
        <is>
          <t>Travis Adams</t>
        </is>
      </c>
      <c r="C474" s="9" t="inlineStr">
        <is>
          <t>MIN</t>
        </is>
      </c>
      <c r="D474" s="9" t="n">
        <v>27</v>
      </c>
      <c r="E474" s="17" t="inlineStr">
        <is>
          <t>R</t>
        </is>
      </c>
      <c r="F474" s="17" t="n"/>
      <c r="G474" s="9" t="n">
        <v>56</v>
      </c>
      <c r="H474" s="9" t="n">
        <v>214</v>
      </c>
      <c r="I474" s="9" t="inlineStr">
        <is>
          <t>Bullpen Depth Arm</t>
        </is>
      </c>
      <c r="J474" s="17" t="inlineStr">
        <is>
          <t>Opening Day</t>
        </is>
      </c>
      <c r="K474" s="11">
        <f>IFERROR(INDEX(Roles!$B$17:$B$20,MATCH(J474,Roles!$A$17:$A$20,0)),1)</f>
        <v/>
      </c>
      <c r="L474" s="18" t="n">
        <v>1</v>
      </c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3">
        <f>SUMPRODUCT(M474:X474,$M$2:$X$2)*$K474*$L474</f>
        <v/>
      </c>
      <c r="Z474" s="14">
        <f>SUM(M474:X474)</f>
        <v/>
      </c>
      <c r="AA474" s="13">
        <f>SUMPRODUCT(M474:X474,$M$3:$X$3)*$K474*$L474</f>
        <v/>
      </c>
      <c r="AB474" s="13">
        <f>SUMPRODUCT(M474:X474,$M$4:$X$4)*$K474*$L474</f>
        <v/>
      </c>
      <c r="AC474" s="15">
        <f>SUMPRODUCT(M474:X474,$M$5:$X$5)*$K474*$L474</f>
        <v/>
      </c>
      <c r="AD474" s="15">
        <f>SUMPRODUCT(M474:X474,$M$6:$X$6)*$K474*$L474</f>
        <v/>
      </c>
      <c r="AE474" s="19" t="n"/>
    </row>
    <row r="475">
      <c r="A475" s="9" t="n">
        <v>681168</v>
      </c>
      <c r="B475" s="9" t="inlineStr">
        <is>
          <t>Luis Curvelo</t>
        </is>
      </c>
      <c r="C475" s="9" t="inlineStr">
        <is>
          <t>TEX</t>
        </is>
      </c>
      <c r="D475" s="9" t="n">
        <v>26</v>
      </c>
      <c r="E475" s="17" t="inlineStr">
        <is>
          <t>R</t>
        </is>
      </c>
      <c r="F475" s="17" t="n"/>
      <c r="G475" s="9" t="n">
        <v>34</v>
      </c>
      <c r="H475" s="9" t="n">
        <v>118</v>
      </c>
      <c r="I475" s="9" t="inlineStr">
        <is>
          <t>Bullpen Depth Arm</t>
        </is>
      </c>
      <c r="J475" s="17" t="inlineStr">
        <is>
          <t>Opening Day</t>
        </is>
      </c>
      <c r="K475" s="11">
        <f>IFERROR(INDEX(Roles!$B$17:$B$20,MATCH(J475,Roles!$A$17:$A$20,0)),1)</f>
        <v/>
      </c>
      <c r="L475" s="18" t="n">
        <v>1</v>
      </c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3">
        <f>SUMPRODUCT(M475:X475,$M$2:$X$2)*$K475*$L475</f>
        <v/>
      </c>
      <c r="Z475" s="14">
        <f>SUM(M475:X475)</f>
        <v/>
      </c>
      <c r="AA475" s="13">
        <f>SUMPRODUCT(M475:X475,$M$3:$X$3)*$K475*$L475</f>
        <v/>
      </c>
      <c r="AB475" s="13">
        <f>SUMPRODUCT(M475:X475,$M$4:$X$4)*$K475*$L475</f>
        <v/>
      </c>
      <c r="AC475" s="15">
        <f>SUMPRODUCT(M475:X475,$M$5:$X$5)*$K475*$L475</f>
        <v/>
      </c>
      <c r="AD475" s="15">
        <f>SUMPRODUCT(M475:X475,$M$6:$X$6)*$K475*$L475</f>
        <v/>
      </c>
      <c r="AE475" s="19" t="n"/>
    </row>
    <row r="476">
      <c r="A476" s="9" t="n">
        <v>666201</v>
      </c>
      <c r="B476" s="9" t="inlineStr">
        <is>
          <t>Alek Manoah</t>
        </is>
      </c>
      <c r="C476" s="9" t="inlineStr">
        <is>
          <t>LAA</t>
        </is>
      </c>
      <c r="D476" s="9" t="n">
        <v>29</v>
      </c>
      <c r="E476" s="17" t="inlineStr">
        <is>
          <t>R</t>
        </is>
      </c>
      <c r="F476" s="17" t="n"/>
      <c r="G476" s="9" t="n">
        <v>39</v>
      </c>
      <c r="H476" s="9" t="n">
        <v>1343</v>
      </c>
      <c r="I476" s="9" t="inlineStr">
        <is>
          <t>End-of-Rotation Starter (SP4-5)</t>
        </is>
      </c>
      <c r="J476" s="17" t="inlineStr">
        <is>
          <t>Opening Day</t>
        </is>
      </c>
      <c r="K476" s="11">
        <f>IFERROR(INDEX(Roles!$B$17:$B$20,MATCH(J476,Roles!$A$17:$A$20,0)),1)</f>
        <v/>
      </c>
      <c r="L476" s="18" t="n">
        <v>1</v>
      </c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3">
        <f>SUMPRODUCT(M476:X476,$M$2:$X$2)*$K476*$L476</f>
        <v/>
      </c>
      <c r="Z476" s="14">
        <f>SUM(M476:X476)</f>
        <v/>
      </c>
      <c r="AA476" s="13">
        <f>SUMPRODUCT(M476:X476,$M$3:$X$3)*$K476*$L476</f>
        <v/>
      </c>
      <c r="AB476" s="13">
        <f>SUMPRODUCT(M476:X476,$M$4:$X$4)*$K476*$L476</f>
        <v/>
      </c>
      <c r="AC476" s="15">
        <f>SUMPRODUCT(M476:X476,$M$5:$X$5)*$K476*$L476</f>
        <v/>
      </c>
      <c r="AD476" s="15">
        <f>SUMPRODUCT(M476:X476,$M$6:$X$6)*$K476*$L476</f>
        <v/>
      </c>
      <c r="AE476" s="19" t="n"/>
    </row>
    <row r="477">
      <c r="A477" s="9" t="n">
        <v>605135</v>
      </c>
      <c r="B477" s="9" t="inlineStr">
        <is>
          <t>Chris Bassitt</t>
        </is>
      </c>
      <c r="C477" s="9" t="inlineStr">
        <is>
          <t>BAL</t>
        </is>
      </c>
      <c r="D477" s="9" t="n">
        <v>38</v>
      </c>
      <c r="E477" s="17" t="inlineStr">
        <is>
          <t>R</t>
        </is>
      </c>
      <c r="F477" s="17" t="n"/>
      <c r="G477" s="9" t="n">
        <v>261</v>
      </c>
      <c r="H477" s="9" t="n">
        <v>3326</v>
      </c>
      <c r="I477" s="9" t="inlineStr">
        <is>
          <t>Mid-Rotation Starter (SP2-3)</t>
        </is>
      </c>
      <c r="J477" s="17" t="inlineStr">
        <is>
          <t>Opening Day</t>
        </is>
      </c>
      <c r="K477" s="11">
        <f>IFERROR(INDEX(Roles!$B$17:$B$20,MATCH(J477,Roles!$A$17:$A$20,0)),1)</f>
        <v/>
      </c>
      <c r="L477" s="18" t="n">
        <v>1</v>
      </c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3">
        <f>SUMPRODUCT(M477:X477,$M$2:$X$2)*$K477*$L477</f>
        <v/>
      </c>
      <c r="Z477" s="14">
        <f>SUM(M477:X477)</f>
        <v/>
      </c>
      <c r="AA477" s="13">
        <f>SUMPRODUCT(M477:X477,$M$3:$X$3)*$K477*$L477</f>
        <v/>
      </c>
      <c r="AB477" s="13">
        <f>SUMPRODUCT(M477:X477,$M$4:$X$4)*$K477*$L477</f>
        <v/>
      </c>
      <c r="AC477" s="15">
        <f>SUMPRODUCT(M477:X477,$M$5:$X$5)*$K477*$L477</f>
        <v/>
      </c>
      <c r="AD477" s="15">
        <f>SUMPRODUCT(M477:X477,$M$6:$X$6)*$K477*$L477</f>
        <v/>
      </c>
      <c r="AE477" s="19" t="n"/>
    </row>
    <row r="478">
      <c r="A478" s="9" t="n">
        <v>608665</v>
      </c>
      <c r="B478" s="9" t="inlineStr">
        <is>
          <t>Kendall Graveman</t>
        </is>
      </c>
      <c r="C478" s="9" t="inlineStr">
        <is>
          <t>ARI</t>
        </is>
      </c>
      <c r="D478" s="9" t="n">
        <v>36</v>
      </c>
      <c r="E478" s="17" t="inlineStr">
        <is>
          <t>R</t>
        </is>
      </c>
      <c r="F478" s="17" t="n"/>
      <c r="G478" s="9" t="n">
        <v>82</v>
      </c>
      <c r="H478" s="9" t="n">
        <v>649</v>
      </c>
      <c r="I478" s="9" t="inlineStr">
        <is>
          <t>Bullpen Depth Arm</t>
        </is>
      </c>
      <c r="J478" s="17" t="inlineStr">
        <is>
          <t>Opening Day</t>
        </is>
      </c>
      <c r="K478" s="11">
        <f>IFERROR(INDEX(Roles!$B$17:$B$20,MATCH(J478,Roles!$A$17:$A$20,0)),1)</f>
        <v/>
      </c>
      <c r="L478" s="18" t="n">
        <v>1</v>
      </c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3">
        <f>SUMPRODUCT(M478:X478,$M$2:$X$2)*$K478*$L478</f>
        <v/>
      </c>
      <c r="Z478" s="14">
        <f>SUM(M478:X478)</f>
        <v/>
      </c>
      <c r="AA478" s="13">
        <f>SUMPRODUCT(M478:X478,$M$3:$X$3)*$K478*$L478</f>
        <v/>
      </c>
      <c r="AB478" s="13">
        <f>SUMPRODUCT(M478:X478,$M$4:$X$4)*$K478*$L478</f>
        <v/>
      </c>
      <c r="AC478" s="15">
        <f>SUMPRODUCT(M478:X478,$M$5:$X$5)*$K478*$L478</f>
        <v/>
      </c>
      <c r="AD478" s="15">
        <f>SUMPRODUCT(M478:X478,$M$6:$X$6)*$K478*$L478</f>
        <v/>
      </c>
      <c r="AE478" s="19" t="n"/>
    </row>
    <row r="479">
      <c r="A479" s="9" t="n">
        <v>573009</v>
      </c>
      <c r="B479" s="9" t="inlineStr">
        <is>
          <t>Joe Mantiply</t>
        </is>
      </c>
      <c r="C479" s="9" t="inlineStr">
        <is>
          <t>TOR</t>
        </is>
      </c>
      <c r="D479" s="9" t="n">
        <v>36</v>
      </c>
      <c r="E479" s="17" t="inlineStr">
        <is>
          <t>L</t>
        </is>
      </c>
      <c r="F479" s="17" t="n"/>
      <c r="G479" s="9" t="n">
        <v>71</v>
      </c>
      <c r="H479" s="9" t="n">
        <v>772</v>
      </c>
      <c r="I479" s="9" t="inlineStr">
        <is>
          <t>Bullpen Depth Arm</t>
        </is>
      </c>
      <c r="J479" s="17" t="inlineStr">
        <is>
          <t>Opening Day</t>
        </is>
      </c>
      <c r="K479" s="11">
        <f>IFERROR(INDEX(Roles!$B$17:$B$20,MATCH(J479,Roles!$A$17:$A$20,0)),1)</f>
        <v/>
      </c>
      <c r="L479" s="18" t="n">
        <v>1</v>
      </c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3">
        <f>SUMPRODUCT(M479:X479,$M$2:$X$2)*$K479*$L479</f>
        <v/>
      </c>
      <c r="Z479" s="14">
        <f>SUM(M479:X479)</f>
        <v/>
      </c>
      <c r="AA479" s="13">
        <f>SUMPRODUCT(M479:X479,$M$3:$X$3)*$K479*$L479</f>
        <v/>
      </c>
      <c r="AB479" s="13">
        <f>SUMPRODUCT(M479:X479,$M$4:$X$4)*$K479*$L479</f>
        <v/>
      </c>
      <c r="AC479" s="15">
        <f>SUMPRODUCT(M479:X479,$M$5:$X$5)*$K479*$L479</f>
        <v/>
      </c>
      <c r="AD479" s="15">
        <f>SUMPRODUCT(M479:X479,$M$6:$X$6)*$K479*$L479</f>
        <v/>
      </c>
      <c r="AE479" s="19" t="n"/>
    </row>
    <row r="480">
      <c r="A480" s="9" t="n">
        <v>679358</v>
      </c>
      <c r="B480" s="9" t="inlineStr">
        <is>
          <t>Eric Orze</t>
        </is>
      </c>
      <c r="C480" s="9" t="inlineStr">
        <is>
          <t>MIN</t>
        </is>
      </c>
      <c r="D480" s="9" t="n">
        <v>29</v>
      </c>
      <c r="E480" s="17" t="inlineStr">
        <is>
          <t>R</t>
        </is>
      </c>
      <c r="F480" s="17" t="n"/>
      <c r="G480" s="9" t="n">
        <v>141</v>
      </c>
      <c r="H480" s="9" t="n">
        <v>330</v>
      </c>
      <c r="I480" s="9" t="inlineStr">
        <is>
          <t>Bullpen Depth Arm</t>
        </is>
      </c>
      <c r="J480" s="17" t="inlineStr">
        <is>
          <t>Opening Day</t>
        </is>
      </c>
      <c r="K480" s="11">
        <f>IFERROR(INDEX(Roles!$B$17:$B$20,MATCH(J480,Roles!$A$17:$A$20,0)),1)</f>
        <v/>
      </c>
      <c r="L480" s="18" t="n">
        <v>1</v>
      </c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3">
        <f>SUMPRODUCT(M480:X480,$M$2:$X$2)*$K480*$L480</f>
        <v/>
      </c>
      <c r="Z480" s="14">
        <f>SUM(M480:X480)</f>
        <v/>
      </c>
      <c r="AA480" s="13">
        <f>SUMPRODUCT(M480:X480,$M$3:$X$3)*$K480*$L480</f>
        <v/>
      </c>
      <c r="AB480" s="13">
        <f>SUMPRODUCT(M480:X480,$M$4:$X$4)*$K480*$L480</f>
        <v/>
      </c>
      <c r="AC480" s="15">
        <f>SUMPRODUCT(M480:X480,$M$5:$X$5)*$K480*$L480</f>
        <v/>
      </c>
      <c r="AD480" s="15">
        <f>SUMPRODUCT(M480:X480,$M$6:$X$6)*$K480*$L480</f>
        <v/>
      </c>
      <c r="AE480" s="19" t="n"/>
    </row>
    <row r="481">
      <c r="A481" s="9" t="n">
        <v>663855</v>
      </c>
      <c r="B481" s="9" t="inlineStr">
        <is>
          <t>Jordan Hicks</t>
        </is>
      </c>
      <c r="C481" s="9" t="inlineStr">
        <is>
          <t>CWS</t>
        </is>
      </c>
      <c r="D481" s="9" t="n">
        <v>30</v>
      </c>
      <c r="E481" s="17" t="inlineStr">
        <is>
          <t>R</t>
        </is>
      </c>
      <c r="F481" s="17" t="n"/>
      <c r="G481" s="9" t="n">
        <v>87</v>
      </c>
      <c r="H481" s="9" t="n">
        <v>1430</v>
      </c>
      <c r="I481" s="9" t="inlineStr">
        <is>
          <t>Bullpen Depth Arm</t>
        </is>
      </c>
      <c r="J481" s="17" t="inlineStr">
        <is>
          <t>Opening Day</t>
        </is>
      </c>
      <c r="K481" s="11">
        <f>IFERROR(INDEX(Roles!$B$17:$B$20,MATCH(J481,Roles!$A$17:$A$20,0)),1)</f>
        <v/>
      </c>
      <c r="L481" s="18" t="n">
        <v>1</v>
      </c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3">
        <f>SUMPRODUCT(M481:X481,$M$2:$X$2)*$K481*$L481</f>
        <v/>
      </c>
      <c r="Z481" s="14">
        <f>SUM(M481:X481)</f>
        <v/>
      </c>
      <c r="AA481" s="13">
        <f>SUMPRODUCT(M481:X481,$M$3:$X$3)*$K481*$L481</f>
        <v/>
      </c>
      <c r="AB481" s="13">
        <f>SUMPRODUCT(M481:X481,$M$4:$X$4)*$K481*$L481</f>
        <v/>
      </c>
      <c r="AC481" s="15">
        <f>SUMPRODUCT(M481:X481,$M$5:$X$5)*$K481*$L481</f>
        <v/>
      </c>
      <c r="AD481" s="15">
        <f>SUMPRODUCT(M481:X481,$M$6:$X$6)*$K481*$L481</f>
        <v/>
      </c>
      <c r="AE481" s="19" t="n"/>
    </row>
    <row r="482">
      <c r="A482" s="9" t="n">
        <v>676051</v>
      </c>
      <c r="B482" s="9" t="inlineStr">
        <is>
          <t>Codi Heuer</t>
        </is>
      </c>
      <c r="C482" s="9" t="inlineStr">
        <is>
          <t>CLE</t>
        </is>
      </c>
      <c r="D482" s="9" t="n">
        <v>30</v>
      </c>
      <c r="E482" s="17" t="inlineStr">
        <is>
          <t>R</t>
        </is>
      </c>
      <c r="F482" s="17" t="n"/>
      <c r="G482" s="9" t="n">
        <v>34</v>
      </c>
      <c r="H482" s="9" t="n">
        <v>55</v>
      </c>
      <c r="I482" s="9" t="inlineStr">
        <is>
          <t>Bullpen Depth Arm</t>
        </is>
      </c>
      <c r="J482" s="17" t="inlineStr">
        <is>
          <t>Opening Day</t>
        </is>
      </c>
      <c r="K482" s="11">
        <f>IFERROR(INDEX(Roles!$B$17:$B$20,MATCH(J482,Roles!$A$17:$A$20,0)),1)</f>
        <v/>
      </c>
      <c r="L482" s="18" t="n">
        <v>1</v>
      </c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3">
        <f>SUMPRODUCT(M482:X482,$M$2:$X$2)*$K482*$L482</f>
        <v/>
      </c>
      <c r="Z482" s="14">
        <f>SUM(M482:X482)</f>
        <v/>
      </c>
      <c r="AA482" s="13">
        <f>SUMPRODUCT(M482:X482,$M$3:$X$3)*$K482*$L482</f>
        <v/>
      </c>
      <c r="AB482" s="13">
        <f>SUMPRODUCT(M482:X482,$M$4:$X$4)*$K482*$L482</f>
        <v/>
      </c>
      <c r="AC482" s="15">
        <f>SUMPRODUCT(M482:X482,$M$5:$X$5)*$K482*$L482</f>
        <v/>
      </c>
      <c r="AD482" s="15">
        <f>SUMPRODUCT(M482:X482,$M$6:$X$6)*$K482*$L482</f>
        <v/>
      </c>
      <c r="AE482" s="19" t="n"/>
    </row>
    <row r="483">
      <c r="A483" s="9" t="n">
        <v>696131</v>
      </c>
      <c r="B483" s="9" t="inlineStr">
        <is>
          <t>Mason Black</t>
        </is>
      </c>
      <c r="C483" s="9" t="inlineStr">
        <is>
          <t>KC</t>
        </is>
      </c>
      <c r="D483" s="9" t="n">
        <v>27</v>
      </c>
      <c r="E483" s="17" t="inlineStr">
        <is>
          <t>R</t>
        </is>
      </c>
      <c r="F483" s="17" t="n"/>
      <c r="G483" s="9" t="n">
        <v>41</v>
      </c>
      <c r="H483" s="9" t="n">
        <v>229</v>
      </c>
      <c r="I483" s="9" t="inlineStr">
        <is>
          <t>Bullpen Depth Arm</t>
        </is>
      </c>
      <c r="J483" s="17" t="inlineStr">
        <is>
          <t>Opening Day</t>
        </is>
      </c>
      <c r="K483" s="11">
        <f>IFERROR(INDEX(Roles!$B$17:$B$20,MATCH(J483,Roles!$A$17:$A$20,0)),1)</f>
        <v/>
      </c>
      <c r="L483" s="18" t="n">
        <v>1</v>
      </c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3">
        <f>SUMPRODUCT(M483:X483,$M$2:$X$2)*$K483*$L483</f>
        <v/>
      </c>
      <c r="Z483" s="14">
        <f>SUM(M483:X483)</f>
        <v/>
      </c>
      <c r="AA483" s="13">
        <f>SUMPRODUCT(M483:X483,$M$3:$X$3)*$K483*$L483</f>
        <v/>
      </c>
      <c r="AB483" s="13">
        <f>SUMPRODUCT(M483:X483,$M$4:$X$4)*$K483*$L483</f>
        <v/>
      </c>
      <c r="AC483" s="15">
        <f>SUMPRODUCT(M483:X483,$M$5:$X$5)*$K483*$L483</f>
        <v/>
      </c>
      <c r="AD483" s="15">
        <f>SUMPRODUCT(M483:X483,$M$6:$X$6)*$K483*$L483</f>
        <v/>
      </c>
      <c r="AE483" s="19" t="n"/>
    </row>
    <row r="484">
      <c r="A484" s="9" t="n">
        <v>681347</v>
      </c>
      <c r="B484" s="9" t="inlineStr">
        <is>
          <t>Mike Burrows</t>
        </is>
      </c>
      <c r="C484" s="9" t="inlineStr">
        <is>
          <t>HOU</t>
        </is>
      </c>
      <c r="D484" s="9" t="n">
        <v>27</v>
      </c>
      <c r="E484" s="17" t="inlineStr">
        <is>
          <t>R</t>
        </is>
      </c>
      <c r="F484" s="17" t="n"/>
      <c r="G484" s="9" t="n">
        <v>326</v>
      </c>
      <c r="H484" s="9" t="n">
        <v>742</v>
      </c>
      <c r="I484" s="9" t="inlineStr">
        <is>
          <t>End-of-Rotation Starter (SP4-5)</t>
        </is>
      </c>
      <c r="J484" s="17" t="inlineStr">
        <is>
          <t>Opening Day</t>
        </is>
      </c>
      <c r="K484" s="11">
        <f>IFERROR(INDEX(Roles!$B$17:$B$20,MATCH(J484,Roles!$A$17:$A$20,0)),1)</f>
        <v/>
      </c>
      <c r="L484" s="18" t="n">
        <v>1</v>
      </c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3">
        <f>SUMPRODUCT(M484:X484,$M$2:$X$2)*$K484*$L484</f>
        <v/>
      </c>
      <c r="Z484" s="14">
        <f>SUM(M484:X484)</f>
        <v/>
      </c>
      <c r="AA484" s="13">
        <f>SUMPRODUCT(M484:X484,$M$3:$X$3)*$K484*$L484</f>
        <v/>
      </c>
      <c r="AB484" s="13">
        <f>SUMPRODUCT(M484:X484,$M$4:$X$4)*$K484*$L484</f>
        <v/>
      </c>
      <c r="AC484" s="15">
        <f>SUMPRODUCT(M484:X484,$M$5:$X$5)*$K484*$L484</f>
        <v/>
      </c>
      <c r="AD484" s="15">
        <f>SUMPRODUCT(M484:X484,$M$6:$X$6)*$K484*$L484</f>
        <v/>
      </c>
      <c r="AE484" s="19" t="n"/>
    </row>
    <row r="485">
      <c r="A485" s="9" t="n">
        <v>664199</v>
      </c>
      <c r="B485" s="9" t="inlineStr">
        <is>
          <t>Taylor Clarke</t>
        </is>
      </c>
      <c r="C485" s="9" t="inlineStr">
        <is>
          <t>ARI</t>
        </is>
      </c>
      <c r="D485" s="9" t="n">
        <v>34</v>
      </c>
      <c r="E485" s="17" t="inlineStr">
        <is>
          <t>R</t>
        </is>
      </c>
      <c r="F485" s="17" t="n"/>
      <c r="G485" s="9" t="n">
        <v>106</v>
      </c>
      <c r="H485" s="9" t="n">
        <v>781</v>
      </c>
      <c r="I485" s="9" t="inlineStr">
        <is>
          <t>Bullpen Depth Arm</t>
        </is>
      </c>
      <c r="J485" s="17" t="inlineStr">
        <is>
          <t>Opening Day</t>
        </is>
      </c>
      <c r="K485" s="11">
        <f>IFERROR(INDEX(Roles!$B$17:$B$20,MATCH(J485,Roles!$A$17:$A$20,0)),1)</f>
        <v/>
      </c>
      <c r="L485" s="18" t="n">
        <v>1</v>
      </c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3">
        <f>SUMPRODUCT(M485:X485,$M$2:$X$2)*$K485*$L485</f>
        <v/>
      </c>
      <c r="Z485" s="14">
        <f>SUM(M485:X485)</f>
        <v/>
      </c>
      <c r="AA485" s="13">
        <f>SUMPRODUCT(M485:X485,$M$3:$X$3)*$K485*$L485</f>
        <v/>
      </c>
      <c r="AB485" s="13">
        <f>SUMPRODUCT(M485:X485,$M$4:$X$4)*$K485*$L485</f>
        <v/>
      </c>
      <c r="AC485" s="15">
        <f>SUMPRODUCT(M485:X485,$M$5:$X$5)*$K485*$L485</f>
        <v/>
      </c>
      <c r="AD485" s="15">
        <f>SUMPRODUCT(M485:X485,$M$6:$X$6)*$K485*$L485</f>
        <v/>
      </c>
      <c r="AE485" s="19" t="n"/>
    </row>
    <row r="486">
      <c r="A486" s="9" t="n">
        <v>623433</v>
      </c>
      <c r="B486" s="9" t="inlineStr">
        <is>
          <t>Nick Anderson</t>
        </is>
      </c>
      <c r="C486" s="9" t="inlineStr">
        <is>
          <t>COL</t>
        </is>
      </c>
      <c r="D486" s="9" t="n">
        <v>36</v>
      </c>
      <c r="E486" s="17" t="inlineStr">
        <is>
          <t>R</t>
        </is>
      </c>
      <c r="F486" s="17" t="n"/>
      <c r="G486" s="9" t="n">
        <v>61</v>
      </c>
      <c r="H486" s="9" t="n">
        <v>355</v>
      </c>
      <c r="I486" s="9" t="inlineStr">
        <is>
          <t>Middle Relief</t>
        </is>
      </c>
      <c r="J486" s="17" t="inlineStr">
        <is>
          <t>Opening Day</t>
        </is>
      </c>
      <c r="K486" s="11">
        <f>IFERROR(INDEX(Roles!$B$17:$B$20,MATCH(J486,Roles!$A$17:$A$20,0)),1)</f>
        <v/>
      </c>
      <c r="L486" s="18" t="n">
        <v>1</v>
      </c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3">
        <f>SUMPRODUCT(M486:X486,$M$2:$X$2)*$K486*$L486</f>
        <v/>
      </c>
      <c r="Z486" s="14">
        <f>SUM(M486:X486)</f>
        <v/>
      </c>
      <c r="AA486" s="13">
        <f>SUMPRODUCT(M486:X486,$M$3:$X$3)*$K486*$L486</f>
        <v/>
      </c>
      <c r="AB486" s="13">
        <f>SUMPRODUCT(M486:X486,$M$4:$X$4)*$K486*$L486</f>
        <v/>
      </c>
      <c r="AC486" s="15">
        <f>SUMPRODUCT(M486:X486,$M$5:$X$5)*$K486*$L486</f>
        <v/>
      </c>
      <c r="AD486" s="15">
        <f>SUMPRODUCT(M486:X486,$M$6:$X$6)*$K486*$L486</f>
        <v/>
      </c>
      <c r="AE486" s="19" t="n"/>
    </row>
    <row r="487">
      <c r="A487" s="9" t="n">
        <v>680767</v>
      </c>
      <c r="B487" s="9" t="inlineStr">
        <is>
          <t>Victor Vodnik</t>
        </is>
      </c>
      <c r="C487" s="9" t="inlineStr">
        <is>
          <t>COL</t>
        </is>
      </c>
      <c r="D487" s="9" t="n">
        <v>27</v>
      </c>
      <c r="E487" s="17" t="inlineStr">
        <is>
          <t>R</t>
        </is>
      </c>
      <c r="F487" s="17" t="n"/>
      <c r="G487" s="9" t="n">
        <v>90</v>
      </c>
      <c r="H487" s="9" t="n">
        <v>669</v>
      </c>
      <c r="I487" s="9" t="inlineStr">
        <is>
          <t>Middle Relief</t>
        </is>
      </c>
      <c r="J487" s="17" t="inlineStr">
        <is>
          <t>Opening Day</t>
        </is>
      </c>
      <c r="K487" s="11">
        <f>IFERROR(INDEX(Roles!$B$17:$B$20,MATCH(J487,Roles!$A$17:$A$20,0)),1)</f>
        <v/>
      </c>
      <c r="L487" s="18" t="n">
        <v>1</v>
      </c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3">
        <f>SUMPRODUCT(M487:X487,$M$2:$X$2)*$K487*$L487</f>
        <v/>
      </c>
      <c r="Z487" s="14">
        <f>SUM(M487:X487)</f>
        <v/>
      </c>
      <c r="AA487" s="13">
        <f>SUMPRODUCT(M487:X487,$M$3:$X$3)*$K487*$L487</f>
        <v/>
      </c>
      <c r="AB487" s="13">
        <f>SUMPRODUCT(M487:X487,$M$4:$X$4)*$K487*$L487</f>
        <v/>
      </c>
      <c r="AC487" s="15">
        <f>SUMPRODUCT(M487:X487,$M$5:$X$5)*$K487*$L487</f>
        <v/>
      </c>
      <c r="AD487" s="15">
        <f>SUMPRODUCT(M487:X487,$M$6:$X$6)*$K487*$L487</f>
        <v/>
      </c>
      <c r="AE487" s="19" t="n"/>
    </row>
    <row r="488">
      <c r="A488" s="9" t="n">
        <v>656222</v>
      </c>
      <c r="B488" s="9" t="inlineStr">
        <is>
          <t>Jalen Beeks</t>
        </is>
      </c>
      <c r="C488" s="9" t="inlineStr">
        <is>
          <t>TEX</t>
        </is>
      </c>
      <c r="D488" s="9" t="n">
        <v>33</v>
      </c>
      <c r="E488" s="17" t="inlineStr">
        <is>
          <t>L</t>
        </is>
      </c>
      <c r="F488" s="17" t="n"/>
      <c r="G488" s="9" t="n">
        <v>113</v>
      </c>
      <c r="H488" s="9" t="n">
        <v>1098</v>
      </c>
      <c r="I488" s="9" t="inlineStr">
        <is>
          <t>Bullpen Depth Arm</t>
        </is>
      </c>
      <c r="J488" s="17" t="inlineStr">
        <is>
          <t>Opening Day</t>
        </is>
      </c>
      <c r="K488" s="11">
        <f>IFERROR(INDEX(Roles!$B$17:$B$20,MATCH(J488,Roles!$A$17:$A$20,0)),1)</f>
        <v/>
      </c>
      <c r="L488" s="18" t="n">
        <v>1</v>
      </c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3">
        <f>SUMPRODUCT(M488:X488,$M$2:$X$2)*$K488*$L488</f>
        <v/>
      </c>
      <c r="Z488" s="14">
        <f>SUM(M488:X488)</f>
        <v/>
      </c>
      <c r="AA488" s="13">
        <f>SUMPRODUCT(M488:X488,$M$3:$X$3)*$K488*$L488</f>
        <v/>
      </c>
      <c r="AB488" s="13">
        <f>SUMPRODUCT(M488:X488,$M$4:$X$4)*$K488*$L488</f>
        <v/>
      </c>
      <c r="AC488" s="15">
        <f>SUMPRODUCT(M488:X488,$M$5:$X$5)*$K488*$L488</f>
        <v/>
      </c>
      <c r="AD488" s="15">
        <f>SUMPRODUCT(M488:X488,$M$6:$X$6)*$K488*$L488</f>
        <v/>
      </c>
      <c r="AE488" s="19" t="n"/>
    </row>
    <row r="489">
      <c r="A489" s="9" t="n">
        <v>534910</v>
      </c>
      <c r="B489" s="9" t="inlineStr">
        <is>
          <t>Jesse Hahn</t>
        </is>
      </c>
      <c r="C489" s="9" t="inlineStr">
        <is>
          <t>SEA</t>
        </is>
      </c>
      <c r="D489" s="9" t="n">
        <v>37</v>
      </c>
      <c r="E489" s="17" t="inlineStr">
        <is>
          <t>R</t>
        </is>
      </c>
      <c r="F489" s="17" t="n"/>
      <c r="G489" s="9" t="n">
        <v>25</v>
      </c>
      <c r="H489" s="9" t="n">
        <v>25</v>
      </c>
      <c r="I489" s="9" t="inlineStr">
        <is>
          <t>Bullpen Depth Arm</t>
        </is>
      </c>
      <c r="J489" s="17" t="inlineStr">
        <is>
          <t>Opening Day</t>
        </is>
      </c>
      <c r="K489" s="11">
        <f>IFERROR(INDEX(Roles!$B$17:$B$20,MATCH(J489,Roles!$A$17:$A$20,0)),1)</f>
        <v/>
      </c>
      <c r="L489" s="18" t="n">
        <v>1</v>
      </c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3">
        <f>SUMPRODUCT(M489:X489,$M$2:$X$2)*$K489*$L489</f>
        <v/>
      </c>
      <c r="Z489" s="14">
        <f>SUM(M489:X489)</f>
        <v/>
      </c>
      <c r="AA489" s="13">
        <f>SUMPRODUCT(M489:X489,$M$3:$X$3)*$K489*$L489</f>
        <v/>
      </c>
      <c r="AB489" s="13">
        <f>SUMPRODUCT(M489:X489,$M$4:$X$4)*$K489*$L489</f>
        <v/>
      </c>
      <c r="AC489" s="15">
        <f>SUMPRODUCT(M489:X489,$M$5:$X$5)*$K489*$L489</f>
        <v/>
      </c>
      <c r="AD489" s="15">
        <f>SUMPRODUCT(M489:X489,$M$6:$X$6)*$K489*$L489</f>
        <v/>
      </c>
      <c r="AE489" s="19" t="n"/>
    </row>
    <row r="490">
      <c r="A490" s="9" t="n">
        <v>680604</v>
      </c>
      <c r="B490" s="9" t="inlineStr">
        <is>
          <t>Blas Castaño</t>
        </is>
      </c>
      <c r="C490" s="9" t="inlineStr">
        <is>
          <t>COL</t>
        </is>
      </c>
      <c r="D490" s="9" t="n">
        <v>28</v>
      </c>
      <c r="E490" s="17" t="inlineStr">
        <is>
          <t>R</t>
        </is>
      </c>
      <c r="F490" s="17" t="n"/>
      <c r="G490" s="9" t="n">
        <v>65</v>
      </c>
      <c r="H490" s="9" t="n">
        <v>81</v>
      </c>
      <c r="I490" s="9" t="inlineStr">
        <is>
          <t>Bullpen Depth Arm</t>
        </is>
      </c>
      <c r="J490" s="17" t="inlineStr">
        <is>
          <t>Opening Day</t>
        </is>
      </c>
      <c r="K490" s="11">
        <f>IFERROR(INDEX(Roles!$B$17:$B$20,MATCH(J490,Roles!$A$17:$A$20,0)),1)</f>
        <v/>
      </c>
      <c r="L490" s="18" t="n">
        <v>1</v>
      </c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3">
        <f>SUMPRODUCT(M490:X490,$M$2:$X$2)*$K490*$L490</f>
        <v/>
      </c>
      <c r="Z490" s="14">
        <f>SUM(M490:X490)</f>
        <v/>
      </c>
      <c r="AA490" s="13">
        <f>SUMPRODUCT(M490:X490,$M$3:$X$3)*$K490*$L490</f>
        <v/>
      </c>
      <c r="AB490" s="13">
        <f>SUMPRODUCT(M490:X490,$M$4:$X$4)*$K490*$L490</f>
        <v/>
      </c>
      <c r="AC490" s="15">
        <f>SUMPRODUCT(M490:X490,$M$5:$X$5)*$K490*$L490</f>
        <v/>
      </c>
      <c r="AD490" s="15">
        <f>SUMPRODUCT(M490:X490,$M$6:$X$6)*$K490*$L490</f>
        <v/>
      </c>
      <c r="AE490" s="19" t="n"/>
    </row>
    <row r="491">
      <c r="A491" s="9" t="n">
        <v>608334</v>
      </c>
      <c r="B491" s="9" t="inlineStr">
        <is>
          <t>Carson Fulmer</t>
        </is>
      </c>
      <c r="C491" s="9" t="inlineStr">
        <is>
          <t>LAA</t>
        </is>
      </c>
      <c r="D491" s="9" t="n">
        <v>33</v>
      </c>
      <c r="E491" s="17" t="inlineStr">
        <is>
          <t>R</t>
        </is>
      </c>
      <c r="F491" s="17" t="n"/>
      <c r="G491" s="9" t="n">
        <v>123</v>
      </c>
      <c r="H491" s="9" t="n">
        <v>541</v>
      </c>
      <c r="I491" s="9" t="inlineStr">
        <is>
          <t>Bullpen Depth Arm</t>
        </is>
      </c>
      <c r="J491" s="17" t="inlineStr">
        <is>
          <t>Opening Day</t>
        </is>
      </c>
      <c r="K491" s="11">
        <f>IFERROR(INDEX(Roles!$B$17:$B$20,MATCH(J491,Roles!$A$17:$A$20,0)),1)</f>
        <v/>
      </c>
      <c r="L491" s="18" t="n">
        <v>1</v>
      </c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3">
        <f>SUMPRODUCT(M491:X491,$M$2:$X$2)*$K491*$L491</f>
        <v/>
      </c>
      <c r="Z491" s="14">
        <f>SUM(M491:X491)</f>
        <v/>
      </c>
      <c r="AA491" s="13">
        <f>SUMPRODUCT(M491:X491,$M$3:$X$3)*$K491*$L491</f>
        <v/>
      </c>
      <c r="AB491" s="13">
        <f>SUMPRODUCT(M491:X491,$M$4:$X$4)*$K491*$L491</f>
        <v/>
      </c>
      <c r="AC491" s="15">
        <f>SUMPRODUCT(M491:X491,$M$5:$X$5)*$K491*$L491</f>
        <v/>
      </c>
      <c r="AD491" s="15">
        <f>SUMPRODUCT(M491:X491,$M$6:$X$6)*$K491*$L491</f>
        <v/>
      </c>
      <c r="AE491" s="19" t="n"/>
    </row>
    <row r="492">
      <c r="A492" s="9" t="n">
        <v>663947</v>
      </c>
      <c r="B492" s="9" t="inlineStr">
        <is>
          <t>Tyler Holton</t>
        </is>
      </c>
      <c r="C492" s="9" t="inlineStr">
        <is>
          <t>DET</t>
        </is>
      </c>
      <c r="D492" s="9" t="n">
        <v>31</v>
      </c>
      <c r="E492" s="17" t="inlineStr">
        <is>
          <t>L</t>
        </is>
      </c>
      <c r="F492" s="17" t="n"/>
      <c r="G492" s="9" t="n">
        <v>125</v>
      </c>
      <c r="H492" s="9" t="n">
        <v>1154</v>
      </c>
      <c r="I492" s="9" t="inlineStr">
        <is>
          <t>Late Inning RP (Setup)</t>
        </is>
      </c>
      <c r="J492" s="17" t="inlineStr">
        <is>
          <t>Opening Day</t>
        </is>
      </c>
      <c r="K492" s="11">
        <f>IFERROR(INDEX(Roles!$B$17:$B$20,MATCH(J492,Roles!$A$17:$A$20,0)),1)</f>
        <v/>
      </c>
      <c r="L492" s="18" t="n">
        <v>1</v>
      </c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3">
        <f>SUMPRODUCT(M492:X492,$M$2:$X$2)*$K492*$L492</f>
        <v/>
      </c>
      <c r="Z492" s="14">
        <f>SUM(M492:X492)</f>
        <v/>
      </c>
      <c r="AA492" s="13">
        <f>SUMPRODUCT(M492:X492,$M$3:$X$3)*$K492*$L492</f>
        <v/>
      </c>
      <c r="AB492" s="13">
        <f>SUMPRODUCT(M492:X492,$M$4:$X$4)*$K492*$L492</f>
        <v/>
      </c>
      <c r="AC492" s="15">
        <f>SUMPRODUCT(M492:X492,$M$5:$X$5)*$K492*$L492</f>
        <v/>
      </c>
      <c r="AD492" s="15">
        <f>SUMPRODUCT(M492:X492,$M$6:$X$6)*$K492*$L492</f>
        <v/>
      </c>
      <c r="AE492" s="19" t="n"/>
    </row>
    <row r="493">
      <c r="A493" s="9" t="n">
        <v>687362</v>
      </c>
      <c r="B493" s="9" t="inlineStr">
        <is>
          <t>Connor Gillispie</t>
        </is>
      </c>
      <c r="C493" s="9" t="inlineStr">
        <is>
          <t>MIA</t>
        </is>
      </c>
      <c r="D493" s="9" t="n">
        <v>29</v>
      </c>
      <c r="E493" s="17" t="inlineStr">
        <is>
          <t>R</t>
        </is>
      </c>
      <c r="F493" s="17" t="n"/>
      <c r="G493" s="9" t="n">
        <v>123</v>
      </c>
      <c r="H493" s="9" t="n">
        <v>155</v>
      </c>
      <c r="I493" s="9" t="inlineStr">
        <is>
          <t>End-of-Rotation Starter (SP4-5)</t>
        </is>
      </c>
      <c r="J493" s="17" t="inlineStr">
        <is>
          <t>Opening Day</t>
        </is>
      </c>
      <c r="K493" s="11">
        <f>IFERROR(INDEX(Roles!$B$17:$B$20,MATCH(J493,Roles!$A$17:$A$20,0)),1)</f>
        <v/>
      </c>
      <c r="L493" s="18" t="n">
        <v>1</v>
      </c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3">
        <f>SUMPRODUCT(M493:X493,$M$2:$X$2)*$K493*$L493</f>
        <v/>
      </c>
      <c r="Z493" s="14">
        <f>SUM(M493:X493)</f>
        <v/>
      </c>
      <c r="AA493" s="13">
        <f>SUMPRODUCT(M493:X493,$M$3:$X$3)*$K493*$L493</f>
        <v/>
      </c>
      <c r="AB493" s="13">
        <f>SUMPRODUCT(M493:X493,$M$4:$X$4)*$K493*$L493</f>
        <v/>
      </c>
      <c r="AC493" s="15">
        <f>SUMPRODUCT(M493:X493,$M$5:$X$5)*$K493*$L493</f>
        <v/>
      </c>
      <c r="AD493" s="15">
        <f>SUMPRODUCT(M493:X493,$M$6:$X$6)*$K493*$L493</f>
        <v/>
      </c>
      <c r="AE493" s="19" t="n"/>
    </row>
    <row r="494">
      <c r="A494" s="9" t="n">
        <v>596001</v>
      </c>
      <c r="B494" s="9" t="inlineStr">
        <is>
          <t>Jakob Junis</t>
        </is>
      </c>
      <c r="C494" s="9" t="inlineStr">
        <is>
          <t>TEX</t>
        </is>
      </c>
      <c r="D494" s="9" t="n">
        <v>34</v>
      </c>
      <c r="E494" s="17" t="inlineStr">
        <is>
          <t>R</t>
        </is>
      </c>
      <c r="F494" s="17" t="n"/>
      <c r="G494" s="9" t="n">
        <v>102</v>
      </c>
      <c r="H494" s="9" t="n">
        <v>1474</v>
      </c>
      <c r="I494" s="9" t="inlineStr">
        <is>
          <t>Late Inning RP (Setup)</t>
        </is>
      </c>
      <c r="J494" s="17" t="inlineStr">
        <is>
          <t>Opening Day</t>
        </is>
      </c>
      <c r="K494" s="11">
        <f>IFERROR(INDEX(Roles!$B$17:$B$20,MATCH(J494,Roles!$A$17:$A$20,0)),1)</f>
        <v/>
      </c>
      <c r="L494" s="18" t="n">
        <v>1</v>
      </c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3">
        <f>SUMPRODUCT(M494:X494,$M$2:$X$2)*$K494*$L494</f>
        <v/>
      </c>
      <c r="Z494" s="14">
        <f>SUM(M494:X494)</f>
        <v/>
      </c>
      <c r="AA494" s="13">
        <f>SUMPRODUCT(M494:X494,$M$3:$X$3)*$K494*$L494</f>
        <v/>
      </c>
      <c r="AB494" s="13">
        <f>SUMPRODUCT(M494:X494,$M$4:$X$4)*$K494*$L494</f>
        <v/>
      </c>
      <c r="AC494" s="15">
        <f>SUMPRODUCT(M494:X494,$M$5:$X$5)*$K494*$L494</f>
        <v/>
      </c>
      <c r="AD494" s="15">
        <f>SUMPRODUCT(M494:X494,$M$6:$X$6)*$K494*$L494</f>
        <v/>
      </c>
      <c r="AE494" s="19" t="n"/>
    </row>
    <row r="495">
      <c r="A495" s="9" t="n">
        <v>694297</v>
      </c>
      <c r="B495" s="9" t="inlineStr">
        <is>
          <t>Brandon Pfaadt</t>
        </is>
      </c>
      <c r="C495" s="9" t="inlineStr">
        <is>
          <t>ARI</t>
        </is>
      </c>
      <c r="D495" s="9" t="n">
        <v>28</v>
      </c>
      <c r="E495" s="17" t="inlineStr">
        <is>
          <t>R</t>
        </is>
      </c>
      <c r="F495" s="17" t="n"/>
      <c r="G495" s="9" t="n">
        <v>171</v>
      </c>
      <c r="H495" s="9" t="n">
        <v>2119</v>
      </c>
      <c r="I495" s="9" t="inlineStr">
        <is>
          <t>Mid-Rotation Starter (SP2-3)</t>
        </is>
      </c>
      <c r="J495" s="17" t="inlineStr">
        <is>
          <t>Opening Day</t>
        </is>
      </c>
      <c r="K495" s="11">
        <f>IFERROR(INDEX(Roles!$B$17:$B$20,MATCH(J495,Roles!$A$17:$A$20,0)),1)</f>
        <v/>
      </c>
      <c r="L495" s="18" t="n">
        <v>1</v>
      </c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3">
        <f>SUMPRODUCT(M495:X495,$M$2:$X$2)*$K495*$L495</f>
        <v/>
      </c>
      <c r="Z495" s="14">
        <f>SUM(M495:X495)</f>
        <v/>
      </c>
      <c r="AA495" s="13">
        <f>SUMPRODUCT(M495:X495,$M$3:$X$3)*$K495*$L495</f>
        <v/>
      </c>
      <c r="AB495" s="13">
        <f>SUMPRODUCT(M495:X495,$M$4:$X$4)*$K495*$L495</f>
        <v/>
      </c>
      <c r="AC495" s="15">
        <f>SUMPRODUCT(M495:X495,$M$5:$X$5)*$K495*$L495</f>
        <v/>
      </c>
      <c r="AD495" s="15">
        <f>SUMPRODUCT(M495:X495,$M$6:$X$6)*$K495*$L495</f>
        <v/>
      </c>
      <c r="AE495" s="19" t="n"/>
    </row>
    <row r="496">
      <c r="A496" s="9" t="n">
        <v>663903</v>
      </c>
      <c r="B496" s="9" t="inlineStr">
        <is>
          <t>Brady Singer</t>
        </is>
      </c>
      <c r="C496" s="9" t="inlineStr">
        <is>
          <t>CIN</t>
        </is>
      </c>
      <c r="D496" s="9" t="n">
        <v>30</v>
      </c>
      <c r="E496" s="17" t="inlineStr">
        <is>
          <t>R</t>
        </is>
      </c>
      <c r="F496" s="17" t="n"/>
      <c r="G496" s="9" t="n">
        <v>258</v>
      </c>
      <c r="H496" s="9" t="n">
        <v>3059</v>
      </c>
      <c r="I496" s="9" t="inlineStr">
        <is>
          <t>Mid-Rotation Starter (SP2-3)</t>
        </is>
      </c>
      <c r="J496" s="17" t="inlineStr">
        <is>
          <t>Opening Day</t>
        </is>
      </c>
      <c r="K496" s="11">
        <f>IFERROR(INDEX(Roles!$B$17:$B$20,MATCH(J496,Roles!$A$17:$A$20,0)),1)</f>
        <v/>
      </c>
      <c r="L496" s="18" t="n">
        <v>1</v>
      </c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3">
        <f>SUMPRODUCT(M496:X496,$M$2:$X$2)*$K496*$L496</f>
        <v/>
      </c>
      <c r="Z496" s="14">
        <f>SUM(M496:X496)</f>
        <v/>
      </c>
      <c r="AA496" s="13">
        <f>SUMPRODUCT(M496:X496,$M$3:$X$3)*$K496*$L496</f>
        <v/>
      </c>
      <c r="AB496" s="13">
        <f>SUMPRODUCT(M496:X496,$M$4:$X$4)*$K496*$L496</f>
        <v/>
      </c>
      <c r="AC496" s="15">
        <f>SUMPRODUCT(M496:X496,$M$5:$X$5)*$K496*$L496</f>
        <v/>
      </c>
      <c r="AD496" s="15">
        <f>SUMPRODUCT(M496:X496,$M$6:$X$6)*$K496*$L496</f>
        <v/>
      </c>
      <c r="AE496" s="19" t="n"/>
    </row>
    <row r="497">
      <c r="A497" s="9" t="n">
        <v>666214</v>
      </c>
      <c r="B497" s="9" t="inlineStr">
        <is>
          <t>Joey Wentz</t>
        </is>
      </c>
      <c r="C497" s="9" t="inlineStr">
        <is>
          <t>ATL</t>
        </is>
      </c>
      <c r="D497" s="9" t="n">
        <v>29</v>
      </c>
      <c r="E497" s="17" t="inlineStr">
        <is>
          <t>L</t>
        </is>
      </c>
      <c r="F497" s="17" t="n"/>
      <c r="G497" s="9" t="n">
        <v>442</v>
      </c>
      <c r="H497" s="9" t="n">
        <v>1373</v>
      </c>
      <c r="I497" s="9" t="inlineStr">
        <is>
          <t>Bullpen Depth Arm</t>
        </is>
      </c>
      <c r="J497" s="17" t="inlineStr">
        <is>
          <t>Opening Day</t>
        </is>
      </c>
      <c r="K497" s="11">
        <f>IFERROR(INDEX(Roles!$B$17:$B$20,MATCH(J497,Roles!$A$17:$A$20,0)),1)</f>
        <v/>
      </c>
      <c r="L497" s="18" t="n">
        <v>1</v>
      </c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3">
        <f>SUMPRODUCT(M497:X497,$M$2:$X$2)*$K497*$L497</f>
        <v/>
      </c>
      <c r="Z497" s="14">
        <f>SUM(M497:X497)</f>
        <v/>
      </c>
      <c r="AA497" s="13">
        <f>SUMPRODUCT(M497:X497,$M$3:$X$3)*$K497*$L497</f>
        <v/>
      </c>
      <c r="AB497" s="13">
        <f>SUMPRODUCT(M497:X497,$M$4:$X$4)*$K497*$L497</f>
        <v/>
      </c>
      <c r="AC497" s="15">
        <f>SUMPRODUCT(M497:X497,$M$5:$X$5)*$K497*$L497</f>
        <v/>
      </c>
      <c r="AD497" s="15">
        <f>SUMPRODUCT(M497:X497,$M$6:$X$6)*$K497*$L497</f>
        <v/>
      </c>
      <c r="AE497" s="19" t="n"/>
    </row>
    <row r="498">
      <c r="A498" s="9" t="n">
        <v>656288</v>
      </c>
      <c r="B498" s="9" t="inlineStr">
        <is>
          <t>Griffin Canning</t>
        </is>
      </c>
      <c r="C498" s="9" t="inlineStr">
        <is>
          <t>SD</t>
        </is>
      </c>
      <c r="D498" s="9" t="n">
        <v>31</v>
      </c>
      <c r="E498" s="17" t="inlineStr">
        <is>
          <t>R</t>
        </is>
      </c>
      <c r="F498" s="17" t="n"/>
      <c r="G498" s="9" t="n">
        <v>139</v>
      </c>
      <c r="H498" s="9" t="n">
        <v>1742</v>
      </c>
      <c r="I498" s="9" t="inlineStr">
        <is>
          <t>Mid-Rotation Starter (SP2-3)</t>
        </is>
      </c>
      <c r="J498" s="17" t="inlineStr">
        <is>
          <t>Opening Day</t>
        </is>
      </c>
      <c r="K498" s="11">
        <f>IFERROR(INDEX(Roles!$B$17:$B$20,MATCH(J498,Roles!$A$17:$A$20,0)),1)</f>
        <v/>
      </c>
      <c r="L498" s="18" t="n">
        <v>1</v>
      </c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3">
        <f>SUMPRODUCT(M498:X498,$M$2:$X$2)*$K498*$L498</f>
        <v/>
      </c>
      <c r="Z498" s="14">
        <f>SUM(M498:X498)</f>
        <v/>
      </c>
      <c r="AA498" s="13">
        <f>SUMPRODUCT(M498:X498,$M$3:$X$3)*$K498*$L498</f>
        <v/>
      </c>
      <c r="AB498" s="13">
        <f>SUMPRODUCT(M498:X498,$M$4:$X$4)*$K498*$L498</f>
        <v/>
      </c>
      <c r="AC498" s="15">
        <f>SUMPRODUCT(M498:X498,$M$5:$X$5)*$K498*$L498</f>
        <v/>
      </c>
      <c r="AD498" s="15">
        <f>SUMPRODUCT(M498:X498,$M$6:$X$6)*$K498*$L498</f>
        <v/>
      </c>
      <c r="AE498" s="19" t="n"/>
    </row>
    <row r="499">
      <c r="A499" s="9" t="n">
        <v>687330</v>
      </c>
      <c r="B499" s="9" t="inlineStr">
        <is>
          <t>Kevin Kelly</t>
        </is>
      </c>
      <c r="C499" s="9" t="inlineStr">
        <is>
          <t>TB</t>
        </is>
      </c>
      <c r="D499" s="9" t="n">
        <v>29</v>
      </c>
      <c r="E499" s="17" t="inlineStr">
        <is>
          <t>R</t>
        </is>
      </c>
      <c r="F499" s="17" t="n"/>
      <c r="G499" s="9" t="n">
        <v>110</v>
      </c>
      <c r="H499" s="9" t="n">
        <v>835</v>
      </c>
      <c r="I499" s="9" t="inlineStr">
        <is>
          <t>Bullpen Depth Arm</t>
        </is>
      </c>
      <c r="J499" s="17" t="inlineStr">
        <is>
          <t>Opening Day</t>
        </is>
      </c>
      <c r="K499" s="11">
        <f>IFERROR(INDEX(Roles!$B$17:$B$20,MATCH(J499,Roles!$A$17:$A$20,0)),1)</f>
        <v/>
      </c>
      <c r="L499" s="18" t="n">
        <v>1</v>
      </c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3">
        <f>SUMPRODUCT(M499:X499,$M$2:$X$2)*$K499*$L499</f>
        <v/>
      </c>
      <c r="Z499" s="14">
        <f>SUM(M499:X499)</f>
        <v/>
      </c>
      <c r="AA499" s="13">
        <f>SUMPRODUCT(M499:X499,$M$3:$X$3)*$K499*$L499</f>
        <v/>
      </c>
      <c r="AB499" s="13">
        <f>SUMPRODUCT(M499:X499,$M$4:$X$4)*$K499*$L499</f>
        <v/>
      </c>
      <c r="AC499" s="15">
        <f>SUMPRODUCT(M499:X499,$M$5:$X$5)*$K499*$L499</f>
        <v/>
      </c>
      <c r="AD499" s="15">
        <f>SUMPRODUCT(M499:X499,$M$6:$X$6)*$K499*$L499</f>
        <v/>
      </c>
      <c r="AE499" s="19" t="n"/>
    </row>
    <row r="500">
      <c r="A500" s="9" t="n">
        <v>656605</v>
      </c>
      <c r="B500" s="9" t="inlineStr">
        <is>
          <t>Mitch Keller</t>
        </is>
      </c>
      <c r="C500" s="9" t="inlineStr">
        <is>
          <t>PIT</t>
        </is>
      </c>
      <c r="D500" s="9" t="n">
        <v>31</v>
      </c>
      <c r="E500" s="17" t="inlineStr">
        <is>
          <t>R</t>
        </is>
      </c>
      <c r="F500" s="17" t="n"/>
      <c r="G500" s="9" t="n">
        <v>305</v>
      </c>
      <c r="H500" s="9" t="n">
        <v>3339</v>
      </c>
      <c r="I500" s="9" t="inlineStr">
        <is>
          <t>Mid-Rotation Starter (SP2-3)</t>
        </is>
      </c>
      <c r="J500" s="17" t="inlineStr">
        <is>
          <t>Opening Day</t>
        </is>
      </c>
      <c r="K500" s="11">
        <f>IFERROR(INDEX(Roles!$B$17:$B$20,MATCH(J500,Roles!$A$17:$A$20,0)),1)</f>
        <v/>
      </c>
      <c r="L500" s="18" t="n">
        <v>1</v>
      </c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3">
        <f>SUMPRODUCT(M500:X500,$M$2:$X$2)*$K500*$L500</f>
        <v/>
      </c>
      <c r="Z500" s="14">
        <f>SUM(M500:X500)</f>
        <v/>
      </c>
      <c r="AA500" s="13">
        <f>SUMPRODUCT(M500:X500,$M$3:$X$3)*$K500*$L500</f>
        <v/>
      </c>
      <c r="AB500" s="13">
        <f>SUMPRODUCT(M500:X500,$M$4:$X$4)*$K500*$L500</f>
        <v/>
      </c>
      <c r="AC500" s="15">
        <f>SUMPRODUCT(M500:X500,$M$5:$X$5)*$K500*$L500</f>
        <v/>
      </c>
      <c r="AD500" s="15">
        <f>SUMPRODUCT(M500:X500,$M$6:$X$6)*$K500*$L500</f>
        <v/>
      </c>
      <c r="AE500" s="19" t="n"/>
    </row>
    <row r="501">
      <c r="A501" s="9" t="n">
        <v>660730</v>
      </c>
      <c r="B501" s="9" t="inlineStr">
        <is>
          <t>Elvin Rodríguez</t>
        </is>
      </c>
      <c r="C501" s="9" t="inlineStr">
        <is>
          <t>BAL</t>
        </is>
      </c>
      <c r="D501" s="9" t="n">
        <v>29</v>
      </c>
      <c r="E501" s="17" t="inlineStr">
        <is>
          <t>R</t>
        </is>
      </c>
      <c r="F501" s="17" t="n"/>
      <c r="G501" s="9" t="n">
        <v>90</v>
      </c>
      <c r="H501" s="9" t="n">
        <v>243</v>
      </c>
      <c r="I501" s="9" t="inlineStr">
        <is>
          <t>Bullpen Depth Arm</t>
        </is>
      </c>
      <c r="J501" s="17" t="inlineStr">
        <is>
          <t>Opening Day</t>
        </is>
      </c>
      <c r="K501" s="11">
        <f>IFERROR(INDEX(Roles!$B$17:$B$20,MATCH(J501,Roles!$A$17:$A$20,0)),1)</f>
        <v/>
      </c>
      <c r="L501" s="18" t="n">
        <v>1</v>
      </c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3">
        <f>SUMPRODUCT(M501:X501,$M$2:$X$2)*$K501*$L501</f>
        <v/>
      </c>
      <c r="Z501" s="14">
        <f>SUM(M501:X501)</f>
        <v/>
      </c>
      <c r="AA501" s="13">
        <f>SUMPRODUCT(M501:X501,$M$3:$X$3)*$K501*$L501</f>
        <v/>
      </c>
      <c r="AB501" s="13">
        <f>SUMPRODUCT(M501:X501,$M$4:$X$4)*$K501*$L501</f>
        <v/>
      </c>
      <c r="AC501" s="15">
        <f>SUMPRODUCT(M501:X501,$M$5:$X$5)*$K501*$L501</f>
        <v/>
      </c>
      <c r="AD501" s="15">
        <f>SUMPRODUCT(M501:X501,$M$6:$X$6)*$K501*$L501</f>
        <v/>
      </c>
      <c r="AE501" s="19" t="n"/>
    </row>
    <row r="502">
      <c r="A502" s="9" t="n">
        <v>678821</v>
      </c>
      <c r="B502" s="9" t="inlineStr">
        <is>
          <t>Luis Peralta</t>
        </is>
      </c>
      <c r="C502" s="9" t="inlineStr">
        <is>
          <t>COL</t>
        </is>
      </c>
      <c r="D502" s="9" t="n">
        <v>26</v>
      </c>
      <c r="E502" s="17" t="inlineStr">
        <is>
          <t>L</t>
        </is>
      </c>
      <c r="F502" s="17" t="n"/>
      <c r="G502" s="9" t="n">
        <v>101</v>
      </c>
      <c r="H502" s="9" t="n">
        <v>150</v>
      </c>
      <c r="I502" s="9" t="inlineStr">
        <is>
          <t>Bullpen Depth Arm</t>
        </is>
      </c>
      <c r="J502" s="17" t="inlineStr">
        <is>
          <t>Opening Day</t>
        </is>
      </c>
      <c r="K502" s="11">
        <f>IFERROR(INDEX(Roles!$B$17:$B$20,MATCH(J502,Roles!$A$17:$A$20,0)),1)</f>
        <v/>
      </c>
      <c r="L502" s="18" t="n">
        <v>1</v>
      </c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3">
        <f>SUMPRODUCT(M502:X502,$M$2:$X$2)*$K502*$L502</f>
        <v/>
      </c>
      <c r="Z502" s="14">
        <f>SUM(M502:X502)</f>
        <v/>
      </c>
      <c r="AA502" s="13">
        <f>SUMPRODUCT(M502:X502,$M$3:$X$3)*$K502*$L502</f>
        <v/>
      </c>
      <c r="AB502" s="13">
        <f>SUMPRODUCT(M502:X502,$M$4:$X$4)*$K502*$L502</f>
        <v/>
      </c>
      <c r="AC502" s="15">
        <f>SUMPRODUCT(M502:X502,$M$5:$X$5)*$K502*$L502</f>
        <v/>
      </c>
      <c r="AD502" s="15">
        <f>SUMPRODUCT(M502:X502,$M$6:$X$6)*$K502*$L502</f>
        <v/>
      </c>
      <c r="AE502" s="19" t="n"/>
    </row>
    <row r="503">
      <c r="A503" s="9" t="n">
        <v>608723</v>
      </c>
      <c r="B503" s="9" t="inlineStr">
        <is>
          <t>Austin Voth</t>
        </is>
      </c>
      <c r="C503" s="9" t="inlineStr">
        <is>
          <t>TOR</t>
        </is>
      </c>
      <c r="D503" s="9" t="n">
        <v>35</v>
      </c>
      <c r="E503" s="17" t="inlineStr">
        <is>
          <t>R</t>
        </is>
      </c>
      <c r="F503" s="17" t="n"/>
      <c r="G503" s="9" t="n">
        <v>31</v>
      </c>
      <c r="H503" s="9" t="n">
        <v>881</v>
      </c>
      <c r="I503" s="9" t="inlineStr">
        <is>
          <t>Bullpen Depth Arm</t>
        </is>
      </c>
      <c r="J503" s="17" t="inlineStr">
        <is>
          <t>Opening Day</t>
        </is>
      </c>
      <c r="K503" s="11">
        <f>IFERROR(INDEX(Roles!$B$17:$B$20,MATCH(J503,Roles!$A$17:$A$20,0)),1)</f>
        <v/>
      </c>
      <c r="L503" s="18" t="n">
        <v>1</v>
      </c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3">
        <f>SUMPRODUCT(M503:X503,$M$2:$X$2)*$K503*$L503</f>
        <v/>
      </c>
      <c r="Z503" s="14">
        <f>SUM(M503:X503)</f>
        <v/>
      </c>
      <c r="AA503" s="13">
        <f>SUMPRODUCT(M503:X503,$M$3:$X$3)*$K503*$L503</f>
        <v/>
      </c>
      <c r="AB503" s="13">
        <f>SUMPRODUCT(M503:X503,$M$4:$X$4)*$K503*$L503</f>
        <v/>
      </c>
      <c r="AC503" s="15">
        <f>SUMPRODUCT(M503:X503,$M$5:$X$5)*$K503*$L503</f>
        <v/>
      </c>
      <c r="AD503" s="15">
        <f>SUMPRODUCT(M503:X503,$M$6:$X$6)*$K503*$L503</f>
        <v/>
      </c>
      <c r="AE503" s="19" t="n"/>
    </row>
    <row r="504">
      <c r="A504" s="9" t="n">
        <v>701719</v>
      </c>
      <c r="B504" s="9" t="inlineStr">
        <is>
          <t>Tyler Samaniego</t>
        </is>
      </c>
      <c r="C504" s="9" t="inlineStr">
        <is>
          <t>BOS</t>
        </is>
      </c>
      <c r="D504" s="9" t="n">
        <v>28</v>
      </c>
      <c r="E504" s="17" t="inlineStr">
        <is>
          <t>L</t>
        </is>
      </c>
      <c r="F504" s="17" t="n"/>
      <c r="G504" s="9" t="n">
        <v>90</v>
      </c>
      <c r="H504" s="9" t="n">
        <v>90</v>
      </c>
      <c r="I504" s="9" t="inlineStr">
        <is>
          <t>Middle Relief</t>
        </is>
      </c>
      <c r="J504" s="17" t="inlineStr">
        <is>
          <t>Opening Day</t>
        </is>
      </c>
      <c r="K504" s="11">
        <f>IFERROR(INDEX(Roles!$B$17:$B$20,MATCH(J504,Roles!$A$17:$A$20,0)),1)</f>
        <v/>
      </c>
      <c r="L504" s="18" t="n">
        <v>1</v>
      </c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3">
        <f>SUMPRODUCT(M504:X504,$M$2:$X$2)*$K504*$L504</f>
        <v/>
      </c>
      <c r="Z504" s="14">
        <f>SUM(M504:X504)</f>
        <v/>
      </c>
      <c r="AA504" s="13">
        <f>SUMPRODUCT(M504:X504,$M$3:$X$3)*$K504*$L504</f>
        <v/>
      </c>
      <c r="AB504" s="13">
        <f>SUMPRODUCT(M504:X504,$M$4:$X$4)*$K504*$L504</f>
        <v/>
      </c>
      <c r="AC504" s="15">
        <f>SUMPRODUCT(M504:X504,$M$5:$X$5)*$K504*$L504</f>
        <v/>
      </c>
      <c r="AD504" s="15">
        <f>SUMPRODUCT(M504:X504,$M$6:$X$6)*$K504*$L504</f>
        <v/>
      </c>
      <c r="AE504" s="19" t="n"/>
    </row>
    <row r="505">
      <c r="A505" s="9" t="n">
        <v>641835</v>
      </c>
      <c r="B505" s="9" t="inlineStr">
        <is>
          <t>Tim Mayza</t>
        </is>
      </c>
      <c r="C505" s="9" t="inlineStr">
        <is>
          <t>PHI</t>
        </is>
      </c>
      <c r="D505" s="9" t="n">
        <v>35</v>
      </c>
      <c r="E505" s="17" t="inlineStr">
        <is>
          <t>L</t>
        </is>
      </c>
      <c r="F505" s="17" t="n"/>
      <c r="G505" s="9" t="n">
        <v>115</v>
      </c>
      <c r="H505" s="9" t="n">
        <v>792</v>
      </c>
      <c r="I505" s="9" t="inlineStr">
        <is>
          <t>Middle Relief</t>
        </is>
      </c>
      <c r="J505" s="17" t="inlineStr">
        <is>
          <t>Opening Day</t>
        </is>
      </c>
      <c r="K505" s="11">
        <f>IFERROR(INDEX(Roles!$B$17:$B$20,MATCH(J505,Roles!$A$17:$A$20,0)),1)</f>
        <v/>
      </c>
      <c r="L505" s="18" t="n">
        <v>1</v>
      </c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3">
        <f>SUMPRODUCT(M505:X505,$M$2:$X$2)*$K505*$L505</f>
        <v/>
      </c>
      <c r="Z505" s="14">
        <f>SUM(M505:X505)</f>
        <v/>
      </c>
      <c r="AA505" s="13">
        <f>SUMPRODUCT(M505:X505,$M$3:$X$3)*$K505*$L505</f>
        <v/>
      </c>
      <c r="AB505" s="13">
        <f>SUMPRODUCT(M505:X505,$M$4:$X$4)*$K505*$L505</f>
        <v/>
      </c>
      <c r="AC505" s="15">
        <f>SUMPRODUCT(M505:X505,$M$5:$X$5)*$K505*$L505</f>
        <v/>
      </c>
      <c r="AD505" s="15">
        <f>SUMPRODUCT(M505:X505,$M$6:$X$6)*$K505*$L505</f>
        <v/>
      </c>
      <c r="AE505" s="19" t="n"/>
    </row>
    <row r="506">
      <c r="A506" s="9" t="n">
        <v>669160</v>
      </c>
      <c r="B506" s="9" t="inlineStr">
        <is>
          <t>Dustin May</t>
        </is>
      </c>
      <c r="C506" s="9" t="inlineStr">
        <is>
          <t>STL</t>
        </is>
      </c>
      <c r="D506" s="9" t="n">
        <v>29</v>
      </c>
      <c r="E506" s="17" t="inlineStr">
        <is>
          <t>R</t>
        </is>
      </c>
      <c r="F506" s="17" t="n"/>
      <c r="G506" s="9" t="n">
        <v>301</v>
      </c>
      <c r="H506" s="9" t="n">
        <v>1199</v>
      </c>
      <c r="I506" s="9" t="inlineStr">
        <is>
          <t>Mid-Rotation Starter (SP2-3)</t>
        </is>
      </c>
      <c r="J506" s="17" t="inlineStr">
        <is>
          <t>Opening Day</t>
        </is>
      </c>
      <c r="K506" s="11">
        <f>IFERROR(INDEX(Roles!$B$17:$B$20,MATCH(J506,Roles!$A$17:$A$20,0)),1)</f>
        <v/>
      </c>
      <c r="L506" s="18" t="n">
        <v>1</v>
      </c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3">
        <f>SUMPRODUCT(M506:X506,$M$2:$X$2)*$K506*$L506</f>
        <v/>
      </c>
      <c r="Z506" s="14">
        <f>SUM(M506:X506)</f>
        <v/>
      </c>
      <c r="AA506" s="13">
        <f>SUMPRODUCT(M506:X506,$M$3:$X$3)*$K506*$L506</f>
        <v/>
      </c>
      <c r="AB506" s="13">
        <f>SUMPRODUCT(M506:X506,$M$4:$X$4)*$K506*$L506</f>
        <v/>
      </c>
      <c r="AC506" s="15">
        <f>SUMPRODUCT(M506:X506,$M$5:$X$5)*$K506*$L506</f>
        <v/>
      </c>
      <c r="AD506" s="15">
        <f>SUMPRODUCT(M506:X506,$M$6:$X$6)*$K506*$L506</f>
        <v/>
      </c>
      <c r="AE506" s="19" t="n"/>
    </row>
    <row r="507">
      <c r="A507" s="9" t="n">
        <v>663554</v>
      </c>
      <c r="B507" s="9" t="inlineStr">
        <is>
          <t>Casey Mize</t>
        </is>
      </c>
      <c r="C507" s="9" t="inlineStr">
        <is>
          <t>DET</t>
        </is>
      </c>
      <c r="D507" s="9" t="n">
        <v>30</v>
      </c>
      <c r="E507" s="17" t="inlineStr">
        <is>
          <t>R</t>
        </is>
      </c>
      <c r="F507" s="17" t="n"/>
      <c r="G507" s="9" t="n">
        <v>185</v>
      </c>
      <c r="H507" s="9" t="n">
        <v>1309</v>
      </c>
      <c r="I507" s="9" t="inlineStr">
        <is>
          <t>Mid-Rotation Starter (SP2-3)</t>
        </is>
      </c>
      <c r="J507" s="17" t="inlineStr">
        <is>
          <t>Opening Day</t>
        </is>
      </c>
      <c r="K507" s="11">
        <f>IFERROR(INDEX(Roles!$B$17:$B$20,MATCH(J507,Roles!$A$17:$A$20,0)),1)</f>
        <v/>
      </c>
      <c r="L507" s="18" t="n">
        <v>1</v>
      </c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3">
        <f>SUMPRODUCT(M507:X507,$M$2:$X$2)*$K507*$L507</f>
        <v/>
      </c>
      <c r="Z507" s="14">
        <f>SUM(M507:X507)</f>
        <v/>
      </c>
      <c r="AA507" s="13">
        <f>SUMPRODUCT(M507:X507,$M$3:$X$3)*$K507*$L507</f>
        <v/>
      </c>
      <c r="AB507" s="13">
        <f>SUMPRODUCT(M507:X507,$M$4:$X$4)*$K507*$L507</f>
        <v/>
      </c>
      <c r="AC507" s="15">
        <f>SUMPRODUCT(M507:X507,$M$5:$X$5)*$K507*$L507</f>
        <v/>
      </c>
      <c r="AD507" s="15">
        <f>SUMPRODUCT(M507:X507,$M$6:$X$6)*$K507*$L507</f>
        <v/>
      </c>
      <c r="AE507" s="19" t="n"/>
    </row>
    <row r="508">
      <c r="A508" s="9" t="n">
        <v>608717</v>
      </c>
      <c r="B508" s="9" t="inlineStr">
        <is>
          <t>Chris Stratton</t>
        </is>
      </c>
      <c r="C508" s="9" t="inlineStr">
        <is>
          <t>LAD</t>
        </is>
      </c>
      <c r="D508" s="9" t="n">
        <v>36</v>
      </c>
      <c r="E508" s="17" t="inlineStr">
        <is>
          <t>R</t>
        </is>
      </c>
      <c r="F508" s="17" t="n"/>
      <c r="G508" s="9" t="n">
        <v>104</v>
      </c>
      <c r="H508" s="9" t="n">
        <v>978</v>
      </c>
      <c r="I508" s="9" t="inlineStr">
        <is>
          <t>Bullpen Depth Arm</t>
        </is>
      </c>
      <c r="J508" s="17" t="inlineStr">
        <is>
          <t>Opening Day</t>
        </is>
      </c>
      <c r="K508" s="11">
        <f>IFERROR(INDEX(Roles!$B$17:$B$20,MATCH(J508,Roles!$A$17:$A$20,0)),1)</f>
        <v/>
      </c>
      <c r="L508" s="18" t="n">
        <v>1</v>
      </c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3">
        <f>SUMPRODUCT(M508:X508,$M$2:$X$2)*$K508*$L508</f>
        <v/>
      </c>
      <c r="Z508" s="14">
        <f>SUM(M508:X508)</f>
        <v/>
      </c>
      <c r="AA508" s="13">
        <f>SUMPRODUCT(M508:X508,$M$3:$X$3)*$K508*$L508</f>
        <v/>
      </c>
      <c r="AB508" s="13">
        <f>SUMPRODUCT(M508:X508,$M$4:$X$4)*$K508*$L508</f>
        <v/>
      </c>
      <c r="AC508" s="15">
        <f>SUMPRODUCT(M508:X508,$M$5:$X$5)*$K508*$L508</f>
        <v/>
      </c>
      <c r="AD508" s="15">
        <f>SUMPRODUCT(M508:X508,$M$6:$X$6)*$K508*$L508</f>
        <v/>
      </c>
      <c r="AE508" s="19" t="n"/>
    </row>
    <row r="509">
      <c r="A509" s="9" t="n">
        <v>689546</v>
      </c>
      <c r="B509" s="9" t="inlineStr">
        <is>
          <t>Nick Davila</t>
        </is>
      </c>
      <c r="C509" s="9" t="inlineStr">
        <is>
          <t>SEA</t>
        </is>
      </c>
      <c r="D509" s="9" t="n">
        <v>28</v>
      </c>
      <c r="E509" s="17" t="inlineStr">
        <is>
          <t>R</t>
        </is>
      </c>
      <c r="F509" s="17" t="n"/>
      <c r="G509" s="9" t="n">
        <v>34</v>
      </c>
      <c r="H509" s="9" t="n">
        <v>34</v>
      </c>
      <c r="I509" s="9" t="inlineStr">
        <is>
          <t>Bullpen Depth Arm</t>
        </is>
      </c>
      <c r="J509" s="17" t="inlineStr">
        <is>
          <t>Opening Day</t>
        </is>
      </c>
      <c r="K509" s="11">
        <f>IFERROR(INDEX(Roles!$B$17:$B$20,MATCH(J509,Roles!$A$17:$A$20,0)),1)</f>
        <v/>
      </c>
      <c r="L509" s="18" t="n">
        <v>1</v>
      </c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3">
        <f>SUMPRODUCT(M509:X509,$M$2:$X$2)*$K509*$L509</f>
        <v/>
      </c>
      <c r="Z509" s="14">
        <f>SUM(M509:X509)</f>
        <v/>
      </c>
      <c r="AA509" s="13">
        <f>SUMPRODUCT(M509:X509,$M$3:$X$3)*$K509*$L509</f>
        <v/>
      </c>
      <c r="AB509" s="13">
        <f>SUMPRODUCT(M509:X509,$M$4:$X$4)*$K509*$L509</f>
        <v/>
      </c>
      <c r="AC509" s="15">
        <f>SUMPRODUCT(M509:X509,$M$5:$X$5)*$K509*$L509</f>
        <v/>
      </c>
      <c r="AD509" s="15">
        <f>SUMPRODUCT(M509:X509,$M$6:$X$6)*$K509*$L509</f>
        <v/>
      </c>
      <c r="AE509" s="19" t="n"/>
    </row>
    <row r="510">
      <c r="A510" s="9" t="n">
        <v>554431</v>
      </c>
      <c r="B510" s="9" t="inlineStr">
        <is>
          <t>Tyler Matzek</t>
        </is>
      </c>
      <c r="C510" s="9" t="inlineStr">
        <is>
          <t>NYY</t>
        </is>
      </c>
      <c r="D510" s="9" t="n">
        <v>36</v>
      </c>
      <c r="E510" s="17" t="inlineStr">
        <is>
          <t>L</t>
        </is>
      </c>
      <c r="F510" s="17" t="n"/>
      <c r="G510" s="9" t="n">
        <v>35</v>
      </c>
      <c r="H510" s="9" t="n">
        <v>267</v>
      </c>
      <c r="I510" s="9" t="inlineStr">
        <is>
          <t>Bullpen Depth Arm</t>
        </is>
      </c>
      <c r="J510" s="17" t="inlineStr">
        <is>
          <t>Opening Day</t>
        </is>
      </c>
      <c r="K510" s="11">
        <f>IFERROR(INDEX(Roles!$B$17:$B$20,MATCH(J510,Roles!$A$17:$A$20,0)),1)</f>
        <v/>
      </c>
      <c r="L510" s="18" t="n">
        <v>1</v>
      </c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3">
        <f>SUMPRODUCT(M510:X510,$M$2:$X$2)*$K510*$L510</f>
        <v/>
      </c>
      <c r="Z510" s="14">
        <f>SUM(M510:X510)</f>
        <v/>
      </c>
      <c r="AA510" s="13">
        <f>SUMPRODUCT(M510:X510,$M$3:$X$3)*$K510*$L510</f>
        <v/>
      </c>
      <c r="AB510" s="13">
        <f>SUMPRODUCT(M510:X510,$M$4:$X$4)*$K510*$L510</f>
        <v/>
      </c>
      <c r="AC510" s="15">
        <f>SUMPRODUCT(M510:X510,$M$5:$X$5)*$K510*$L510</f>
        <v/>
      </c>
      <c r="AD510" s="15">
        <f>SUMPRODUCT(M510:X510,$M$6:$X$6)*$K510*$L510</f>
        <v/>
      </c>
      <c r="AE510" s="19" t="n"/>
    </row>
    <row r="511">
      <c r="A511" s="9" t="n">
        <v>676775</v>
      </c>
      <c r="B511" s="9" t="inlineStr">
        <is>
          <t>Keaton Winn</t>
        </is>
      </c>
      <c r="C511" s="9" t="inlineStr">
        <is>
          <t>SF</t>
        </is>
      </c>
      <c r="D511" s="9" t="n">
        <v>29</v>
      </c>
      <c r="E511" s="17" t="inlineStr">
        <is>
          <t>R</t>
        </is>
      </c>
      <c r="F511" s="17" t="n"/>
      <c r="G511" s="9" t="n">
        <v>119</v>
      </c>
      <c r="H511" s="9" t="n">
        <v>571</v>
      </c>
      <c r="I511" s="9" t="inlineStr">
        <is>
          <t>Bullpen Depth Arm</t>
        </is>
      </c>
      <c r="J511" s="17" t="inlineStr">
        <is>
          <t>Opening Day</t>
        </is>
      </c>
      <c r="K511" s="11">
        <f>IFERROR(INDEX(Roles!$B$17:$B$20,MATCH(J511,Roles!$A$17:$A$20,0)),1)</f>
        <v/>
      </c>
      <c r="L511" s="18" t="n">
        <v>1</v>
      </c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3">
        <f>SUMPRODUCT(M511:X511,$M$2:$X$2)*$K511*$L511</f>
        <v/>
      </c>
      <c r="Z511" s="14">
        <f>SUM(M511:X511)</f>
        <v/>
      </c>
      <c r="AA511" s="13">
        <f>SUMPRODUCT(M511:X511,$M$3:$X$3)*$K511*$L511</f>
        <v/>
      </c>
      <c r="AB511" s="13">
        <f>SUMPRODUCT(M511:X511,$M$4:$X$4)*$K511*$L511</f>
        <v/>
      </c>
      <c r="AC511" s="15">
        <f>SUMPRODUCT(M511:X511,$M$5:$X$5)*$K511*$L511</f>
        <v/>
      </c>
      <c r="AD511" s="15">
        <f>SUMPRODUCT(M511:X511,$M$6:$X$6)*$K511*$L511</f>
        <v/>
      </c>
      <c r="AE511" s="19" t="n"/>
    </row>
    <row r="512">
      <c r="A512" s="9" t="n">
        <v>605347</v>
      </c>
      <c r="B512" s="9" t="inlineStr">
        <is>
          <t>Jorge López</t>
        </is>
      </c>
      <c r="C512" s="9" t="inlineStr">
        <is>
          <t>WSH</t>
        </is>
      </c>
      <c r="D512" s="9" t="n">
        <v>34</v>
      </c>
      <c r="E512" s="17" t="inlineStr">
        <is>
          <t>R</t>
        </is>
      </c>
      <c r="F512" s="17" t="n"/>
      <c r="G512" s="9" t="n">
        <v>106</v>
      </c>
      <c r="H512" s="9" t="n">
        <v>887</v>
      </c>
      <c r="I512" s="9" t="inlineStr">
        <is>
          <t>Bullpen Depth Arm</t>
        </is>
      </c>
      <c r="J512" s="17" t="inlineStr">
        <is>
          <t>Opening Day</t>
        </is>
      </c>
      <c r="K512" s="11">
        <f>IFERROR(INDEX(Roles!$B$17:$B$20,MATCH(J512,Roles!$A$17:$A$20,0)),1)</f>
        <v/>
      </c>
      <c r="L512" s="18" t="n">
        <v>1</v>
      </c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3">
        <f>SUMPRODUCT(M512:X512,$M$2:$X$2)*$K512*$L512</f>
        <v/>
      </c>
      <c r="Z512" s="14">
        <f>SUM(M512:X512)</f>
        <v/>
      </c>
      <c r="AA512" s="13">
        <f>SUMPRODUCT(M512:X512,$M$3:$X$3)*$K512*$L512</f>
        <v/>
      </c>
      <c r="AB512" s="13">
        <f>SUMPRODUCT(M512:X512,$M$4:$X$4)*$K512*$L512</f>
        <v/>
      </c>
      <c r="AC512" s="15">
        <f>SUMPRODUCT(M512:X512,$M$5:$X$5)*$K512*$L512</f>
        <v/>
      </c>
      <c r="AD512" s="15">
        <f>SUMPRODUCT(M512:X512,$M$6:$X$6)*$K512*$L512</f>
        <v/>
      </c>
      <c r="AE512" s="19" t="n"/>
    </row>
    <row r="513">
      <c r="A513" s="9" t="n">
        <v>686610</v>
      </c>
      <c r="B513" s="9" t="inlineStr">
        <is>
          <t>Ken Waldichuk</t>
        </is>
      </c>
      <c r="C513" s="9" t="inlineStr">
        <is>
          <t>WSH</t>
        </is>
      </c>
      <c r="D513" s="9" t="n">
        <v>29</v>
      </c>
      <c r="E513" s="17" t="inlineStr">
        <is>
          <t>L</t>
        </is>
      </c>
      <c r="F513" s="17" t="n"/>
      <c r="G513" s="9" t="n">
        <v>41</v>
      </c>
      <c r="H513" s="9" t="n">
        <v>826</v>
      </c>
      <c r="I513" s="9" t="inlineStr">
        <is>
          <t>Bullpen Depth Arm</t>
        </is>
      </c>
      <c r="J513" s="17" t="inlineStr">
        <is>
          <t>Opening Day</t>
        </is>
      </c>
      <c r="K513" s="11">
        <f>IFERROR(INDEX(Roles!$B$17:$B$20,MATCH(J513,Roles!$A$17:$A$20,0)),1)</f>
        <v/>
      </c>
      <c r="L513" s="18" t="n">
        <v>1</v>
      </c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3">
        <f>SUMPRODUCT(M513:X513,$M$2:$X$2)*$K513*$L513</f>
        <v/>
      </c>
      <c r="Z513" s="14">
        <f>SUM(M513:X513)</f>
        <v/>
      </c>
      <c r="AA513" s="13">
        <f>SUMPRODUCT(M513:X513,$M$3:$X$3)*$K513*$L513</f>
        <v/>
      </c>
      <c r="AB513" s="13">
        <f>SUMPRODUCT(M513:X513,$M$4:$X$4)*$K513*$L513</f>
        <v/>
      </c>
      <c r="AC513" s="15">
        <f>SUMPRODUCT(M513:X513,$M$5:$X$5)*$K513*$L513</f>
        <v/>
      </c>
      <c r="AD513" s="15">
        <f>SUMPRODUCT(M513:X513,$M$6:$X$6)*$K513*$L513</f>
        <v/>
      </c>
      <c r="AE513" s="19" t="n"/>
    </row>
    <row r="514">
      <c r="A514" s="9" t="n">
        <v>620454</v>
      </c>
      <c r="B514" s="9" t="inlineStr">
        <is>
          <t>José Castillo</t>
        </is>
      </c>
      <c r="C514" s="9" t="inlineStr">
        <is>
          <t>BAL</t>
        </is>
      </c>
      <c r="D514" s="9" t="n">
        <v>31</v>
      </c>
      <c r="E514" s="17" t="inlineStr">
        <is>
          <t>L</t>
        </is>
      </c>
      <c r="F514" s="17" t="n"/>
      <c r="G514" s="9" t="n">
        <v>149</v>
      </c>
      <c r="H514" s="9" t="n">
        <v>160</v>
      </c>
      <c r="I514" s="9" t="inlineStr">
        <is>
          <t>Bullpen Depth Arm</t>
        </is>
      </c>
      <c r="J514" s="17" t="inlineStr">
        <is>
          <t>Opening Day</t>
        </is>
      </c>
      <c r="K514" s="11">
        <f>IFERROR(INDEX(Roles!$B$17:$B$20,MATCH(J514,Roles!$A$17:$A$20,0)),1)</f>
        <v/>
      </c>
      <c r="L514" s="18" t="n">
        <v>1</v>
      </c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3">
        <f>SUMPRODUCT(M514:X514,$M$2:$X$2)*$K514*$L514</f>
        <v/>
      </c>
      <c r="Z514" s="14">
        <f>SUM(M514:X514)</f>
        <v/>
      </c>
      <c r="AA514" s="13">
        <f>SUMPRODUCT(M514:X514,$M$3:$X$3)*$K514*$L514</f>
        <v/>
      </c>
      <c r="AB514" s="13">
        <f>SUMPRODUCT(M514:X514,$M$4:$X$4)*$K514*$L514</f>
        <v/>
      </c>
      <c r="AC514" s="15">
        <f>SUMPRODUCT(M514:X514,$M$5:$X$5)*$K514*$L514</f>
        <v/>
      </c>
      <c r="AD514" s="15">
        <f>SUMPRODUCT(M514:X514,$M$6:$X$6)*$K514*$L514</f>
        <v/>
      </c>
      <c r="AE514" s="19" t="n"/>
    </row>
    <row r="515">
      <c r="A515" s="9" t="n">
        <v>612434</v>
      </c>
      <c r="B515" s="9" t="inlineStr">
        <is>
          <t>Miguel Castro</t>
        </is>
      </c>
      <c r="C515" s="9" t="inlineStr">
        <is>
          <t>CWS</t>
        </is>
      </c>
      <c r="D515" s="9" t="n">
        <v>32</v>
      </c>
      <c r="E515" s="17" t="inlineStr">
        <is>
          <t>R</t>
        </is>
      </c>
      <c r="F515" s="17" t="n"/>
      <c r="G515" s="9" t="n">
        <v>28</v>
      </c>
      <c r="H515" s="9" t="n">
        <v>491</v>
      </c>
      <c r="I515" s="9" t="inlineStr">
        <is>
          <t>Bullpen Depth Arm</t>
        </is>
      </c>
      <c r="J515" s="17" t="inlineStr">
        <is>
          <t>Opening Day</t>
        </is>
      </c>
      <c r="K515" s="11">
        <f>IFERROR(INDEX(Roles!$B$17:$B$20,MATCH(J515,Roles!$A$17:$A$20,0)),1)</f>
        <v/>
      </c>
      <c r="L515" s="18" t="n">
        <v>1</v>
      </c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3">
        <f>SUMPRODUCT(M515:X515,$M$2:$X$2)*$K515*$L515</f>
        <v/>
      </c>
      <c r="Z515" s="14">
        <f>SUM(M515:X515)</f>
        <v/>
      </c>
      <c r="AA515" s="13">
        <f>SUMPRODUCT(M515:X515,$M$3:$X$3)*$K515*$L515</f>
        <v/>
      </c>
      <c r="AB515" s="13">
        <f>SUMPRODUCT(M515:X515,$M$4:$X$4)*$K515*$L515</f>
        <v/>
      </c>
      <c r="AC515" s="15">
        <f>SUMPRODUCT(M515:X515,$M$5:$X$5)*$K515*$L515</f>
        <v/>
      </c>
      <c r="AD515" s="15">
        <f>SUMPRODUCT(M515:X515,$M$6:$X$6)*$K515*$L515</f>
        <v/>
      </c>
      <c r="AE515" s="19" t="n"/>
    </row>
    <row r="516">
      <c r="A516" s="9" t="n">
        <v>669721</v>
      </c>
      <c r="B516" s="9" t="inlineStr">
        <is>
          <t>Davis Daniel</t>
        </is>
      </c>
      <c r="C516" s="9" t="inlineStr">
        <is>
          <t>ATL</t>
        </is>
      </c>
      <c r="D516" s="9" t="n">
        <v>30</v>
      </c>
      <c r="E516" s="17" t="inlineStr">
        <is>
          <t>R</t>
        </is>
      </c>
      <c r="F516" s="17" t="n"/>
      <c r="G516" s="9" t="n">
        <v>46</v>
      </c>
      <c r="H516" s="9" t="n">
        <v>232</v>
      </c>
      <c r="I516" s="9" t="inlineStr">
        <is>
          <t>End-of-Rotation Starter (SP4-5)</t>
        </is>
      </c>
      <c r="J516" s="17" t="inlineStr">
        <is>
          <t>Opening Day</t>
        </is>
      </c>
      <c r="K516" s="11">
        <f>IFERROR(INDEX(Roles!$B$17:$B$20,MATCH(J516,Roles!$A$17:$A$20,0)),1)</f>
        <v/>
      </c>
      <c r="L516" s="18" t="n">
        <v>1</v>
      </c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3">
        <f>SUMPRODUCT(M516:X516,$M$2:$X$2)*$K516*$L516</f>
        <v/>
      </c>
      <c r="Z516" s="14">
        <f>SUM(M516:X516)</f>
        <v/>
      </c>
      <c r="AA516" s="13">
        <f>SUMPRODUCT(M516:X516,$M$3:$X$3)*$K516*$L516</f>
        <v/>
      </c>
      <c r="AB516" s="13">
        <f>SUMPRODUCT(M516:X516,$M$4:$X$4)*$K516*$L516</f>
        <v/>
      </c>
      <c r="AC516" s="15">
        <f>SUMPRODUCT(M516:X516,$M$5:$X$5)*$K516*$L516</f>
        <v/>
      </c>
      <c r="AD516" s="15">
        <f>SUMPRODUCT(M516:X516,$M$6:$X$6)*$K516*$L516</f>
        <v/>
      </c>
      <c r="AE516" s="19" t="n"/>
    </row>
    <row r="517">
      <c r="A517" s="9" t="n">
        <v>664141</v>
      </c>
      <c r="B517" s="9" t="inlineStr">
        <is>
          <t>JT Brubaker</t>
        </is>
      </c>
      <c r="C517" s="9" t="inlineStr">
        <is>
          <t>SF</t>
        </is>
      </c>
      <c r="D517" s="9" t="n">
        <v>33</v>
      </c>
      <c r="E517" s="17" t="inlineStr">
        <is>
          <t>R</t>
        </is>
      </c>
      <c r="F517" s="17" t="n"/>
      <c r="G517" s="9" t="n">
        <v>141</v>
      </c>
      <c r="H517" s="9" t="n">
        <v>904</v>
      </c>
      <c r="I517" s="9" t="inlineStr">
        <is>
          <t>Middle Relief</t>
        </is>
      </c>
      <c r="J517" s="17" t="inlineStr">
        <is>
          <t>Opening Day</t>
        </is>
      </c>
      <c r="K517" s="11">
        <f>IFERROR(INDEX(Roles!$B$17:$B$20,MATCH(J517,Roles!$A$17:$A$20,0)),1)</f>
        <v/>
      </c>
      <c r="L517" s="18" t="n">
        <v>1</v>
      </c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3">
        <f>SUMPRODUCT(M517:X517,$M$2:$X$2)*$K517*$L517</f>
        <v/>
      </c>
      <c r="Z517" s="14">
        <f>SUM(M517:X517)</f>
        <v/>
      </c>
      <c r="AA517" s="13">
        <f>SUMPRODUCT(M517:X517,$M$3:$X$3)*$K517*$L517</f>
        <v/>
      </c>
      <c r="AB517" s="13">
        <f>SUMPRODUCT(M517:X517,$M$4:$X$4)*$K517*$L517</f>
        <v/>
      </c>
      <c r="AC517" s="15">
        <f>SUMPRODUCT(M517:X517,$M$5:$X$5)*$K517*$L517</f>
        <v/>
      </c>
      <c r="AD517" s="15">
        <f>SUMPRODUCT(M517:X517,$M$6:$X$6)*$K517*$L517</f>
        <v/>
      </c>
      <c r="AE517" s="19" t="n"/>
    </row>
    <row r="518">
      <c r="A518" s="9" t="n">
        <v>642520</v>
      </c>
      <c r="B518" s="9" t="inlineStr">
        <is>
          <t>Gerson Garabito</t>
        </is>
      </c>
      <c r="C518" s="9" t="inlineStr">
        <is>
          <t>TEX</t>
        </is>
      </c>
      <c r="D518" s="9" t="n">
        <v>31</v>
      </c>
      <c r="E518" s="17" t="inlineStr">
        <is>
          <t>R</t>
        </is>
      </c>
      <c r="F518" s="17" t="n"/>
      <c r="G518" s="9" t="n">
        <v>41</v>
      </c>
      <c r="H518" s="9" t="n">
        <v>156</v>
      </c>
      <c r="I518" s="9" t="inlineStr">
        <is>
          <t>Bullpen Depth Arm</t>
        </is>
      </c>
      <c r="J518" s="17" t="inlineStr">
        <is>
          <t>Opening Day</t>
        </is>
      </c>
      <c r="K518" s="11">
        <f>IFERROR(INDEX(Roles!$B$17:$B$20,MATCH(J518,Roles!$A$17:$A$20,0)),1)</f>
        <v/>
      </c>
      <c r="L518" s="18" t="n">
        <v>1</v>
      </c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3">
        <f>SUMPRODUCT(M518:X518,$M$2:$X$2)*$K518*$L518</f>
        <v/>
      </c>
      <c r="Z518" s="14">
        <f>SUM(M518:X518)</f>
        <v/>
      </c>
      <c r="AA518" s="13">
        <f>SUMPRODUCT(M518:X518,$M$3:$X$3)*$K518*$L518</f>
        <v/>
      </c>
      <c r="AB518" s="13">
        <f>SUMPRODUCT(M518:X518,$M$4:$X$4)*$K518*$L518</f>
        <v/>
      </c>
      <c r="AC518" s="15">
        <f>SUMPRODUCT(M518:X518,$M$5:$X$5)*$K518*$L518</f>
        <v/>
      </c>
      <c r="AD518" s="15">
        <f>SUMPRODUCT(M518:X518,$M$6:$X$6)*$K518*$L518</f>
        <v/>
      </c>
      <c r="AE518" s="19" t="n"/>
    </row>
    <row r="519">
      <c r="A519" s="9" t="n">
        <v>687922</v>
      </c>
      <c r="B519" s="9" t="inlineStr">
        <is>
          <t>Easton Lucas</t>
        </is>
      </c>
      <c r="C519" s="9" t="inlineStr">
        <is>
          <t>TOR</t>
        </is>
      </c>
      <c r="D519" s="9" t="n">
        <v>30</v>
      </c>
      <c r="E519" s="17" t="inlineStr">
        <is>
          <t>L</t>
        </is>
      </c>
      <c r="F519" s="17" t="n"/>
      <c r="G519" s="9" t="n">
        <v>108</v>
      </c>
      <c r="H519" s="9" t="n">
        <v>204</v>
      </c>
      <c r="I519" s="9" t="inlineStr">
        <is>
          <t>Bullpen Depth Arm</t>
        </is>
      </c>
      <c r="J519" s="17" t="inlineStr">
        <is>
          <t>Opening Day</t>
        </is>
      </c>
      <c r="K519" s="11">
        <f>IFERROR(INDEX(Roles!$B$17:$B$20,MATCH(J519,Roles!$A$17:$A$20,0)),1)</f>
        <v/>
      </c>
      <c r="L519" s="18" t="n">
        <v>1</v>
      </c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3">
        <f>SUMPRODUCT(M519:X519,$M$2:$X$2)*$K519*$L519</f>
        <v/>
      </c>
      <c r="Z519" s="14">
        <f>SUM(M519:X519)</f>
        <v/>
      </c>
      <c r="AA519" s="13">
        <f>SUMPRODUCT(M519:X519,$M$3:$X$3)*$K519*$L519</f>
        <v/>
      </c>
      <c r="AB519" s="13">
        <f>SUMPRODUCT(M519:X519,$M$4:$X$4)*$K519*$L519</f>
        <v/>
      </c>
      <c r="AC519" s="15">
        <f>SUMPRODUCT(M519:X519,$M$5:$X$5)*$K519*$L519</f>
        <v/>
      </c>
      <c r="AD519" s="15">
        <f>SUMPRODUCT(M519:X519,$M$6:$X$6)*$K519*$L519</f>
        <v/>
      </c>
      <c r="AE519" s="19" t="n"/>
    </row>
    <row r="520">
      <c r="A520" s="9" t="n">
        <v>657424</v>
      </c>
      <c r="B520" s="9" t="inlineStr">
        <is>
          <t>Matt Gage</t>
        </is>
      </c>
      <c r="C520" s="9" t="inlineStr">
        <is>
          <t>SF</t>
        </is>
      </c>
      <c r="D520" s="9" t="n">
        <v>34</v>
      </c>
      <c r="E520" s="17" t="inlineStr">
        <is>
          <t>L</t>
        </is>
      </c>
      <c r="F520" s="17" t="n"/>
      <c r="G520" s="9" t="n">
        <v>102</v>
      </c>
      <c r="H520" s="9" t="n">
        <v>316</v>
      </c>
      <c r="I520" s="9" t="inlineStr">
        <is>
          <t>Bullpen Depth Arm</t>
        </is>
      </c>
      <c r="J520" s="17" t="inlineStr">
        <is>
          <t>Opening Day</t>
        </is>
      </c>
      <c r="K520" s="11">
        <f>IFERROR(INDEX(Roles!$B$17:$B$20,MATCH(J520,Roles!$A$17:$A$20,0)),1)</f>
        <v/>
      </c>
      <c r="L520" s="18" t="n">
        <v>1</v>
      </c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3">
        <f>SUMPRODUCT(M520:X520,$M$2:$X$2)*$K520*$L520</f>
        <v/>
      </c>
      <c r="Z520" s="14">
        <f>SUM(M520:X520)</f>
        <v/>
      </c>
      <c r="AA520" s="13">
        <f>SUMPRODUCT(M520:X520,$M$3:$X$3)*$K520*$L520</f>
        <v/>
      </c>
      <c r="AB520" s="13">
        <f>SUMPRODUCT(M520:X520,$M$4:$X$4)*$K520*$L520</f>
        <v/>
      </c>
      <c r="AC520" s="15">
        <f>SUMPRODUCT(M520:X520,$M$5:$X$5)*$K520*$L520</f>
        <v/>
      </c>
      <c r="AD520" s="15">
        <f>SUMPRODUCT(M520:X520,$M$6:$X$6)*$K520*$L520</f>
        <v/>
      </c>
      <c r="AE520" s="19" t="n"/>
    </row>
    <row r="521">
      <c r="A521" s="9" t="n">
        <v>655889</v>
      </c>
      <c r="B521" s="9" t="inlineStr">
        <is>
          <t>Manuel Rodríguez</t>
        </is>
      </c>
      <c r="C521" s="9" t="inlineStr">
        <is>
          <t>TB</t>
        </is>
      </c>
      <c r="D521" s="9" t="n">
        <v>30</v>
      </c>
      <c r="E521" s="17" t="inlineStr">
        <is>
          <t>R</t>
        </is>
      </c>
      <c r="F521" s="17" t="n"/>
      <c r="G521" s="9" t="n">
        <v>121</v>
      </c>
      <c r="H521" s="9" t="n">
        <v>336</v>
      </c>
      <c r="I521" s="9" t="inlineStr">
        <is>
          <t>Bullpen Depth Arm</t>
        </is>
      </c>
      <c r="J521" s="17" t="inlineStr">
        <is>
          <t>Opening Day</t>
        </is>
      </c>
      <c r="K521" s="11">
        <f>IFERROR(INDEX(Roles!$B$17:$B$20,MATCH(J521,Roles!$A$17:$A$20,0)),1)</f>
        <v/>
      </c>
      <c r="L521" s="18" t="n">
        <v>1</v>
      </c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3">
        <f>SUMPRODUCT(M521:X521,$M$2:$X$2)*$K521*$L521</f>
        <v/>
      </c>
      <c r="Z521" s="14">
        <f>SUM(M521:X521)</f>
        <v/>
      </c>
      <c r="AA521" s="13">
        <f>SUMPRODUCT(M521:X521,$M$3:$X$3)*$K521*$L521</f>
        <v/>
      </c>
      <c r="AB521" s="13">
        <f>SUMPRODUCT(M521:X521,$M$4:$X$4)*$K521*$L521</f>
        <v/>
      </c>
      <c r="AC521" s="15">
        <f>SUMPRODUCT(M521:X521,$M$5:$X$5)*$K521*$L521</f>
        <v/>
      </c>
      <c r="AD521" s="15">
        <f>SUMPRODUCT(M521:X521,$M$6:$X$6)*$K521*$L521</f>
        <v/>
      </c>
      <c r="AE521" s="19" t="n"/>
    </row>
    <row r="522">
      <c r="A522" s="9" t="n">
        <v>676571</v>
      </c>
      <c r="B522" s="9" t="inlineStr">
        <is>
          <t>PJ Poulin</t>
        </is>
      </c>
      <c r="C522" s="9" t="inlineStr">
        <is>
          <t>WSH</t>
        </is>
      </c>
      <c r="D522" s="9" t="n">
        <v>30</v>
      </c>
      <c r="E522" s="17" t="inlineStr">
        <is>
          <t>L</t>
        </is>
      </c>
      <c r="F522" s="17" t="n"/>
      <c r="G522" s="9" t="n">
        <v>106</v>
      </c>
      <c r="H522" s="9" t="n">
        <v>216</v>
      </c>
      <c r="I522" s="9" t="inlineStr">
        <is>
          <t>Bullpen Depth Arm</t>
        </is>
      </c>
      <c r="J522" s="17" t="inlineStr">
        <is>
          <t>Opening Day</t>
        </is>
      </c>
      <c r="K522" s="11">
        <f>IFERROR(INDEX(Roles!$B$17:$B$20,MATCH(J522,Roles!$A$17:$A$20,0)),1)</f>
        <v/>
      </c>
      <c r="L522" s="18" t="n">
        <v>1</v>
      </c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3">
        <f>SUMPRODUCT(M522:X522,$M$2:$X$2)*$K522*$L522</f>
        <v/>
      </c>
      <c r="Z522" s="14">
        <f>SUM(M522:X522)</f>
        <v/>
      </c>
      <c r="AA522" s="13">
        <f>SUMPRODUCT(M522:X522,$M$3:$X$3)*$K522*$L522</f>
        <v/>
      </c>
      <c r="AB522" s="13">
        <f>SUMPRODUCT(M522:X522,$M$4:$X$4)*$K522*$L522</f>
        <v/>
      </c>
      <c r="AC522" s="15">
        <f>SUMPRODUCT(M522:X522,$M$5:$X$5)*$K522*$L522</f>
        <v/>
      </c>
      <c r="AD522" s="15">
        <f>SUMPRODUCT(M522:X522,$M$6:$X$6)*$K522*$L522</f>
        <v/>
      </c>
      <c r="AE522" s="19" t="n"/>
    </row>
    <row r="523">
      <c r="A523" s="9" t="n">
        <v>669387</v>
      </c>
      <c r="B523" s="9" t="inlineStr">
        <is>
          <t>Carmen Mlodzinski</t>
        </is>
      </c>
      <c r="C523" s="9" t="inlineStr">
        <is>
          <t>PIT</t>
        </is>
      </c>
      <c r="D523" s="9" t="n">
        <v>28</v>
      </c>
      <c r="E523" s="17" t="inlineStr">
        <is>
          <t>R</t>
        </is>
      </c>
      <c r="F523" s="17" t="n"/>
      <c r="G523" s="9" t="n">
        <v>253</v>
      </c>
      <c r="H523" s="9" t="n">
        <v>1033</v>
      </c>
      <c r="I523" s="9" t="inlineStr">
        <is>
          <t>Bullpen Depth Arm</t>
        </is>
      </c>
      <c r="J523" s="17" t="inlineStr">
        <is>
          <t>Opening Day</t>
        </is>
      </c>
      <c r="K523" s="11">
        <f>IFERROR(INDEX(Roles!$B$17:$B$20,MATCH(J523,Roles!$A$17:$A$20,0)),1)</f>
        <v/>
      </c>
      <c r="L523" s="18" t="n">
        <v>1</v>
      </c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3">
        <f>SUMPRODUCT(M523:X523,$M$2:$X$2)*$K523*$L523</f>
        <v/>
      </c>
      <c r="Z523" s="14">
        <f>SUM(M523:X523)</f>
        <v/>
      </c>
      <c r="AA523" s="13">
        <f>SUMPRODUCT(M523:X523,$M$3:$X$3)*$K523*$L523</f>
        <v/>
      </c>
      <c r="AB523" s="13">
        <f>SUMPRODUCT(M523:X523,$M$4:$X$4)*$K523*$L523</f>
        <v/>
      </c>
      <c r="AC523" s="15">
        <f>SUMPRODUCT(M523:X523,$M$5:$X$5)*$K523*$L523</f>
        <v/>
      </c>
      <c r="AD523" s="15">
        <f>SUMPRODUCT(M523:X523,$M$6:$X$6)*$K523*$L523</f>
        <v/>
      </c>
      <c r="AE523" s="19" t="n"/>
    </row>
    <row r="524">
      <c r="A524" s="9" t="n">
        <v>571948</v>
      </c>
      <c r="B524" s="9" t="inlineStr">
        <is>
          <t>Hoby Milner</t>
        </is>
      </c>
      <c r="C524" s="9" t="inlineStr">
        <is>
          <t>CHC</t>
        </is>
      </c>
      <c r="D524" s="9" t="n">
        <v>36</v>
      </c>
      <c r="E524" s="17" t="inlineStr">
        <is>
          <t>L</t>
        </is>
      </c>
      <c r="F524" s="17" t="n"/>
      <c r="G524" s="9" t="n">
        <v>121</v>
      </c>
      <c r="H524" s="9" t="n">
        <v>1206</v>
      </c>
      <c r="I524" s="9" t="inlineStr">
        <is>
          <t>Late Inning RP (Setup)</t>
        </is>
      </c>
      <c r="J524" s="17" t="inlineStr">
        <is>
          <t>Opening Day</t>
        </is>
      </c>
      <c r="K524" s="11">
        <f>IFERROR(INDEX(Roles!$B$17:$B$20,MATCH(J524,Roles!$A$17:$A$20,0)),1)</f>
        <v/>
      </c>
      <c r="L524" s="18" t="n">
        <v>1</v>
      </c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3">
        <f>SUMPRODUCT(M524:X524,$M$2:$X$2)*$K524*$L524</f>
        <v/>
      </c>
      <c r="Z524" s="14">
        <f>SUM(M524:X524)</f>
        <v/>
      </c>
      <c r="AA524" s="13">
        <f>SUMPRODUCT(M524:X524,$M$3:$X$3)*$K524*$L524</f>
        <v/>
      </c>
      <c r="AB524" s="13">
        <f>SUMPRODUCT(M524:X524,$M$4:$X$4)*$K524*$L524</f>
        <v/>
      </c>
      <c r="AC524" s="15">
        <f>SUMPRODUCT(M524:X524,$M$5:$X$5)*$K524*$L524</f>
        <v/>
      </c>
      <c r="AD524" s="15">
        <f>SUMPRODUCT(M524:X524,$M$6:$X$6)*$K524*$L524</f>
        <v/>
      </c>
      <c r="AE524" s="19" t="n"/>
    </row>
    <row r="525">
      <c r="A525" s="9" t="n">
        <v>681892</v>
      </c>
      <c r="B525" s="9" t="inlineStr">
        <is>
          <t>Kody Funderburk</t>
        </is>
      </c>
      <c r="C525" s="9" t="inlineStr">
        <is>
          <t>MIN</t>
        </is>
      </c>
      <c r="D525" s="9" t="n">
        <v>30</v>
      </c>
      <c r="E525" s="17" t="inlineStr">
        <is>
          <t>L</t>
        </is>
      </c>
      <c r="F525" s="17" t="n"/>
      <c r="G525" s="9" t="n">
        <v>82</v>
      </c>
      <c r="H525" s="9" t="n">
        <v>473</v>
      </c>
      <c r="I525" s="9" t="inlineStr">
        <is>
          <t>Bullpen Depth Arm</t>
        </is>
      </c>
      <c r="J525" s="17" t="inlineStr">
        <is>
          <t>Opening Day</t>
        </is>
      </c>
      <c r="K525" s="11">
        <f>IFERROR(INDEX(Roles!$B$17:$B$20,MATCH(J525,Roles!$A$17:$A$20,0)),1)</f>
        <v/>
      </c>
      <c r="L525" s="18" t="n">
        <v>1</v>
      </c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3">
        <f>SUMPRODUCT(M525:X525,$M$2:$X$2)*$K525*$L525</f>
        <v/>
      </c>
      <c r="Z525" s="14">
        <f>SUM(M525:X525)</f>
        <v/>
      </c>
      <c r="AA525" s="13">
        <f>SUMPRODUCT(M525:X525,$M$3:$X$3)*$K525*$L525</f>
        <v/>
      </c>
      <c r="AB525" s="13">
        <f>SUMPRODUCT(M525:X525,$M$4:$X$4)*$K525*$L525</f>
        <v/>
      </c>
      <c r="AC525" s="15">
        <f>SUMPRODUCT(M525:X525,$M$5:$X$5)*$K525*$L525</f>
        <v/>
      </c>
      <c r="AD525" s="15">
        <f>SUMPRODUCT(M525:X525,$M$6:$X$6)*$K525*$L525</f>
        <v/>
      </c>
      <c r="AE525" s="19" t="n"/>
    </row>
    <row r="526">
      <c r="A526" s="9" t="n">
        <v>687849</v>
      </c>
      <c r="B526" s="9" t="inlineStr">
        <is>
          <t>Zak Kent</t>
        </is>
      </c>
      <c r="C526" s="9" t="inlineStr">
        <is>
          <t>WSH</t>
        </is>
      </c>
      <c r="D526" s="9" t="n">
        <v>29</v>
      </c>
      <c r="E526" s="17" t="inlineStr">
        <is>
          <t>R</t>
        </is>
      </c>
      <c r="F526" s="17" t="n"/>
      <c r="G526" s="9" t="n">
        <v>44</v>
      </c>
      <c r="H526" s="9" t="n">
        <v>120</v>
      </c>
      <c r="I526" s="9" t="inlineStr">
        <is>
          <t>Middle Relief</t>
        </is>
      </c>
      <c r="J526" s="17" t="inlineStr">
        <is>
          <t>Opening Day</t>
        </is>
      </c>
      <c r="K526" s="11">
        <f>IFERROR(INDEX(Roles!$B$17:$B$20,MATCH(J526,Roles!$A$17:$A$20,0)),1)</f>
        <v/>
      </c>
      <c r="L526" s="18" t="n">
        <v>1</v>
      </c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3">
        <f>SUMPRODUCT(M526:X526,$M$2:$X$2)*$K526*$L526</f>
        <v/>
      </c>
      <c r="Z526" s="14">
        <f>SUM(M526:X526)</f>
        <v/>
      </c>
      <c r="AA526" s="13">
        <f>SUMPRODUCT(M526:X526,$M$3:$X$3)*$K526*$L526</f>
        <v/>
      </c>
      <c r="AB526" s="13">
        <f>SUMPRODUCT(M526:X526,$M$4:$X$4)*$K526*$L526</f>
        <v/>
      </c>
      <c r="AC526" s="15">
        <f>SUMPRODUCT(M526:X526,$M$5:$X$5)*$K526*$L526</f>
        <v/>
      </c>
      <c r="AD526" s="15">
        <f>SUMPRODUCT(M526:X526,$M$6:$X$6)*$K526*$L526</f>
        <v/>
      </c>
      <c r="AE526" s="19" t="n"/>
    </row>
    <row r="527">
      <c r="A527" s="9" t="n">
        <v>695611</v>
      </c>
      <c r="B527" s="9" t="inlineStr">
        <is>
          <t>Gage Jump</t>
        </is>
      </c>
      <c r="C527" s="9" t="inlineStr">
        <is>
          <t>OAK</t>
        </is>
      </c>
      <c r="D527" s="9" t="n">
        <v>24</v>
      </c>
      <c r="E527" s="17" t="inlineStr">
        <is>
          <t>L</t>
        </is>
      </c>
      <c r="F527" s="17" t="n"/>
      <c r="G527" s="9" t="n">
        <v>73</v>
      </c>
      <c r="H527" s="9" t="n">
        <v>73</v>
      </c>
      <c r="I527" s="9" t="inlineStr">
        <is>
          <t>Ace (SP1)</t>
        </is>
      </c>
      <c r="J527" s="17" t="inlineStr">
        <is>
          <t>Opening Day</t>
        </is>
      </c>
      <c r="K527" s="11">
        <f>IFERROR(INDEX(Roles!$B$17:$B$20,MATCH(J527,Roles!$A$17:$A$20,0)),1)</f>
        <v/>
      </c>
      <c r="L527" s="18" t="n">
        <v>1</v>
      </c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3">
        <f>SUMPRODUCT(M527:X527,$M$2:$X$2)*$K527*$L527</f>
        <v/>
      </c>
      <c r="Z527" s="14">
        <f>SUM(M527:X527)</f>
        <v/>
      </c>
      <c r="AA527" s="13">
        <f>SUMPRODUCT(M527:X527,$M$3:$X$3)*$K527*$L527</f>
        <v/>
      </c>
      <c r="AB527" s="13">
        <f>SUMPRODUCT(M527:X527,$M$4:$X$4)*$K527*$L527</f>
        <v/>
      </c>
      <c r="AC527" s="15">
        <f>SUMPRODUCT(M527:X527,$M$5:$X$5)*$K527*$L527</f>
        <v/>
      </c>
      <c r="AD527" s="15">
        <f>SUMPRODUCT(M527:X527,$M$6:$X$6)*$K527*$L527</f>
        <v/>
      </c>
      <c r="AE527" s="19" t="n"/>
    </row>
    <row r="528">
      <c r="A528" s="9" t="n">
        <v>641386</v>
      </c>
      <c r="B528" s="9" t="inlineStr">
        <is>
          <t>Ben Bowden</t>
        </is>
      </c>
      <c r="C528" s="9" t="inlineStr">
        <is>
          <t>OAK</t>
        </is>
      </c>
      <c r="D528" s="9" t="n">
        <v>32</v>
      </c>
      <c r="E528" s="17" t="inlineStr">
        <is>
          <t>L</t>
        </is>
      </c>
      <c r="F528" s="17" t="n"/>
      <c r="G528" s="9" t="n">
        <v>47</v>
      </c>
      <c r="H528" s="9" t="n">
        <v>47</v>
      </c>
      <c r="I528" s="9" t="inlineStr">
        <is>
          <t>Bullpen Depth Arm</t>
        </is>
      </c>
      <c r="J528" s="17" t="inlineStr">
        <is>
          <t>Opening Day</t>
        </is>
      </c>
      <c r="K528" s="11">
        <f>IFERROR(INDEX(Roles!$B$17:$B$20,MATCH(J528,Roles!$A$17:$A$20,0)),1)</f>
        <v/>
      </c>
      <c r="L528" s="18" t="n">
        <v>1</v>
      </c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3">
        <f>SUMPRODUCT(M528:X528,$M$2:$X$2)*$K528*$L528</f>
        <v/>
      </c>
      <c r="Z528" s="14">
        <f>SUM(M528:X528)</f>
        <v/>
      </c>
      <c r="AA528" s="13">
        <f>SUMPRODUCT(M528:X528,$M$3:$X$3)*$K528*$L528</f>
        <v/>
      </c>
      <c r="AB528" s="13">
        <f>SUMPRODUCT(M528:X528,$M$4:$X$4)*$K528*$L528</f>
        <v/>
      </c>
      <c r="AC528" s="15">
        <f>SUMPRODUCT(M528:X528,$M$5:$X$5)*$K528*$L528</f>
        <v/>
      </c>
      <c r="AD528" s="15">
        <f>SUMPRODUCT(M528:X528,$M$6:$X$6)*$K528*$L528</f>
        <v/>
      </c>
      <c r="AE528" s="19" t="n"/>
    </row>
    <row r="529">
      <c r="A529" s="9" t="n">
        <v>650644</v>
      </c>
      <c r="B529" s="9" t="inlineStr">
        <is>
          <t>Aaron Civale</t>
        </is>
      </c>
      <c r="C529" s="9" t="inlineStr">
        <is>
          <t>OAK</t>
        </is>
      </c>
      <c r="D529" s="9" t="n">
        <v>32</v>
      </c>
      <c r="E529" s="17" t="inlineStr">
        <is>
          <t>R</t>
        </is>
      </c>
      <c r="F529" s="17" t="n"/>
      <c r="G529" s="9" t="n">
        <v>246</v>
      </c>
      <c r="H529" s="9" t="n">
        <v>2281</v>
      </c>
      <c r="I529" s="9" t="inlineStr">
        <is>
          <t>End-of-Rotation Starter (SP4-5)</t>
        </is>
      </c>
      <c r="J529" s="17" t="inlineStr">
        <is>
          <t>Opening Day</t>
        </is>
      </c>
      <c r="K529" s="11">
        <f>IFERROR(INDEX(Roles!$B$17:$B$20,MATCH(J529,Roles!$A$17:$A$20,0)),1)</f>
        <v/>
      </c>
      <c r="L529" s="18" t="n">
        <v>1</v>
      </c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3">
        <f>SUMPRODUCT(M529:X529,$M$2:$X$2)*$K529*$L529</f>
        <v/>
      </c>
      <c r="Z529" s="14">
        <f>SUM(M529:X529)</f>
        <v/>
      </c>
      <c r="AA529" s="13">
        <f>SUMPRODUCT(M529:X529,$M$3:$X$3)*$K529*$L529</f>
        <v/>
      </c>
      <c r="AB529" s="13">
        <f>SUMPRODUCT(M529:X529,$M$4:$X$4)*$K529*$L529</f>
        <v/>
      </c>
      <c r="AC529" s="15">
        <f>SUMPRODUCT(M529:X529,$M$5:$X$5)*$K529*$L529</f>
        <v/>
      </c>
      <c r="AD529" s="15">
        <f>SUMPRODUCT(M529:X529,$M$6:$X$6)*$K529*$L529</f>
        <v/>
      </c>
      <c r="AE529" s="19" t="n"/>
    </row>
    <row r="530">
      <c r="A530" s="9" t="n">
        <v>702273</v>
      </c>
      <c r="B530" s="9" t="inlineStr">
        <is>
          <t>Noah Schultz</t>
        </is>
      </c>
      <c r="C530" s="9" t="inlineStr">
        <is>
          <t>CWS</t>
        </is>
      </c>
      <c r="D530" s="9" t="n">
        <v>23</v>
      </c>
      <c r="E530" s="17" t="inlineStr">
        <is>
          <t>L</t>
        </is>
      </c>
      <c r="F530" s="17" t="n"/>
      <c r="G530" s="9" t="n">
        <v>168</v>
      </c>
      <c r="H530" s="9" t="n">
        <v>168</v>
      </c>
      <c r="I530" s="9" t="inlineStr">
        <is>
          <t>End-of-Rotation Starter (SP4-5)</t>
        </is>
      </c>
      <c r="J530" s="17" t="inlineStr">
        <is>
          <t>Opening Day</t>
        </is>
      </c>
      <c r="K530" s="11">
        <f>IFERROR(INDEX(Roles!$B$17:$B$20,MATCH(J530,Roles!$A$17:$A$20,0)),1)</f>
        <v/>
      </c>
      <c r="L530" s="18" t="n">
        <v>1</v>
      </c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3">
        <f>SUMPRODUCT(M530:X530,$M$2:$X$2)*$K530*$L530</f>
        <v/>
      </c>
      <c r="Z530" s="14">
        <f>SUM(M530:X530)</f>
        <v/>
      </c>
      <c r="AA530" s="13">
        <f>SUMPRODUCT(M530:X530,$M$3:$X$3)*$K530*$L530</f>
        <v/>
      </c>
      <c r="AB530" s="13">
        <f>SUMPRODUCT(M530:X530,$M$4:$X$4)*$K530*$L530</f>
        <v/>
      </c>
      <c r="AC530" s="15">
        <f>SUMPRODUCT(M530:X530,$M$5:$X$5)*$K530*$L530</f>
        <v/>
      </c>
      <c r="AD530" s="15">
        <f>SUMPRODUCT(M530:X530,$M$6:$X$6)*$K530*$L530</f>
        <v/>
      </c>
      <c r="AE530" s="19" t="n"/>
    </row>
    <row r="531">
      <c r="A531" s="9" t="n">
        <v>801403</v>
      </c>
      <c r="B531" s="9" t="inlineStr">
        <is>
          <t>Chase Dollander</t>
        </is>
      </c>
      <c r="C531" s="9" t="inlineStr">
        <is>
          <t>COL</t>
        </is>
      </c>
      <c r="D531" s="9" t="n">
        <v>25</v>
      </c>
      <c r="E531" s="17" t="inlineStr">
        <is>
          <t>R</t>
        </is>
      </c>
      <c r="F531" s="17" t="n"/>
      <c r="G531" s="9" t="n">
        <v>189</v>
      </c>
      <c r="H531" s="9" t="n">
        <v>630</v>
      </c>
      <c r="I531" s="9" t="inlineStr">
        <is>
          <t>End-of-Rotation Starter (SP4-5)</t>
        </is>
      </c>
      <c r="J531" s="17" t="inlineStr">
        <is>
          <t>Opening Day</t>
        </is>
      </c>
      <c r="K531" s="11">
        <f>IFERROR(INDEX(Roles!$B$17:$B$20,MATCH(J531,Roles!$A$17:$A$20,0)),1)</f>
        <v/>
      </c>
      <c r="L531" s="18" t="n">
        <v>1</v>
      </c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3">
        <f>SUMPRODUCT(M531:X531,$M$2:$X$2)*$K531*$L531</f>
        <v/>
      </c>
      <c r="Z531" s="14">
        <f>SUM(M531:X531)</f>
        <v/>
      </c>
      <c r="AA531" s="13">
        <f>SUMPRODUCT(M531:X531,$M$3:$X$3)*$K531*$L531</f>
        <v/>
      </c>
      <c r="AB531" s="13">
        <f>SUMPRODUCT(M531:X531,$M$4:$X$4)*$K531*$L531</f>
        <v/>
      </c>
      <c r="AC531" s="15">
        <f>SUMPRODUCT(M531:X531,$M$5:$X$5)*$K531*$L531</f>
        <v/>
      </c>
      <c r="AD531" s="15">
        <f>SUMPRODUCT(M531:X531,$M$6:$X$6)*$K531*$L531</f>
        <v/>
      </c>
      <c r="AE531" s="19" t="n"/>
    </row>
    <row r="532">
      <c r="A532" s="9" t="n">
        <v>622379</v>
      </c>
      <c r="B532" s="9" t="inlineStr">
        <is>
          <t>Luis F. Castillo</t>
        </is>
      </c>
      <c r="C532" s="9" t="inlineStr">
        <is>
          <t>SEA</t>
        </is>
      </c>
      <c r="D532" s="9" t="n">
        <v>32</v>
      </c>
      <c r="E532" s="17" t="inlineStr">
        <is>
          <t>R</t>
        </is>
      </c>
      <c r="F532" s="17" t="n"/>
      <c r="G532" s="9" t="n">
        <v>41</v>
      </c>
      <c r="H532" s="9" t="n">
        <v>55</v>
      </c>
      <c r="I532" s="9" t="inlineStr">
        <is>
          <t>End-of-Rotation Starter (SP4-5)</t>
        </is>
      </c>
      <c r="J532" s="17" t="inlineStr">
        <is>
          <t>Opening Day</t>
        </is>
      </c>
      <c r="K532" s="11">
        <f>IFERROR(INDEX(Roles!$B$17:$B$20,MATCH(J532,Roles!$A$17:$A$20,0)),1)</f>
        <v/>
      </c>
      <c r="L532" s="18" t="n">
        <v>1</v>
      </c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3">
        <f>SUMPRODUCT(M532:X532,$M$2:$X$2)*$K532*$L532</f>
        <v/>
      </c>
      <c r="Z532" s="14">
        <f>SUM(M532:X532)</f>
        <v/>
      </c>
      <c r="AA532" s="13">
        <f>SUMPRODUCT(M532:X532,$M$3:$X$3)*$K532*$L532</f>
        <v/>
      </c>
      <c r="AB532" s="13">
        <f>SUMPRODUCT(M532:X532,$M$4:$X$4)*$K532*$L532</f>
        <v/>
      </c>
      <c r="AC532" s="15">
        <f>SUMPRODUCT(M532:X532,$M$5:$X$5)*$K532*$L532</f>
        <v/>
      </c>
      <c r="AD532" s="15">
        <f>SUMPRODUCT(M532:X532,$M$6:$X$6)*$K532*$L532</f>
        <v/>
      </c>
      <c r="AE532" s="19" t="n"/>
    </row>
    <row r="533">
      <c r="A533" s="9" t="n">
        <v>692230</v>
      </c>
      <c r="B533" s="9" t="inlineStr">
        <is>
          <t>Carlos Rodriguez</t>
        </is>
      </c>
      <c r="C533" s="9" t="inlineStr">
        <is>
          <t>MIL</t>
        </is>
      </c>
      <c r="D533" s="9" t="n">
        <v>25</v>
      </c>
      <c r="E533" s="17" t="inlineStr">
        <is>
          <t>R</t>
        </is>
      </c>
      <c r="F533" s="17" t="n"/>
      <c r="G533" s="9" t="n">
        <v>42</v>
      </c>
      <c r="H533" s="9" t="n">
        <v>149</v>
      </c>
      <c r="I533" s="9" t="inlineStr">
        <is>
          <t>Bullpen Depth Arm</t>
        </is>
      </c>
      <c r="J533" s="17" t="inlineStr">
        <is>
          <t>Opening Day</t>
        </is>
      </c>
      <c r="K533" s="11">
        <f>IFERROR(INDEX(Roles!$B$17:$B$20,MATCH(J533,Roles!$A$17:$A$20,0)),1)</f>
        <v/>
      </c>
      <c r="L533" s="18" t="n">
        <v>1</v>
      </c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3">
        <f>SUMPRODUCT(M533:X533,$M$2:$X$2)*$K533*$L533</f>
        <v/>
      </c>
      <c r="Z533" s="14">
        <f>SUM(M533:X533)</f>
        <v/>
      </c>
      <c r="AA533" s="13">
        <f>SUMPRODUCT(M533:X533,$M$3:$X$3)*$K533*$L533</f>
        <v/>
      </c>
      <c r="AB533" s="13">
        <f>SUMPRODUCT(M533:X533,$M$4:$X$4)*$K533*$L533</f>
        <v/>
      </c>
      <c r="AC533" s="15">
        <f>SUMPRODUCT(M533:X533,$M$5:$X$5)*$K533*$L533</f>
        <v/>
      </c>
      <c r="AD533" s="15">
        <f>SUMPRODUCT(M533:X533,$M$6:$X$6)*$K533*$L533</f>
        <v/>
      </c>
      <c r="AE533" s="19" t="n"/>
    </row>
    <row r="534">
      <c r="A534" s="9" t="n">
        <v>685005</v>
      </c>
      <c r="B534" s="9" t="inlineStr">
        <is>
          <t>Christian Roa</t>
        </is>
      </c>
      <c r="C534" s="9" t="inlineStr">
        <is>
          <t>HOU</t>
        </is>
      </c>
      <c r="D534" s="9" t="n">
        <v>28</v>
      </c>
      <c r="E534" s="17" t="inlineStr">
        <is>
          <t>R</t>
        </is>
      </c>
      <c r="F534" s="17" t="n"/>
      <c r="G534" s="9" t="n">
        <v>43</v>
      </c>
      <c r="H534" s="9" t="n">
        <v>55</v>
      </c>
      <c r="I534" s="9" t="inlineStr">
        <is>
          <t>Bullpen Depth Arm</t>
        </is>
      </c>
      <c r="J534" s="17" t="inlineStr">
        <is>
          <t>Opening Day</t>
        </is>
      </c>
      <c r="K534" s="11">
        <f>IFERROR(INDEX(Roles!$B$17:$B$20,MATCH(J534,Roles!$A$17:$A$20,0)),1)</f>
        <v/>
      </c>
      <c r="L534" s="18" t="n">
        <v>1</v>
      </c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3">
        <f>SUMPRODUCT(M534:X534,$M$2:$X$2)*$K534*$L534</f>
        <v/>
      </c>
      <c r="Z534" s="14">
        <f>SUM(M534:X534)</f>
        <v/>
      </c>
      <c r="AA534" s="13">
        <f>SUMPRODUCT(M534:X534,$M$3:$X$3)*$K534*$L534</f>
        <v/>
      </c>
      <c r="AB534" s="13">
        <f>SUMPRODUCT(M534:X534,$M$4:$X$4)*$K534*$L534</f>
        <v/>
      </c>
      <c r="AC534" s="15">
        <f>SUMPRODUCT(M534:X534,$M$5:$X$5)*$K534*$L534</f>
        <v/>
      </c>
      <c r="AD534" s="15">
        <f>SUMPRODUCT(M534:X534,$M$6:$X$6)*$K534*$L534</f>
        <v/>
      </c>
      <c r="AE534" s="19" t="n"/>
    </row>
    <row r="535">
      <c r="A535" s="9" t="n">
        <v>681799</v>
      </c>
      <c r="B535" s="9" t="inlineStr">
        <is>
          <t>Ethan Roberts</t>
        </is>
      </c>
      <c r="C535" s="9" t="inlineStr">
        <is>
          <t>CHC</t>
        </is>
      </c>
      <c r="D535" s="9" t="n">
        <v>29</v>
      </c>
      <c r="E535" s="17" t="inlineStr">
        <is>
          <t>R</t>
        </is>
      </c>
      <c r="F535" s="17" t="n"/>
      <c r="G535" s="9" t="n">
        <v>77</v>
      </c>
      <c r="H535" s="9" t="n">
        <v>272</v>
      </c>
      <c r="I535" s="9" t="inlineStr">
        <is>
          <t>Bullpen Depth Arm</t>
        </is>
      </c>
      <c r="J535" s="17" t="inlineStr">
        <is>
          <t>Opening Day</t>
        </is>
      </c>
      <c r="K535" s="11">
        <f>IFERROR(INDEX(Roles!$B$17:$B$20,MATCH(J535,Roles!$A$17:$A$20,0)),1)</f>
        <v/>
      </c>
      <c r="L535" s="18" t="n">
        <v>1</v>
      </c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3">
        <f>SUMPRODUCT(M535:X535,$M$2:$X$2)*$K535*$L535</f>
        <v/>
      </c>
      <c r="Z535" s="14">
        <f>SUM(M535:X535)</f>
        <v/>
      </c>
      <c r="AA535" s="13">
        <f>SUMPRODUCT(M535:X535,$M$3:$X$3)*$K535*$L535</f>
        <v/>
      </c>
      <c r="AB535" s="13">
        <f>SUMPRODUCT(M535:X535,$M$4:$X$4)*$K535*$L535</f>
        <v/>
      </c>
      <c r="AC535" s="15">
        <f>SUMPRODUCT(M535:X535,$M$5:$X$5)*$K535*$L535</f>
        <v/>
      </c>
      <c r="AD535" s="15">
        <f>SUMPRODUCT(M535:X535,$M$6:$X$6)*$K535*$L535</f>
        <v/>
      </c>
      <c r="AE535" s="19" t="n"/>
    </row>
    <row r="536">
      <c r="A536" s="9" t="n">
        <v>702474</v>
      </c>
      <c r="B536" s="9" t="inlineStr">
        <is>
          <t>Mike Paredes</t>
        </is>
      </c>
      <c r="C536" s="9" t="inlineStr">
        <is>
          <t>MIN</t>
        </is>
      </c>
      <c r="D536" s="9" t="n">
        <v>26</v>
      </c>
      <c r="E536" s="17" t="inlineStr">
        <is>
          <t>R</t>
        </is>
      </c>
      <c r="F536" s="17" t="n"/>
      <c r="G536" s="9" t="n">
        <v>32</v>
      </c>
      <c r="H536" s="9" t="n">
        <v>32</v>
      </c>
      <c r="I536" s="9" t="inlineStr">
        <is>
          <t>End-of-Rotation Starter (SP4-5)</t>
        </is>
      </c>
      <c r="J536" s="17" t="inlineStr">
        <is>
          <t>Opening Day</t>
        </is>
      </c>
      <c r="K536" s="11">
        <f>IFERROR(INDEX(Roles!$B$17:$B$20,MATCH(J536,Roles!$A$17:$A$20,0)),1)</f>
        <v/>
      </c>
      <c r="L536" s="18" t="n">
        <v>1</v>
      </c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3">
        <f>SUMPRODUCT(M536:X536,$M$2:$X$2)*$K536*$L536</f>
        <v/>
      </c>
      <c r="Z536" s="14">
        <f>SUM(M536:X536)</f>
        <v/>
      </c>
      <c r="AA536" s="13">
        <f>SUMPRODUCT(M536:X536,$M$3:$X$3)*$K536*$L536</f>
        <v/>
      </c>
      <c r="AB536" s="13">
        <f>SUMPRODUCT(M536:X536,$M$4:$X$4)*$K536*$L536</f>
        <v/>
      </c>
      <c r="AC536" s="15">
        <f>SUMPRODUCT(M536:X536,$M$5:$X$5)*$K536*$L536</f>
        <v/>
      </c>
      <c r="AD536" s="15">
        <f>SUMPRODUCT(M536:X536,$M$6:$X$6)*$K536*$L536</f>
        <v/>
      </c>
      <c r="AE536" s="19" t="n"/>
    </row>
    <row r="537">
      <c r="A537" s="9" t="n">
        <v>663423</v>
      </c>
      <c r="B537" s="9" t="inlineStr">
        <is>
          <t>Trent Thornton</t>
        </is>
      </c>
      <c r="C537" s="9" t="inlineStr">
        <is>
          <t>CHC</t>
        </is>
      </c>
      <c r="D537" s="9" t="n">
        <v>33</v>
      </c>
      <c r="E537" s="17" t="inlineStr">
        <is>
          <t>R</t>
        </is>
      </c>
      <c r="F537" s="17" t="n"/>
      <c r="G537" s="9" t="n">
        <v>62</v>
      </c>
      <c r="H537" s="9" t="n">
        <v>850</v>
      </c>
      <c r="I537" s="9" t="inlineStr">
        <is>
          <t>Middle Relief</t>
        </is>
      </c>
      <c r="J537" s="17" t="inlineStr">
        <is>
          <t>Opening Day</t>
        </is>
      </c>
      <c r="K537" s="11">
        <f>IFERROR(INDEX(Roles!$B$17:$B$20,MATCH(J537,Roles!$A$17:$A$20,0)),1)</f>
        <v/>
      </c>
      <c r="L537" s="18" t="n">
        <v>1</v>
      </c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3">
        <f>SUMPRODUCT(M537:X537,$M$2:$X$2)*$K537*$L537</f>
        <v/>
      </c>
      <c r="Z537" s="14">
        <f>SUM(M537:X537)</f>
        <v/>
      </c>
      <c r="AA537" s="13">
        <f>SUMPRODUCT(M537:X537,$M$3:$X$3)*$K537*$L537</f>
        <v/>
      </c>
      <c r="AB537" s="13">
        <f>SUMPRODUCT(M537:X537,$M$4:$X$4)*$K537*$L537</f>
        <v/>
      </c>
      <c r="AC537" s="15">
        <f>SUMPRODUCT(M537:X537,$M$5:$X$5)*$K537*$L537</f>
        <v/>
      </c>
      <c r="AD537" s="15">
        <f>SUMPRODUCT(M537:X537,$M$6:$X$6)*$K537*$L537</f>
        <v/>
      </c>
      <c r="AE537" s="19" t="n"/>
    </row>
    <row r="538">
      <c r="A538" s="9" t="n">
        <v>671096</v>
      </c>
      <c r="B538" s="9" t="inlineStr">
        <is>
          <t>Andrew Abbott</t>
        </is>
      </c>
      <c r="C538" s="9" t="inlineStr">
        <is>
          <t>CIN</t>
        </is>
      </c>
      <c r="D538" s="9" t="n">
        <v>28</v>
      </c>
      <c r="E538" s="17" t="inlineStr">
        <is>
          <t>L</t>
        </is>
      </c>
      <c r="F538" s="17" t="n"/>
      <c r="G538" s="9" t="n">
        <v>322</v>
      </c>
      <c r="H538" s="9" t="n">
        <v>2051</v>
      </c>
      <c r="I538" s="9" t="inlineStr">
        <is>
          <t>Mid-Rotation Starter (SP2-3)</t>
        </is>
      </c>
      <c r="J538" s="17" t="inlineStr">
        <is>
          <t>Opening Day</t>
        </is>
      </c>
      <c r="K538" s="11">
        <f>IFERROR(INDEX(Roles!$B$17:$B$20,MATCH(J538,Roles!$A$17:$A$20,0)),1)</f>
        <v/>
      </c>
      <c r="L538" s="18" t="n">
        <v>1</v>
      </c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3">
        <f>SUMPRODUCT(M538:X538,$M$2:$X$2)*$K538*$L538</f>
        <v/>
      </c>
      <c r="Z538" s="14">
        <f>SUM(M538:X538)</f>
        <v/>
      </c>
      <c r="AA538" s="13">
        <f>SUMPRODUCT(M538:X538,$M$3:$X$3)*$K538*$L538</f>
        <v/>
      </c>
      <c r="AB538" s="13">
        <f>SUMPRODUCT(M538:X538,$M$4:$X$4)*$K538*$L538</f>
        <v/>
      </c>
      <c r="AC538" s="15">
        <f>SUMPRODUCT(M538:X538,$M$5:$X$5)*$K538*$L538</f>
        <v/>
      </c>
      <c r="AD538" s="15">
        <f>SUMPRODUCT(M538:X538,$M$6:$X$6)*$K538*$L538</f>
        <v/>
      </c>
      <c r="AE538" s="19" t="n"/>
    </row>
    <row r="539">
      <c r="A539" s="9" t="n">
        <v>622663</v>
      </c>
      <c r="B539" s="9" t="inlineStr">
        <is>
          <t>Luis Severino</t>
        </is>
      </c>
      <c r="C539" s="9" t="inlineStr">
        <is>
          <t>OAK</t>
        </is>
      </c>
      <c r="D539" s="9" t="n">
        <v>33</v>
      </c>
      <c r="E539" s="17" t="inlineStr">
        <is>
          <t>R</t>
        </is>
      </c>
      <c r="F539" s="17" t="n"/>
      <c r="G539" s="9" t="n">
        <v>271</v>
      </c>
      <c r="H539" s="9" t="n">
        <v>2559</v>
      </c>
      <c r="I539" s="9" t="inlineStr">
        <is>
          <t>Mid-Rotation Starter (SP2-3)</t>
        </is>
      </c>
      <c r="J539" s="17" t="inlineStr">
        <is>
          <t>Opening Day</t>
        </is>
      </c>
      <c r="K539" s="11">
        <f>IFERROR(INDEX(Roles!$B$17:$B$20,MATCH(J539,Roles!$A$17:$A$20,0)),1)</f>
        <v/>
      </c>
      <c r="L539" s="18" t="n">
        <v>1</v>
      </c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3">
        <f>SUMPRODUCT(M539:X539,$M$2:$X$2)*$K539*$L539</f>
        <v/>
      </c>
      <c r="Z539" s="14">
        <f>SUM(M539:X539)</f>
        <v/>
      </c>
      <c r="AA539" s="13">
        <f>SUMPRODUCT(M539:X539,$M$3:$X$3)*$K539*$L539</f>
        <v/>
      </c>
      <c r="AB539" s="13">
        <f>SUMPRODUCT(M539:X539,$M$4:$X$4)*$K539*$L539</f>
        <v/>
      </c>
      <c r="AC539" s="15">
        <f>SUMPRODUCT(M539:X539,$M$5:$X$5)*$K539*$L539</f>
        <v/>
      </c>
      <c r="AD539" s="15">
        <f>SUMPRODUCT(M539:X539,$M$6:$X$6)*$K539*$L539</f>
        <v/>
      </c>
      <c r="AE539" s="19" t="n"/>
    </row>
    <row r="540">
      <c r="A540" s="9" t="n">
        <v>665152</v>
      </c>
      <c r="B540" s="9" t="inlineStr">
        <is>
          <t>Dean Kremer</t>
        </is>
      </c>
      <c r="C540" s="9" t="inlineStr">
        <is>
          <t>BAL</t>
        </is>
      </c>
      <c r="D540" s="9" t="n">
        <v>31</v>
      </c>
      <c r="E540" s="17" t="inlineStr">
        <is>
          <t>R</t>
        </is>
      </c>
      <c r="F540" s="17" t="n"/>
      <c r="G540" s="9" t="n">
        <v>43</v>
      </c>
      <c r="H540" s="9" t="n">
        <v>2551</v>
      </c>
      <c r="I540" s="9" t="inlineStr">
        <is>
          <t>Mid-Rotation Starter (SP2-3)</t>
        </is>
      </c>
      <c r="J540" s="17" t="inlineStr">
        <is>
          <t>Opening Day</t>
        </is>
      </c>
      <c r="K540" s="11">
        <f>IFERROR(INDEX(Roles!$B$17:$B$20,MATCH(J540,Roles!$A$17:$A$20,0)),1)</f>
        <v/>
      </c>
      <c r="L540" s="18" t="n">
        <v>1</v>
      </c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3">
        <f>SUMPRODUCT(M540:X540,$M$2:$X$2)*$K540*$L540</f>
        <v/>
      </c>
      <c r="Z540" s="14">
        <f>SUM(M540:X540)</f>
        <v/>
      </c>
      <c r="AA540" s="13">
        <f>SUMPRODUCT(M540:X540,$M$3:$X$3)*$K540*$L540</f>
        <v/>
      </c>
      <c r="AB540" s="13">
        <f>SUMPRODUCT(M540:X540,$M$4:$X$4)*$K540*$L540</f>
        <v/>
      </c>
      <c r="AC540" s="15">
        <f>SUMPRODUCT(M540:X540,$M$5:$X$5)*$K540*$L540</f>
        <v/>
      </c>
      <c r="AD540" s="15">
        <f>SUMPRODUCT(M540:X540,$M$6:$X$6)*$K540*$L540</f>
        <v/>
      </c>
      <c r="AE540" s="19" t="n"/>
    </row>
    <row r="541">
      <c r="A541" s="9" t="n">
        <v>702275</v>
      </c>
      <c r="B541" s="9" t="inlineStr">
        <is>
          <t>JR Ritchie</t>
        </is>
      </c>
      <c r="C541" s="9" t="inlineStr">
        <is>
          <t>ATL</t>
        </is>
      </c>
      <c r="D541" s="9" t="n">
        <v>24</v>
      </c>
      <c r="E541" s="17" t="inlineStr">
        <is>
          <t>R</t>
        </is>
      </c>
      <c r="F541" s="17" t="n"/>
      <c r="G541" s="9" t="n">
        <v>114</v>
      </c>
      <c r="H541" s="9" t="n">
        <v>114</v>
      </c>
      <c r="I541" s="9" t="inlineStr">
        <is>
          <t>Mid-Rotation Starter (SP2-3)</t>
        </is>
      </c>
      <c r="J541" s="17" t="inlineStr">
        <is>
          <t>Opening Day</t>
        </is>
      </c>
      <c r="K541" s="11">
        <f>IFERROR(INDEX(Roles!$B$17:$B$20,MATCH(J541,Roles!$A$17:$A$20,0)),1)</f>
        <v/>
      </c>
      <c r="L541" s="18" t="n">
        <v>1</v>
      </c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3">
        <f>SUMPRODUCT(M541:X541,$M$2:$X$2)*$K541*$L541</f>
        <v/>
      </c>
      <c r="Z541" s="14">
        <f>SUM(M541:X541)</f>
        <v/>
      </c>
      <c r="AA541" s="13">
        <f>SUMPRODUCT(M541:X541,$M$3:$X$3)*$K541*$L541</f>
        <v/>
      </c>
      <c r="AB541" s="13">
        <f>SUMPRODUCT(M541:X541,$M$4:$X$4)*$K541*$L541</f>
        <v/>
      </c>
      <c r="AC541" s="15">
        <f>SUMPRODUCT(M541:X541,$M$5:$X$5)*$K541*$L541</f>
        <v/>
      </c>
      <c r="AD541" s="15">
        <f>SUMPRODUCT(M541:X541,$M$6:$X$6)*$K541*$L541</f>
        <v/>
      </c>
      <c r="AE541" s="19" t="n"/>
    </row>
    <row r="542">
      <c r="A542" s="9" t="n">
        <v>685326</v>
      </c>
      <c r="B542" s="9" t="inlineStr">
        <is>
          <t>McCade Brown</t>
        </is>
      </c>
      <c r="C542" s="9" t="inlineStr">
        <is>
          <t>COL</t>
        </is>
      </c>
      <c r="D542" s="9" t="n">
        <v>26</v>
      </c>
      <c r="E542" s="17" t="inlineStr">
        <is>
          <t>R</t>
        </is>
      </c>
      <c r="F542" s="17" t="n"/>
      <c r="G542" s="9" t="n">
        <v>126</v>
      </c>
      <c r="H542" s="9" t="n">
        <v>126</v>
      </c>
      <c r="I542" s="9" t="inlineStr">
        <is>
          <t>End-of-Rotation Starter (SP4-5)</t>
        </is>
      </c>
      <c r="J542" s="17" t="inlineStr">
        <is>
          <t>Opening Day</t>
        </is>
      </c>
      <c r="K542" s="11">
        <f>IFERROR(INDEX(Roles!$B$17:$B$20,MATCH(J542,Roles!$A$17:$A$20,0)),1)</f>
        <v/>
      </c>
      <c r="L542" s="18" t="n">
        <v>1</v>
      </c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3">
        <f>SUMPRODUCT(M542:X542,$M$2:$X$2)*$K542*$L542</f>
        <v/>
      </c>
      <c r="Z542" s="14">
        <f>SUM(M542:X542)</f>
        <v/>
      </c>
      <c r="AA542" s="13">
        <f>SUMPRODUCT(M542:X542,$M$3:$X$3)*$K542*$L542</f>
        <v/>
      </c>
      <c r="AB542" s="13">
        <f>SUMPRODUCT(M542:X542,$M$4:$X$4)*$K542*$L542</f>
        <v/>
      </c>
      <c r="AC542" s="15">
        <f>SUMPRODUCT(M542:X542,$M$5:$X$5)*$K542*$L542</f>
        <v/>
      </c>
      <c r="AD542" s="15">
        <f>SUMPRODUCT(M542:X542,$M$6:$X$6)*$K542*$L542</f>
        <v/>
      </c>
      <c r="AE542" s="19" t="n"/>
    </row>
    <row r="543">
      <c r="A543" s="9" t="n">
        <v>676092</v>
      </c>
      <c r="B543" s="9" t="inlineStr">
        <is>
          <t>Collin Snider</t>
        </is>
      </c>
      <c r="C543" s="9" t="inlineStr">
        <is>
          <t>SEA</t>
        </is>
      </c>
      <c r="D543" s="9" t="n">
        <v>31</v>
      </c>
      <c r="E543" s="17" t="inlineStr">
        <is>
          <t>R</t>
        </is>
      </c>
      <c r="F543" s="17" t="n"/>
      <c r="G543" s="9" t="n">
        <v>119</v>
      </c>
      <c r="H543" s="9" t="n">
        <v>534</v>
      </c>
      <c r="I543" s="9" t="inlineStr">
        <is>
          <t>Bullpen Depth Arm</t>
        </is>
      </c>
      <c r="J543" s="17" t="inlineStr">
        <is>
          <t>Opening Day</t>
        </is>
      </c>
      <c r="K543" s="11">
        <f>IFERROR(INDEX(Roles!$B$17:$B$20,MATCH(J543,Roles!$A$17:$A$20,0)),1)</f>
        <v/>
      </c>
      <c r="L543" s="18" t="n">
        <v>1</v>
      </c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3">
        <f>SUMPRODUCT(M543:X543,$M$2:$X$2)*$K543*$L543</f>
        <v/>
      </c>
      <c r="Z543" s="14">
        <f>SUM(M543:X543)</f>
        <v/>
      </c>
      <c r="AA543" s="13">
        <f>SUMPRODUCT(M543:X543,$M$3:$X$3)*$K543*$L543</f>
        <v/>
      </c>
      <c r="AB543" s="13">
        <f>SUMPRODUCT(M543:X543,$M$4:$X$4)*$K543*$L543</f>
        <v/>
      </c>
      <c r="AC543" s="15">
        <f>SUMPRODUCT(M543:X543,$M$5:$X$5)*$K543*$L543</f>
        <v/>
      </c>
      <c r="AD543" s="15">
        <f>SUMPRODUCT(M543:X543,$M$6:$X$6)*$K543*$L543</f>
        <v/>
      </c>
      <c r="AE543" s="19" t="n"/>
    </row>
    <row r="544">
      <c r="A544" s="9" t="n">
        <v>802419</v>
      </c>
      <c r="B544" s="9" t="inlineStr">
        <is>
          <t>Thomas Harrington</t>
        </is>
      </c>
      <c r="C544" s="9" t="inlineStr">
        <is>
          <t>PIT</t>
        </is>
      </c>
      <c r="D544" s="9" t="n">
        <v>25</v>
      </c>
      <c r="E544" s="17" t="inlineStr">
        <is>
          <t>R</t>
        </is>
      </c>
      <c r="F544" s="17" t="n"/>
      <c r="G544" s="9" t="n">
        <v>50</v>
      </c>
      <c r="H544" s="9" t="n">
        <v>50</v>
      </c>
      <c r="I544" s="9" t="inlineStr">
        <is>
          <t>Bullpen Depth Arm</t>
        </is>
      </c>
      <c r="J544" s="17" t="inlineStr">
        <is>
          <t>Opening Day</t>
        </is>
      </c>
      <c r="K544" s="11">
        <f>IFERROR(INDEX(Roles!$B$17:$B$20,MATCH(J544,Roles!$A$17:$A$20,0)),1)</f>
        <v/>
      </c>
      <c r="L544" s="18" t="n">
        <v>1</v>
      </c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3">
        <f>SUMPRODUCT(M544:X544,$M$2:$X$2)*$K544*$L544</f>
        <v/>
      </c>
      <c r="Z544" s="14">
        <f>SUM(M544:X544)</f>
        <v/>
      </c>
      <c r="AA544" s="13">
        <f>SUMPRODUCT(M544:X544,$M$3:$X$3)*$K544*$L544</f>
        <v/>
      </c>
      <c r="AB544" s="13">
        <f>SUMPRODUCT(M544:X544,$M$4:$X$4)*$K544*$L544</f>
        <v/>
      </c>
      <c r="AC544" s="15">
        <f>SUMPRODUCT(M544:X544,$M$5:$X$5)*$K544*$L544</f>
        <v/>
      </c>
      <c r="AD544" s="15">
        <f>SUMPRODUCT(M544:X544,$M$6:$X$6)*$K544*$L544</f>
        <v/>
      </c>
      <c r="AE544" s="19" t="n"/>
    </row>
    <row r="545">
      <c r="A545" s="9" t="n">
        <v>680736</v>
      </c>
      <c r="B545" s="9" t="inlineStr">
        <is>
          <t>Justin Wrobleski</t>
        </is>
      </c>
      <c r="C545" s="9" t="inlineStr">
        <is>
          <t>LAD</t>
        </is>
      </c>
      <c r="D545" s="9" t="n">
        <v>26</v>
      </c>
      <c r="E545" s="17" t="inlineStr">
        <is>
          <t>L</t>
        </is>
      </c>
      <c r="F545" s="17" t="n"/>
      <c r="G545" s="9" t="n">
        <v>274</v>
      </c>
      <c r="H545" s="9" t="n">
        <v>708</v>
      </c>
      <c r="I545" s="9" t="inlineStr">
        <is>
          <t>End-of-Rotation Starter (SP4-5)</t>
        </is>
      </c>
      <c r="J545" s="17" t="inlineStr">
        <is>
          <t>Opening Day</t>
        </is>
      </c>
      <c r="K545" s="11">
        <f>IFERROR(INDEX(Roles!$B$17:$B$20,MATCH(J545,Roles!$A$17:$A$20,0)),1)</f>
        <v/>
      </c>
      <c r="L545" s="18" t="n">
        <v>1</v>
      </c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3">
        <f>SUMPRODUCT(M545:X545,$M$2:$X$2)*$K545*$L545</f>
        <v/>
      </c>
      <c r="Z545" s="14">
        <f>SUM(M545:X545)</f>
        <v/>
      </c>
      <c r="AA545" s="13">
        <f>SUMPRODUCT(M545:X545,$M$3:$X$3)*$K545*$L545</f>
        <v/>
      </c>
      <c r="AB545" s="13">
        <f>SUMPRODUCT(M545:X545,$M$4:$X$4)*$K545*$L545</f>
        <v/>
      </c>
      <c r="AC545" s="15">
        <f>SUMPRODUCT(M545:X545,$M$5:$X$5)*$K545*$L545</f>
        <v/>
      </c>
      <c r="AD545" s="15">
        <f>SUMPRODUCT(M545:X545,$M$6:$X$6)*$K545*$L545</f>
        <v/>
      </c>
      <c r="AE545" s="19" t="n"/>
    </row>
    <row r="546">
      <c r="A546" s="9" t="n">
        <v>668964</v>
      </c>
      <c r="B546" s="9" t="inlineStr">
        <is>
          <t>Tobias Myers</t>
        </is>
      </c>
      <c r="C546" s="9" t="inlineStr">
        <is>
          <t>NYM</t>
        </is>
      </c>
      <c r="D546" s="9" t="n">
        <v>28</v>
      </c>
      <c r="E546" s="17" t="inlineStr">
        <is>
          <t>R</t>
        </is>
      </c>
      <c r="F546" s="17" t="n"/>
      <c r="G546" s="9" t="n">
        <v>134</v>
      </c>
      <c r="H546" s="9" t="n">
        <v>923</v>
      </c>
      <c r="I546" s="9" t="inlineStr">
        <is>
          <t>End-of-Rotation Starter (SP4-5)</t>
        </is>
      </c>
      <c r="J546" s="17" t="inlineStr">
        <is>
          <t>Opening Day</t>
        </is>
      </c>
      <c r="K546" s="11">
        <f>IFERROR(INDEX(Roles!$B$17:$B$20,MATCH(J546,Roles!$A$17:$A$20,0)),1)</f>
        <v/>
      </c>
      <c r="L546" s="18" t="n">
        <v>1</v>
      </c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3">
        <f>SUMPRODUCT(M546:X546,$M$2:$X$2)*$K546*$L546</f>
        <v/>
      </c>
      <c r="Z546" s="14">
        <f>SUM(M546:X546)</f>
        <v/>
      </c>
      <c r="AA546" s="13">
        <f>SUMPRODUCT(M546:X546,$M$3:$X$3)*$K546*$L546</f>
        <v/>
      </c>
      <c r="AB546" s="13">
        <f>SUMPRODUCT(M546:X546,$M$4:$X$4)*$K546*$L546</f>
        <v/>
      </c>
      <c r="AC546" s="15">
        <f>SUMPRODUCT(M546:X546,$M$5:$X$5)*$K546*$L546</f>
        <v/>
      </c>
      <c r="AD546" s="15">
        <f>SUMPRODUCT(M546:X546,$M$6:$X$6)*$K546*$L546</f>
        <v/>
      </c>
      <c r="AE546" s="19" t="n"/>
    </row>
    <row r="547">
      <c r="A547" s="9" t="n">
        <v>682610</v>
      </c>
      <c r="B547" s="9" t="inlineStr">
        <is>
          <t>Roddery Muñoz</t>
        </is>
      </c>
      <c r="C547" s="9" t="inlineStr">
        <is>
          <t>HOU</t>
        </is>
      </c>
      <c r="D547" s="9" t="n">
        <v>27</v>
      </c>
      <c r="E547" s="17" t="inlineStr">
        <is>
          <t>R</t>
        </is>
      </c>
      <c r="F547" s="17" t="n"/>
      <c r="G547" s="9" t="n">
        <v>25</v>
      </c>
      <c r="H547" s="9" t="n">
        <v>455</v>
      </c>
      <c r="I547" s="9" t="inlineStr">
        <is>
          <t>End-of-Rotation Starter (SP4-5)</t>
        </is>
      </c>
      <c r="J547" s="17" t="inlineStr">
        <is>
          <t>Opening Day</t>
        </is>
      </c>
      <c r="K547" s="11">
        <f>IFERROR(INDEX(Roles!$B$17:$B$20,MATCH(J547,Roles!$A$17:$A$20,0)),1)</f>
        <v/>
      </c>
      <c r="L547" s="18" t="n">
        <v>1</v>
      </c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3">
        <f>SUMPRODUCT(M547:X547,$M$2:$X$2)*$K547*$L547</f>
        <v/>
      </c>
      <c r="Z547" s="14">
        <f>SUM(M547:X547)</f>
        <v/>
      </c>
      <c r="AA547" s="13">
        <f>SUMPRODUCT(M547:X547,$M$3:$X$3)*$K547*$L547</f>
        <v/>
      </c>
      <c r="AB547" s="13">
        <f>SUMPRODUCT(M547:X547,$M$4:$X$4)*$K547*$L547</f>
        <v/>
      </c>
      <c r="AC547" s="15">
        <f>SUMPRODUCT(M547:X547,$M$5:$X$5)*$K547*$L547</f>
        <v/>
      </c>
      <c r="AD547" s="15">
        <f>SUMPRODUCT(M547:X547,$M$6:$X$6)*$K547*$L547</f>
        <v/>
      </c>
      <c r="AE547" s="19" t="n"/>
    </row>
    <row r="548">
      <c r="A548" s="9" t="n">
        <v>656186</v>
      </c>
      <c r="B548" s="9" t="inlineStr">
        <is>
          <t>Dan Altavilla</t>
        </is>
      </c>
      <c r="C548" s="9" t="inlineStr">
        <is>
          <t>CWS</t>
        </is>
      </c>
      <c r="D548" s="9" t="n">
        <v>34</v>
      </c>
      <c r="E548" s="17" t="inlineStr">
        <is>
          <t>R</t>
        </is>
      </c>
      <c r="F548" s="17" t="n"/>
      <c r="G548" s="9" t="n">
        <v>120</v>
      </c>
      <c r="H548" s="9" t="n">
        <v>141</v>
      </c>
      <c r="I548" s="9" t="inlineStr">
        <is>
          <t>Bullpen Depth Arm</t>
        </is>
      </c>
      <c r="J548" s="17" t="inlineStr">
        <is>
          <t>Opening Day</t>
        </is>
      </c>
      <c r="K548" s="11">
        <f>IFERROR(INDEX(Roles!$B$17:$B$20,MATCH(J548,Roles!$A$17:$A$20,0)),1)</f>
        <v/>
      </c>
      <c r="L548" s="18" t="n">
        <v>1</v>
      </c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3">
        <f>SUMPRODUCT(M548:X548,$M$2:$X$2)*$K548*$L548</f>
        <v/>
      </c>
      <c r="Z548" s="14">
        <f>SUM(M548:X548)</f>
        <v/>
      </c>
      <c r="AA548" s="13">
        <f>SUMPRODUCT(M548:X548,$M$3:$X$3)*$K548*$L548</f>
        <v/>
      </c>
      <c r="AB548" s="13">
        <f>SUMPRODUCT(M548:X548,$M$4:$X$4)*$K548*$L548</f>
        <v/>
      </c>
      <c r="AC548" s="15">
        <f>SUMPRODUCT(M548:X548,$M$5:$X$5)*$K548*$L548</f>
        <v/>
      </c>
      <c r="AD548" s="15">
        <f>SUMPRODUCT(M548:X548,$M$6:$X$6)*$K548*$L548</f>
        <v/>
      </c>
      <c r="AE548" s="19" t="n"/>
    </row>
    <row r="549">
      <c r="A549" s="9" t="n">
        <v>678606</v>
      </c>
      <c r="B549" s="9" t="inlineStr">
        <is>
          <t>José A. Ferrer</t>
        </is>
      </c>
      <c r="C549" s="9" t="inlineStr">
        <is>
          <t>SEA</t>
        </is>
      </c>
      <c r="D549" s="9" t="n">
        <v>27</v>
      </c>
      <c r="E549" s="17" t="inlineStr">
        <is>
          <t>L</t>
        </is>
      </c>
      <c r="F549" s="17" t="n"/>
      <c r="G549" s="9" t="n">
        <v>132</v>
      </c>
      <c r="H549" s="9" t="n">
        <v>727</v>
      </c>
      <c r="I549" s="9" t="inlineStr">
        <is>
          <t>Middle Relief</t>
        </is>
      </c>
      <c r="J549" s="17" t="inlineStr">
        <is>
          <t>Opening Day</t>
        </is>
      </c>
      <c r="K549" s="11">
        <f>IFERROR(INDEX(Roles!$B$17:$B$20,MATCH(J549,Roles!$A$17:$A$20,0)),1)</f>
        <v/>
      </c>
      <c r="L549" s="18" t="n">
        <v>1</v>
      </c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3">
        <f>SUMPRODUCT(M549:X549,$M$2:$X$2)*$K549*$L549</f>
        <v/>
      </c>
      <c r="Z549" s="14">
        <f>SUM(M549:X549)</f>
        <v/>
      </c>
      <c r="AA549" s="13">
        <f>SUMPRODUCT(M549:X549,$M$3:$X$3)*$K549*$L549</f>
        <v/>
      </c>
      <c r="AB549" s="13">
        <f>SUMPRODUCT(M549:X549,$M$4:$X$4)*$K549*$L549</f>
        <v/>
      </c>
      <c r="AC549" s="15">
        <f>SUMPRODUCT(M549:X549,$M$5:$X$5)*$K549*$L549</f>
        <v/>
      </c>
      <c r="AD549" s="15">
        <f>SUMPRODUCT(M549:X549,$M$6:$X$6)*$K549*$L549</f>
        <v/>
      </c>
      <c r="AE549" s="19" t="n"/>
    </row>
    <row r="550">
      <c r="A550" s="9" t="n">
        <v>622503</v>
      </c>
      <c r="B550" s="9" t="inlineStr">
        <is>
          <t>Nabil Crismatt</t>
        </is>
      </c>
      <c r="C550" s="9" t="inlineStr">
        <is>
          <t>ARI</t>
        </is>
      </c>
      <c r="D550" s="9" t="n">
        <v>32</v>
      </c>
      <c r="E550" s="17" t="inlineStr">
        <is>
          <t>R</t>
        </is>
      </c>
      <c r="F550" s="17" t="n"/>
      <c r="G550" s="9" t="n">
        <v>153</v>
      </c>
      <c r="H550" s="9" t="n">
        <v>524</v>
      </c>
      <c r="I550" s="9" t="inlineStr">
        <is>
          <t>End-of-Rotation Starter (SP4-5)</t>
        </is>
      </c>
      <c r="J550" s="17" t="inlineStr">
        <is>
          <t>Opening Day</t>
        </is>
      </c>
      <c r="K550" s="11">
        <f>IFERROR(INDEX(Roles!$B$17:$B$20,MATCH(J550,Roles!$A$17:$A$20,0)),1)</f>
        <v/>
      </c>
      <c r="L550" s="18" t="n">
        <v>1</v>
      </c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3">
        <f>SUMPRODUCT(M550:X550,$M$2:$X$2)*$K550*$L550</f>
        <v/>
      </c>
      <c r="Z550" s="14">
        <f>SUM(M550:X550)</f>
        <v/>
      </c>
      <c r="AA550" s="13">
        <f>SUMPRODUCT(M550:X550,$M$3:$X$3)*$K550*$L550</f>
        <v/>
      </c>
      <c r="AB550" s="13">
        <f>SUMPRODUCT(M550:X550,$M$4:$X$4)*$K550*$L550</f>
        <v/>
      </c>
      <c r="AC550" s="15">
        <f>SUMPRODUCT(M550:X550,$M$5:$X$5)*$K550*$L550</f>
        <v/>
      </c>
      <c r="AD550" s="15">
        <f>SUMPRODUCT(M550:X550,$M$6:$X$6)*$K550*$L550</f>
        <v/>
      </c>
      <c r="AE550" s="19" t="n"/>
    </row>
    <row r="551">
      <c r="A551" s="9" t="n">
        <v>665625</v>
      </c>
      <c r="B551" s="9" t="inlineStr">
        <is>
          <t>Elvis Peguero</t>
        </is>
      </c>
      <c r="C551" s="9" t="inlineStr">
        <is>
          <t>CWS</t>
        </is>
      </c>
      <c r="D551" s="9" t="n">
        <v>30</v>
      </c>
      <c r="E551" s="17" t="inlineStr">
        <is>
          <t>R</t>
        </is>
      </c>
      <c r="F551" s="17" t="n"/>
      <c r="G551" s="9" t="n">
        <v>47</v>
      </c>
      <c r="H551" s="9" t="n">
        <v>603</v>
      </c>
      <c r="I551" s="9" t="inlineStr">
        <is>
          <t>Bullpen Depth Arm</t>
        </is>
      </c>
      <c r="J551" s="17" t="inlineStr">
        <is>
          <t>Opening Day</t>
        </is>
      </c>
      <c r="K551" s="11">
        <f>IFERROR(INDEX(Roles!$B$17:$B$20,MATCH(J551,Roles!$A$17:$A$20,0)),1)</f>
        <v/>
      </c>
      <c r="L551" s="18" t="n">
        <v>1</v>
      </c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3">
        <f>SUMPRODUCT(M551:X551,$M$2:$X$2)*$K551*$L551</f>
        <v/>
      </c>
      <c r="Z551" s="14">
        <f>SUM(M551:X551)</f>
        <v/>
      </c>
      <c r="AA551" s="13">
        <f>SUMPRODUCT(M551:X551,$M$3:$X$3)*$K551*$L551</f>
        <v/>
      </c>
      <c r="AB551" s="13">
        <f>SUMPRODUCT(M551:X551,$M$4:$X$4)*$K551*$L551</f>
        <v/>
      </c>
      <c r="AC551" s="15">
        <f>SUMPRODUCT(M551:X551,$M$5:$X$5)*$K551*$L551</f>
        <v/>
      </c>
      <c r="AD551" s="15">
        <f>SUMPRODUCT(M551:X551,$M$6:$X$6)*$K551*$L551</f>
        <v/>
      </c>
      <c r="AE551" s="19" t="n"/>
    </row>
    <row r="552">
      <c r="A552" s="9" t="n">
        <v>687377</v>
      </c>
      <c r="B552" s="9" t="inlineStr">
        <is>
          <t>Orlando Ribalta</t>
        </is>
      </c>
      <c r="C552" s="9" t="inlineStr">
        <is>
          <t>WSH</t>
        </is>
      </c>
      <c r="D552" s="9" t="n">
        <v>29</v>
      </c>
      <c r="E552" s="17" t="inlineStr">
        <is>
          <t>R</t>
        </is>
      </c>
      <c r="F552" s="17" t="n"/>
      <c r="G552" s="9" t="n">
        <v>71</v>
      </c>
      <c r="H552" s="9" t="n">
        <v>214</v>
      </c>
      <c r="I552" s="9" t="inlineStr">
        <is>
          <t>Bullpen Depth Arm</t>
        </is>
      </c>
      <c r="J552" s="17" t="inlineStr">
        <is>
          <t>Opening Day</t>
        </is>
      </c>
      <c r="K552" s="11">
        <f>IFERROR(INDEX(Roles!$B$17:$B$20,MATCH(J552,Roles!$A$17:$A$20,0)),1)</f>
        <v/>
      </c>
      <c r="L552" s="18" t="n">
        <v>1</v>
      </c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3">
        <f>SUMPRODUCT(M552:X552,$M$2:$X$2)*$K552*$L552</f>
        <v/>
      </c>
      <c r="Z552" s="14">
        <f>SUM(M552:X552)</f>
        <v/>
      </c>
      <c r="AA552" s="13">
        <f>SUMPRODUCT(M552:X552,$M$3:$X$3)*$K552*$L552</f>
        <v/>
      </c>
      <c r="AB552" s="13">
        <f>SUMPRODUCT(M552:X552,$M$4:$X$4)*$K552*$L552</f>
        <v/>
      </c>
      <c r="AC552" s="15">
        <f>SUMPRODUCT(M552:X552,$M$5:$X$5)*$K552*$L552</f>
        <v/>
      </c>
      <c r="AD552" s="15">
        <f>SUMPRODUCT(M552:X552,$M$6:$X$6)*$K552*$L552</f>
        <v/>
      </c>
      <c r="AE552" s="19" t="n"/>
    </row>
    <row r="553">
      <c r="A553" s="9" t="n">
        <v>661527</v>
      </c>
      <c r="B553" s="9" t="inlineStr">
        <is>
          <t>Seth Martinez</t>
        </is>
      </c>
      <c r="C553" s="9" t="inlineStr">
        <is>
          <t>MIA</t>
        </is>
      </c>
      <c r="D553" s="9" t="n">
        <v>32</v>
      </c>
      <c r="E553" s="17" t="inlineStr">
        <is>
          <t>R</t>
        </is>
      </c>
      <c r="F553" s="17" t="n"/>
      <c r="G553" s="9" t="n">
        <v>27</v>
      </c>
      <c r="H553" s="9" t="n">
        <v>599</v>
      </c>
      <c r="I553" s="9" t="inlineStr">
        <is>
          <t>Bullpen Depth Arm</t>
        </is>
      </c>
      <c r="J553" s="17" t="inlineStr">
        <is>
          <t>Opening Day</t>
        </is>
      </c>
      <c r="K553" s="11">
        <f>IFERROR(INDEX(Roles!$B$17:$B$20,MATCH(J553,Roles!$A$17:$A$20,0)),1)</f>
        <v/>
      </c>
      <c r="L553" s="18" t="n">
        <v>1</v>
      </c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3">
        <f>SUMPRODUCT(M553:X553,$M$2:$X$2)*$K553*$L553</f>
        <v/>
      </c>
      <c r="Z553" s="14">
        <f>SUM(M553:X553)</f>
        <v/>
      </c>
      <c r="AA553" s="13">
        <f>SUMPRODUCT(M553:X553,$M$3:$X$3)*$K553*$L553</f>
        <v/>
      </c>
      <c r="AB553" s="13">
        <f>SUMPRODUCT(M553:X553,$M$4:$X$4)*$K553*$L553</f>
        <v/>
      </c>
      <c r="AC553" s="15">
        <f>SUMPRODUCT(M553:X553,$M$5:$X$5)*$K553*$L553</f>
        <v/>
      </c>
      <c r="AD553" s="15">
        <f>SUMPRODUCT(M553:X553,$M$6:$X$6)*$K553*$L553</f>
        <v/>
      </c>
      <c r="AE553" s="19" t="n"/>
    </row>
    <row r="554">
      <c r="A554" s="9" t="n">
        <v>806188</v>
      </c>
      <c r="B554" s="9" t="inlineStr">
        <is>
          <t>Cade Gibson</t>
        </is>
      </c>
      <c r="C554" s="9" t="inlineStr">
        <is>
          <t>MIA</t>
        </is>
      </c>
      <c r="D554" s="9" t="n">
        <v>29</v>
      </c>
      <c r="E554" s="17" t="inlineStr">
        <is>
          <t>L</t>
        </is>
      </c>
      <c r="F554" s="17" t="n"/>
      <c r="G554" s="9" t="n">
        <v>43</v>
      </c>
      <c r="H554" s="9" t="n">
        <v>273</v>
      </c>
      <c r="I554" s="9" t="inlineStr">
        <is>
          <t>Bullpen Depth Arm</t>
        </is>
      </c>
      <c r="J554" s="17" t="inlineStr">
        <is>
          <t>Opening Day</t>
        </is>
      </c>
      <c r="K554" s="11">
        <f>IFERROR(INDEX(Roles!$B$17:$B$20,MATCH(J554,Roles!$A$17:$A$20,0)),1)</f>
        <v/>
      </c>
      <c r="L554" s="18" t="n">
        <v>1</v>
      </c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3">
        <f>SUMPRODUCT(M554:X554,$M$2:$X$2)*$K554*$L554</f>
        <v/>
      </c>
      <c r="Z554" s="14">
        <f>SUM(M554:X554)</f>
        <v/>
      </c>
      <c r="AA554" s="13">
        <f>SUMPRODUCT(M554:X554,$M$3:$X$3)*$K554*$L554</f>
        <v/>
      </c>
      <c r="AB554" s="13">
        <f>SUMPRODUCT(M554:X554,$M$4:$X$4)*$K554*$L554</f>
        <v/>
      </c>
      <c r="AC554" s="15">
        <f>SUMPRODUCT(M554:X554,$M$5:$X$5)*$K554*$L554</f>
        <v/>
      </c>
      <c r="AD554" s="15">
        <f>SUMPRODUCT(M554:X554,$M$6:$X$6)*$K554*$L554</f>
        <v/>
      </c>
      <c r="AE554" s="19" t="n"/>
    </row>
    <row r="555">
      <c r="A555" s="9" t="n">
        <v>674944</v>
      </c>
      <c r="B555" s="9" t="inlineStr">
        <is>
          <t>Sean Guenther</t>
        </is>
      </c>
      <c r="C555" s="9" t="inlineStr">
        <is>
          <t>DET</t>
        </is>
      </c>
      <c r="D555" s="9" t="n">
        <v>31</v>
      </c>
      <c r="E555" s="17" t="inlineStr">
        <is>
          <t>L</t>
        </is>
      </c>
      <c r="F555" s="17" t="n"/>
      <c r="G555" s="9" t="n">
        <v>43</v>
      </c>
      <c r="H555" s="9" t="n">
        <v>116</v>
      </c>
      <c r="I555" s="9" t="inlineStr">
        <is>
          <t>Bullpen Depth Arm</t>
        </is>
      </c>
      <c r="J555" s="17" t="inlineStr">
        <is>
          <t>Opening Day</t>
        </is>
      </c>
      <c r="K555" s="11">
        <f>IFERROR(INDEX(Roles!$B$17:$B$20,MATCH(J555,Roles!$A$17:$A$20,0)),1)</f>
        <v/>
      </c>
      <c r="L555" s="18" t="n">
        <v>1</v>
      </c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3">
        <f>SUMPRODUCT(M555:X555,$M$2:$X$2)*$K555*$L555</f>
        <v/>
      </c>
      <c r="Z555" s="14">
        <f>SUM(M555:X555)</f>
        <v/>
      </c>
      <c r="AA555" s="13">
        <f>SUMPRODUCT(M555:X555,$M$3:$X$3)*$K555*$L555</f>
        <v/>
      </c>
      <c r="AB555" s="13">
        <f>SUMPRODUCT(M555:X555,$M$4:$X$4)*$K555*$L555</f>
        <v/>
      </c>
      <c r="AC555" s="15">
        <f>SUMPRODUCT(M555:X555,$M$5:$X$5)*$K555*$L555</f>
        <v/>
      </c>
      <c r="AD555" s="15">
        <f>SUMPRODUCT(M555:X555,$M$6:$X$6)*$K555*$L555</f>
        <v/>
      </c>
      <c r="AE555" s="19" t="n"/>
    </row>
    <row r="556">
      <c r="A556" s="9" t="n">
        <v>806960</v>
      </c>
      <c r="B556" s="9" t="inlineStr">
        <is>
          <t>Luis Morales</t>
        </is>
      </c>
      <c r="C556" s="9" t="inlineStr">
        <is>
          <t>OAK</t>
        </is>
      </c>
      <c r="D556" s="9" t="n">
        <v>24</v>
      </c>
      <c r="E556" s="17" t="inlineStr">
        <is>
          <t>R</t>
        </is>
      </c>
      <c r="F556" s="17" t="n"/>
      <c r="G556" s="9" t="n">
        <v>55</v>
      </c>
      <c r="H556" s="9" t="n">
        <v>254</v>
      </c>
      <c r="I556" s="9" t="inlineStr">
        <is>
          <t>End-of-Rotation Starter (SP4-5)</t>
        </is>
      </c>
      <c r="J556" s="17" t="inlineStr">
        <is>
          <t>Opening Day</t>
        </is>
      </c>
      <c r="K556" s="11">
        <f>IFERROR(INDEX(Roles!$B$17:$B$20,MATCH(J556,Roles!$A$17:$A$20,0)),1)</f>
        <v/>
      </c>
      <c r="L556" s="18" t="n">
        <v>1</v>
      </c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3">
        <f>SUMPRODUCT(M556:X556,$M$2:$X$2)*$K556*$L556</f>
        <v/>
      </c>
      <c r="Z556" s="14">
        <f>SUM(M556:X556)</f>
        <v/>
      </c>
      <c r="AA556" s="13">
        <f>SUMPRODUCT(M556:X556,$M$3:$X$3)*$K556*$L556</f>
        <v/>
      </c>
      <c r="AB556" s="13">
        <f>SUMPRODUCT(M556:X556,$M$4:$X$4)*$K556*$L556</f>
        <v/>
      </c>
      <c r="AC556" s="15">
        <f>SUMPRODUCT(M556:X556,$M$5:$X$5)*$K556*$L556</f>
        <v/>
      </c>
      <c r="AD556" s="15">
        <f>SUMPRODUCT(M556:X556,$M$6:$X$6)*$K556*$L556</f>
        <v/>
      </c>
      <c r="AE556" s="19" t="n"/>
    </row>
    <row r="557">
      <c r="A557" s="9" t="n">
        <v>670245</v>
      </c>
      <c r="B557" s="9" t="inlineStr">
        <is>
          <t>Ryan Watson</t>
        </is>
      </c>
      <c r="C557" s="9" t="inlineStr">
        <is>
          <t>BOS</t>
        </is>
      </c>
      <c r="D557" s="9" t="n">
        <v>29</v>
      </c>
      <c r="E557" s="17" t="inlineStr">
        <is>
          <t>R</t>
        </is>
      </c>
      <c r="F557" s="17" t="n"/>
      <c r="G557" s="9" t="n">
        <v>164</v>
      </c>
      <c r="H557" s="9" t="n">
        <v>164</v>
      </c>
      <c r="I557" s="9" t="inlineStr">
        <is>
          <t>Bullpen Depth Arm</t>
        </is>
      </c>
      <c r="J557" s="17" t="inlineStr">
        <is>
          <t>Opening Day</t>
        </is>
      </c>
      <c r="K557" s="11">
        <f>IFERROR(INDEX(Roles!$B$17:$B$20,MATCH(J557,Roles!$A$17:$A$20,0)),1)</f>
        <v/>
      </c>
      <c r="L557" s="18" t="n">
        <v>1</v>
      </c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3">
        <f>SUMPRODUCT(M557:X557,$M$2:$X$2)*$K557*$L557</f>
        <v/>
      </c>
      <c r="Z557" s="14">
        <f>SUM(M557:X557)</f>
        <v/>
      </c>
      <c r="AA557" s="13">
        <f>SUMPRODUCT(M557:X557,$M$3:$X$3)*$K557*$L557</f>
        <v/>
      </c>
      <c r="AB557" s="13">
        <f>SUMPRODUCT(M557:X557,$M$4:$X$4)*$K557*$L557</f>
        <v/>
      </c>
      <c r="AC557" s="15">
        <f>SUMPRODUCT(M557:X557,$M$5:$X$5)*$K557*$L557</f>
        <v/>
      </c>
      <c r="AD557" s="15">
        <f>SUMPRODUCT(M557:X557,$M$6:$X$6)*$K557*$L557</f>
        <v/>
      </c>
      <c r="AE557" s="19" t="n"/>
    </row>
    <row r="558">
      <c r="A558" s="9" t="n">
        <v>692285</v>
      </c>
      <c r="B558" s="9" t="inlineStr">
        <is>
          <t>Luis Guerrero</t>
        </is>
      </c>
      <c r="C558" s="9" t="inlineStr">
        <is>
          <t>BOS</t>
        </is>
      </c>
      <c r="D558" s="9" t="n">
        <v>26</v>
      </c>
      <c r="E558" s="17" t="inlineStr">
        <is>
          <t>R</t>
        </is>
      </c>
      <c r="F558" s="17" t="n"/>
      <c r="G558" s="9" t="n">
        <v>72</v>
      </c>
      <c r="H558" s="9" t="n">
        <v>108</v>
      </c>
      <c r="I558" s="9" t="inlineStr">
        <is>
          <t>Bullpen Depth Arm</t>
        </is>
      </c>
      <c r="J558" s="17" t="inlineStr">
        <is>
          <t>Opening Day</t>
        </is>
      </c>
      <c r="K558" s="11">
        <f>IFERROR(INDEX(Roles!$B$17:$B$20,MATCH(J558,Roles!$A$17:$A$20,0)),1)</f>
        <v/>
      </c>
      <c r="L558" s="18" t="n">
        <v>1</v>
      </c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3">
        <f>SUMPRODUCT(M558:X558,$M$2:$X$2)*$K558*$L558</f>
        <v/>
      </c>
      <c r="Z558" s="14">
        <f>SUM(M558:X558)</f>
        <v/>
      </c>
      <c r="AA558" s="13">
        <f>SUMPRODUCT(M558:X558,$M$3:$X$3)*$K558*$L558</f>
        <v/>
      </c>
      <c r="AB558" s="13">
        <f>SUMPRODUCT(M558:X558,$M$4:$X$4)*$K558*$L558</f>
        <v/>
      </c>
      <c r="AC558" s="15">
        <f>SUMPRODUCT(M558:X558,$M$5:$X$5)*$K558*$L558</f>
        <v/>
      </c>
      <c r="AD558" s="15">
        <f>SUMPRODUCT(M558:X558,$M$6:$X$6)*$K558*$L558</f>
        <v/>
      </c>
      <c r="AE558" s="19" t="n"/>
    </row>
    <row r="559">
      <c r="A559" s="9" t="n">
        <v>690990</v>
      </c>
      <c r="B559" s="9" t="inlineStr">
        <is>
          <t>Cade Horton</t>
        </is>
      </c>
      <c r="C559" s="9" t="inlineStr">
        <is>
          <t>CHC</t>
        </is>
      </c>
      <c r="D559" s="9" t="n">
        <v>25</v>
      </c>
      <c r="E559" s="17" t="inlineStr">
        <is>
          <t>R</t>
        </is>
      </c>
      <c r="F559" s="17" t="n"/>
      <c r="G559" s="9" t="n">
        <v>26</v>
      </c>
      <c r="H559" s="9" t="n">
        <v>502</v>
      </c>
      <c r="I559" s="9" t="inlineStr">
        <is>
          <t>Mid-Rotation Starter (SP2-3)</t>
        </is>
      </c>
      <c r="J559" s="17" t="inlineStr">
        <is>
          <t>Opening Day</t>
        </is>
      </c>
      <c r="K559" s="11">
        <f>IFERROR(INDEX(Roles!$B$17:$B$20,MATCH(J559,Roles!$A$17:$A$20,0)),1)</f>
        <v/>
      </c>
      <c r="L559" s="18" t="n">
        <v>1</v>
      </c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3">
        <f>SUMPRODUCT(M559:X559,$M$2:$X$2)*$K559*$L559</f>
        <v/>
      </c>
      <c r="Z559" s="14">
        <f>SUM(M559:X559)</f>
        <v/>
      </c>
      <c r="AA559" s="13">
        <f>SUMPRODUCT(M559:X559,$M$3:$X$3)*$K559*$L559</f>
        <v/>
      </c>
      <c r="AB559" s="13">
        <f>SUMPRODUCT(M559:X559,$M$4:$X$4)*$K559*$L559</f>
        <v/>
      </c>
      <c r="AC559" s="15">
        <f>SUMPRODUCT(M559:X559,$M$5:$X$5)*$K559*$L559</f>
        <v/>
      </c>
      <c r="AD559" s="15">
        <f>SUMPRODUCT(M559:X559,$M$6:$X$6)*$K559*$L559</f>
        <v/>
      </c>
      <c r="AE559" s="19" t="n"/>
    </row>
    <row r="560">
      <c r="A560" s="9" t="n">
        <v>680880</v>
      </c>
      <c r="B560" s="9" t="inlineStr">
        <is>
          <t>Grant Holman</t>
        </is>
      </c>
      <c r="C560" s="9" t="inlineStr">
        <is>
          <t>OAK</t>
        </is>
      </c>
      <c r="D560" s="9" t="n">
        <v>27</v>
      </c>
      <c r="E560" s="17" t="inlineStr">
        <is>
          <t>R</t>
        </is>
      </c>
      <c r="F560" s="17" t="n"/>
      <c r="G560" s="9" t="n">
        <v>103</v>
      </c>
      <c r="H560" s="9" t="n">
        <v>176</v>
      </c>
      <c r="I560" s="9" t="inlineStr">
        <is>
          <t>Bullpen Depth Arm</t>
        </is>
      </c>
      <c r="J560" s="17" t="inlineStr">
        <is>
          <t>Opening Day</t>
        </is>
      </c>
      <c r="K560" s="11">
        <f>IFERROR(INDEX(Roles!$B$17:$B$20,MATCH(J560,Roles!$A$17:$A$20,0)),1)</f>
        <v/>
      </c>
      <c r="L560" s="18" t="n">
        <v>1</v>
      </c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3">
        <f>SUMPRODUCT(M560:X560,$M$2:$X$2)*$K560*$L560</f>
        <v/>
      </c>
      <c r="Z560" s="14">
        <f>SUM(M560:X560)</f>
        <v/>
      </c>
      <c r="AA560" s="13">
        <f>SUMPRODUCT(M560:X560,$M$3:$X$3)*$K560*$L560</f>
        <v/>
      </c>
      <c r="AB560" s="13">
        <f>SUMPRODUCT(M560:X560,$M$4:$X$4)*$K560*$L560</f>
        <v/>
      </c>
      <c r="AC560" s="15">
        <f>SUMPRODUCT(M560:X560,$M$5:$X$5)*$K560*$L560</f>
        <v/>
      </c>
      <c r="AD560" s="15">
        <f>SUMPRODUCT(M560:X560,$M$6:$X$6)*$K560*$L560</f>
        <v/>
      </c>
      <c r="AE560" s="19" t="n"/>
    </row>
    <row r="561">
      <c r="A561" s="9" t="n">
        <v>656212</v>
      </c>
      <c r="B561" s="9" t="inlineStr">
        <is>
          <t>Charlie Barnes</t>
        </is>
      </c>
      <c r="C561" s="9" t="inlineStr">
        <is>
          <t>LAD</t>
        </is>
      </c>
      <c r="D561" s="9" t="n">
        <v>31</v>
      </c>
      <c r="E561" s="17" t="inlineStr">
        <is>
          <t>L</t>
        </is>
      </c>
      <c r="F561" s="17" t="n"/>
      <c r="G561" s="9" t="n">
        <v>25</v>
      </c>
      <c r="H561" s="9" t="n">
        <v>25</v>
      </c>
      <c r="I561" s="9" t="inlineStr">
        <is>
          <t>Bullpen Depth Arm</t>
        </is>
      </c>
      <c r="J561" s="17" t="inlineStr">
        <is>
          <t>Opening Day</t>
        </is>
      </c>
      <c r="K561" s="11">
        <f>IFERROR(INDEX(Roles!$B$17:$B$20,MATCH(J561,Roles!$A$17:$A$20,0)),1)</f>
        <v/>
      </c>
      <c r="L561" s="18" t="n">
        <v>1</v>
      </c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3">
        <f>SUMPRODUCT(M561:X561,$M$2:$X$2)*$K561*$L561</f>
        <v/>
      </c>
      <c r="Z561" s="14">
        <f>SUM(M561:X561)</f>
        <v/>
      </c>
      <c r="AA561" s="13">
        <f>SUMPRODUCT(M561:X561,$M$3:$X$3)*$K561*$L561</f>
        <v/>
      </c>
      <c r="AB561" s="13">
        <f>SUMPRODUCT(M561:X561,$M$4:$X$4)*$K561*$L561</f>
        <v/>
      </c>
      <c r="AC561" s="15">
        <f>SUMPRODUCT(M561:X561,$M$5:$X$5)*$K561*$L561</f>
        <v/>
      </c>
      <c r="AD561" s="15">
        <f>SUMPRODUCT(M561:X561,$M$6:$X$6)*$K561*$L561</f>
        <v/>
      </c>
      <c r="AE561" s="19" t="n"/>
    </row>
    <row r="562">
      <c r="A562" s="9" t="n">
        <v>663992</v>
      </c>
      <c r="B562" s="9" t="inlineStr">
        <is>
          <t>Richard Lovelady</t>
        </is>
      </c>
      <c r="C562" s="9" t="inlineStr">
        <is>
          <t>WSH</t>
        </is>
      </c>
      <c r="D562" s="9" t="n">
        <v>31</v>
      </c>
      <c r="E562" s="17" t="inlineStr">
        <is>
          <t>L</t>
        </is>
      </c>
      <c r="F562" s="17" t="n"/>
      <c r="G562" s="9" t="n">
        <v>128</v>
      </c>
      <c r="H562" s="9" t="n">
        <v>428</v>
      </c>
      <c r="I562" s="9" t="inlineStr">
        <is>
          <t>Bullpen Depth Arm</t>
        </is>
      </c>
      <c r="J562" s="17" t="inlineStr">
        <is>
          <t>Opening Day</t>
        </is>
      </c>
      <c r="K562" s="11">
        <f>IFERROR(INDEX(Roles!$B$17:$B$20,MATCH(J562,Roles!$A$17:$A$20,0)),1)</f>
        <v/>
      </c>
      <c r="L562" s="18" t="n">
        <v>1</v>
      </c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3">
        <f>SUMPRODUCT(M562:X562,$M$2:$X$2)*$K562*$L562</f>
        <v/>
      </c>
      <c r="Z562" s="14">
        <f>SUM(M562:X562)</f>
        <v/>
      </c>
      <c r="AA562" s="13">
        <f>SUMPRODUCT(M562:X562,$M$3:$X$3)*$K562*$L562</f>
        <v/>
      </c>
      <c r="AB562" s="13">
        <f>SUMPRODUCT(M562:X562,$M$4:$X$4)*$K562*$L562</f>
        <v/>
      </c>
      <c r="AC562" s="15">
        <f>SUMPRODUCT(M562:X562,$M$5:$X$5)*$K562*$L562</f>
        <v/>
      </c>
      <c r="AD562" s="15">
        <f>SUMPRODUCT(M562:X562,$M$6:$X$6)*$K562*$L562</f>
        <v/>
      </c>
      <c r="AE562" s="19" t="n"/>
    </row>
    <row r="563">
      <c r="A563" s="9" t="n">
        <v>663362</v>
      </c>
      <c r="B563" s="9" t="inlineStr">
        <is>
          <t>Matt Waldron</t>
        </is>
      </c>
      <c r="C563" s="9" t="inlineStr">
        <is>
          <t>SD</t>
        </is>
      </c>
      <c r="D563" s="9" t="n">
        <v>30</v>
      </c>
      <c r="E563" s="17" t="inlineStr">
        <is>
          <t>R</t>
        </is>
      </c>
      <c r="F563" s="17" t="n"/>
      <c r="G563" s="9" t="n">
        <v>110</v>
      </c>
      <c r="H563" s="9" t="n">
        <v>933</v>
      </c>
      <c r="I563" s="9" t="inlineStr">
        <is>
          <t>Mid-Rotation Starter (SP2-3)</t>
        </is>
      </c>
      <c r="J563" s="17" t="inlineStr">
        <is>
          <t>Opening Day</t>
        </is>
      </c>
      <c r="K563" s="11">
        <f>IFERROR(INDEX(Roles!$B$17:$B$20,MATCH(J563,Roles!$A$17:$A$20,0)),1)</f>
        <v/>
      </c>
      <c r="L563" s="18" t="n">
        <v>1</v>
      </c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3">
        <f>SUMPRODUCT(M563:X563,$M$2:$X$2)*$K563*$L563</f>
        <v/>
      </c>
      <c r="Z563" s="14">
        <f>SUM(M563:X563)</f>
        <v/>
      </c>
      <c r="AA563" s="13">
        <f>SUMPRODUCT(M563:X563,$M$3:$X$3)*$K563*$L563</f>
        <v/>
      </c>
      <c r="AB563" s="13">
        <f>SUMPRODUCT(M563:X563,$M$4:$X$4)*$K563*$L563</f>
        <v/>
      </c>
      <c r="AC563" s="15">
        <f>SUMPRODUCT(M563:X563,$M$5:$X$5)*$K563*$L563</f>
        <v/>
      </c>
      <c r="AD563" s="15">
        <f>SUMPRODUCT(M563:X563,$M$6:$X$6)*$K563*$L563</f>
        <v/>
      </c>
      <c r="AE563" s="19" t="n"/>
    </row>
    <row r="564">
      <c r="A564" s="9" t="n">
        <v>621244</v>
      </c>
      <c r="B564" s="9" t="inlineStr">
        <is>
          <t>José Berríos</t>
        </is>
      </c>
      <c r="C564" s="9" t="inlineStr">
        <is>
          <t>TOR</t>
        </is>
      </c>
      <c r="D564" s="9" t="n">
        <v>33</v>
      </c>
      <c r="E564" s="17" t="inlineStr">
        <is>
          <t>R</t>
        </is>
      </c>
      <c r="F564" s="17" t="n"/>
      <c r="G564" s="9" t="n">
        <v>698</v>
      </c>
      <c r="H564" s="9" t="n">
        <v>3019</v>
      </c>
      <c r="I564" s="9" t="inlineStr">
        <is>
          <t>Mid-Rotation Starter (SP2-3)</t>
        </is>
      </c>
      <c r="J564" s="17" t="inlineStr">
        <is>
          <t>Opening Day</t>
        </is>
      </c>
      <c r="K564" s="11">
        <f>IFERROR(INDEX(Roles!$B$17:$B$20,MATCH(J564,Roles!$A$17:$A$20,0)),1)</f>
        <v/>
      </c>
      <c r="L564" s="18" t="n">
        <v>1</v>
      </c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3">
        <f>SUMPRODUCT(M564:X564,$M$2:$X$2)*$K564*$L564</f>
        <v/>
      </c>
      <c r="Z564" s="14">
        <f>SUM(M564:X564)</f>
        <v/>
      </c>
      <c r="AA564" s="13">
        <f>SUMPRODUCT(M564:X564,$M$3:$X$3)*$K564*$L564</f>
        <v/>
      </c>
      <c r="AB564" s="13">
        <f>SUMPRODUCT(M564:X564,$M$4:$X$4)*$K564*$L564</f>
        <v/>
      </c>
      <c r="AC564" s="15">
        <f>SUMPRODUCT(M564:X564,$M$5:$X$5)*$K564*$L564</f>
        <v/>
      </c>
      <c r="AD564" s="15">
        <f>SUMPRODUCT(M564:X564,$M$6:$X$6)*$K564*$L564</f>
        <v/>
      </c>
      <c r="AE564" s="19" t="n"/>
    </row>
    <row r="565">
      <c r="A565" s="9" t="n">
        <v>641540</v>
      </c>
      <c r="B565" s="9" t="inlineStr">
        <is>
          <t>Dane Dunning</t>
        </is>
      </c>
      <c r="C565" s="9" t="inlineStr">
        <is>
          <t>ATL</t>
        </is>
      </c>
      <c r="D565" s="9" t="n">
        <v>32</v>
      </c>
      <c r="E565" s="17" t="inlineStr">
        <is>
          <t>R</t>
        </is>
      </c>
      <c r="F565" s="17" t="n"/>
      <c r="G565" s="9" t="n">
        <v>95</v>
      </c>
      <c r="H565" s="9" t="n">
        <v>1909</v>
      </c>
      <c r="I565" s="9" t="inlineStr">
        <is>
          <t>Bullpen Depth Arm</t>
        </is>
      </c>
      <c r="J565" s="17" t="inlineStr">
        <is>
          <t>Opening Day</t>
        </is>
      </c>
      <c r="K565" s="11">
        <f>IFERROR(INDEX(Roles!$B$17:$B$20,MATCH(J565,Roles!$A$17:$A$20,0)),1)</f>
        <v/>
      </c>
      <c r="L565" s="18" t="n">
        <v>1</v>
      </c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3">
        <f>SUMPRODUCT(M565:X565,$M$2:$X$2)*$K565*$L565</f>
        <v/>
      </c>
      <c r="Z565" s="14">
        <f>SUM(M565:X565)</f>
        <v/>
      </c>
      <c r="AA565" s="13">
        <f>SUMPRODUCT(M565:X565,$M$3:$X$3)*$K565*$L565</f>
        <v/>
      </c>
      <c r="AB565" s="13">
        <f>SUMPRODUCT(M565:X565,$M$4:$X$4)*$K565*$L565</f>
        <v/>
      </c>
      <c r="AC565" s="15">
        <f>SUMPRODUCT(M565:X565,$M$5:$X$5)*$K565*$L565</f>
        <v/>
      </c>
      <c r="AD565" s="15">
        <f>SUMPRODUCT(M565:X565,$M$6:$X$6)*$K565*$L565</f>
        <v/>
      </c>
      <c r="AE565" s="19" t="n"/>
    </row>
    <row r="566">
      <c r="A566" s="9" t="n">
        <v>621366</v>
      </c>
      <c r="B566" s="9" t="inlineStr">
        <is>
          <t>Ryan Borucki</t>
        </is>
      </c>
      <c r="C566" s="9" t="inlineStr">
        <is>
          <t>SF</t>
        </is>
      </c>
      <c r="D566" s="9" t="n">
        <v>33</v>
      </c>
      <c r="E566" s="17" t="inlineStr">
        <is>
          <t>L</t>
        </is>
      </c>
      <c r="F566" s="17" t="n"/>
      <c r="G566" s="9" t="n">
        <v>104</v>
      </c>
      <c r="H566" s="9" t="n">
        <v>563</v>
      </c>
      <c r="I566" s="9" t="inlineStr">
        <is>
          <t>Bullpen Depth Arm</t>
        </is>
      </c>
      <c r="J566" s="17" t="inlineStr">
        <is>
          <t>Opening Day</t>
        </is>
      </c>
      <c r="K566" s="11">
        <f>IFERROR(INDEX(Roles!$B$17:$B$20,MATCH(J566,Roles!$A$17:$A$20,0)),1)</f>
        <v/>
      </c>
      <c r="L566" s="18" t="n">
        <v>1</v>
      </c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3">
        <f>SUMPRODUCT(M566:X566,$M$2:$X$2)*$K566*$L566</f>
        <v/>
      </c>
      <c r="Z566" s="14">
        <f>SUM(M566:X566)</f>
        <v/>
      </c>
      <c r="AA566" s="13">
        <f>SUMPRODUCT(M566:X566,$M$3:$X$3)*$K566*$L566</f>
        <v/>
      </c>
      <c r="AB566" s="13">
        <f>SUMPRODUCT(M566:X566,$M$4:$X$4)*$K566*$L566</f>
        <v/>
      </c>
      <c r="AC566" s="15">
        <f>SUMPRODUCT(M566:X566,$M$5:$X$5)*$K566*$L566</f>
        <v/>
      </c>
      <c r="AD566" s="15">
        <f>SUMPRODUCT(M566:X566,$M$6:$X$6)*$K566*$L566</f>
        <v/>
      </c>
      <c r="AE566" s="19" t="n"/>
    </row>
    <row r="567">
      <c r="A567" s="9" t="n">
        <v>472610</v>
      </c>
      <c r="B567" s="9" t="inlineStr">
        <is>
          <t>Luis García</t>
        </is>
      </c>
      <c r="C567" s="9" t="inlineStr">
        <is>
          <t>MIN</t>
        </is>
      </c>
      <c r="D567" s="9" t="n">
        <v>40</v>
      </c>
      <c r="E567" s="17" t="inlineStr">
        <is>
          <t>R</t>
        </is>
      </c>
      <c r="F567" s="17" t="n"/>
      <c r="G567" s="9" t="n">
        <v>74</v>
      </c>
      <c r="H567" s="9" t="n">
        <v>1087</v>
      </c>
      <c r="I567" s="9" t="inlineStr">
        <is>
          <t>Bullpen Depth Arm</t>
        </is>
      </c>
      <c r="J567" s="17" t="inlineStr">
        <is>
          <t>Opening Day</t>
        </is>
      </c>
      <c r="K567" s="11">
        <f>IFERROR(INDEX(Roles!$B$17:$B$20,MATCH(J567,Roles!$A$17:$A$20,0)),1)</f>
        <v/>
      </c>
      <c r="L567" s="18" t="n">
        <v>1</v>
      </c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3">
        <f>SUMPRODUCT(M567:X567,$M$2:$X$2)*$K567*$L567</f>
        <v/>
      </c>
      <c r="Z567" s="14">
        <f>SUM(M567:X567)</f>
        <v/>
      </c>
      <c r="AA567" s="13">
        <f>SUMPRODUCT(M567:X567,$M$3:$X$3)*$K567*$L567</f>
        <v/>
      </c>
      <c r="AB567" s="13">
        <f>SUMPRODUCT(M567:X567,$M$4:$X$4)*$K567*$L567</f>
        <v/>
      </c>
      <c r="AC567" s="15">
        <f>SUMPRODUCT(M567:X567,$M$5:$X$5)*$K567*$L567</f>
        <v/>
      </c>
      <c r="AD567" s="15">
        <f>SUMPRODUCT(M567:X567,$M$6:$X$6)*$K567*$L567</f>
        <v/>
      </c>
      <c r="AE567" s="19" t="n"/>
    </row>
    <row r="568">
      <c r="A568" s="9" t="n">
        <v>642216</v>
      </c>
      <c r="B568" s="9" t="inlineStr">
        <is>
          <t>Allan Winans</t>
        </is>
      </c>
      <c r="C568" s="9" t="inlineStr">
        <is>
          <t>NYY</t>
        </is>
      </c>
      <c r="D568" s="9" t="n">
        <v>31</v>
      </c>
      <c r="E568" s="17" t="inlineStr">
        <is>
          <t>R</t>
        </is>
      </c>
      <c r="F568" s="17" t="n"/>
      <c r="G568" s="9" t="n">
        <v>46</v>
      </c>
      <c r="H568" s="9" t="n">
        <v>228</v>
      </c>
      <c r="I568" s="9" t="inlineStr">
        <is>
          <t>Bullpen Depth Arm</t>
        </is>
      </c>
      <c r="J568" s="17" t="inlineStr">
        <is>
          <t>Opening Day</t>
        </is>
      </c>
      <c r="K568" s="11">
        <f>IFERROR(INDEX(Roles!$B$17:$B$20,MATCH(J568,Roles!$A$17:$A$20,0)),1)</f>
        <v/>
      </c>
      <c r="L568" s="18" t="n">
        <v>1</v>
      </c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3">
        <f>SUMPRODUCT(M568:X568,$M$2:$X$2)*$K568*$L568</f>
        <v/>
      </c>
      <c r="Z568" s="14">
        <f>SUM(M568:X568)</f>
        <v/>
      </c>
      <c r="AA568" s="13">
        <f>SUMPRODUCT(M568:X568,$M$3:$X$3)*$K568*$L568</f>
        <v/>
      </c>
      <c r="AB568" s="13">
        <f>SUMPRODUCT(M568:X568,$M$4:$X$4)*$K568*$L568</f>
        <v/>
      </c>
      <c r="AC568" s="15">
        <f>SUMPRODUCT(M568:X568,$M$5:$X$5)*$K568*$L568</f>
        <v/>
      </c>
      <c r="AD568" s="15">
        <f>SUMPRODUCT(M568:X568,$M$6:$X$6)*$K568*$L568</f>
        <v/>
      </c>
      <c r="AE568" s="19" t="n"/>
    </row>
    <row r="569">
      <c r="A569" s="9" t="n">
        <v>683742</v>
      </c>
      <c r="B569" s="9" t="inlineStr">
        <is>
          <t>Jose Franco</t>
        </is>
      </c>
      <c r="C569" s="9" t="inlineStr">
        <is>
          <t>CIN</t>
        </is>
      </c>
      <c r="D569" s="9" t="n">
        <v>26</v>
      </c>
      <c r="E569" s="17" t="inlineStr">
        <is>
          <t>R</t>
        </is>
      </c>
      <c r="F569" s="17" t="n"/>
      <c r="G569" s="9" t="n">
        <v>79</v>
      </c>
      <c r="H569" s="9" t="n">
        <v>79</v>
      </c>
      <c r="I569" s="9" t="inlineStr">
        <is>
          <t>Bullpen Depth Arm</t>
        </is>
      </c>
      <c r="J569" s="17" t="inlineStr">
        <is>
          <t>Opening Day</t>
        </is>
      </c>
      <c r="K569" s="11">
        <f>IFERROR(INDEX(Roles!$B$17:$B$20,MATCH(J569,Roles!$A$17:$A$20,0)),1)</f>
        <v/>
      </c>
      <c r="L569" s="18" t="n">
        <v>1</v>
      </c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3">
        <f>SUMPRODUCT(M569:X569,$M$2:$X$2)*$K569*$L569</f>
        <v/>
      </c>
      <c r="Z569" s="14">
        <f>SUM(M569:X569)</f>
        <v/>
      </c>
      <c r="AA569" s="13">
        <f>SUMPRODUCT(M569:X569,$M$3:$X$3)*$K569*$L569</f>
        <v/>
      </c>
      <c r="AB569" s="13">
        <f>SUMPRODUCT(M569:X569,$M$4:$X$4)*$K569*$L569</f>
        <v/>
      </c>
      <c r="AC569" s="15">
        <f>SUMPRODUCT(M569:X569,$M$5:$X$5)*$K569*$L569</f>
        <v/>
      </c>
      <c r="AD569" s="15">
        <f>SUMPRODUCT(M569:X569,$M$6:$X$6)*$K569*$L569</f>
        <v/>
      </c>
      <c r="AE569" s="19" t="n"/>
    </row>
    <row r="570">
      <c r="A570" s="9" t="n">
        <v>642239</v>
      </c>
      <c r="B570" s="9" t="inlineStr">
        <is>
          <t>Rob Zastryzny</t>
        </is>
      </c>
      <c r="C570" s="9" t="inlineStr">
        <is>
          <t>MIL</t>
        </is>
      </c>
      <c r="D570" s="9" t="n">
        <v>35</v>
      </c>
      <c r="E570" s="17" t="inlineStr">
        <is>
          <t>L</t>
        </is>
      </c>
      <c r="F570" s="17" t="n"/>
      <c r="G570" s="9" t="n">
        <v>93</v>
      </c>
      <c r="H570" s="9" t="n">
        <v>235</v>
      </c>
      <c r="I570" s="9" t="inlineStr">
        <is>
          <t>Bullpen Depth Arm</t>
        </is>
      </c>
      <c r="J570" s="17" t="inlineStr">
        <is>
          <t>Opening Day</t>
        </is>
      </c>
      <c r="K570" s="11">
        <f>IFERROR(INDEX(Roles!$B$17:$B$20,MATCH(J570,Roles!$A$17:$A$20,0)),1)</f>
        <v/>
      </c>
      <c r="L570" s="18" t="n">
        <v>1</v>
      </c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3">
        <f>SUMPRODUCT(M570:X570,$M$2:$X$2)*$K570*$L570</f>
        <v/>
      </c>
      <c r="Z570" s="14">
        <f>SUM(M570:X570)</f>
        <v/>
      </c>
      <c r="AA570" s="13">
        <f>SUMPRODUCT(M570:X570,$M$3:$X$3)*$K570*$L570</f>
        <v/>
      </c>
      <c r="AB570" s="13">
        <f>SUMPRODUCT(M570:X570,$M$4:$X$4)*$K570*$L570</f>
        <v/>
      </c>
      <c r="AC570" s="15">
        <f>SUMPRODUCT(M570:X570,$M$5:$X$5)*$K570*$L570</f>
        <v/>
      </c>
      <c r="AD570" s="15">
        <f>SUMPRODUCT(M570:X570,$M$6:$X$6)*$K570*$L570</f>
        <v/>
      </c>
      <c r="AE570" s="19" t="n"/>
    </row>
    <row r="571">
      <c r="A571" s="9" t="n">
        <v>656557</v>
      </c>
      <c r="B571" s="9" t="inlineStr">
        <is>
          <t>Tanner Houck</t>
        </is>
      </c>
      <c r="C571" s="9" t="inlineStr">
        <is>
          <t>BOS</t>
        </is>
      </c>
      <c r="D571" s="9" t="n">
        <v>31</v>
      </c>
      <c r="E571" s="17" t="inlineStr">
        <is>
          <t>R</t>
        </is>
      </c>
      <c r="F571" s="17" t="n"/>
      <c r="G571" s="9" t="n">
        <v>203</v>
      </c>
      <c r="H571" s="9" t="n">
        <v>1656</v>
      </c>
      <c r="I571" s="9" t="inlineStr">
        <is>
          <t>Mid-Rotation Starter (SP2-3)</t>
        </is>
      </c>
      <c r="J571" s="17" t="inlineStr">
        <is>
          <t>Opening Day</t>
        </is>
      </c>
      <c r="K571" s="11">
        <f>IFERROR(INDEX(Roles!$B$17:$B$20,MATCH(J571,Roles!$A$17:$A$20,0)),1)</f>
        <v/>
      </c>
      <c r="L571" s="18" t="n">
        <v>1</v>
      </c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3">
        <f>SUMPRODUCT(M571:X571,$M$2:$X$2)*$K571*$L571</f>
        <v/>
      </c>
      <c r="Z571" s="14">
        <f>SUM(M571:X571)</f>
        <v/>
      </c>
      <c r="AA571" s="13">
        <f>SUMPRODUCT(M571:X571,$M$3:$X$3)*$K571*$L571</f>
        <v/>
      </c>
      <c r="AB571" s="13">
        <f>SUMPRODUCT(M571:X571,$M$4:$X$4)*$K571*$L571</f>
        <v/>
      </c>
      <c r="AC571" s="15">
        <f>SUMPRODUCT(M571:X571,$M$5:$X$5)*$K571*$L571</f>
        <v/>
      </c>
      <c r="AD571" s="15">
        <f>SUMPRODUCT(M571:X571,$M$6:$X$6)*$K571*$L571</f>
        <v/>
      </c>
      <c r="AE571" s="19" t="n"/>
    </row>
    <row r="572">
      <c r="A572" s="9" t="n">
        <v>672578</v>
      </c>
      <c r="B572" s="9" t="inlineStr">
        <is>
          <t>Carlos Hernández</t>
        </is>
      </c>
      <c r="C572" s="9" t="inlineStr">
        <is>
          <t>CLE</t>
        </is>
      </c>
      <c r="D572" s="9" t="n">
        <v>30</v>
      </c>
      <c r="E572" s="17" t="inlineStr">
        <is>
          <t>R</t>
        </is>
      </c>
      <c r="F572" s="17" t="n"/>
      <c r="G572" s="9" t="n">
        <v>203</v>
      </c>
      <c r="H572" s="9" t="n">
        <v>898</v>
      </c>
      <c r="I572" s="9" t="inlineStr">
        <is>
          <t>Bullpen Depth Arm</t>
        </is>
      </c>
      <c r="J572" s="17" t="inlineStr">
        <is>
          <t>Opening Day</t>
        </is>
      </c>
      <c r="K572" s="11">
        <f>IFERROR(INDEX(Roles!$B$17:$B$20,MATCH(J572,Roles!$A$17:$A$20,0)),1)</f>
        <v/>
      </c>
      <c r="L572" s="18" t="n">
        <v>1</v>
      </c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3">
        <f>SUMPRODUCT(M572:X572,$M$2:$X$2)*$K572*$L572</f>
        <v/>
      </c>
      <c r="Z572" s="14">
        <f>SUM(M572:X572)</f>
        <v/>
      </c>
      <c r="AA572" s="13">
        <f>SUMPRODUCT(M572:X572,$M$3:$X$3)*$K572*$L572</f>
        <v/>
      </c>
      <c r="AB572" s="13">
        <f>SUMPRODUCT(M572:X572,$M$4:$X$4)*$K572*$L572</f>
        <v/>
      </c>
      <c r="AC572" s="15">
        <f>SUMPRODUCT(M572:X572,$M$5:$X$5)*$K572*$L572</f>
        <v/>
      </c>
      <c r="AD572" s="15">
        <f>SUMPRODUCT(M572:X572,$M$6:$X$6)*$K572*$L572</f>
        <v/>
      </c>
      <c r="AE572" s="19" t="n"/>
    </row>
    <row r="573">
      <c r="A573" s="9" t="n">
        <v>621057</v>
      </c>
      <c r="B573" s="9" t="inlineStr">
        <is>
          <t>Justin Garza</t>
        </is>
      </c>
      <c r="C573" s="9" t="inlineStr">
        <is>
          <t>NYM</t>
        </is>
      </c>
      <c r="D573" s="9" t="n">
        <v>33</v>
      </c>
      <c r="E573" s="17" t="inlineStr">
        <is>
          <t>R</t>
        </is>
      </c>
      <c r="F573" s="17" t="n"/>
      <c r="G573" s="9" t="n">
        <v>28</v>
      </c>
      <c r="H573" s="9" t="n">
        <v>119</v>
      </c>
      <c r="I573" s="9" t="inlineStr">
        <is>
          <t>Bullpen Depth Arm</t>
        </is>
      </c>
      <c r="J573" s="17" t="inlineStr">
        <is>
          <t>Opening Day</t>
        </is>
      </c>
      <c r="K573" s="11">
        <f>IFERROR(INDEX(Roles!$B$17:$B$20,MATCH(J573,Roles!$A$17:$A$20,0)),1)</f>
        <v/>
      </c>
      <c r="L573" s="18" t="n">
        <v>1</v>
      </c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3">
        <f>SUMPRODUCT(M573:X573,$M$2:$X$2)*$K573*$L573</f>
        <v/>
      </c>
      <c r="Z573" s="14">
        <f>SUM(M573:X573)</f>
        <v/>
      </c>
      <c r="AA573" s="13">
        <f>SUMPRODUCT(M573:X573,$M$3:$X$3)*$K573*$L573</f>
        <v/>
      </c>
      <c r="AB573" s="13">
        <f>SUMPRODUCT(M573:X573,$M$4:$X$4)*$K573*$L573</f>
        <v/>
      </c>
      <c r="AC573" s="15">
        <f>SUMPRODUCT(M573:X573,$M$5:$X$5)*$K573*$L573</f>
        <v/>
      </c>
      <c r="AD573" s="15">
        <f>SUMPRODUCT(M573:X573,$M$6:$X$6)*$K573*$L573</f>
        <v/>
      </c>
      <c r="AE573" s="19" t="n"/>
    </row>
    <row r="574">
      <c r="A574" s="9" t="n">
        <v>690928</v>
      </c>
      <c r="B574" s="9" t="inlineStr">
        <is>
          <t>Hunter Dobbins</t>
        </is>
      </c>
      <c r="C574" s="9" t="inlineStr">
        <is>
          <t>STL</t>
        </is>
      </c>
      <c r="D574" s="9" t="n">
        <v>27</v>
      </c>
      <c r="E574" s="17" t="inlineStr">
        <is>
          <t>R</t>
        </is>
      </c>
      <c r="F574" s="17" t="n"/>
      <c r="G574" s="9" t="n">
        <v>53</v>
      </c>
      <c r="H574" s="9" t="n">
        <v>309</v>
      </c>
      <c r="I574" s="9" t="inlineStr">
        <is>
          <t>End-of-Rotation Starter (SP4-5)</t>
        </is>
      </c>
      <c r="J574" s="17" t="inlineStr">
        <is>
          <t>Opening Day</t>
        </is>
      </c>
      <c r="K574" s="11">
        <f>IFERROR(INDEX(Roles!$B$17:$B$20,MATCH(J574,Roles!$A$17:$A$20,0)),1)</f>
        <v/>
      </c>
      <c r="L574" s="18" t="n">
        <v>1</v>
      </c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3">
        <f>SUMPRODUCT(M574:X574,$M$2:$X$2)*$K574*$L574</f>
        <v/>
      </c>
      <c r="Z574" s="14">
        <f>SUM(M574:X574)</f>
        <v/>
      </c>
      <c r="AA574" s="13">
        <f>SUMPRODUCT(M574:X574,$M$3:$X$3)*$K574*$L574</f>
        <v/>
      </c>
      <c r="AB574" s="13">
        <f>SUMPRODUCT(M574:X574,$M$4:$X$4)*$K574*$L574</f>
        <v/>
      </c>
      <c r="AC574" s="15">
        <f>SUMPRODUCT(M574:X574,$M$5:$X$5)*$K574*$L574</f>
        <v/>
      </c>
      <c r="AD574" s="15">
        <f>SUMPRODUCT(M574:X574,$M$6:$X$6)*$K574*$L574</f>
        <v/>
      </c>
      <c r="AE574" s="19" t="n"/>
    </row>
    <row r="575">
      <c r="A575" s="9" t="n">
        <v>571927</v>
      </c>
      <c r="B575" s="9" t="inlineStr">
        <is>
          <t>Steven Matz</t>
        </is>
      </c>
      <c r="C575" s="9" t="inlineStr">
        <is>
          <t>TB</t>
        </is>
      </c>
      <c r="D575" s="9" t="n">
        <v>36</v>
      </c>
      <c r="E575" s="17" t="inlineStr">
        <is>
          <t>L</t>
        </is>
      </c>
      <c r="F575" s="17" t="n"/>
      <c r="G575" s="9" t="n">
        <v>201</v>
      </c>
      <c r="H575" s="9" t="n">
        <v>1356</v>
      </c>
      <c r="I575" s="9" t="inlineStr">
        <is>
          <t>Bullpen Depth Arm</t>
        </is>
      </c>
      <c r="J575" s="17" t="inlineStr">
        <is>
          <t>Opening Day</t>
        </is>
      </c>
      <c r="K575" s="11">
        <f>IFERROR(INDEX(Roles!$B$17:$B$20,MATCH(J575,Roles!$A$17:$A$20,0)),1)</f>
        <v/>
      </c>
      <c r="L575" s="18" t="n">
        <v>1</v>
      </c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3">
        <f>SUMPRODUCT(M575:X575,$M$2:$X$2)*$K575*$L575</f>
        <v/>
      </c>
      <c r="Z575" s="14">
        <f>SUM(M575:X575)</f>
        <v/>
      </c>
      <c r="AA575" s="13">
        <f>SUMPRODUCT(M575:X575,$M$3:$X$3)*$K575*$L575</f>
        <v/>
      </c>
      <c r="AB575" s="13">
        <f>SUMPRODUCT(M575:X575,$M$4:$X$4)*$K575*$L575</f>
        <v/>
      </c>
      <c r="AC575" s="15">
        <f>SUMPRODUCT(M575:X575,$M$5:$X$5)*$K575*$L575</f>
        <v/>
      </c>
      <c r="AD575" s="15">
        <f>SUMPRODUCT(M575:X575,$M$6:$X$6)*$K575*$L575</f>
        <v/>
      </c>
      <c r="AE575" s="19" t="n"/>
    </row>
    <row r="576">
      <c r="A576" s="9" t="n">
        <v>593958</v>
      </c>
      <c r="B576" s="9" t="inlineStr">
        <is>
          <t>Eduardo Rodriguez</t>
        </is>
      </c>
      <c r="C576" s="9" t="inlineStr">
        <is>
          <t>ARI</t>
        </is>
      </c>
      <c r="D576" s="9" t="n">
        <v>34</v>
      </c>
      <c r="E576" s="17" t="inlineStr">
        <is>
          <t>L</t>
        </is>
      </c>
      <c r="F576" s="17" t="n"/>
      <c r="G576" s="9" t="n">
        <v>321</v>
      </c>
      <c r="H576" s="9" t="n">
        <v>2251</v>
      </c>
      <c r="I576" s="9" t="inlineStr">
        <is>
          <t>Mid-Rotation Starter (SP2-3)</t>
        </is>
      </c>
      <c r="J576" s="17" t="inlineStr">
        <is>
          <t>Opening Day</t>
        </is>
      </c>
      <c r="K576" s="11">
        <f>IFERROR(INDEX(Roles!$B$17:$B$20,MATCH(J576,Roles!$A$17:$A$20,0)),1)</f>
        <v/>
      </c>
      <c r="L576" s="18" t="n">
        <v>1</v>
      </c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3">
        <f>SUMPRODUCT(M576:X576,$M$2:$X$2)*$K576*$L576</f>
        <v/>
      </c>
      <c r="Z576" s="14">
        <f>SUM(M576:X576)</f>
        <v/>
      </c>
      <c r="AA576" s="13">
        <f>SUMPRODUCT(M576:X576,$M$3:$X$3)*$K576*$L576</f>
        <v/>
      </c>
      <c r="AB576" s="13">
        <f>SUMPRODUCT(M576:X576,$M$4:$X$4)*$K576*$L576</f>
        <v/>
      </c>
      <c r="AC576" s="15">
        <f>SUMPRODUCT(M576:X576,$M$5:$X$5)*$K576*$L576</f>
        <v/>
      </c>
      <c r="AD576" s="15">
        <f>SUMPRODUCT(M576:X576,$M$6:$X$6)*$K576*$L576</f>
        <v/>
      </c>
      <c r="AE576" s="19" t="n"/>
    </row>
    <row r="577">
      <c r="A577" s="9" t="n">
        <v>682847</v>
      </c>
      <c r="B577" s="9" t="inlineStr">
        <is>
          <t>Luis Ortiz</t>
        </is>
      </c>
      <c r="C577" s="9" t="inlineStr">
        <is>
          <t>CLE</t>
        </is>
      </c>
      <c r="D577" s="9" t="n">
        <v>28</v>
      </c>
      <c r="E577" s="17" t="inlineStr">
        <is>
          <t>R</t>
        </is>
      </c>
      <c r="F577" s="17" t="n"/>
      <c r="G577" s="9" t="n">
        <v>382</v>
      </c>
      <c r="H577" s="9" t="n">
        <v>1407</v>
      </c>
      <c r="I577" s="9" t="inlineStr">
        <is>
          <t>End-of-Rotation Starter (SP4-5)</t>
        </is>
      </c>
      <c r="J577" s="17" t="inlineStr">
        <is>
          <t>Opening Day</t>
        </is>
      </c>
      <c r="K577" s="11">
        <f>IFERROR(INDEX(Roles!$B$17:$B$20,MATCH(J577,Roles!$A$17:$A$20,0)),1)</f>
        <v/>
      </c>
      <c r="L577" s="18" t="n">
        <v>1</v>
      </c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3">
        <f>SUMPRODUCT(M577:X577,$M$2:$X$2)*$K577*$L577</f>
        <v/>
      </c>
      <c r="Z577" s="14">
        <f>SUM(M577:X577)</f>
        <v/>
      </c>
      <c r="AA577" s="13">
        <f>SUMPRODUCT(M577:X577,$M$3:$X$3)*$K577*$L577</f>
        <v/>
      </c>
      <c r="AB577" s="13">
        <f>SUMPRODUCT(M577:X577,$M$4:$X$4)*$K577*$L577</f>
        <v/>
      </c>
      <c r="AC577" s="15">
        <f>SUMPRODUCT(M577:X577,$M$5:$X$5)*$K577*$L577</f>
        <v/>
      </c>
      <c r="AD577" s="15">
        <f>SUMPRODUCT(M577:X577,$M$6:$X$6)*$K577*$L577</f>
        <v/>
      </c>
      <c r="AE577" s="19" t="n"/>
    </row>
    <row r="578">
      <c r="A578" s="9" t="n">
        <v>669391</v>
      </c>
      <c r="B578" s="9" t="inlineStr">
        <is>
          <t>Owen White</t>
        </is>
      </c>
      <c r="C578" s="9" t="inlineStr">
        <is>
          <t>CWS</t>
        </is>
      </c>
      <c r="D578" s="9" t="n">
        <v>27</v>
      </c>
      <c r="E578" s="17" t="inlineStr">
        <is>
          <t>R</t>
        </is>
      </c>
      <c r="F578" s="17" t="n"/>
      <c r="G578" s="9" t="n">
        <v>35</v>
      </c>
      <c r="H578" s="9" t="n">
        <v>72</v>
      </c>
      <c r="I578" s="9" t="inlineStr">
        <is>
          <t>Bullpen Depth Arm</t>
        </is>
      </c>
      <c r="J578" s="17" t="inlineStr">
        <is>
          <t>Opening Day</t>
        </is>
      </c>
      <c r="K578" s="11">
        <f>IFERROR(INDEX(Roles!$B$17:$B$20,MATCH(J578,Roles!$A$17:$A$20,0)),1)</f>
        <v/>
      </c>
      <c r="L578" s="18" t="n">
        <v>1</v>
      </c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3">
        <f>SUMPRODUCT(M578:X578,$M$2:$X$2)*$K578*$L578</f>
        <v/>
      </c>
      <c r="Z578" s="14">
        <f>SUM(M578:X578)</f>
        <v/>
      </c>
      <c r="AA578" s="13">
        <f>SUMPRODUCT(M578:X578,$M$3:$X$3)*$K578*$L578</f>
        <v/>
      </c>
      <c r="AB578" s="13">
        <f>SUMPRODUCT(M578:X578,$M$4:$X$4)*$K578*$L578</f>
        <v/>
      </c>
      <c r="AC578" s="15">
        <f>SUMPRODUCT(M578:X578,$M$5:$X$5)*$K578*$L578</f>
        <v/>
      </c>
      <c r="AD578" s="15">
        <f>SUMPRODUCT(M578:X578,$M$6:$X$6)*$K578*$L578</f>
        <v/>
      </c>
      <c r="AE578" s="19" t="n"/>
    </row>
    <row r="579">
      <c r="A579" s="9" t="n">
        <v>696270</v>
      </c>
      <c r="B579" s="9" t="inlineStr">
        <is>
          <t>Ryan Johnson</t>
        </is>
      </c>
      <c r="C579" s="9" t="inlineStr">
        <is>
          <t>LAA</t>
        </is>
      </c>
      <c r="D579" s="9" t="n">
        <v>24</v>
      </c>
      <c r="E579" s="17" t="inlineStr">
        <is>
          <t>R</t>
        </is>
      </c>
      <c r="F579" s="17" t="n"/>
      <c r="G579" s="9" t="n">
        <v>47</v>
      </c>
      <c r="H579" s="9" t="n">
        <v>119</v>
      </c>
      <c r="I579" s="9" t="inlineStr">
        <is>
          <t>Bullpen Depth Arm</t>
        </is>
      </c>
      <c r="J579" s="17" t="inlineStr">
        <is>
          <t>Opening Day</t>
        </is>
      </c>
      <c r="K579" s="11">
        <f>IFERROR(INDEX(Roles!$B$17:$B$20,MATCH(J579,Roles!$A$17:$A$20,0)),1)</f>
        <v/>
      </c>
      <c r="L579" s="18" t="n">
        <v>1</v>
      </c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3">
        <f>SUMPRODUCT(M579:X579,$M$2:$X$2)*$K579*$L579</f>
        <v/>
      </c>
      <c r="Z579" s="14">
        <f>SUM(M579:X579)</f>
        <v/>
      </c>
      <c r="AA579" s="13">
        <f>SUMPRODUCT(M579:X579,$M$3:$X$3)*$K579*$L579</f>
        <v/>
      </c>
      <c r="AB579" s="13">
        <f>SUMPRODUCT(M579:X579,$M$4:$X$4)*$K579*$L579</f>
        <v/>
      </c>
      <c r="AC579" s="15">
        <f>SUMPRODUCT(M579:X579,$M$5:$X$5)*$K579*$L579</f>
        <v/>
      </c>
      <c r="AD579" s="15">
        <f>SUMPRODUCT(M579:X579,$M$6:$X$6)*$K579*$L579</f>
        <v/>
      </c>
      <c r="AE579" s="19" t="n"/>
    </row>
    <row r="580">
      <c r="A580" s="9" t="n">
        <v>680729</v>
      </c>
      <c r="B580" s="9" t="inlineStr">
        <is>
          <t>Garrett McDaniels</t>
        </is>
      </c>
      <c r="C580" s="9" t="inlineStr">
        <is>
          <t>LAA</t>
        </is>
      </c>
      <c r="D580" s="9" t="n">
        <v>27</v>
      </c>
      <c r="E580" s="17" t="inlineStr">
        <is>
          <t>L</t>
        </is>
      </c>
      <c r="F580" s="17" t="n"/>
      <c r="G580" s="9" t="n">
        <v>50</v>
      </c>
      <c r="H580" s="9" t="n">
        <v>50</v>
      </c>
      <c r="I580" s="9" t="inlineStr">
        <is>
          <t>Bullpen Depth Arm</t>
        </is>
      </c>
      <c r="J580" s="17" t="inlineStr">
        <is>
          <t>Opening Day</t>
        </is>
      </c>
      <c r="K580" s="11">
        <f>IFERROR(INDEX(Roles!$B$17:$B$20,MATCH(J580,Roles!$A$17:$A$20,0)),1)</f>
        <v/>
      </c>
      <c r="L580" s="18" t="n">
        <v>1</v>
      </c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3">
        <f>SUMPRODUCT(M580:X580,$M$2:$X$2)*$K580*$L580</f>
        <v/>
      </c>
      <c r="Z580" s="14">
        <f>SUM(M580:X580)</f>
        <v/>
      </c>
      <c r="AA580" s="13">
        <f>SUMPRODUCT(M580:X580,$M$3:$X$3)*$K580*$L580</f>
        <v/>
      </c>
      <c r="AB580" s="13">
        <f>SUMPRODUCT(M580:X580,$M$4:$X$4)*$K580*$L580</f>
        <v/>
      </c>
      <c r="AC580" s="15">
        <f>SUMPRODUCT(M580:X580,$M$5:$X$5)*$K580*$L580</f>
        <v/>
      </c>
      <c r="AD580" s="15">
        <f>SUMPRODUCT(M580:X580,$M$6:$X$6)*$K580*$L580</f>
        <v/>
      </c>
      <c r="AE580" s="19" t="n"/>
    </row>
    <row r="581">
      <c r="A581" s="9" t="n">
        <v>689266</v>
      </c>
      <c r="B581" s="9" t="inlineStr">
        <is>
          <t>Dylan Dodd</t>
        </is>
      </c>
      <c r="C581" s="9" t="inlineStr">
        <is>
          <t>ATL</t>
        </is>
      </c>
      <c r="D581" s="9" t="n">
        <v>29</v>
      </c>
      <c r="E581" s="17" t="inlineStr">
        <is>
          <t>L</t>
        </is>
      </c>
      <c r="F581" s="17" t="n"/>
      <c r="G581" s="9" t="n">
        <v>54</v>
      </c>
      <c r="H581" s="9" t="n">
        <v>363</v>
      </c>
      <c r="I581" s="9" t="inlineStr">
        <is>
          <t>Middle Relief</t>
        </is>
      </c>
      <c r="J581" s="17" t="inlineStr">
        <is>
          <t>Opening Day</t>
        </is>
      </c>
      <c r="K581" s="11">
        <f>IFERROR(INDEX(Roles!$B$17:$B$20,MATCH(J581,Roles!$A$17:$A$20,0)),1)</f>
        <v/>
      </c>
      <c r="L581" s="18" t="n">
        <v>1</v>
      </c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3">
        <f>SUMPRODUCT(M581:X581,$M$2:$X$2)*$K581*$L581</f>
        <v/>
      </c>
      <c r="Z581" s="14">
        <f>SUM(M581:X581)</f>
        <v/>
      </c>
      <c r="AA581" s="13">
        <f>SUMPRODUCT(M581:X581,$M$3:$X$3)*$K581*$L581</f>
        <v/>
      </c>
      <c r="AB581" s="13">
        <f>SUMPRODUCT(M581:X581,$M$4:$X$4)*$K581*$L581</f>
        <v/>
      </c>
      <c r="AC581" s="15">
        <f>SUMPRODUCT(M581:X581,$M$5:$X$5)*$K581*$L581</f>
        <v/>
      </c>
      <c r="AD581" s="15">
        <f>SUMPRODUCT(M581:X581,$M$6:$X$6)*$K581*$L581</f>
        <v/>
      </c>
      <c r="AE581" s="19" t="n"/>
    </row>
    <row r="582">
      <c r="A582" s="9" t="n">
        <v>656240</v>
      </c>
      <c r="B582" s="9" t="inlineStr">
        <is>
          <t>Scott Blewett</t>
        </is>
      </c>
      <c r="C582" s="9" t="inlineStr">
        <is>
          <t>BAL</t>
        </is>
      </c>
      <c r="D582" s="9" t="n">
        <v>31</v>
      </c>
      <c r="E582" s="17" t="inlineStr">
        <is>
          <t>R</t>
        </is>
      </c>
      <c r="F582" s="17" t="n"/>
      <c r="G582" s="9" t="n">
        <v>194</v>
      </c>
      <c r="H582" s="9" t="n">
        <v>279</v>
      </c>
      <c r="I582" s="9" t="inlineStr">
        <is>
          <t>Bullpen Depth Arm</t>
        </is>
      </c>
      <c r="J582" s="17" t="inlineStr">
        <is>
          <t>Opening Day</t>
        </is>
      </c>
      <c r="K582" s="11">
        <f>IFERROR(INDEX(Roles!$B$17:$B$20,MATCH(J582,Roles!$A$17:$A$20,0)),1)</f>
        <v/>
      </c>
      <c r="L582" s="18" t="n">
        <v>1</v>
      </c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3">
        <f>SUMPRODUCT(M582:X582,$M$2:$X$2)*$K582*$L582</f>
        <v/>
      </c>
      <c r="Z582" s="14">
        <f>SUM(M582:X582)</f>
        <v/>
      </c>
      <c r="AA582" s="13">
        <f>SUMPRODUCT(M582:X582,$M$3:$X$3)*$K582*$L582</f>
        <v/>
      </c>
      <c r="AB582" s="13">
        <f>SUMPRODUCT(M582:X582,$M$4:$X$4)*$K582*$L582</f>
        <v/>
      </c>
      <c r="AC582" s="15">
        <f>SUMPRODUCT(M582:X582,$M$5:$X$5)*$K582*$L582</f>
        <v/>
      </c>
      <c r="AD582" s="15">
        <f>SUMPRODUCT(M582:X582,$M$6:$X$6)*$K582*$L582</f>
        <v/>
      </c>
      <c r="AE582" s="19" t="n"/>
    </row>
    <row r="583">
      <c r="A583" s="9" t="n">
        <v>606996</v>
      </c>
      <c r="B583" s="9" t="inlineStr">
        <is>
          <t>Kyle Hart</t>
        </is>
      </c>
      <c r="C583" s="9" t="inlineStr">
        <is>
          <t>SD</t>
        </is>
      </c>
      <c r="D583" s="9" t="n">
        <v>34</v>
      </c>
      <c r="E583" s="17" t="inlineStr">
        <is>
          <t>L</t>
        </is>
      </c>
      <c r="F583" s="17" t="n"/>
      <c r="G583" s="9" t="n">
        <v>68</v>
      </c>
      <c r="H583" s="9" t="n">
        <v>247</v>
      </c>
      <c r="I583" s="9" t="inlineStr">
        <is>
          <t>Bullpen Depth Arm</t>
        </is>
      </c>
      <c r="J583" s="17" t="inlineStr">
        <is>
          <t>Opening Day</t>
        </is>
      </c>
      <c r="K583" s="11">
        <f>IFERROR(INDEX(Roles!$B$17:$B$20,MATCH(J583,Roles!$A$17:$A$20,0)),1)</f>
        <v/>
      </c>
      <c r="L583" s="18" t="n">
        <v>1</v>
      </c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3">
        <f>SUMPRODUCT(M583:X583,$M$2:$X$2)*$K583*$L583</f>
        <v/>
      </c>
      <c r="Z583" s="14">
        <f>SUM(M583:X583)</f>
        <v/>
      </c>
      <c r="AA583" s="13">
        <f>SUMPRODUCT(M583:X583,$M$3:$X$3)*$K583*$L583</f>
        <v/>
      </c>
      <c r="AB583" s="13">
        <f>SUMPRODUCT(M583:X583,$M$4:$X$4)*$K583*$L583</f>
        <v/>
      </c>
      <c r="AC583" s="15">
        <f>SUMPRODUCT(M583:X583,$M$5:$X$5)*$K583*$L583</f>
        <v/>
      </c>
      <c r="AD583" s="15">
        <f>SUMPRODUCT(M583:X583,$M$6:$X$6)*$K583*$L583</f>
        <v/>
      </c>
      <c r="AE583" s="19" t="n"/>
    </row>
    <row r="584">
      <c r="A584" s="9" t="n">
        <v>669432</v>
      </c>
      <c r="B584" s="9" t="inlineStr">
        <is>
          <t>Trevor Rogers</t>
        </is>
      </c>
      <c r="C584" s="9" t="inlineStr">
        <is>
          <t>BAL</t>
        </is>
      </c>
      <c r="D584" s="9" t="n">
        <v>29</v>
      </c>
      <c r="E584" s="17" t="inlineStr">
        <is>
          <t>L</t>
        </is>
      </c>
      <c r="F584" s="17" t="n"/>
      <c r="G584" s="9" t="n">
        <v>266</v>
      </c>
      <c r="H584" s="9" t="n">
        <v>1807</v>
      </c>
      <c r="I584" s="9" t="inlineStr">
        <is>
          <t>Mid-Rotation Starter (SP2-3)</t>
        </is>
      </c>
      <c r="J584" s="17" t="inlineStr">
        <is>
          <t>Opening Day</t>
        </is>
      </c>
      <c r="K584" s="11">
        <f>IFERROR(INDEX(Roles!$B$17:$B$20,MATCH(J584,Roles!$A$17:$A$20,0)),1)</f>
        <v/>
      </c>
      <c r="L584" s="18" t="n">
        <v>1</v>
      </c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3">
        <f>SUMPRODUCT(M584:X584,$M$2:$X$2)*$K584*$L584</f>
        <v/>
      </c>
      <c r="Z584" s="14">
        <f>SUM(M584:X584)</f>
        <v/>
      </c>
      <c r="AA584" s="13">
        <f>SUMPRODUCT(M584:X584,$M$3:$X$3)*$K584*$L584</f>
        <v/>
      </c>
      <c r="AB584" s="13">
        <f>SUMPRODUCT(M584:X584,$M$4:$X$4)*$K584*$L584</f>
        <v/>
      </c>
      <c r="AC584" s="15">
        <f>SUMPRODUCT(M584:X584,$M$5:$X$5)*$K584*$L584</f>
        <v/>
      </c>
      <c r="AD584" s="15">
        <f>SUMPRODUCT(M584:X584,$M$6:$X$6)*$K584*$L584</f>
        <v/>
      </c>
      <c r="AE584" s="19" t="n"/>
    </row>
    <row r="585">
      <c r="A585" s="9" t="n">
        <v>622253</v>
      </c>
      <c r="B585" s="9" t="inlineStr">
        <is>
          <t>Dillon Tate</t>
        </is>
      </c>
      <c r="C585" s="9" t="inlineStr">
        <is>
          <t>TOR</t>
        </is>
      </c>
      <c r="D585" s="9" t="n">
        <v>33</v>
      </c>
      <c r="E585" s="17" t="inlineStr">
        <is>
          <t>R</t>
        </is>
      </c>
      <c r="F585" s="17" t="n"/>
      <c r="G585" s="9" t="n">
        <v>34</v>
      </c>
      <c r="H585" s="9" t="n">
        <v>490</v>
      </c>
      <c r="I585" s="9" t="inlineStr">
        <is>
          <t>Bullpen Depth Arm</t>
        </is>
      </c>
      <c r="J585" s="17" t="inlineStr">
        <is>
          <t>Opening Day</t>
        </is>
      </c>
      <c r="K585" s="11">
        <f>IFERROR(INDEX(Roles!$B$17:$B$20,MATCH(J585,Roles!$A$17:$A$20,0)),1)</f>
        <v/>
      </c>
      <c r="L585" s="18" t="n">
        <v>1</v>
      </c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3">
        <f>SUMPRODUCT(M585:X585,$M$2:$X$2)*$K585*$L585</f>
        <v/>
      </c>
      <c r="Z585" s="14">
        <f>SUM(M585:X585)</f>
        <v/>
      </c>
      <c r="AA585" s="13">
        <f>SUMPRODUCT(M585:X585,$M$3:$X$3)*$K585*$L585</f>
        <v/>
      </c>
      <c r="AB585" s="13">
        <f>SUMPRODUCT(M585:X585,$M$4:$X$4)*$K585*$L585</f>
        <v/>
      </c>
      <c r="AC585" s="15">
        <f>SUMPRODUCT(M585:X585,$M$5:$X$5)*$K585*$L585</f>
        <v/>
      </c>
      <c r="AD585" s="15">
        <f>SUMPRODUCT(M585:X585,$M$6:$X$6)*$K585*$L585</f>
        <v/>
      </c>
      <c r="AE585" s="19" t="n"/>
    </row>
    <row r="586">
      <c r="A586" s="9" t="n">
        <v>674370</v>
      </c>
      <c r="B586" s="9" t="inlineStr">
        <is>
          <t>Osvaldo Bido</t>
        </is>
      </c>
      <c r="C586" s="9" t="inlineStr">
        <is>
          <t>CWS</t>
        </is>
      </c>
      <c r="D586" s="9" t="n">
        <v>31</v>
      </c>
      <c r="E586" s="17" t="inlineStr">
        <is>
          <t>R</t>
        </is>
      </c>
      <c r="F586" s="17" t="n"/>
      <c r="G586" s="9" t="n">
        <v>81</v>
      </c>
      <c r="H586" s="9" t="n">
        <v>939</v>
      </c>
      <c r="I586" s="9" t="inlineStr">
        <is>
          <t>Bullpen Depth Arm</t>
        </is>
      </c>
      <c r="J586" s="17" t="inlineStr">
        <is>
          <t>Opening Day</t>
        </is>
      </c>
      <c r="K586" s="11">
        <f>IFERROR(INDEX(Roles!$B$17:$B$20,MATCH(J586,Roles!$A$17:$A$20,0)),1)</f>
        <v/>
      </c>
      <c r="L586" s="18" t="n">
        <v>1</v>
      </c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3">
        <f>SUMPRODUCT(M586:X586,$M$2:$X$2)*$K586*$L586</f>
        <v/>
      </c>
      <c r="Z586" s="14">
        <f>SUM(M586:X586)</f>
        <v/>
      </c>
      <c r="AA586" s="13">
        <f>SUMPRODUCT(M586:X586,$M$3:$X$3)*$K586*$L586</f>
        <v/>
      </c>
      <c r="AB586" s="13">
        <f>SUMPRODUCT(M586:X586,$M$4:$X$4)*$K586*$L586</f>
        <v/>
      </c>
      <c r="AC586" s="15">
        <f>SUMPRODUCT(M586:X586,$M$5:$X$5)*$K586*$L586</f>
        <v/>
      </c>
      <c r="AD586" s="15">
        <f>SUMPRODUCT(M586:X586,$M$6:$X$6)*$K586*$L586</f>
        <v/>
      </c>
      <c r="AE586" s="19" t="n"/>
    </row>
    <row r="587">
      <c r="A587" s="9" t="n">
        <v>690544</v>
      </c>
      <c r="B587" s="9" t="inlineStr">
        <is>
          <t>Bailey Horn</t>
        </is>
      </c>
      <c r="C587" s="9" t="inlineStr">
        <is>
          <t>DET</t>
        </is>
      </c>
      <c r="D587" s="9" t="n">
        <v>29</v>
      </c>
      <c r="E587" s="17" t="inlineStr">
        <is>
          <t>L</t>
        </is>
      </c>
      <c r="F587" s="17" t="n"/>
      <c r="G587" s="9" t="n">
        <v>50</v>
      </c>
      <c r="H587" s="9" t="n">
        <v>138</v>
      </c>
      <c r="I587" s="9" t="inlineStr">
        <is>
          <t>Bullpen Depth Arm</t>
        </is>
      </c>
      <c r="J587" s="17" t="inlineStr">
        <is>
          <t>Opening Day</t>
        </is>
      </c>
      <c r="K587" s="11">
        <f>IFERROR(INDEX(Roles!$B$17:$B$20,MATCH(J587,Roles!$A$17:$A$20,0)),1)</f>
        <v/>
      </c>
      <c r="L587" s="18" t="n">
        <v>1</v>
      </c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3">
        <f>SUMPRODUCT(M587:X587,$M$2:$X$2)*$K587*$L587</f>
        <v/>
      </c>
      <c r="Z587" s="14">
        <f>SUM(M587:X587)</f>
        <v/>
      </c>
      <c r="AA587" s="13">
        <f>SUMPRODUCT(M587:X587,$M$3:$X$3)*$K587*$L587</f>
        <v/>
      </c>
      <c r="AB587" s="13">
        <f>SUMPRODUCT(M587:X587,$M$4:$X$4)*$K587*$L587</f>
        <v/>
      </c>
      <c r="AC587" s="15">
        <f>SUMPRODUCT(M587:X587,$M$5:$X$5)*$K587*$L587</f>
        <v/>
      </c>
      <c r="AD587" s="15">
        <f>SUMPRODUCT(M587:X587,$M$6:$X$6)*$K587*$L587</f>
        <v/>
      </c>
      <c r="AE587" s="19" t="n"/>
    </row>
    <row r="588">
      <c r="A588" s="9" t="n">
        <v>682995</v>
      </c>
      <c r="B588" s="9" t="inlineStr">
        <is>
          <t>Hunter Barco</t>
        </is>
      </c>
      <c r="C588" s="9" t="inlineStr">
        <is>
          <t>PIT</t>
        </is>
      </c>
      <c r="D588" s="9" t="n">
        <v>26</v>
      </c>
      <c r="E588" s="17" t="inlineStr">
        <is>
          <t>L</t>
        </is>
      </c>
      <c r="F588" s="17" t="n"/>
      <c r="G588" s="9" t="n">
        <v>60</v>
      </c>
      <c r="H588" s="9" t="n">
        <v>72</v>
      </c>
      <c r="I588" s="9" t="inlineStr">
        <is>
          <t>Bullpen Depth Arm</t>
        </is>
      </c>
      <c r="J588" s="17" t="inlineStr">
        <is>
          <t>Opening Day</t>
        </is>
      </c>
      <c r="K588" s="11">
        <f>IFERROR(INDEX(Roles!$B$17:$B$20,MATCH(J588,Roles!$A$17:$A$20,0)),1)</f>
        <v/>
      </c>
      <c r="L588" s="18" t="n">
        <v>1</v>
      </c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3">
        <f>SUMPRODUCT(M588:X588,$M$2:$X$2)*$K588*$L588</f>
        <v/>
      </c>
      <c r="Z588" s="14">
        <f>SUM(M588:X588)</f>
        <v/>
      </c>
      <c r="AA588" s="13">
        <f>SUMPRODUCT(M588:X588,$M$3:$X$3)*$K588*$L588</f>
        <v/>
      </c>
      <c r="AB588" s="13">
        <f>SUMPRODUCT(M588:X588,$M$4:$X$4)*$K588*$L588</f>
        <v/>
      </c>
      <c r="AC588" s="15">
        <f>SUMPRODUCT(M588:X588,$M$5:$X$5)*$K588*$L588</f>
        <v/>
      </c>
      <c r="AD588" s="15">
        <f>SUMPRODUCT(M588:X588,$M$6:$X$6)*$K588*$L588</f>
        <v/>
      </c>
      <c r="AE588" s="19" t="n"/>
    </row>
    <row r="589">
      <c r="A589" s="9" t="n">
        <v>678024</v>
      </c>
      <c r="B589" s="9" t="inlineStr">
        <is>
          <t>Mike Vasil</t>
        </is>
      </c>
      <c r="C589" s="9" t="inlineStr">
        <is>
          <t>CWS</t>
        </is>
      </c>
      <c r="D589" s="9" t="n">
        <v>27</v>
      </c>
      <c r="E589" s="17" t="inlineStr">
        <is>
          <t>R</t>
        </is>
      </c>
      <c r="F589" s="17" t="n"/>
      <c r="G589" s="9" t="n">
        <v>423</v>
      </c>
      <c r="H589" s="9" t="n">
        <v>423</v>
      </c>
      <c r="I589" s="9" t="inlineStr">
        <is>
          <t>Bullpen Depth Arm</t>
        </is>
      </c>
      <c r="J589" s="17" t="inlineStr">
        <is>
          <t>Opening Day</t>
        </is>
      </c>
      <c r="K589" s="11">
        <f>IFERROR(INDEX(Roles!$B$17:$B$20,MATCH(J589,Roles!$A$17:$A$20,0)),1)</f>
        <v/>
      </c>
      <c r="L589" s="18" t="n">
        <v>1</v>
      </c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3">
        <f>SUMPRODUCT(M589:X589,$M$2:$X$2)*$K589*$L589</f>
        <v/>
      </c>
      <c r="Z589" s="14">
        <f>SUM(M589:X589)</f>
        <v/>
      </c>
      <c r="AA589" s="13">
        <f>SUMPRODUCT(M589:X589,$M$3:$X$3)*$K589*$L589</f>
        <v/>
      </c>
      <c r="AB589" s="13">
        <f>SUMPRODUCT(M589:X589,$M$4:$X$4)*$K589*$L589</f>
        <v/>
      </c>
      <c r="AC589" s="15">
        <f>SUMPRODUCT(M589:X589,$M$5:$X$5)*$K589*$L589</f>
        <v/>
      </c>
      <c r="AD589" s="15">
        <f>SUMPRODUCT(M589:X589,$M$6:$X$6)*$K589*$L589</f>
        <v/>
      </c>
      <c r="AE589" s="19" t="n"/>
    </row>
    <row r="590">
      <c r="A590" s="9" t="n">
        <v>676467</v>
      </c>
      <c r="B590" s="9" t="inlineStr">
        <is>
          <t>Colton Gordon</t>
        </is>
      </c>
      <c r="C590" s="9" t="inlineStr">
        <is>
          <t>HOU</t>
        </is>
      </c>
      <c r="D590" s="9" t="n">
        <v>28</v>
      </c>
      <c r="E590" s="17" t="inlineStr">
        <is>
          <t>L</t>
        </is>
      </c>
      <c r="F590" s="17" t="n"/>
      <c r="G590" s="9" t="n">
        <v>50</v>
      </c>
      <c r="H590" s="9" t="n">
        <v>429</v>
      </c>
      <c r="I590" s="9" t="inlineStr">
        <is>
          <t>End-of-Rotation Starter (SP4-5)</t>
        </is>
      </c>
      <c r="J590" s="17" t="inlineStr">
        <is>
          <t>Opening Day</t>
        </is>
      </c>
      <c r="K590" s="11">
        <f>IFERROR(INDEX(Roles!$B$17:$B$20,MATCH(J590,Roles!$A$17:$A$20,0)),1)</f>
        <v/>
      </c>
      <c r="L590" s="18" t="n">
        <v>1</v>
      </c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3">
        <f>SUMPRODUCT(M590:X590,$M$2:$X$2)*$K590*$L590</f>
        <v/>
      </c>
      <c r="Z590" s="14">
        <f>SUM(M590:X590)</f>
        <v/>
      </c>
      <c r="AA590" s="13">
        <f>SUMPRODUCT(M590:X590,$M$3:$X$3)*$K590*$L590</f>
        <v/>
      </c>
      <c r="AB590" s="13">
        <f>SUMPRODUCT(M590:X590,$M$4:$X$4)*$K590*$L590</f>
        <v/>
      </c>
      <c r="AC590" s="15">
        <f>SUMPRODUCT(M590:X590,$M$5:$X$5)*$K590*$L590</f>
        <v/>
      </c>
      <c r="AD590" s="15">
        <f>SUMPRODUCT(M590:X590,$M$6:$X$6)*$K590*$L590</f>
        <v/>
      </c>
      <c r="AE590" s="19" t="n"/>
    </row>
    <row r="591">
      <c r="A591" s="9" t="n">
        <v>663436</v>
      </c>
      <c r="B591" s="9" t="inlineStr">
        <is>
          <t>Davis Martin</t>
        </is>
      </c>
      <c r="C591" s="9" t="inlineStr">
        <is>
          <t>CWS</t>
        </is>
      </c>
      <c r="D591" s="9" t="n">
        <v>30</v>
      </c>
      <c r="E591" s="17" t="inlineStr">
        <is>
          <t>R</t>
        </is>
      </c>
      <c r="F591" s="17" t="n"/>
      <c r="G591" s="9" t="n">
        <v>288</v>
      </c>
      <c r="H591" s="9" t="n">
        <v>1378</v>
      </c>
      <c r="I591" s="9" t="inlineStr">
        <is>
          <t>Mid-Rotation Starter (SP2-3)</t>
        </is>
      </c>
      <c r="J591" s="17" t="inlineStr">
        <is>
          <t>Opening Day</t>
        </is>
      </c>
      <c r="K591" s="11">
        <f>IFERROR(INDEX(Roles!$B$17:$B$20,MATCH(J591,Roles!$A$17:$A$20,0)),1)</f>
        <v/>
      </c>
      <c r="L591" s="18" t="n">
        <v>1</v>
      </c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3">
        <f>SUMPRODUCT(M591:X591,$M$2:$X$2)*$K591*$L591</f>
        <v/>
      </c>
      <c r="Z591" s="14">
        <f>SUM(M591:X591)</f>
        <v/>
      </c>
      <c r="AA591" s="13">
        <f>SUMPRODUCT(M591:X591,$M$3:$X$3)*$K591*$L591</f>
        <v/>
      </c>
      <c r="AB591" s="13">
        <f>SUMPRODUCT(M591:X591,$M$4:$X$4)*$K591*$L591</f>
        <v/>
      </c>
      <c r="AC591" s="15">
        <f>SUMPRODUCT(M591:X591,$M$5:$X$5)*$K591*$L591</f>
        <v/>
      </c>
      <c r="AD591" s="15">
        <f>SUMPRODUCT(M591:X591,$M$6:$X$6)*$K591*$L591</f>
        <v/>
      </c>
      <c r="AE591" s="19" t="n"/>
    </row>
    <row r="592">
      <c r="A592" s="9" t="n">
        <v>543101</v>
      </c>
      <c r="B592" s="9" t="inlineStr">
        <is>
          <t>Anthony DeSclafani</t>
        </is>
      </c>
      <c r="C592" s="9" t="inlineStr">
        <is>
          <t>ARI</t>
        </is>
      </c>
      <c r="D592" s="9" t="n">
        <v>37</v>
      </c>
      <c r="E592" s="17" t="inlineStr">
        <is>
          <t>R</t>
        </is>
      </c>
      <c r="F592" s="17" t="n"/>
      <c r="G592" s="9" t="n">
        <v>169</v>
      </c>
      <c r="H592" s="9" t="n">
        <v>682</v>
      </c>
      <c r="I592" s="9" t="inlineStr">
        <is>
          <t>Bullpen Depth Arm</t>
        </is>
      </c>
      <c r="J592" s="17" t="inlineStr">
        <is>
          <t>Opening Day</t>
        </is>
      </c>
      <c r="K592" s="11">
        <f>IFERROR(INDEX(Roles!$B$17:$B$20,MATCH(J592,Roles!$A$17:$A$20,0)),1)</f>
        <v/>
      </c>
      <c r="L592" s="18" t="n">
        <v>1</v>
      </c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3">
        <f>SUMPRODUCT(M592:X592,$M$2:$X$2)*$K592*$L592</f>
        <v/>
      </c>
      <c r="Z592" s="14">
        <f>SUM(M592:X592)</f>
        <v/>
      </c>
      <c r="AA592" s="13">
        <f>SUMPRODUCT(M592:X592,$M$3:$X$3)*$K592*$L592</f>
        <v/>
      </c>
      <c r="AB592" s="13">
        <f>SUMPRODUCT(M592:X592,$M$4:$X$4)*$K592*$L592</f>
        <v/>
      </c>
      <c r="AC592" s="15">
        <f>SUMPRODUCT(M592:X592,$M$5:$X$5)*$K592*$L592</f>
        <v/>
      </c>
      <c r="AD592" s="15">
        <f>SUMPRODUCT(M592:X592,$M$6:$X$6)*$K592*$L592</f>
        <v/>
      </c>
      <c r="AE592" s="19" t="n"/>
    </row>
    <row r="593">
      <c r="A593" s="9" t="n">
        <v>663562</v>
      </c>
      <c r="B593" s="9" t="inlineStr">
        <is>
          <t>Noah Davis</t>
        </is>
      </c>
      <c r="C593" s="9" t="inlineStr">
        <is>
          <t>MIN</t>
        </is>
      </c>
      <c r="D593" s="9" t="n">
        <v>30</v>
      </c>
      <c r="E593" s="17" t="inlineStr">
        <is>
          <t>R</t>
        </is>
      </c>
      <c r="F593" s="17" t="n"/>
      <c r="G593" s="9" t="n">
        <v>65</v>
      </c>
      <c r="H593" s="9" t="n">
        <v>314</v>
      </c>
      <c r="I593" s="9" t="inlineStr">
        <is>
          <t>Bullpen Depth Arm</t>
        </is>
      </c>
      <c r="J593" s="17" t="inlineStr">
        <is>
          <t>Opening Day</t>
        </is>
      </c>
      <c r="K593" s="11">
        <f>IFERROR(INDEX(Roles!$B$17:$B$20,MATCH(J593,Roles!$A$17:$A$20,0)),1)</f>
        <v/>
      </c>
      <c r="L593" s="18" t="n">
        <v>1</v>
      </c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3">
        <f>SUMPRODUCT(M593:X593,$M$2:$X$2)*$K593*$L593</f>
        <v/>
      </c>
      <c r="Z593" s="14">
        <f>SUM(M593:X593)</f>
        <v/>
      </c>
      <c r="AA593" s="13">
        <f>SUMPRODUCT(M593:X593,$M$3:$X$3)*$K593*$L593</f>
        <v/>
      </c>
      <c r="AB593" s="13">
        <f>SUMPRODUCT(M593:X593,$M$4:$X$4)*$K593*$L593</f>
        <v/>
      </c>
      <c r="AC593" s="15">
        <f>SUMPRODUCT(M593:X593,$M$5:$X$5)*$K593*$L593</f>
        <v/>
      </c>
      <c r="AD593" s="15">
        <f>SUMPRODUCT(M593:X593,$M$6:$X$6)*$K593*$L593</f>
        <v/>
      </c>
      <c r="AE593" s="19" t="n"/>
    </row>
    <row r="594">
      <c r="A594" s="9" t="n">
        <v>641745</v>
      </c>
      <c r="B594" s="9" t="inlineStr">
        <is>
          <t>Brad Keller</t>
        </is>
      </c>
      <c r="C594" s="9" t="inlineStr">
        <is>
          <t>PHI</t>
        </is>
      </c>
      <c r="D594" s="9" t="n">
        <v>31</v>
      </c>
      <c r="E594" s="17" t="inlineStr">
        <is>
          <t>R</t>
        </is>
      </c>
      <c r="F594" s="17" t="n"/>
      <c r="G594" s="9" t="n">
        <v>121</v>
      </c>
      <c r="H594" s="9" t="n">
        <v>1417</v>
      </c>
      <c r="I594" s="9" t="inlineStr">
        <is>
          <t>Bullpen Depth Arm</t>
        </is>
      </c>
      <c r="J594" s="17" t="inlineStr">
        <is>
          <t>Opening Day</t>
        </is>
      </c>
      <c r="K594" s="11">
        <f>IFERROR(INDEX(Roles!$B$17:$B$20,MATCH(J594,Roles!$A$17:$A$20,0)),1)</f>
        <v/>
      </c>
      <c r="L594" s="18" t="n">
        <v>1</v>
      </c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3">
        <f>SUMPRODUCT(M594:X594,$M$2:$X$2)*$K594*$L594</f>
        <v/>
      </c>
      <c r="Z594" s="14">
        <f>SUM(M594:X594)</f>
        <v/>
      </c>
      <c r="AA594" s="13">
        <f>SUMPRODUCT(M594:X594,$M$3:$X$3)*$K594*$L594</f>
        <v/>
      </c>
      <c r="AB594" s="13">
        <f>SUMPRODUCT(M594:X594,$M$4:$X$4)*$K594*$L594</f>
        <v/>
      </c>
      <c r="AC594" s="15">
        <f>SUMPRODUCT(M594:X594,$M$5:$X$5)*$K594*$L594</f>
        <v/>
      </c>
      <c r="AD594" s="15">
        <f>SUMPRODUCT(M594:X594,$M$6:$X$6)*$K594*$L594</f>
        <v/>
      </c>
      <c r="AE594" s="19" t="n"/>
    </row>
    <row r="595">
      <c r="A595" s="9" t="n">
        <v>666120</v>
      </c>
      <c r="B595" s="9" t="inlineStr">
        <is>
          <t>Ian Anderson</t>
        </is>
      </c>
      <c r="C595" s="9" t="inlineStr">
        <is>
          <t>LAA</t>
        </is>
      </c>
      <c r="D595" s="9" t="n">
        <v>29</v>
      </c>
      <c r="E595" s="17" t="inlineStr">
        <is>
          <t>R</t>
        </is>
      </c>
      <c r="F595" s="17" t="n"/>
      <c r="G595" s="9" t="n">
        <v>51</v>
      </c>
      <c r="H595" s="9" t="n">
        <v>544</v>
      </c>
      <c r="I595" s="9" t="inlineStr">
        <is>
          <t>Bullpen Depth Arm</t>
        </is>
      </c>
      <c r="J595" s="17" t="inlineStr">
        <is>
          <t>Opening Day</t>
        </is>
      </c>
      <c r="K595" s="11">
        <f>IFERROR(INDEX(Roles!$B$17:$B$20,MATCH(J595,Roles!$A$17:$A$20,0)),1)</f>
        <v/>
      </c>
      <c r="L595" s="18" t="n">
        <v>1</v>
      </c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3">
        <f>SUMPRODUCT(M595:X595,$M$2:$X$2)*$K595*$L595</f>
        <v/>
      </c>
      <c r="Z595" s="14">
        <f>SUM(M595:X595)</f>
        <v/>
      </c>
      <c r="AA595" s="13">
        <f>SUMPRODUCT(M595:X595,$M$3:$X$3)*$K595*$L595</f>
        <v/>
      </c>
      <c r="AB595" s="13">
        <f>SUMPRODUCT(M595:X595,$M$4:$X$4)*$K595*$L595</f>
        <v/>
      </c>
      <c r="AC595" s="15">
        <f>SUMPRODUCT(M595:X595,$M$5:$X$5)*$K595*$L595</f>
        <v/>
      </c>
      <c r="AD595" s="15">
        <f>SUMPRODUCT(M595:X595,$M$6:$X$6)*$K595*$L595</f>
        <v/>
      </c>
      <c r="AE595" s="19" t="n"/>
    </row>
    <row r="596">
      <c r="A596" s="9" t="n">
        <v>687424</v>
      </c>
      <c r="B596" s="9" t="inlineStr">
        <is>
          <t>Anthony Maldonado</t>
        </is>
      </c>
      <c r="C596" s="9" t="inlineStr">
        <is>
          <t>OAK</t>
        </is>
      </c>
      <c r="D596" s="9" t="n">
        <v>29</v>
      </c>
      <c r="E596" s="17" t="inlineStr">
        <is>
          <t>R</t>
        </is>
      </c>
      <c r="F596" s="17" t="n"/>
      <c r="G596" s="9" t="n">
        <v>33</v>
      </c>
      <c r="H596" s="9" t="n">
        <v>115</v>
      </c>
      <c r="I596" s="9" t="inlineStr">
        <is>
          <t>Bullpen Depth Arm</t>
        </is>
      </c>
      <c r="J596" s="17" t="inlineStr">
        <is>
          <t>Opening Day</t>
        </is>
      </c>
      <c r="K596" s="11">
        <f>IFERROR(INDEX(Roles!$B$17:$B$20,MATCH(J596,Roles!$A$17:$A$20,0)),1)</f>
        <v/>
      </c>
      <c r="L596" s="18" t="n">
        <v>1</v>
      </c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3">
        <f>SUMPRODUCT(M596:X596,$M$2:$X$2)*$K596*$L596</f>
        <v/>
      </c>
      <c r="Z596" s="14">
        <f>SUM(M596:X596)</f>
        <v/>
      </c>
      <c r="AA596" s="13">
        <f>SUMPRODUCT(M596:X596,$M$3:$X$3)*$K596*$L596</f>
        <v/>
      </c>
      <c r="AB596" s="13">
        <f>SUMPRODUCT(M596:X596,$M$4:$X$4)*$K596*$L596</f>
        <v/>
      </c>
      <c r="AC596" s="15">
        <f>SUMPRODUCT(M596:X596,$M$5:$X$5)*$K596*$L596</f>
        <v/>
      </c>
      <c r="AD596" s="15">
        <f>SUMPRODUCT(M596:X596,$M$6:$X$6)*$K596*$L596</f>
        <v/>
      </c>
      <c r="AE596" s="19" t="n"/>
    </row>
    <row r="597">
      <c r="A597" s="9" t="n">
        <v>695418</v>
      </c>
      <c r="B597" s="9" t="inlineStr">
        <is>
          <t>Brad Lord</t>
        </is>
      </c>
      <c r="C597" s="9" t="inlineStr">
        <is>
          <t>WSH</t>
        </is>
      </c>
      <c r="D597" s="9" t="n">
        <v>27</v>
      </c>
      <c r="E597" s="17" t="inlineStr">
        <is>
          <t>R</t>
        </is>
      </c>
      <c r="F597" s="17" t="n"/>
      <c r="G597" s="9" t="n">
        <v>179</v>
      </c>
      <c r="H597" s="9" t="n">
        <v>725</v>
      </c>
      <c r="I597" s="9" t="inlineStr">
        <is>
          <t>Late Inning RP (Setup)</t>
        </is>
      </c>
      <c r="J597" s="17" t="inlineStr">
        <is>
          <t>Opening Day</t>
        </is>
      </c>
      <c r="K597" s="11">
        <f>IFERROR(INDEX(Roles!$B$17:$B$20,MATCH(J597,Roles!$A$17:$A$20,0)),1)</f>
        <v/>
      </c>
      <c r="L597" s="18" t="n">
        <v>1</v>
      </c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3">
        <f>SUMPRODUCT(M597:X597,$M$2:$X$2)*$K597*$L597</f>
        <v/>
      </c>
      <c r="Z597" s="14">
        <f>SUM(M597:X597)</f>
        <v/>
      </c>
      <c r="AA597" s="13">
        <f>SUMPRODUCT(M597:X597,$M$3:$X$3)*$K597*$L597</f>
        <v/>
      </c>
      <c r="AB597" s="13">
        <f>SUMPRODUCT(M597:X597,$M$4:$X$4)*$K597*$L597</f>
        <v/>
      </c>
      <c r="AC597" s="15">
        <f>SUMPRODUCT(M597:X597,$M$5:$X$5)*$K597*$L597</f>
        <v/>
      </c>
      <c r="AD597" s="15">
        <f>SUMPRODUCT(M597:X597,$M$6:$X$6)*$K597*$L597</f>
        <v/>
      </c>
      <c r="AE597" s="19" t="n"/>
    </row>
    <row r="598">
      <c r="A598" s="9" t="n">
        <v>687931</v>
      </c>
      <c r="B598" s="9" t="inlineStr">
        <is>
          <t>Carson Whisenhunt</t>
        </is>
      </c>
      <c r="C598" s="9" t="inlineStr">
        <is>
          <t>SF</t>
        </is>
      </c>
      <c r="D598" s="9" t="n">
        <v>26</v>
      </c>
      <c r="E598" s="17" t="inlineStr">
        <is>
          <t>L</t>
        </is>
      </c>
      <c r="F598" s="17" t="n"/>
      <c r="G598" s="9" t="n">
        <v>102</v>
      </c>
      <c r="H598" s="9" t="n">
        <v>102</v>
      </c>
      <c r="I598" s="9" t="inlineStr">
        <is>
          <t>End-of-Rotation Starter (SP4-5)</t>
        </is>
      </c>
      <c r="J598" s="17" t="inlineStr">
        <is>
          <t>Opening Day</t>
        </is>
      </c>
      <c r="K598" s="11">
        <f>IFERROR(INDEX(Roles!$B$17:$B$20,MATCH(J598,Roles!$A$17:$A$20,0)),1)</f>
        <v/>
      </c>
      <c r="L598" s="18" t="n">
        <v>1</v>
      </c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3">
        <f>SUMPRODUCT(M598:X598,$M$2:$X$2)*$K598*$L598</f>
        <v/>
      </c>
      <c r="Z598" s="14">
        <f>SUM(M598:X598)</f>
        <v/>
      </c>
      <c r="AA598" s="13">
        <f>SUMPRODUCT(M598:X598,$M$3:$X$3)*$K598*$L598</f>
        <v/>
      </c>
      <c r="AB598" s="13">
        <f>SUMPRODUCT(M598:X598,$M$4:$X$4)*$K598*$L598</f>
        <v/>
      </c>
      <c r="AC598" s="15">
        <f>SUMPRODUCT(M598:X598,$M$5:$X$5)*$K598*$L598</f>
        <v/>
      </c>
      <c r="AD598" s="15">
        <f>SUMPRODUCT(M598:X598,$M$6:$X$6)*$K598*$L598</f>
        <v/>
      </c>
      <c r="AE598" s="19" t="n"/>
    </row>
    <row r="599">
      <c r="A599" s="9" t="n">
        <v>686730</v>
      </c>
      <c r="B599" s="9" t="inlineStr">
        <is>
          <t>Carson Spiers</t>
        </is>
      </c>
      <c r="C599" s="9" t="inlineStr">
        <is>
          <t>CIN</t>
        </is>
      </c>
      <c r="D599" s="9" t="n">
        <v>29</v>
      </c>
      <c r="E599" s="17" t="inlineStr">
        <is>
          <t>R</t>
        </is>
      </c>
      <c r="F599" s="17" t="n"/>
      <c r="G599" s="9" t="n">
        <v>60</v>
      </c>
      <c r="H599" s="9" t="n">
        <v>534</v>
      </c>
      <c r="I599" s="9" t="inlineStr">
        <is>
          <t>End-of-Rotation Starter (SP4-5)</t>
        </is>
      </c>
      <c r="J599" s="17" t="inlineStr">
        <is>
          <t>Opening Day</t>
        </is>
      </c>
      <c r="K599" s="11">
        <f>IFERROR(INDEX(Roles!$B$17:$B$20,MATCH(J599,Roles!$A$17:$A$20,0)),1)</f>
        <v/>
      </c>
      <c r="L599" s="18" t="n">
        <v>1</v>
      </c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3">
        <f>SUMPRODUCT(M599:X599,$M$2:$X$2)*$K599*$L599</f>
        <v/>
      </c>
      <c r="Z599" s="14">
        <f>SUM(M599:X599)</f>
        <v/>
      </c>
      <c r="AA599" s="13">
        <f>SUMPRODUCT(M599:X599,$M$3:$X$3)*$K599*$L599</f>
        <v/>
      </c>
      <c r="AB599" s="13">
        <f>SUMPRODUCT(M599:X599,$M$4:$X$4)*$K599*$L599</f>
        <v/>
      </c>
      <c r="AC599" s="15">
        <f>SUMPRODUCT(M599:X599,$M$5:$X$5)*$K599*$L599</f>
        <v/>
      </c>
      <c r="AD599" s="15">
        <f>SUMPRODUCT(M599:X599,$M$6:$X$6)*$K599*$L599</f>
        <v/>
      </c>
      <c r="AE599" s="19" t="n"/>
    </row>
    <row r="600">
      <c r="A600" s="9" t="n">
        <v>699911</v>
      </c>
      <c r="B600" s="9" t="inlineStr">
        <is>
          <t>Dugan Darnell</t>
        </is>
      </c>
      <c r="C600" s="9" t="inlineStr">
        <is>
          <t>COL</t>
        </is>
      </c>
      <c r="D600" s="9" t="n">
        <v>30</v>
      </c>
      <c r="E600" s="17" t="inlineStr">
        <is>
          <t>R</t>
        </is>
      </c>
      <c r="F600" s="17" t="n"/>
      <c r="G600" s="9" t="n">
        <v>48</v>
      </c>
      <c r="H600" s="9" t="n">
        <v>48</v>
      </c>
      <c r="I600" s="9" t="inlineStr">
        <is>
          <t>Bullpen Depth Arm</t>
        </is>
      </c>
      <c r="J600" s="17" t="inlineStr">
        <is>
          <t>Opening Day</t>
        </is>
      </c>
      <c r="K600" s="11">
        <f>IFERROR(INDEX(Roles!$B$17:$B$20,MATCH(J600,Roles!$A$17:$A$20,0)),1)</f>
        <v/>
      </c>
      <c r="L600" s="18" t="n">
        <v>1</v>
      </c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3">
        <f>SUMPRODUCT(M600:X600,$M$2:$X$2)*$K600*$L600</f>
        <v/>
      </c>
      <c r="Z600" s="14">
        <f>SUM(M600:X600)</f>
        <v/>
      </c>
      <c r="AA600" s="13">
        <f>SUMPRODUCT(M600:X600,$M$3:$X$3)*$K600*$L600</f>
        <v/>
      </c>
      <c r="AB600" s="13">
        <f>SUMPRODUCT(M600:X600,$M$4:$X$4)*$K600*$L600</f>
        <v/>
      </c>
      <c r="AC600" s="15">
        <f>SUMPRODUCT(M600:X600,$M$5:$X$5)*$K600*$L600</f>
        <v/>
      </c>
      <c r="AD600" s="15">
        <f>SUMPRODUCT(M600:X600,$M$6:$X$6)*$K600*$L600</f>
        <v/>
      </c>
      <c r="AE600" s="19" t="n"/>
    </row>
    <row r="601">
      <c r="A601" s="9" t="n">
        <v>677958</v>
      </c>
      <c r="B601" s="9" t="inlineStr">
        <is>
          <t>Kumar Rocker</t>
        </is>
      </c>
      <c r="C601" s="9" t="inlineStr">
        <is>
          <t>TEX</t>
        </is>
      </c>
      <c r="D601" s="9" t="n">
        <v>27</v>
      </c>
      <c r="E601" s="17" t="inlineStr">
        <is>
          <t>R</t>
        </is>
      </c>
      <c r="F601" s="17" t="n"/>
      <c r="G601" s="9" t="n">
        <v>262</v>
      </c>
      <c r="H601" s="9" t="n">
        <v>604</v>
      </c>
      <c r="I601" s="9" t="inlineStr">
        <is>
          <t>End-of-Rotation Starter (SP4-5)</t>
        </is>
      </c>
      <c r="J601" s="17" t="inlineStr">
        <is>
          <t>Opening Day</t>
        </is>
      </c>
      <c r="K601" s="11">
        <f>IFERROR(INDEX(Roles!$B$17:$B$20,MATCH(J601,Roles!$A$17:$A$20,0)),1)</f>
        <v/>
      </c>
      <c r="L601" s="18" t="n">
        <v>1</v>
      </c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3">
        <f>SUMPRODUCT(M601:X601,$M$2:$X$2)*$K601*$L601</f>
        <v/>
      </c>
      <c r="Z601" s="14">
        <f>SUM(M601:X601)</f>
        <v/>
      </c>
      <c r="AA601" s="13">
        <f>SUMPRODUCT(M601:X601,$M$3:$X$3)*$K601*$L601</f>
        <v/>
      </c>
      <c r="AB601" s="13">
        <f>SUMPRODUCT(M601:X601,$M$4:$X$4)*$K601*$L601</f>
        <v/>
      </c>
      <c r="AC601" s="15">
        <f>SUMPRODUCT(M601:X601,$M$5:$X$5)*$K601*$L601</f>
        <v/>
      </c>
      <c r="AD601" s="15">
        <f>SUMPRODUCT(M601:X601,$M$6:$X$6)*$K601*$L601</f>
        <v/>
      </c>
      <c r="AE601" s="19" t="n"/>
    </row>
    <row r="602">
      <c r="A602" s="9" t="n">
        <v>663897</v>
      </c>
      <c r="B602" s="9" t="inlineStr">
        <is>
          <t>Luke Williams</t>
        </is>
      </c>
      <c r="C602" s="9" t="inlineStr">
        <is>
          <t>ATL</t>
        </is>
      </c>
      <c r="D602" s="9" t="n">
        <v>30</v>
      </c>
      <c r="E602" s="17" t="inlineStr">
        <is>
          <t>R</t>
        </is>
      </c>
      <c r="F602" s="17" t="n"/>
      <c r="G602" s="9" t="n">
        <v>25</v>
      </c>
      <c r="H602" s="9" t="n">
        <v>47</v>
      </c>
      <c r="I602" s="9" t="inlineStr">
        <is>
          <t>Bullpen Depth Arm</t>
        </is>
      </c>
      <c r="J602" s="17" t="inlineStr">
        <is>
          <t>Opening Day</t>
        </is>
      </c>
      <c r="K602" s="11">
        <f>IFERROR(INDEX(Roles!$B$17:$B$20,MATCH(J602,Roles!$A$17:$A$20,0)),1)</f>
        <v/>
      </c>
      <c r="L602" s="18" t="n">
        <v>1</v>
      </c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3">
        <f>SUMPRODUCT(M602:X602,$M$2:$X$2)*$K602*$L602</f>
        <v/>
      </c>
      <c r="Z602" s="14">
        <f>SUM(M602:X602)</f>
        <v/>
      </c>
      <c r="AA602" s="13">
        <f>SUMPRODUCT(M602:X602,$M$3:$X$3)*$K602*$L602</f>
        <v/>
      </c>
      <c r="AB602" s="13">
        <f>SUMPRODUCT(M602:X602,$M$4:$X$4)*$K602*$L602</f>
        <v/>
      </c>
      <c r="AC602" s="15">
        <f>SUMPRODUCT(M602:X602,$M$5:$X$5)*$K602*$L602</f>
        <v/>
      </c>
      <c r="AD602" s="15">
        <f>SUMPRODUCT(M602:X602,$M$6:$X$6)*$K602*$L602</f>
        <v/>
      </c>
      <c r="AE602" s="19" t="n"/>
    </row>
    <row r="603">
      <c r="A603" s="9" t="n">
        <v>650893</v>
      </c>
      <c r="B603" s="9" t="inlineStr">
        <is>
          <t>Génesis Cabrera</t>
        </is>
      </c>
      <c r="C603" s="9" t="inlineStr">
        <is>
          <t>MIN</t>
        </is>
      </c>
      <c r="D603" s="9" t="n">
        <v>30</v>
      </c>
      <c r="E603" s="17" t="inlineStr">
        <is>
          <t>L</t>
        </is>
      </c>
      <c r="F603" s="17" t="n"/>
      <c r="G603" s="9" t="n">
        <v>187</v>
      </c>
      <c r="H603" s="9" t="n">
        <v>891</v>
      </c>
      <c r="I603" s="9" t="inlineStr">
        <is>
          <t>Bullpen Depth Arm</t>
        </is>
      </c>
      <c r="J603" s="17" t="inlineStr">
        <is>
          <t>Opening Day</t>
        </is>
      </c>
      <c r="K603" s="11">
        <f>IFERROR(INDEX(Roles!$B$17:$B$20,MATCH(J603,Roles!$A$17:$A$20,0)),1)</f>
        <v/>
      </c>
      <c r="L603" s="18" t="n">
        <v>1</v>
      </c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3">
        <f>SUMPRODUCT(M603:X603,$M$2:$X$2)*$K603*$L603</f>
        <v/>
      </c>
      <c r="Z603" s="14">
        <f>SUM(M603:X603)</f>
        <v/>
      </c>
      <c r="AA603" s="13">
        <f>SUMPRODUCT(M603:X603,$M$3:$X$3)*$K603*$L603</f>
        <v/>
      </c>
      <c r="AB603" s="13">
        <f>SUMPRODUCT(M603:X603,$M$4:$X$4)*$K603*$L603</f>
        <v/>
      </c>
      <c r="AC603" s="15">
        <f>SUMPRODUCT(M603:X603,$M$5:$X$5)*$K603*$L603</f>
        <v/>
      </c>
      <c r="AD603" s="15">
        <f>SUMPRODUCT(M603:X603,$M$6:$X$6)*$K603*$L603</f>
        <v/>
      </c>
      <c r="AE603" s="19" t="n"/>
    </row>
    <row r="604">
      <c r="A604" s="9" t="n">
        <v>608379</v>
      </c>
      <c r="B604" s="9" t="inlineStr">
        <is>
          <t>Michael Wacha</t>
        </is>
      </c>
      <c r="C604" s="9" t="inlineStr">
        <is>
          <t>KC</t>
        </is>
      </c>
      <c r="D604" s="9" t="n">
        <v>35</v>
      </c>
      <c r="E604" s="17" t="inlineStr">
        <is>
          <t>R</t>
        </is>
      </c>
      <c r="F604" s="17" t="n"/>
      <c r="G604" s="9" t="n">
        <v>327</v>
      </c>
      <c r="H604" s="9" t="n">
        <v>2796</v>
      </c>
      <c r="I604" s="9" t="inlineStr">
        <is>
          <t>Mid-Rotation Starter (SP2-3)</t>
        </is>
      </c>
      <c r="J604" s="17" t="inlineStr">
        <is>
          <t>Opening Day</t>
        </is>
      </c>
      <c r="K604" s="11">
        <f>IFERROR(INDEX(Roles!$B$17:$B$20,MATCH(J604,Roles!$A$17:$A$20,0)),1)</f>
        <v/>
      </c>
      <c r="L604" s="18" t="n">
        <v>1</v>
      </c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3">
        <f>SUMPRODUCT(M604:X604,$M$2:$X$2)*$K604*$L604</f>
        <v/>
      </c>
      <c r="Z604" s="14">
        <f>SUM(M604:X604)</f>
        <v/>
      </c>
      <c r="AA604" s="13">
        <f>SUMPRODUCT(M604:X604,$M$3:$X$3)*$K604*$L604</f>
        <v/>
      </c>
      <c r="AB604" s="13">
        <f>SUMPRODUCT(M604:X604,$M$4:$X$4)*$K604*$L604</f>
        <v/>
      </c>
      <c r="AC604" s="15">
        <f>SUMPRODUCT(M604:X604,$M$5:$X$5)*$K604*$L604</f>
        <v/>
      </c>
      <c r="AD604" s="15">
        <f>SUMPRODUCT(M604:X604,$M$6:$X$6)*$K604*$L604</f>
        <v/>
      </c>
      <c r="AE604" s="19" t="n"/>
    </row>
    <row r="605">
      <c r="A605" s="9" t="n">
        <v>694680</v>
      </c>
      <c r="B605" s="9" t="inlineStr">
        <is>
          <t>Trevor Martin</t>
        </is>
      </c>
      <c r="C605" s="9" t="inlineStr">
        <is>
          <t>TB</t>
        </is>
      </c>
      <c r="D605" s="9" t="n">
        <v>26</v>
      </c>
      <c r="E605" s="17" t="inlineStr">
        <is>
          <t>R</t>
        </is>
      </c>
      <c r="F605" s="17" t="n"/>
      <c r="G605" s="9" t="n">
        <v>50</v>
      </c>
      <c r="H605" s="9" t="n">
        <v>50</v>
      </c>
      <c r="I605" s="9" t="inlineStr">
        <is>
          <t>Bullpen Depth Arm</t>
        </is>
      </c>
      <c r="J605" s="17" t="inlineStr">
        <is>
          <t>Opening Day</t>
        </is>
      </c>
      <c r="K605" s="11">
        <f>IFERROR(INDEX(Roles!$B$17:$B$20,MATCH(J605,Roles!$A$17:$A$20,0)),1)</f>
        <v/>
      </c>
      <c r="L605" s="18" t="n">
        <v>1</v>
      </c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3">
        <f>SUMPRODUCT(M605:X605,$M$2:$X$2)*$K605*$L605</f>
        <v/>
      </c>
      <c r="Z605" s="14">
        <f>SUM(M605:X605)</f>
        <v/>
      </c>
      <c r="AA605" s="13">
        <f>SUMPRODUCT(M605:X605,$M$3:$X$3)*$K605*$L605</f>
        <v/>
      </c>
      <c r="AB605" s="13">
        <f>SUMPRODUCT(M605:X605,$M$4:$X$4)*$K605*$L605</f>
        <v/>
      </c>
      <c r="AC605" s="15">
        <f>SUMPRODUCT(M605:X605,$M$5:$X$5)*$K605*$L605</f>
        <v/>
      </c>
      <c r="AD605" s="15">
        <f>SUMPRODUCT(M605:X605,$M$6:$X$6)*$K605*$L605</f>
        <v/>
      </c>
      <c r="AE605" s="19" t="n"/>
    </row>
    <row r="606">
      <c r="A606" s="9" t="n">
        <v>605335</v>
      </c>
      <c r="B606" s="9" t="inlineStr">
        <is>
          <t>Brandon Leibrandt</t>
        </is>
      </c>
      <c r="C606" s="9" t="inlineStr">
        <is>
          <t>CIN</t>
        </is>
      </c>
      <c r="D606" s="9" t="n">
        <v>34</v>
      </c>
      <c r="E606" s="17" t="inlineStr">
        <is>
          <t>L</t>
        </is>
      </c>
      <c r="F606" s="17" t="n"/>
      <c r="G606" s="9" t="n">
        <v>30</v>
      </c>
      <c r="H606" s="9" t="n">
        <v>62</v>
      </c>
      <c r="I606" s="9" t="inlineStr">
        <is>
          <t>End-of-Rotation Starter (SP4-5)</t>
        </is>
      </c>
      <c r="J606" s="17" t="inlineStr">
        <is>
          <t>Opening Day</t>
        </is>
      </c>
      <c r="K606" s="11">
        <f>IFERROR(INDEX(Roles!$B$17:$B$20,MATCH(J606,Roles!$A$17:$A$20,0)),1)</f>
        <v/>
      </c>
      <c r="L606" s="18" t="n">
        <v>1</v>
      </c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3">
        <f>SUMPRODUCT(M606:X606,$M$2:$X$2)*$K606*$L606</f>
        <v/>
      </c>
      <c r="Z606" s="14">
        <f>SUM(M606:X606)</f>
        <v/>
      </c>
      <c r="AA606" s="13">
        <f>SUMPRODUCT(M606:X606,$M$3:$X$3)*$K606*$L606</f>
        <v/>
      </c>
      <c r="AB606" s="13">
        <f>SUMPRODUCT(M606:X606,$M$4:$X$4)*$K606*$L606</f>
        <v/>
      </c>
      <c r="AC606" s="15">
        <f>SUMPRODUCT(M606:X606,$M$5:$X$5)*$K606*$L606</f>
        <v/>
      </c>
      <c r="AD606" s="15">
        <f>SUMPRODUCT(M606:X606,$M$6:$X$6)*$K606*$L606</f>
        <v/>
      </c>
      <c r="AE606" s="19" t="n"/>
    </row>
    <row r="607">
      <c r="A607" s="9" t="n">
        <v>668820</v>
      </c>
      <c r="B607" s="9" t="inlineStr">
        <is>
          <t>Max Kranick</t>
        </is>
      </c>
      <c r="C607" s="9" t="inlineStr">
        <is>
          <t>NYM</t>
        </is>
      </c>
      <c r="D607" s="9" t="n">
        <v>29</v>
      </c>
      <c r="E607" s="17" t="inlineStr">
        <is>
          <t>R</t>
        </is>
      </c>
      <c r="F607" s="17" t="n"/>
      <c r="G607" s="9" t="n">
        <v>148</v>
      </c>
      <c r="H607" s="9" t="n">
        <v>167</v>
      </c>
      <c r="I607" s="9" t="inlineStr">
        <is>
          <t>Bullpen Depth Arm</t>
        </is>
      </c>
      <c r="J607" s="17" t="inlineStr">
        <is>
          <t>Opening Day</t>
        </is>
      </c>
      <c r="K607" s="11">
        <f>IFERROR(INDEX(Roles!$B$17:$B$20,MATCH(J607,Roles!$A$17:$A$20,0)),1)</f>
        <v/>
      </c>
      <c r="L607" s="18" t="n">
        <v>1</v>
      </c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3">
        <f>SUMPRODUCT(M607:X607,$M$2:$X$2)*$K607*$L607</f>
        <v/>
      </c>
      <c r="Z607" s="14">
        <f>SUM(M607:X607)</f>
        <v/>
      </c>
      <c r="AA607" s="13">
        <f>SUMPRODUCT(M607:X607,$M$3:$X$3)*$K607*$L607</f>
        <v/>
      </c>
      <c r="AB607" s="13">
        <f>SUMPRODUCT(M607:X607,$M$4:$X$4)*$K607*$L607</f>
        <v/>
      </c>
      <c r="AC607" s="15">
        <f>SUMPRODUCT(M607:X607,$M$5:$X$5)*$K607*$L607</f>
        <v/>
      </c>
      <c r="AD607" s="15">
        <f>SUMPRODUCT(M607:X607,$M$6:$X$6)*$K607*$L607</f>
        <v/>
      </c>
      <c r="AE607" s="19" t="n"/>
    </row>
    <row r="608">
      <c r="A608" s="9" t="n">
        <v>448179</v>
      </c>
      <c r="B608" s="9" t="inlineStr">
        <is>
          <t>Rich Hill</t>
        </is>
      </c>
      <c r="C608" s="9" t="inlineStr">
        <is>
          <t>KC</t>
        </is>
      </c>
      <c r="D608" s="9" t="n">
        <v>47</v>
      </c>
      <c r="E608" s="17" t="inlineStr">
        <is>
          <t>L</t>
        </is>
      </c>
      <c r="F608" s="17" t="n"/>
      <c r="G608" s="9" t="n">
        <v>43</v>
      </c>
      <c r="H608" s="9" t="n">
        <v>1244</v>
      </c>
      <c r="I608" s="9" t="inlineStr">
        <is>
          <t>End-of-Rotation Starter (SP4-5)</t>
        </is>
      </c>
      <c r="J608" s="17" t="inlineStr">
        <is>
          <t>Opening Day</t>
        </is>
      </c>
      <c r="K608" s="11">
        <f>IFERROR(INDEX(Roles!$B$17:$B$20,MATCH(J608,Roles!$A$17:$A$20,0)),1)</f>
        <v/>
      </c>
      <c r="L608" s="18" t="n">
        <v>1</v>
      </c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3">
        <f>SUMPRODUCT(M608:X608,$M$2:$X$2)*$K608*$L608</f>
        <v/>
      </c>
      <c r="Z608" s="14">
        <f>SUM(M608:X608)</f>
        <v/>
      </c>
      <c r="AA608" s="13">
        <f>SUMPRODUCT(M608:X608,$M$3:$X$3)*$K608*$L608</f>
        <v/>
      </c>
      <c r="AB608" s="13">
        <f>SUMPRODUCT(M608:X608,$M$4:$X$4)*$K608*$L608</f>
        <v/>
      </c>
      <c r="AC608" s="15">
        <f>SUMPRODUCT(M608:X608,$M$5:$X$5)*$K608*$L608</f>
        <v/>
      </c>
      <c r="AD608" s="15">
        <f>SUMPRODUCT(M608:X608,$M$6:$X$6)*$K608*$L608</f>
        <v/>
      </c>
      <c r="AE608" s="19" t="n"/>
    </row>
    <row r="609">
      <c r="A609" s="9" t="n">
        <v>663567</v>
      </c>
      <c r="B609" s="9" t="inlineStr">
        <is>
          <t>Peter Lambert</t>
        </is>
      </c>
      <c r="C609" s="9" t="inlineStr">
        <is>
          <t>HOU</t>
        </is>
      </c>
      <c r="D609" s="9" t="n">
        <v>30</v>
      </c>
      <c r="E609" s="17" t="inlineStr">
        <is>
          <t>R</t>
        </is>
      </c>
      <c r="F609" s="17" t="n"/>
      <c r="G609" s="9" t="n">
        <v>214</v>
      </c>
      <c r="H609" s="9" t="n">
        <v>869</v>
      </c>
      <c r="I609" s="9" t="inlineStr">
        <is>
          <t>End-of-Rotation Starter (SP4-5)</t>
        </is>
      </c>
      <c r="J609" s="17" t="inlineStr">
        <is>
          <t>Opening Day</t>
        </is>
      </c>
      <c r="K609" s="11">
        <f>IFERROR(INDEX(Roles!$B$17:$B$20,MATCH(J609,Roles!$A$17:$A$20,0)),1)</f>
        <v/>
      </c>
      <c r="L609" s="18" t="n">
        <v>1</v>
      </c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3">
        <f>SUMPRODUCT(M609:X609,$M$2:$X$2)*$K609*$L609</f>
        <v/>
      </c>
      <c r="Z609" s="14">
        <f>SUM(M609:X609)</f>
        <v/>
      </c>
      <c r="AA609" s="13">
        <f>SUMPRODUCT(M609:X609,$M$3:$X$3)*$K609*$L609</f>
        <v/>
      </c>
      <c r="AB609" s="13">
        <f>SUMPRODUCT(M609:X609,$M$4:$X$4)*$K609*$L609</f>
        <v/>
      </c>
      <c r="AC609" s="15">
        <f>SUMPRODUCT(M609:X609,$M$5:$X$5)*$K609*$L609</f>
        <v/>
      </c>
      <c r="AD609" s="15">
        <f>SUMPRODUCT(M609:X609,$M$6:$X$6)*$K609*$L609</f>
        <v/>
      </c>
      <c r="AE609" s="19" t="n"/>
    </row>
    <row r="610">
      <c r="A610" s="9" t="n">
        <v>519326</v>
      </c>
      <c r="B610" s="9" t="inlineStr">
        <is>
          <t>Hunter Strickland</t>
        </is>
      </c>
      <c r="C610" s="9" t="inlineStr">
        <is>
          <t>LAA</t>
        </is>
      </c>
      <c r="D610" s="9" t="n">
        <v>38</v>
      </c>
      <c r="E610" s="17" t="inlineStr">
        <is>
          <t>R</t>
        </is>
      </c>
      <c r="F610" s="17" t="n"/>
      <c r="G610" s="9" t="n">
        <v>91</v>
      </c>
      <c r="H610" s="9" t="n">
        <v>669</v>
      </c>
      <c r="I610" s="9" t="inlineStr">
        <is>
          <t>Bullpen Depth Arm</t>
        </is>
      </c>
      <c r="J610" s="17" t="inlineStr">
        <is>
          <t>Opening Day</t>
        </is>
      </c>
      <c r="K610" s="11">
        <f>IFERROR(INDEX(Roles!$B$17:$B$20,MATCH(J610,Roles!$A$17:$A$20,0)),1)</f>
        <v/>
      </c>
      <c r="L610" s="18" t="n">
        <v>1</v>
      </c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3">
        <f>SUMPRODUCT(M610:X610,$M$2:$X$2)*$K610*$L610</f>
        <v/>
      </c>
      <c r="Z610" s="14">
        <f>SUM(M610:X610)</f>
        <v/>
      </c>
      <c r="AA610" s="13">
        <f>SUMPRODUCT(M610:X610,$M$3:$X$3)*$K610*$L610</f>
        <v/>
      </c>
      <c r="AB610" s="13">
        <f>SUMPRODUCT(M610:X610,$M$4:$X$4)*$K610*$L610</f>
        <v/>
      </c>
      <c r="AC610" s="15">
        <f>SUMPRODUCT(M610:X610,$M$5:$X$5)*$K610*$L610</f>
        <v/>
      </c>
      <c r="AD610" s="15">
        <f>SUMPRODUCT(M610:X610,$M$6:$X$6)*$K610*$L610</f>
        <v/>
      </c>
      <c r="AE610" s="19" t="n"/>
    </row>
    <row r="611">
      <c r="A611" s="9" t="n">
        <v>672582</v>
      </c>
      <c r="B611" s="9" t="inlineStr">
        <is>
          <t>Angel Zerpa</t>
        </is>
      </c>
      <c r="C611" s="9" t="inlineStr">
        <is>
          <t>MIL</t>
        </is>
      </c>
      <c r="D611" s="9" t="n">
        <v>27</v>
      </c>
      <c r="E611" s="17" t="inlineStr">
        <is>
          <t>L</t>
        </is>
      </c>
      <c r="F611" s="17" t="n"/>
      <c r="G611" s="9" t="n">
        <v>55</v>
      </c>
      <c r="H611" s="9" t="n">
        <v>795</v>
      </c>
      <c r="I611" s="9" t="inlineStr">
        <is>
          <t>Bullpen Depth Arm</t>
        </is>
      </c>
      <c r="J611" s="17" t="inlineStr">
        <is>
          <t>Opening Day</t>
        </is>
      </c>
      <c r="K611" s="11">
        <f>IFERROR(INDEX(Roles!$B$17:$B$20,MATCH(J611,Roles!$A$17:$A$20,0)),1)</f>
        <v/>
      </c>
      <c r="L611" s="18" t="n">
        <v>1</v>
      </c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3">
        <f>SUMPRODUCT(M611:X611,$M$2:$X$2)*$K611*$L611</f>
        <v/>
      </c>
      <c r="Z611" s="14">
        <f>SUM(M611:X611)</f>
        <v/>
      </c>
      <c r="AA611" s="13">
        <f>SUMPRODUCT(M611:X611,$M$3:$X$3)*$K611*$L611</f>
        <v/>
      </c>
      <c r="AB611" s="13">
        <f>SUMPRODUCT(M611:X611,$M$4:$X$4)*$K611*$L611</f>
        <v/>
      </c>
      <c r="AC611" s="15">
        <f>SUMPRODUCT(M611:X611,$M$5:$X$5)*$K611*$L611</f>
        <v/>
      </c>
      <c r="AD611" s="15">
        <f>SUMPRODUCT(M611:X611,$M$6:$X$6)*$K611*$L611</f>
        <v/>
      </c>
      <c r="AE611" s="19" t="n"/>
    </row>
    <row r="612">
      <c r="A612" s="9" t="n">
        <v>829272</v>
      </c>
      <c r="B612" s="9" t="inlineStr">
        <is>
          <t>Shinnosuke Ogasawara</t>
        </is>
      </c>
      <c r="C612" s="9" t="inlineStr">
        <is>
          <t>WSH</t>
        </is>
      </c>
      <c r="D612" s="9" t="n">
        <v>29</v>
      </c>
      <c r="E612" s="17" t="inlineStr">
        <is>
          <t>L</t>
        </is>
      </c>
      <c r="F612" s="17" t="n"/>
      <c r="G612" s="9" t="n">
        <v>173</v>
      </c>
      <c r="H612" s="9" t="n">
        <v>173</v>
      </c>
      <c r="I612" s="9" t="inlineStr">
        <is>
          <t>Bullpen Depth Arm</t>
        </is>
      </c>
      <c r="J612" s="17" t="inlineStr">
        <is>
          <t>Opening Day</t>
        </is>
      </c>
      <c r="K612" s="11">
        <f>IFERROR(INDEX(Roles!$B$17:$B$20,MATCH(J612,Roles!$A$17:$A$20,0)),1)</f>
        <v/>
      </c>
      <c r="L612" s="18" t="n">
        <v>1</v>
      </c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3">
        <f>SUMPRODUCT(M612:X612,$M$2:$X$2)*$K612*$L612</f>
        <v/>
      </c>
      <c r="Z612" s="14">
        <f>SUM(M612:X612)</f>
        <v/>
      </c>
      <c r="AA612" s="13">
        <f>SUMPRODUCT(M612:X612,$M$3:$X$3)*$K612*$L612</f>
        <v/>
      </c>
      <c r="AB612" s="13">
        <f>SUMPRODUCT(M612:X612,$M$4:$X$4)*$K612*$L612</f>
        <v/>
      </c>
      <c r="AC612" s="15">
        <f>SUMPRODUCT(M612:X612,$M$5:$X$5)*$K612*$L612</f>
        <v/>
      </c>
      <c r="AD612" s="15">
        <f>SUMPRODUCT(M612:X612,$M$6:$X$6)*$K612*$L612</f>
        <v/>
      </c>
      <c r="AE612" s="19" t="n"/>
    </row>
    <row r="613">
      <c r="A613" s="9" t="n">
        <v>502043</v>
      </c>
      <c r="B613" s="9" t="inlineStr">
        <is>
          <t>Kyle Gibson</t>
        </is>
      </c>
      <c r="C613" s="9" t="inlineStr">
        <is>
          <t>BAL</t>
        </is>
      </c>
      <c r="D613" s="9" t="n">
        <v>39</v>
      </c>
      <c r="E613" s="17" t="inlineStr">
        <is>
          <t>R</t>
        </is>
      </c>
      <c r="F613" s="17" t="n"/>
      <c r="G613" s="9" t="n">
        <v>73</v>
      </c>
      <c r="H613" s="9" t="n">
        <v>2320</v>
      </c>
      <c r="I613" s="9" t="inlineStr">
        <is>
          <t>Mid-Rotation Starter (SP2-3)</t>
        </is>
      </c>
      <c r="J613" s="17" t="inlineStr">
        <is>
          <t>Opening Day</t>
        </is>
      </c>
      <c r="K613" s="11">
        <f>IFERROR(INDEX(Roles!$B$17:$B$20,MATCH(J613,Roles!$A$17:$A$20,0)),1)</f>
        <v/>
      </c>
      <c r="L613" s="18" t="n">
        <v>1</v>
      </c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3">
        <f>SUMPRODUCT(M613:X613,$M$2:$X$2)*$K613*$L613</f>
        <v/>
      </c>
      <c r="Z613" s="14">
        <f>SUM(M613:X613)</f>
        <v/>
      </c>
      <c r="AA613" s="13">
        <f>SUMPRODUCT(M613:X613,$M$3:$X$3)*$K613*$L613</f>
        <v/>
      </c>
      <c r="AB613" s="13">
        <f>SUMPRODUCT(M613:X613,$M$4:$X$4)*$K613*$L613</f>
        <v/>
      </c>
      <c r="AC613" s="15">
        <f>SUMPRODUCT(M613:X613,$M$5:$X$5)*$K613*$L613</f>
        <v/>
      </c>
      <c r="AD613" s="15">
        <f>SUMPRODUCT(M613:X613,$M$6:$X$6)*$K613*$L613</f>
        <v/>
      </c>
      <c r="AE613" s="19" t="n"/>
    </row>
    <row r="614">
      <c r="A614" s="9" t="n">
        <v>663399</v>
      </c>
      <c r="B614" s="9" t="inlineStr">
        <is>
          <t>Brandon Waddell</t>
        </is>
      </c>
      <c r="C614" s="9" t="inlineStr">
        <is>
          <t>NYM</t>
        </is>
      </c>
      <c r="D614" s="9" t="n">
        <v>33</v>
      </c>
      <c r="E614" s="17" t="inlineStr">
        <is>
          <t>L</t>
        </is>
      </c>
      <c r="F614" s="17" t="n"/>
      <c r="G614" s="9" t="n">
        <v>134</v>
      </c>
      <c r="H614" s="9" t="n">
        <v>134</v>
      </c>
      <c r="I614" s="9" t="inlineStr">
        <is>
          <t>Bullpen Depth Arm</t>
        </is>
      </c>
      <c r="J614" s="17" t="inlineStr">
        <is>
          <t>Opening Day</t>
        </is>
      </c>
      <c r="K614" s="11">
        <f>IFERROR(INDEX(Roles!$B$17:$B$20,MATCH(J614,Roles!$A$17:$A$20,0)),1)</f>
        <v/>
      </c>
      <c r="L614" s="18" t="n">
        <v>1</v>
      </c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3">
        <f>SUMPRODUCT(M614:X614,$M$2:$X$2)*$K614*$L614</f>
        <v/>
      </c>
      <c r="Z614" s="14">
        <f>SUM(M614:X614)</f>
        <v/>
      </c>
      <c r="AA614" s="13">
        <f>SUMPRODUCT(M614:X614,$M$3:$X$3)*$K614*$L614</f>
        <v/>
      </c>
      <c r="AB614" s="13">
        <f>SUMPRODUCT(M614:X614,$M$4:$X$4)*$K614*$L614</f>
        <v/>
      </c>
      <c r="AC614" s="15">
        <f>SUMPRODUCT(M614:X614,$M$5:$X$5)*$K614*$L614</f>
        <v/>
      </c>
      <c r="AD614" s="15">
        <f>SUMPRODUCT(M614:X614,$M$6:$X$6)*$K614*$L614</f>
        <v/>
      </c>
      <c r="AE614" s="19" t="n"/>
    </row>
    <row r="615">
      <c r="A615" s="9" t="n">
        <v>680684</v>
      </c>
      <c r="B615" s="9" t="inlineStr">
        <is>
          <t>Gunnar Hoglund</t>
        </is>
      </c>
      <c r="C615" s="9" t="inlineStr">
        <is>
          <t>OAK</t>
        </is>
      </c>
      <c r="D615" s="9" t="n">
        <v>27</v>
      </c>
      <c r="E615" s="17" t="inlineStr">
        <is>
          <t>R</t>
        </is>
      </c>
      <c r="F615" s="17" t="n"/>
      <c r="G615" s="9" t="n">
        <v>139</v>
      </c>
      <c r="H615" s="9" t="n">
        <v>139</v>
      </c>
      <c r="I615" s="9" t="inlineStr">
        <is>
          <t>Mid-Rotation Starter (SP2-3)</t>
        </is>
      </c>
      <c r="J615" s="17" t="inlineStr">
        <is>
          <t>Opening Day</t>
        </is>
      </c>
      <c r="K615" s="11">
        <f>IFERROR(INDEX(Roles!$B$17:$B$20,MATCH(J615,Roles!$A$17:$A$20,0)),1)</f>
        <v/>
      </c>
      <c r="L615" s="18" t="n">
        <v>1</v>
      </c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3">
        <f>SUMPRODUCT(M615:X615,$M$2:$X$2)*$K615*$L615</f>
        <v/>
      </c>
      <c r="Z615" s="14">
        <f>SUM(M615:X615)</f>
        <v/>
      </c>
      <c r="AA615" s="13">
        <f>SUMPRODUCT(M615:X615,$M$3:$X$3)*$K615*$L615</f>
        <v/>
      </c>
      <c r="AB615" s="13">
        <f>SUMPRODUCT(M615:X615,$M$4:$X$4)*$K615*$L615</f>
        <v/>
      </c>
      <c r="AC615" s="15">
        <f>SUMPRODUCT(M615:X615,$M$5:$X$5)*$K615*$L615</f>
        <v/>
      </c>
      <c r="AD615" s="15">
        <f>SUMPRODUCT(M615:X615,$M$6:$X$6)*$K615*$L615</f>
        <v/>
      </c>
      <c r="AE615" s="19" t="n"/>
    </row>
    <row r="616">
      <c r="A616" s="9" t="n">
        <v>688107</v>
      </c>
      <c r="B616" s="9" t="inlineStr">
        <is>
          <t>Robert Gasser</t>
        </is>
      </c>
      <c r="C616" s="9" t="inlineStr">
        <is>
          <t>MIL</t>
        </is>
      </c>
      <c r="D616" s="9" t="n">
        <v>28</v>
      </c>
      <c r="E616" s="17" t="inlineStr">
        <is>
          <t>L</t>
        </is>
      </c>
      <c r="F616" s="17" t="n"/>
      <c r="G616" s="9" t="n">
        <v>87</v>
      </c>
      <c r="H616" s="9" t="n">
        <v>230</v>
      </c>
      <c r="I616" s="9" t="inlineStr">
        <is>
          <t>End-of-Rotation Starter (SP4-5)</t>
        </is>
      </c>
      <c r="J616" s="17" t="inlineStr">
        <is>
          <t>Opening Day</t>
        </is>
      </c>
      <c r="K616" s="11">
        <f>IFERROR(INDEX(Roles!$B$17:$B$20,MATCH(J616,Roles!$A$17:$A$20,0)),1)</f>
        <v/>
      </c>
      <c r="L616" s="18" t="n">
        <v>1</v>
      </c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3">
        <f>SUMPRODUCT(M616:X616,$M$2:$X$2)*$K616*$L616</f>
        <v/>
      </c>
      <c r="Z616" s="14">
        <f>SUM(M616:X616)</f>
        <v/>
      </c>
      <c r="AA616" s="13">
        <f>SUMPRODUCT(M616:X616,$M$3:$X$3)*$K616*$L616</f>
        <v/>
      </c>
      <c r="AB616" s="13">
        <f>SUMPRODUCT(M616:X616,$M$4:$X$4)*$K616*$L616</f>
        <v/>
      </c>
      <c r="AC616" s="15">
        <f>SUMPRODUCT(M616:X616,$M$5:$X$5)*$K616*$L616</f>
        <v/>
      </c>
      <c r="AD616" s="15">
        <f>SUMPRODUCT(M616:X616,$M$6:$X$6)*$K616*$L616</f>
        <v/>
      </c>
      <c r="AE616" s="19" t="n"/>
    </row>
    <row r="617">
      <c r="A617" s="9" t="n">
        <v>694918</v>
      </c>
      <c r="B617" s="9" t="inlineStr">
        <is>
          <t>Blade Tidwell</t>
        </is>
      </c>
      <c r="C617" s="9" t="inlineStr">
        <is>
          <t>SF</t>
        </is>
      </c>
      <c r="D617" s="9" t="n">
        <v>26</v>
      </c>
      <c r="E617" s="17" t="inlineStr">
        <is>
          <t>R</t>
        </is>
      </c>
      <c r="F617" s="17" t="n"/>
      <c r="G617" s="9" t="n">
        <v>47</v>
      </c>
      <c r="H617" s="9" t="n">
        <v>125</v>
      </c>
      <c r="I617" s="9" t="inlineStr">
        <is>
          <t>Bullpen Depth Arm</t>
        </is>
      </c>
      <c r="J617" s="17" t="inlineStr">
        <is>
          <t>Opening Day</t>
        </is>
      </c>
      <c r="K617" s="11">
        <f>IFERROR(INDEX(Roles!$B$17:$B$20,MATCH(J617,Roles!$A$17:$A$20,0)),1)</f>
        <v/>
      </c>
      <c r="L617" s="18" t="n">
        <v>1</v>
      </c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3">
        <f>SUMPRODUCT(M617:X617,$M$2:$X$2)*$K617*$L617</f>
        <v/>
      </c>
      <c r="Z617" s="14">
        <f>SUM(M617:X617)</f>
        <v/>
      </c>
      <c r="AA617" s="13">
        <f>SUMPRODUCT(M617:X617,$M$3:$X$3)*$K617*$L617</f>
        <v/>
      </c>
      <c r="AB617" s="13">
        <f>SUMPRODUCT(M617:X617,$M$4:$X$4)*$K617*$L617</f>
        <v/>
      </c>
      <c r="AC617" s="15">
        <f>SUMPRODUCT(M617:X617,$M$5:$X$5)*$K617*$L617</f>
        <v/>
      </c>
      <c r="AD617" s="15">
        <f>SUMPRODUCT(M617:X617,$M$6:$X$6)*$K617*$L617</f>
        <v/>
      </c>
      <c r="AE617" s="19" t="n"/>
    </row>
    <row r="618">
      <c r="A618" s="9" t="n">
        <v>645261</v>
      </c>
      <c r="B618" s="9" t="inlineStr">
        <is>
          <t>Sandy Alcantara</t>
        </is>
      </c>
      <c r="C618" s="9" t="inlineStr">
        <is>
          <t>MIA</t>
        </is>
      </c>
      <c r="D618" s="9" t="n">
        <v>31</v>
      </c>
      <c r="E618" s="17" t="inlineStr">
        <is>
          <t>R</t>
        </is>
      </c>
      <c r="F618" s="17" t="n"/>
      <c r="G618" s="9" t="n">
        <v>374</v>
      </c>
      <c r="H618" s="9" t="n">
        <v>2767</v>
      </c>
      <c r="I618" s="9" t="inlineStr">
        <is>
          <t>Ace (SP1)</t>
        </is>
      </c>
      <c r="J618" s="17" t="inlineStr">
        <is>
          <t>Opening Day</t>
        </is>
      </c>
      <c r="K618" s="11">
        <f>IFERROR(INDEX(Roles!$B$17:$B$20,MATCH(J618,Roles!$A$17:$A$20,0)),1)</f>
        <v/>
      </c>
      <c r="L618" s="18" t="n">
        <v>1</v>
      </c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3">
        <f>SUMPRODUCT(M618:X618,$M$2:$X$2)*$K618*$L618</f>
        <v/>
      </c>
      <c r="Z618" s="14">
        <f>SUM(M618:X618)</f>
        <v/>
      </c>
      <c r="AA618" s="13">
        <f>SUMPRODUCT(M618:X618,$M$3:$X$3)*$K618*$L618</f>
        <v/>
      </c>
      <c r="AB618" s="13">
        <f>SUMPRODUCT(M618:X618,$M$4:$X$4)*$K618*$L618</f>
        <v/>
      </c>
      <c r="AC618" s="15">
        <f>SUMPRODUCT(M618:X618,$M$5:$X$5)*$K618*$L618</f>
        <v/>
      </c>
      <c r="AD618" s="15">
        <f>SUMPRODUCT(M618:X618,$M$6:$X$6)*$K618*$L618</f>
        <v/>
      </c>
      <c r="AE618" s="19" t="n"/>
    </row>
    <row r="619">
      <c r="A619" s="9" t="n">
        <v>592791</v>
      </c>
      <c r="B619" s="9" t="inlineStr">
        <is>
          <t>Jameson Taillon</t>
        </is>
      </c>
      <c r="C619" s="9" t="inlineStr">
        <is>
          <t>CHC</t>
        </is>
      </c>
      <c r="D619" s="9" t="n">
        <v>35</v>
      </c>
      <c r="E619" s="17" t="inlineStr">
        <is>
          <t>R</t>
        </is>
      </c>
      <c r="F619" s="17" t="n"/>
      <c r="G619" s="9" t="n">
        <v>287</v>
      </c>
      <c r="H619" s="9" t="n">
        <v>2864</v>
      </c>
      <c r="I619" s="9" t="inlineStr">
        <is>
          <t>Mid-Rotation Starter (SP2-3)</t>
        </is>
      </c>
      <c r="J619" s="17" t="inlineStr">
        <is>
          <t>Opening Day</t>
        </is>
      </c>
      <c r="K619" s="11">
        <f>IFERROR(INDEX(Roles!$B$17:$B$20,MATCH(J619,Roles!$A$17:$A$20,0)),1)</f>
        <v/>
      </c>
      <c r="L619" s="18" t="n">
        <v>1</v>
      </c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3">
        <f>SUMPRODUCT(M619:X619,$M$2:$X$2)*$K619*$L619</f>
        <v/>
      </c>
      <c r="Z619" s="14">
        <f>SUM(M619:X619)</f>
        <v/>
      </c>
      <c r="AA619" s="13">
        <f>SUMPRODUCT(M619:X619,$M$3:$X$3)*$K619*$L619</f>
        <v/>
      </c>
      <c r="AB619" s="13">
        <f>SUMPRODUCT(M619:X619,$M$4:$X$4)*$K619*$L619</f>
        <v/>
      </c>
      <c r="AC619" s="15">
        <f>SUMPRODUCT(M619:X619,$M$5:$X$5)*$K619*$L619</f>
        <v/>
      </c>
      <c r="AD619" s="15">
        <f>SUMPRODUCT(M619:X619,$M$6:$X$6)*$K619*$L619</f>
        <v/>
      </c>
      <c r="AE619" s="19" t="n"/>
    </row>
    <row r="620">
      <c r="A620" s="9" t="n">
        <v>687562</v>
      </c>
      <c r="B620" s="9" t="inlineStr">
        <is>
          <t>Jake Bennett</t>
        </is>
      </c>
      <c r="C620" s="9" t="inlineStr">
        <is>
          <t>BOS</t>
        </is>
      </c>
      <c r="D620" s="9" t="n">
        <v>26</v>
      </c>
      <c r="E620" s="17" t="inlineStr">
        <is>
          <t>L</t>
        </is>
      </c>
      <c r="F620" s="17" t="n"/>
      <c r="G620" s="9" t="n">
        <v>42</v>
      </c>
      <c r="H620" s="9" t="n">
        <v>42</v>
      </c>
      <c r="I620" s="9" t="inlineStr">
        <is>
          <t>Mid-Rotation Starter (SP2-3)</t>
        </is>
      </c>
      <c r="J620" s="17" t="inlineStr">
        <is>
          <t>Opening Day</t>
        </is>
      </c>
      <c r="K620" s="11">
        <f>IFERROR(INDEX(Roles!$B$17:$B$20,MATCH(J620,Roles!$A$17:$A$20,0)),1)</f>
        <v/>
      </c>
      <c r="L620" s="18" t="n">
        <v>1</v>
      </c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3">
        <f>SUMPRODUCT(M620:X620,$M$2:$X$2)*$K620*$L620</f>
        <v/>
      </c>
      <c r="Z620" s="14">
        <f>SUM(M620:X620)</f>
        <v/>
      </c>
      <c r="AA620" s="13">
        <f>SUMPRODUCT(M620:X620,$M$3:$X$3)*$K620*$L620</f>
        <v/>
      </c>
      <c r="AB620" s="13">
        <f>SUMPRODUCT(M620:X620,$M$4:$X$4)*$K620*$L620</f>
        <v/>
      </c>
      <c r="AC620" s="15">
        <f>SUMPRODUCT(M620:X620,$M$5:$X$5)*$K620*$L620</f>
        <v/>
      </c>
      <c r="AD620" s="15">
        <f>SUMPRODUCT(M620:X620,$M$6:$X$6)*$K620*$L620</f>
        <v/>
      </c>
      <c r="AE620" s="19" t="n"/>
    </row>
    <row r="621">
      <c r="A621" s="9" t="n">
        <v>621112</v>
      </c>
      <c r="B621" s="9" t="inlineStr">
        <is>
          <t>Paul Blackburn</t>
        </is>
      </c>
      <c r="C621" s="9" t="inlineStr">
        <is>
          <t>NYY</t>
        </is>
      </c>
      <c r="D621" s="9" t="n">
        <v>33</v>
      </c>
      <c r="E621" s="17" t="inlineStr">
        <is>
          <t>R</t>
        </is>
      </c>
      <c r="F621" s="17" t="n"/>
      <c r="G621" s="9" t="n">
        <v>127</v>
      </c>
      <c r="H621" s="9" t="n">
        <v>1549</v>
      </c>
      <c r="I621" s="9" t="inlineStr">
        <is>
          <t>End-of-Rotation Starter (SP4-5)</t>
        </is>
      </c>
      <c r="J621" s="17" t="inlineStr">
        <is>
          <t>Opening Day</t>
        </is>
      </c>
      <c r="K621" s="11">
        <f>IFERROR(INDEX(Roles!$B$17:$B$20,MATCH(J621,Roles!$A$17:$A$20,0)),1)</f>
        <v/>
      </c>
      <c r="L621" s="18" t="n">
        <v>1</v>
      </c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3">
        <f>SUMPRODUCT(M621:X621,$M$2:$X$2)*$K621*$L621</f>
        <v/>
      </c>
      <c r="Z621" s="14">
        <f>SUM(M621:X621)</f>
        <v/>
      </c>
      <c r="AA621" s="13">
        <f>SUMPRODUCT(M621:X621,$M$3:$X$3)*$K621*$L621</f>
        <v/>
      </c>
      <c r="AB621" s="13">
        <f>SUMPRODUCT(M621:X621,$M$4:$X$4)*$K621*$L621</f>
        <v/>
      </c>
      <c r="AC621" s="15">
        <f>SUMPRODUCT(M621:X621,$M$5:$X$5)*$K621*$L621</f>
        <v/>
      </c>
      <c r="AD621" s="15">
        <f>SUMPRODUCT(M621:X621,$M$6:$X$6)*$K621*$L621</f>
        <v/>
      </c>
      <c r="AE621" s="19" t="n"/>
    </row>
    <row r="622">
      <c r="A622" s="9" t="n">
        <v>669674</v>
      </c>
      <c r="B622" s="9" t="inlineStr">
        <is>
          <t>Sam Long</t>
        </is>
      </c>
      <c r="C622" s="9" t="inlineStr">
        <is>
          <t>KC</t>
        </is>
      </c>
      <c r="D622" s="9" t="n">
        <v>31</v>
      </c>
      <c r="E622" s="17" t="inlineStr">
        <is>
          <t>L</t>
        </is>
      </c>
      <c r="F622" s="17" t="n"/>
      <c r="G622" s="9" t="n">
        <v>189</v>
      </c>
      <c r="H622" s="9" t="n">
        <v>745</v>
      </c>
      <c r="I622" s="9" t="inlineStr">
        <is>
          <t>Bullpen Depth Arm</t>
        </is>
      </c>
      <c r="J622" s="17" t="inlineStr">
        <is>
          <t>Opening Day</t>
        </is>
      </c>
      <c r="K622" s="11">
        <f>IFERROR(INDEX(Roles!$B$17:$B$20,MATCH(J622,Roles!$A$17:$A$20,0)),1)</f>
        <v/>
      </c>
      <c r="L622" s="18" t="n">
        <v>1</v>
      </c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3">
        <f>SUMPRODUCT(M622:X622,$M$2:$X$2)*$K622*$L622</f>
        <v/>
      </c>
      <c r="Z622" s="14">
        <f>SUM(M622:X622)</f>
        <v/>
      </c>
      <c r="AA622" s="13">
        <f>SUMPRODUCT(M622:X622,$M$3:$X$3)*$K622*$L622</f>
        <v/>
      </c>
      <c r="AB622" s="13">
        <f>SUMPRODUCT(M622:X622,$M$4:$X$4)*$K622*$L622</f>
        <v/>
      </c>
      <c r="AC622" s="15">
        <f>SUMPRODUCT(M622:X622,$M$5:$X$5)*$K622*$L622</f>
        <v/>
      </c>
      <c r="AD622" s="15">
        <f>SUMPRODUCT(M622:X622,$M$6:$X$6)*$K622*$L622</f>
        <v/>
      </c>
      <c r="AE622" s="19" t="n"/>
    </row>
    <row r="623">
      <c r="A623" s="9" t="n">
        <v>669438</v>
      </c>
      <c r="B623" s="9" t="inlineStr">
        <is>
          <t>Mason Englert</t>
        </is>
      </c>
      <c r="C623" s="9" t="inlineStr">
        <is>
          <t>TB</t>
        </is>
      </c>
      <c r="D623" s="9" t="n">
        <v>27</v>
      </c>
      <c r="E623" s="17" t="inlineStr">
        <is>
          <t>R</t>
        </is>
      </c>
      <c r="F623" s="17" t="n"/>
      <c r="G623" s="9" t="n">
        <v>92</v>
      </c>
      <c r="H623" s="9" t="n">
        <v>623</v>
      </c>
      <c r="I623" s="9" t="inlineStr">
        <is>
          <t>Bullpen Depth Arm</t>
        </is>
      </c>
      <c r="J623" s="17" t="inlineStr">
        <is>
          <t>Opening Day</t>
        </is>
      </c>
      <c r="K623" s="11">
        <f>IFERROR(INDEX(Roles!$B$17:$B$20,MATCH(J623,Roles!$A$17:$A$20,0)),1)</f>
        <v/>
      </c>
      <c r="L623" s="18" t="n">
        <v>1</v>
      </c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3">
        <f>SUMPRODUCT(M623:X623,$M$2:$X$2)*$K623*$L623</f>
        <v/>
      </c>
      <c r="Z623" s="14">
        <f>SUM(M623:X623)</f>
        <v/>
      </c>
      <c r="AA623" s="13">
        <f>SUMPRODUCT(M623:X623,$M$3:$X$3)*$K623*$L623</f>
        <v/>
      </c>
      <c r="AB623" s="13">
        <f>SUMPRODUCT(M623:X623,$M$4:$X$4)*$K623*$L623</f>
        <v/>
      </c>
      <c r="AC623" s="15">
        <f>SUMPRODUCT(M623:X623,$M$5:$X$5)*$K623*$L623</f>
        <v/>
      </c>
      <c r="AD623" s="15">
        <f>SUMPRODUCT(M623:X623,$M$6:$X$6)*$K623*$L623</f>
        <v/>
      </c>
      <c r="AE623" s="19" t="n"/>
    </row>
    <row r="624">
      <c r="A624" s="9" t="n">
        <v>681146</v>
      </c>
      <c r="B624" s="9" t="inlineStr">
        <is>
          <t>Jonah Bride</t>
        </is>
      </c>
      <c r="C624" s="9" t="inlineStr">
        <is>
          <t>MIN</t>
        </is>
      </c>
      <c r="D624" s="9" t="n">
        <v>31</v>
      </c>
      <c r="E624" s="17" t="inlineStr">
        <is>
          <t>R</t>
        </is>
      </c>
      <c r="F624" s="17" t="n"/>
      <c r="G624" s="9" t="n">
        <v>37</v>
      </c>
      <c r="H624" s="9" t="n">
        <v>37</v>
      </c>
      <c r="I624" s="9" t="inlineStr">
        <is>
          <t>Bullpen Depth Arm</t>
        </is>
      </c>
      <c r="J624" s="17" t="inlineStr">
        <is>
          <t>Opening Day</t>
        </is>
      </c>
      <c r="K624" s="11">
        <f>IFERROR(INDEX(Roles!$B$17:$B$20,MATCH(J624,Roles!$A$17:$A$20,0)),1)</f>
        <v/>
      </c>
      <c r="L624" s="18" t="n">
        <v>1</v>
      </c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3">
        <f>SUMPRODUCT(M624:X624,$M$2:$X$2)*$K624*$L624</f>
        <v/>
      </c>
      <c r="Z624" s="14">
        <f>SUM(M624:X624)</f>
        <v/>
      </c>
      <c r="AA624" s="13">
        <f>SUMPRODUCT(M624:X624,$M$3:$X$3)*$K624*$L624</f>
        <v/>
      </c>
      <c r="AB624" s="13">
        <f>SUMPRODUCT(M624:X624,$M$4:$X$4)*$K624*$L624</f>
        <v/>
      </c>
      <c r="AC624" s="15">
        <f>SUMPRODUCT(M624:X624,$M$5:$X$5)*$K624*$L624</f>
        <v/>
      </c>
      <c r="AD624" s="15">
        <f>SUMPRODUCT(M624:X624,$M$6:$X$6)*$K624*$L624</f>
        <v/>
      </c>
      <c r="AE624" s="19" t="n"/>
    </row>
    <row r="625">
      <c r="A625" s="9" t="n">
        <v>676664</v>
      </c>
      <c r="B625" s="9" t="inlineStr">
        <is>
          <t>JP Sears</t>
        </is>
      </c>
      <c r="C625" s="9" t="inlineStr">
        <is>
          <t>SD</t>
        </is>
      </c>
      <c r="D625" s="9" t="n">
        <v>31</v>
      </c>
      <c r="E625" s="17" t="inlineStr">
        <is>
          <t>L</t>
        </is>
      </c>
      <c r="F625" s="17" t="n"/>
      <c r="G625" s="9" t="n">
        <v>583</v>
      </c>
      <c r="H625" s="9" t="n">
        <v>2364</v>
      </c>
      <c r="I625" s="9" t="inlineStr">
        <is>
          <t>Mid-Rotation Starter (SP2-3)</t>
        </is>
      </c>
      <c r="J625" s="17" t="inlineStr">
        <is>
          <t>Opening Day</t>
        </is>
      </c>
      <c r="K625" s="11">
        <f>IFERROR(INDEX(Roles!$B$17:$B$20,MATCH(J625,Roles!$A$17:$A$20,0)),1)</f>
        <v/>
      </c>
      <c r="L625" s="18" t="n">
        <v>1</v>
      </c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3">
        <f>SUMPRODUCT(M625:X625,$M$2:$X$2)*$K625*$L625</f>
        <v/>
      </c>
      <c r="Z625" s="14">
        <f>SUM(M625:X625)</f>
        <v/>
      </c>
      <c r="AA625" s="13">
        <f>SUMPRODUCT(M625:X625,$M$3:$X$3)*$K625*$L625</f>
        <v/>
      </c>
      <c r="AB625" s="13">
        <f>SUMPRODUCT(M625:X625,$M$4:$X$4)*$K625*$L625</f>
        <v/>
      </c>
      <c r="AC625" s="15">
        <f>SUMPRODUCT(M625:X625,$M$5:$X$5)*$K625*$L625</f>
        <v/>
      </c>
      <c r="AD625" s="15">
        <f>SUMPRODUCT(M625:X625,$M$6:$X$6)*$K625*$L625</f>
        <v/>
      </c>
      <c r="AE625" s="19" t="n"/>
    </row>
    <row r="626">
      <c r="A626" s="9" t="n">
        <v>696136</v>
      </c>
      <c r="B626" s="9" t="inlineStr">
        <is>
          <t>Jordan Wicks</t>
        </is>
      </c>
      <c r="C626" s="9" t="inlineStr">
        <is>
          <t>CHC</t>
        </is>
      </c>
      <c r="D626" s="9" t="n">
        <v>27</v>
      </c>
      <c r="E626" s="17" t="inlineStr">
        <is>
          <t>L</t>
        </is>
      </c>
      <c r="F626" s="17" t="n"/>
      <c r="G626" s="9" t="n">
        <v>34</v>
      </c>
      <c r="H626" s="9" t="n">
        <v>460</v>
      </c>
      <c r="I626" s="9" t="inlineStr">
        <is>
          <t>Bullpen Depth Arm</t>
        </is>
      </c>
      <c r="J626" s="17" t="inlineStr">
        <is>
          <t>Opening Day</t>
        </is>
      </c>
      <c r="K626" s="11">
        <f>IFERROR(INDEX(Roles!$B$17:$B$20,MATCH(J626,Roles!$A$17:$A$20,0)),1)</f>
        <v/>
      </c>
      <c r="L626" s="18" t="n">
        <v>1</v>
      </c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3">
        <f>SUMPRODUCT(M626:X626,$M$2:$X$2)*$K626*$L626</f>
        <v/>
      </c>
      <c r="Z626" s="14">
        <f>SUM(M626:X626)</f>
        <v/>
      </c>
      <c r="AA626" s="13">
        <f>SUMPRODUCT(M626:X626,$M$3:$X$3)*$K626*$L626</f>
        <v/>
      </c>
      <c r="AB626" s="13">
        <f>SUMPRODUCT(M626:X626,$M$4:$X$4)*$K626*$L626</f>
        <v/>
      </c>
      <c r="AC626" s="15">
        <f>SUMPRODUCT(M626:X626,$M$5:$X$5)*$K626*$L626</f>
        <v/>
      </c>
      <c r="AD626" s="15">
        <f>SUMPRODUCT(M626:X626,$M$6:$X$6)*$K626*$L626</f>
        <v/>
      </c>
      <c r="AE626" s="19" t="n"/>
    </row>
    <row r="627">
      <c r="A627" s="9" t="n">
        <v>595928</v>
      </c>
      <c r="B627" s="9" t="inlineStr">
        <is>
          <t>John Curtiss</t>
        </is>
      </c>
      <c r="C627" s="9" t="inlineStr">
        <is>
          <t>ARI</t>
        </is>
      </c>
      <c r="D627" s="9" t="n">
        <v>34</v>
      </c>
      <c r="E627" s="17" t="inlineStr">
        <is>
          <t>R</t>
        </is>
      </c>
      <c r="F627" s="17" t="n"/>
      <c r="G627" s="9" t="n">
        <v>141</v>
      </c>
      <c r="H627" s="9" t="n">
        <v>234</v>
      </c>
      <c r="I627" s="9" t="inlineStr">
        <is>
          <t>Bullpen Depth Arm</t>
        </is>
      </c>
      <c r="J627" s="17" t="inlineStr">
        <is>
          <t>Opening Day</t>
        </is>
      </c>
      <c r="K627" s="11">
        <f>IFERROR(INDEX(Roles!$B$17:$B$20,MATCH(J627,Roles!$A$17:$A$20,0)),1)</f>
        <v/>
      </c>
      <c r="L627" s="18" t="n">
        <v>1</v>
      </c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3">
        <f>SUMPRODUCT(M627:X627,$M$2:$X$2)*$K627*$L627</f>
        <v/>
      </c>
      <c r="Z627" s="14">
        <f>SUM(M627:X627)</f>
        <v/>
      </c>
      <c r="AA627" s="13">
        <f>SUMPRODUCT(M627:X627,$M$3:$X$3)*$K627*$L627</f>
        <v/>
      </c>
      <c r="AB627" s="13">
        <f>SUMPRODUCT(M627:X627,$M$4:$X$4)*$K627*$L627</f>
        <v/>
      </c>
      <c r="AC627" s="15">
        <f>SUMPRODUCT(M627:X627,$M$5:$X$5)*$K627*$L627</f>
        <v/>
      </c>
      <c r="AD627" s="15">
        <f>SUMPRODUCT(M627:X627,$M$6:$X$6)*$K627*$L627</f>
        <v/>
      </c>
      <c r="AE627" s="19" t="n"/>
    </row>
    <row r="628">
      <c r="A628" s="9" t="n">
        <v>681517</v>
      </c>
      <c r="B628" s="9" t="inlineStr">
        <is>
          <t>Kyle Leahy</t>
        </is>
      </c>
      <c r="C628" s="9" t="inlineStr">
        <is>
          <t>STL</t>
        </is>
      </c>
      <c r="D628" s="9" t="n">
        <v>30</v>
      </c>
      <c r="E628" s="17" t="inlineStr">
        <is>
          <t>R</t>
        </is>
      </c>
      <c r="F628" s="17" t="n"/>
      <c r="G628" s="9" t="n">
        <v>269</v>
      </c>
      <c r="H628" s="9" t="n">
        <v>838</v>
      </c>
      <c r="I628" s="9" t="inlineStr">
        <is>
          <t>Bullpen Depth Arm</t>
        </is>
      </c>
      <c r="J628" s="17" t="inlineStr">
        <is>
          <t>Opening Day</t>
        </is>
      </c>
      <c r="K628" s="11">
        <f>IFERROR(INDEX(Roles!$B$17:$B$20,MATCH(J628,Roles!$A$17:$A$20,0)),1)</f>
        <v/>
      </c>
      <c r="L628" s="18" t="n">
        <v>1</v>
      </c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3">
        <f>SUMPRODUCT(M628:X628,$M$2:$X$2)*$K628*$L628</f>
        <v/>
      </c>
      <c r="Z628" s="14">
        <f>SUM(M628:X628)</f>
        <v/>
      </c>
      <c r="AA628" s="13">
        <f>SUMPRODUCT(M628:X628,$M$3:$X$3)*$K628*$L628</f>
        <v/>
      </c>
      <c r="AB628" s="13">
        <f>SUMPRODUCT(M628:X628,$M$4:$X$4)*$K628*$L628</f>
        <v/>
      </c>
      <c r="AC628" s="15">
        <f>SUMPRODUCT(M628:X628,$M$5:$X$5)*$K628*$L628</f>
        <v/>
      </c>
      <c r="AD628" s="15">
        <f>SUMPRODUCT(M628:X628,$M$6:$X$6)*$K628*$L628</f>
        <v/>
      </c>
      <c r="AE628" s="19" t="n"/>
    </row>
    <row r="629">
      <c r="A629" s="9" t="n">
        <v>695549</v>
      </c>
      <c r="B629" s="9" t="inlineStr">
        <is>
          <t>Jackson Jobe</t>
        </is>
      </c>
      <c r="C629" s="9" t="inlineStr">
        <is>
          <t>DET</t>
        </is>
      </c>
      <c r="D629" s="9" t="n">
        <v>24</v>
      </c>
      <c r="E629" s="17" t="inlineStr">
        <is>
          <t>R</t>
        </is>
      </c>
      <c r="F629" s="17" t="n"/>
      <c r="G629" s="9" t="n">
        <v>218</v>
      </c>
      <c r="H629" s="9" t="n">
        <v>234</v>
      </c>
      <c r="I629" s="9" t="inlineStr">
        <is>
          <t>End-of-Rotation Starter (SP4-5)</t>
        </is>
      </c>
      <c r="J629" s="17" t="inlineStr">
        <is>
          <t>Opening Day</t>
        </is>
      </c>
      <c r="K629" s="11">
        <f>IFERROR(INDEX(Roles!$B$17:$B$20,MATCH(J629,Roles!$A$17:$A$20,0)),1)</f>
        <v/>
      </c>
      <c r="L629" s="18" t="n">
        <v>1</v>
      </c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3">
        <f>SUMPRODUCT(M629:X629,$M$2:$X$2)*$K629*$L629</f>
        <v/>
      </c>
      <c r="Z629" s="14">
        <f>SUM(M629:X629)</f>
        <v/>
      </c>
      <c r="AA629" s="13">
        <f>SUMPRODUCT(M629:X629,$M$3:$X$3)*$K629*$L629</f>
        <v/>
      </c>
      <c r="AB629" s="13">
        <f>SUMPRODUCT(M629:X629,$M$4:$X$4)*$K629*$L629</f>
        <v/>
      </c>
      <c r="AC629" s="15">
        <f>SUMPRODUCT(M629:X629,$M$5:$X$5)*$K629*$L629</f>
        <v/>
      </c>
      <c r="AD629" s="15">
        <f>SUMPRODUCT(M629:X629,$M$6:$X$6)*$K629*$L629</f>
        <v/>
      </c>
      <c r="AE629" s="19" t="n"/>
    </row>
    <row r="630">
      <c r="A630" s="9" t="n">
        <v>666711</v>
      </c>
      <c r="B630" s="9" t="inlineStr">
        <is>
          <t>Joel Peguero</t>
        </is>
      </c>
      <c r="C630" s="9" t="inlineStr">
        <is>
          <t>SF</t>
        </is>
      </c>
      <c r="D630" s="9" t="n">
        <v>30</v>
      </c>
      <c r="E630" s="17" t="inlineStr">
        <is>
          <t>R</t>
        </is>
      </c>
      <c r="F630" s="17" t="n"/>
      <c r="G630" s="9" t="n">
        <v>48</v>
      </c>
      <c r="H630" s="9" t="n">
        <v>134</v>
      </c>
      <c r="I630" s="9" t="inlineStr">
        <is>
          <t>Bullpen Depth Arm</t>
        </is>
      </c>
      <c r="J630" s="17" t="inlineStr">
        <is>
          <t>Opening Day</t>
        </is>
      </c>
      <c r="K630" s="11">
        <f>IFERROR(INDEX(Roles!$B$17:$B$20,MATCH(J630,Roles!$A$17:$A$20,0)),1)</f>
        <v/>
      </c>
      <c r="L630" s="18" t="n">
        <v>1</v>
      </c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3">
        <f>SUMPRODUCT(M630:X630,$M$2:$X$2)*$K630*$L630</f>
        <v/>
      </c>
      <c r="Z630" s="14">
        <f>SUM(M630:X630)</f>
        <v/>
      </c>
      <c r="AA630" s="13">
        <f>SUMPRODUCT(M630:X630,$M$3:$X$3)*$K630*$L630</f>
        <v/>
      </c>
      <c r="AB630" s="13">
        <f>SUMPRODUCT(M630:X630,$M$4:$X$4)*$K630*$L630</f>
        <v/>
      </c>
      <c r="AC630" s="15">
        <f>SUMPRODUCT(M630:X630,$M$5:$X$5)*$K630*$L630</f>
        <v/>
      </c>
      <c r="AD630" s="15">
        <f>SUMPRODUCT(M630:X630,$M$6:$X$6)*$K630*$L630</f>
        <v/>
      </c>
      <c r="AE630" s="19" t="n"/>
    </row>
    <row r="631">
      <c r="A631" s="9" t="n">
        <v>691251</v>
      </c>
      <c r="B631" s="9" t="inlineStr">
        <is>
          <t>Andry Lara</t>
        </is>
      </c>
      <c r="C631" s="9" t="inlineStr">
        <is>
          <t>WSH</t>
        </is>
      </c>
      <c r="D631" s="9" t="n">
        <v>24</v>
      </c>
      <c r="E631" s="17" t="inlineStr">
        <is>
          <t>R</t>
        </is>
      </c>
      <c r="F631" s="17" t="n"/>
      <c r="G631" s="9" t="n">
        <v>78</v>
      </c>
      <c r="H631" s="9" t="n">
        <v>78</v>
      </c>
      <c r="I631" s="9" t="inlineStr">
        <is>
          <t>Bullpen Depth Arm</t>
        </is>
      </c>
      <c r="J631" s="17" t="inlineStr">
        <is>
          <t>Opening Day</t>
        </is>
      </c>
      <c r="K631" s="11">
        <f>IFERROR(INDEX(Roles!$B$17:$B$20,MATCH(J631,Roles!$A$17:$A$20,0)),1)</f>
        <v/>
      </c>
      <c r="L631" s="18" t="n">
        <v>1</v>
      </c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3">
        <f>SUMPRODUCT(M631:X631,$M$2:$X$2)*$K631*$L631</f>
        <v/>
      </c>
      <c r="Z631" s="14">
        <f>SUM(M631:X631)</f>
        <v/>
      </c>
      <c r="AA631" s="13">
        <f>SUMPRODUCT(M631:X631,$M$3:$X$3)*$K631*$L631</f>
        <v/>
      </c>
      <c r="AB631" s="13">
        <f>SUMPRODUCT(M631:X631,$M$4:$X$4)*$K631*$L631</f>
        <v/>
      </c>
      <c r="AC631" s="15">
        <f>SUMPRODUCT(M631:X631,$M$5:$X$5)*$K631*$L631</f>
        <v/>
      </c>
      <c r="AD631" s="15">
        <f>SUMPRODUCT(M631:X631,$M$6:$X$6)*$K631*$L631</f>
        <v/>
      </c>
      <c r="AE631" s="19" t="n"/>
    </row>
    <row r="632">
      <c r="A632" s="9" t="n">
        <v>690916</v>
      </c>
      <c r="B632" s="9" t="inlineStr">
        <is>
          <t>Richard Fitts</t>
        </is>
      </c>
      <c r="C632" s="9" t="inlineStr">
        <is>
          <t>BOS</t>
        </is>
      </c>
      <c r="D632" s="9" t="n">
        <v>27</v>
      </c>
      <c r="E632" s="17" t="inlineStr">
        <is>
          <t>R</t>
        </is>
      </c>
      <c r="F632" s="17" t="n"/>
      <c r="G632" s="9" t="n">
        <v>195</v>
      </c>
      <c r="H632" s="9" t="n">
        <v>280</v>
      </c>
      <c r="I632" s="9" t="inlineStr">
        <is>
          <t>End-of-Rotation Starter (SP4-5)</t>
        </is>
      </c>
      <c r="J632" s="17" t="inlineStr">
        <is>
          <t>Opening Day</t>
        </is>
      </c>
      <c r="K632" s="11">
        <f>IFERROR(INDEX(Roles!$B$17:$B$20,MATCH(J632,Roles!$A$17:$A$20,0)),1)</f>
        <v/>
      </c>
      <c r="L632" s="18" t="n">
        <v>1</v>
      </c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3">
        <f>SUMPRODUCT(M632:X632,$M$2:$X$2)*$K632*$L632</f>
        <v/>
      </c>
      <c r="Z632" s="14">
        <f>SUM(M632:X632)</f>
        <v/>
      </c>
      <c r="AA632" s="13">
        <f>SUMPRODUCT(M632:X632,$M$3:$X$3)*$K632*$L632</f>
        <v/>
      </c>
      <c r="AB632" s="13">
        <f>SUMPRODUCT(M632:X632,$M$4:$X$4)*$K632*$L632</f>
        <v/>
      </c>
      <c r="AC632" s="15">
        <f>SUMPRODUCT(M632:X632,$M$5:$X$5)*$K632*$L632</f>
        <v/>
      </c>
      <c r="AD632" s="15">
        <f>SUMPRODUCT(M632:X632,$M$6:$X$6)*$K632*$L632</f>
        <v/>
      </c>
      <c r="AE632" s="19" t="n"/>
    </row>
    <row r="633">
      <c r="A633" s="9" t="n">
        <v>547184</v>
      </c>
      <c r="B633" s="9" t="inlineStr">
        <is>
          <t>Michael Kelly</t>
        </is>
      </c>
      <c r="C633" s="9" t="inlineStr">
        <is>
          <t>OAK</t>
        </is>
      </c>
      <c r="D633" s="9" t="n">
        <v>34</v>
      </c>
      <c r="E633" s="17" t="inlineStr">
        <is>
          <t>R</t>
        </is>
      </c>
      <c r="F633" s="17" t="n"/>
      <c r="G633" s="9" t="n">
        <v>32</v>
      </c>
      <c r="H633" s="9" t="n">
        <v>413</v>
      </c>
      <c r="I633" s="9" t="inlineStr">
        <is>
          <t>Bullpen Depth Arm</t>
        </is>
      </c>
      <c r="J633" s="17" t="inlineStr">
        <is>
          <t>Opening Day</t>
        </is>
      </c>
      <c r="K633" s="11">
        <f>IFERROR(INDEX(Roles!$B$17:$B$20,MATCH(J633,Roles!$A$17:$A$20,0)),1)</f>
        <v/>
      </c>
      <c r="L633" s="18" t="n">
        <v>1</v>
      </c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3">
        <f>SUMPRODUCT(M633:X633,$M$2:$X$2)*$K633*$L633</f>
        <v/>
      </c>
      <c r="Z633" s="14">
        <f>SUM(M633:X633)</f>
        <v/>
      </c>
      <c r="AA633" s="13">
        <f>SUMPRODUCT(M633:X633,$M$3:$X$3)*$K633*$L633</f>
        <v/>
      </c>
      <c r="AB633" s="13">
        <f>SUMPRODUCT(M633:X633,$M$4:$X$4)*$K633*$L633</f>
        <v/>
      </c>
      <c r="AC633" s="15">
        <f>SUMPRODUCT(M633:X633,$M$5:$X$5)*$K633*$L633</f>
        <v/>
      </c>
      <c r="AD633" s="15">
        <f>SUMPRODUCT(M633:X633,$M$6:$X$6)*$K633*$L633</f>
        <v/>
      </c>
      <c r="AE633" s="19" t="n"/>
    </row>
    <row r="634">
      <c r="A634" s="9" t="n">
        <v>688297</v>
      </c>
      <c r="B634" s="9" t="inlineStr">
        <is>
          <t>Chris Roycroft</t>
        </is>
      </c>
      <c r="C634" s="9" t="inlineStr">
        <is>
          <t>STL</t>
        </is>
      </c>
      <c r="D634" s="9" t="n">
        <v>30</v>
      </c>
      <c r="E634" s="17" t="inlineStr">
        <is>
          <t>R</t>
        </is>
      </c>
      <c r="F634" s="17" t="n"/>
      <c r="G634" s="9" t="n">
        <v>25</v>
      </c>
      <c r="H634" s="9" t="n">
        <v>281</v>
      </c>
      <c r="I634" s="9" t="inlineStr">
        <is>
          <t>Bullpen Depth Arm</t>
        </is>
      </c>
      <c r="J634" s="17" t="inlineStr">
        <is>
          <t>Opening Day</t>
        </is>
      </c>
      <c r="K634" s="11">
        <f>IFERROR(INDEX(Roles!$B$17:$B$20,MATCH(J634,Roles!$A$17:$A$20,0)),1)</f>
        <v/>
      </c>
      <c r="L634" s="18" t="n">
        <v>1</v>
      </c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3">
        <f>SUMPRODUCT(M634:X634,$M$2:$X$2)*$K634*$L634</f>
        <v/>
      </c>
      <c r="Z634" s="14">
        <f>SUM(M634:X634)</f>
        <v/>
      </c>
      <c r="AA634" s="13">
        <f>SUMPRODUCT(M634:X634,$M$3:$X$3)*$K634*$L634</f>
        <v/>
      </c>
      <c r="AB634" s="13">
        <f>SUMPRODUCT(M634:X634,$M$4:$X$4)*$K634*$L634</f>
        <v/>
      </c>
      <c r="AC634" s="15">
        <f>SUMPRODUCT(M634:X634,$M$5:$X$5)*$K634*$L634</f>
        <v/>
      </c>
      <c r="AD634" s="15">
        <f>SUMPRODUCT(M634:X634,$M$6:$X$6)*$K634*$L634</f>
        <v/>
      </c>
      <c r="AE634" s="19" t="n"/>
    </row>
    <row r="635">
      <c r="A635" s="9" t="n">
        <v>672335</v>
      </c>
      <c r="B635" s="9" t="inlineStr">
        <is>
          <t>Cionel Pérez</t>
        </is>
      </c>
      <c r="C635" s="9" t="inlineStr">
        <is>
          <t>NYM</t>
        </is>
      </c>
      <c r="D635" s="9" t="n">
        <v>31</v>
      </c>
      <c r="E635" s="17" t="inlineStr">
        <is>
          <t>L</t>
        </is>
      </c>
      <c r="F635" s="17" t="n"/>
      <c r="G635" s="9" t="n">
        <v>87</v>
      </c>
      <c r="H635" s="9" t="n">
        <v>916</v>
      </c>
      <c r="I635" s="9" t="inlineStr">
        <is>
          <t>Bullpen Depth Arm</t>
        </is>
      </c>
      <c r="J635" s="17" t="inlineStr">
        <is>
          <t>Opening Day</t>
        </is>
      </c>
      <c r="K635" s="11">
        <f>IFERROR(INDEX(Roles!$B$17:$B$20,MATCH(J635,Roles!$A$17:$A$20,0)),1)</f>
        <v/>
      </c>
      <c r="L635" s="18" t="n">
        <v>1</v>
      </c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3">
        <f>SUMPRODUCT(M635:X635,$M$2:$X$2)*$K635*$L635</f>
        <v/>
      </c>
      <c r="Z635" s="14">
        <f>SUM(M635:X635)</f>
        <v/>
      </c>
      <c r="AA635" s="13">
        <f>SUMPRODUCT(M635:X635,$M$3:$X$3)*$K635*$L635</f>
        <v/>
      </c>
      <c r="AB635" s="13">
        <f>SUMPRODUCT(M635:X635,$M$4:$X$4)*$K635*$L635</f>
        <v/>
      </c>
      <c r="AC635" s="15">
        <f>SUMPRODUCT(M635:X635,$M$5:$X$5)*$K635*$L635</f>
        <v/>
      </c>
      <c r="AD635" s="15">
        <f>SUMPRODUCT(M635:X635,$M$6:$X$6)*$K635*$L635</f>
        <v/>
      </c>
      <c r="AE635" s="19" t="n"/>
    </row>
    <row r="636">
      <c r="A636" s="9" t="n">
        <v>677944</v>
      </c>
      <c r="B636" s="9" t="inlineStr">
        <is>
          <t>Slade Cecconi</t>
        </is>
      </c>
      <c r="C636" s="9" t="inlineStr">
        <is>
          <t>CLE</t>
        </is>
      </c>
      <c r="D636" s="9" t="n">
        <v>28</v>
      </c>
      <c r="E636" s="17" t="inlineStr">
        <is>
          <t>R</t>
        </is>
      </c>
      <c r="F636" s="17" t="n"/>
      <c r="G636" s="9" t="n">
        <v>316</v>
      </c>
      <c r="H636" s="9" t="n">
        <v>1310</v>
      </c>
      <c r="I636" s="9" t="inlineStr">
        <is>
          <t>Mid-Rotation Starter (SP2-3)</t>
        </is>
      </c>
      <c r="J636" s="17" t="inlineStr">
        <is>
          <t>Opening Day</t>
        </is>
      </c>
      <c r="K636" s="11">
        <f>IFERROR(INDEX(Roles!$B$17:$B$20,MATCH(J636,Roles!$A$17:$A$20,0)),1)</f>
        <v/>
      </c>
      <c r="L636" s="18" t="n">
        <v>1</v>
      </c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3">
        <f>SUMPRODUCT(M636:X636,$M$2:$X$2)*$K636*$L636</f>
        <v/>
      </c>
      <c r="Z636" s="14">
        <f>SUM(M636:X636)</f>
        <v/>
      </c>
      <c r="AA636" s="13">
        <f>SUMPRODUCT(M636:X636,$M$3:$X$3)*$K636*$L636</f>
        <v/>
      </c>
      <c r="AB636" s="13">
        <f>SUMPRODUCT(M636:X636,$M$4:$X$4)*$K636*$L636</f>
        <v/>
      </c>
      <c r="AC636" s="15">
        <f>SUMPRODUCT(M636:X636,$M$5:$X$5)*$K636*$L636</f>
        <v/>
      </c>
      <c r="AD636" s="15">
        <f>SUMPRODUCT(M636:X636,$M$6:$X$6)*$K636*$L636</f>
        <v/>
      </c>
      <c r="AE636" s="19" t="n"/>
    </row>
    <row r="637">
      <c r="A637" s="9" t="n">
        <v>685299</v>
      </c>
      <c r="B637" s="9" t="inlineStr">
        <is>
          <t>Tanner Gordon</t>
        </is>
      </c>
      <c r="C637" s="9" t="inlineStr">
        <is>
          <t>COL</t>
        </is>
      </c>
      <c r="D637" s="9" t="n">
        <v>29</v>
      </c>
      <c r="E637" s="17" t="inlineStr">
        <is>
          <t>R</t>
        </is>
      </c>
      <c r="F637" s="17" t="n"/>
      <c r="G637" s="9" t="n">
        <v>158</v>
      </c>
      <c r="H637" s="9" t="n">
        <v>655</v>
      </c>
      <c r="I637" s="9" t="inlineStr">
        <is>
          <t>End-of-Rotation Starter (SP4-5)</t>
        </is>
      </c>
      <c r="J637" s="17" t="inlineStr">
        <is>
          <t>Opening Day</t>
        </is>
      </c>
      <c r="K637" s="11">
        <f>IFERROR(INDEX(Roles!$B$17:$B$20,MATCH(J637,Roles!$A$17:$A$20,0)),1)</f>
        <v/>
      </c>
      <c r="L637" s="18" t="n">
        <v>1</v>
      </c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3">
        <f>SUMPRODUCT(M637:X637,$M$2:$X$2)*$K637*$L637</f>
        <v/>
      </c>
      <c r="Z637" s="14">
        <f>SUM(M637:X637)</f>
        <v/>
      </c>
      <c r="AA637" s="13">
        <f>SUMPRODUCT(M637:X637,$M$3:$X$3)*$K637*$L637</f>
        <v/>
      </c>
      <c r="AB637" s="13">
        <f>SUMPRODUCT(M637:X637,$M$4:$X$4)*$K637*$L637</f>
        <v/>
      </c>
      <c r="AC637" s="15">
        <f>SUMPRODUCT(M637:X637,$M$5:$X$5)*$K637*$L637</f>
        <v/>
      </c>
      <c r="AD637" s="15">
        <f>SUMPRODUCT(M637:X637,$M$6:$X$6)*$K637*$L637</f>
        <v/>
      </c>
      <c r="AE637" s="19" t="n"/>
    </row>
    <row r="638">
      <c r="A638" s="9" t="n">
        <v>680573</v>
      </c>
      <c r="B638" s="9" t="inlineStr">
        <is>
          <t>Simeon Woods Richardson</t>
        </is>
      </c>
      <c r="C638" s="9" t="inlineStr">
        <is>
          <t>TOR</t>
        </is>
      </c>
      <c r="D638" s="9" t="n">
        <v>26</v>
      </c>
      <c r="E638" s="17" t="inlineStr">
        <is>
          <t>R</t>
        </is>
      </c>
      <c r="F638" s="17" t="n"/>
      <c r="G638" s="9" t="n">
        <v>240</v>
      </c>
      <c r="H638" s="9" t="n">
        <v>1324</v>
      </c>
      <c r="I638" s="9" t="inlineStr">
        <is>
          <t>End-of-Rotation Starter (SP4-5)</t>
        </is>
      </c>
      <c r="J638" s="17" t="inlineStr">
        <is>
          <t>Opening Day</t>
        </is>
      </c>
      <c r="K638" s="11">
        <f>IFERROR(INDEX(Roles!$B$17:$B$20,MATCH(J638,Roles!$A$17:$A$20,0)),1)</f>
        <v/>
      </c>
      <c r="L638" s="18" t="n">
        <v>1</v>
      </c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3">
        <f>SUMPRODUCT(M638:X638,$M$2:$X$2)*$K638*$L638</f>
        <v/>
      </c>
      <c r="Z638" s="14">
        <f>SUM(M638:X638)</f>
        <v/>
      </c>
      <c r="AA638" s="13">
        <f>SUMPRODUCT(M638:X638,$M$3:$X$3)*$K638*$L638</f>
        <v/>
      </c>
      <c r="AB638" s="13">
        <f>SUMPRODUCT(M638:X638,$M$4:$X$4)*$K638*$L638</f>
        <v/>
      </c>
      <c r="AC638" s="15">
        <f>SUMPRODUCT(M638:X638,$M$5:$X$5)*$K638*$L638</f>
        <v/>
      </c>
      <c r="AD638" s="15">
        <f>SUMPRODUCT(M638:X638,$M$6:$X$6)*$K638*$L638</f>
        <v/>
      </c>
      <c r="AE638" s="19" t="n"/>
    </row>
    <row r="639">
      <c r="A639" s="9" t="n">
        <v>691725</v>
      </c>
      <c r="B639" s="9" t="inlineStr">
        <is>
          <t>Andrew Painter</t>
        </is>
      </c>
      <c r="C639" s="9" t="inlineStr">
        <is>
          <t>PHI</t>
        </is>
      </c>
      <c r="D639" s="9" t="n">
        <v>24</v>
      </c>
      <c r="E639" s="17" t="inlineStr">
        <is>
          <t>R</t>
        </is>
      </c>
      <c r="F639" s="17" t="n"/>
      <c r="G639" s="9" t="n">
        <v>261</v>
      </c>
      <c r="H639" s="9" t="n">
        <v>261</v>
      </c>
      <c r="I639" s="9" t="inlineStr">
        <is>
          <t>End-of-Rotation Starter (SP4-5)</t>
        </is>
      </c>
      <c r="J639" s="17" t="inlineStr">
        <is>
          <t>Opening Day</t>
        </is>
      </c>
      <c r="K639" s="11">
        <f>IFERROR(INDEX(Roles!$B$17:$B$20,MATCH(J639,Roles!$A$17:$A$20,0)),1)</f>
        <v/>
      </c>
      <c r="L639" s="18" t="n">
        <v>1</v>
      </c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3">
        <f>SUMPRODUCT(M639:X639,$M$2:$X$2)*$K639*$L639</f>
        <v/>
      </c>
      <c r="Z639" s="14">
        <f>SUM(M639:X639)</f>
        <v/>
      </c>
      <c r="AA639" s="13">
        <f>SUMPRODUCT(M639:X639,$M$3:$X$3)*$K639*$L639</f>
        <v/>
      </c>
      <c r="AB639" s="13">
        <f>SUMPRODUCT(M639:X639,$M$4:$X$4)*$K639*$L639</f>
        <v/>
      </c>
      <c r="AC639" s="15">
        <f>SUMPRODUCT(M639:X639,$M$5:$X$5)*$K639*$L639</f>
        <v/>
      </c>
      <c r="AD639" s="15">
        <f>SUMPRODUCT(M639:X639,$M$6:$X$6)*$K639*$L639</f>
        <v/>
      </c>
      <c r="AE639" s="19" t="n"/>
    </row>
    <row r="640">
      <c r="A640" s="9" t="n">
        <v>657044</v>
      </c>
      <c r="B640" s="9" t="inlineStr">
        <is>
          <t>Ryan Thompson</t>
        </is>
      </c>
      <c r="C640" s="9" t="inlineStr">
        <is>
          <t>ARI</t>
        </is>
      </c>
      <c r="D640" s="9" t="n">
        <v>35</v>
      </c>
      <c r="E640" s="17" t="inlineStr">
        <is>
          <t>R</t>
        </is>
      </c>
      <c r="F640" s="17" t="n"/>
      <c r="G640" s="9" t="n">
        <v>92</v>
      </c>
      <c r="H640" s="9" t="n">
        <v>841</v>
      </c>
      <c r="I640" s="9" t="inlineStr">
        <is>
          <t>Bullpen Depth Arm</t>
        </is>
      </c>
      <c r="J640" s="17" t="inlineStr">
        <is>
          <t>Opening Day</t>
        </is>
      </c>
      <c r="K640" s="11">
        <f>IFERROR(INDEX(Roles!$B$17:$B$20,MATCH(J640,Roles!$A$17:$A$20,0)),1)</f>
        <v/>
      </c>
      <c r="L640" s="18" t="n">
        <v>1</v>
      </c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3">
        <f>SUMPRODUCT(M640:X640,$M$2:$X$2)*$K640*$L640</f>
        <v/>
      </c>
      <c r="Z640" s="14">
        <f>SUM(M640:X640)</f>
        <v/>
      </c>
      <c r="AA640" s="13">
        <f>SUMPRODUCT(M640:X640,$M$3:$X$3)*$K640*$L640</f>
        <v/>
      </c>
      <c r="AB640" s="13">
        <f>SUMPRODUCT(M640:X640,$M$4:$X$4)*$K640*$L640</f>
        <v/>
      </c>
      <c r="AC640" s="15">
        <f>SUMPRODUCT(M640:X640,$M$5:$X$5)*$K640*$L640</f>
        <v/>
      </c>
      <c r="AD640" s="15">
        <f>SUMPRODUCT(M640:X640,$M$6:$X$6)*$K640*$L640</f>
        <v/>
      </c>
      <c r="AE640" s="19" t="n"/>
    </row>
    <row r="641">
      <c r="A641" s="9" t="n">
        <v>663738</v>
      </c>
      <c r="B641" s="9" t="inlineStr">
        <is>
          <t>Daniel Lynch IV</t>
        </is>
      </c>
      <c r="C641" s="9" t="inlineStr">
        <is>
          <t>KC</t>
        </is>
      </c>
      <c r="D641" s="9" t="n">
        <v>30</v>
      </c>
      <c r="E641" s="17" t="inlineStr">
        <is>
          <t>L</t>
        </is>
      </c>
      <c r="F641" s="17" t="n"/>
      <c r="G641" s="9" t="n">
        <v>111</v>
      </c>
      <c r="H641" s="9" t="n">
        <v>1397</v>
      </c>
      <c r="I641" s="9" t="inlineStr">
        <is>
          <t>Bullpen Depth Arm</t>
        </is>
      </c>
      <c r="J641" s="17" t="inlineStr">
        <is>
          <t>Opening Day</t>
        </is>
      </c>
      <c r="K641" s="11">
        <f>IFERROR(INDEX(Roles!$B$17:$B$20,MATCH(J641,Roles!$A$17:$A$20,0)),1)</f>
        <v/>
      </c>
      <c r="L641" s="18" t="n">
        <v>1</v>
      </c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3">
        <f>SUMPRODUCT(M641:X641,$M$2:$X$2)*$K641*$L641</f>
        <v/>
      </c>
      <c r="Z641" s="14">
        <f>SUM(M641:X641)</f>
        <v/>
      </c>
      <c r="AA641" s="13">
        <f>SUMPRODUCT(M641:X641,$M$3:$X$3)*$K641*$L641</f>
        <v/>
      </c>
      <c r="AB641" s="13">
        <f>SUMPRODUCT(M641:X641,$M$4:$X$4)*$K641*$L641</f>
        <v/>
      </c>
      <c r="AC641" s="15">
        <f>SUMPRODUCT(M641:X641,$M$5:$X$5)*$K641*$L641</f>
        <v/>
      </c>
      <c r="AD641" s="15">
        <f>SUMPRODUCT(M641:X641,$M$6:$X$6)*$K641*$L641</f>
        <v/>
      </c>
      <c r="AE641" s="19" t="n"/>
    </row>
    <row r="642">
      <c r="A642" s="9" t="n">
        <v>605182</v>
      </c>
      <c r="B642" s="9" t="inlineStr">
        <is>
          <t>Mike Clevinger</t>
        </is>
      </c>
      <c r="C642" s="9" t="inlineStr">
        <is>
          <t>CWS</t>
        </is>
      </c>
      <c r="D642" s="9" t="n">
        <v>36</v>
      </c>
      <c r="E642" s="17" t="inlineStr">
        <is>
          <t>R</t>
        </is>
      </c>
      <c r="F642" s="17" t="n"/>
      <c r="G642" s="9" t="n">
        <v>31</v>
      </c>
      <c r="H642" s="9" t="n">
        <v>1143</v>
      </c>
      <c r="I642" s="9" t="inlineStr">
        <is>
          <t>Bullpen Depth Arm</t>
        </is>
      </c>
      <c r="J642" s="17" t="inlineStr">
        <is>
          <t>Opening Day</t>
        </is>
      </c>
      <c r="K642" s="11">
        <f>IFERROR(INDEX(Roles!$B$17:$B$20,MATCH(J642,Roles!$A$17:$A$20,0)),1)</f>
        <v/>
      </c>
      <c r="L642" s="18" t="n">
        <v>1</v>
      </c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3">
        <f>SUMPRODUCT(M642:X642,$M$2:$X$2)*$K642*$L642</f>
        <v/>
      </c>
      <c r="Z642" s="14">
        <f>SUM(M642:X642)</f>
        <v/>
      </c>
      <c r="AA642" s="13">
        <f>SUMPRODUCT(M642:X642,$M$3:$X$3)*$K642*$L642</f>
        <v/>
      </c>
      <c r="AB642" s="13">
        <f>SUMPRODUCT(M642:X642,$M$4:$X$4)*$K642*$L642</f>
        <v/>
      </c>
      <c r="AC642" s="15">
        <f>SUMPRODUCT(M642:X642,$M$5:$X$5)*$K642*$L642</f>
        <v/>
      </c>
      <c r="AD642" s="15">
        <f>SUMPRODUCT(M642:X642,$M$6:$X$6)*$K642*$L642</f>
        <v/>
      </c>
      <c r="AE642" s="19" t="n"/>
    </row>
    <row r="643">
      <c r="A643" s="9" t="n">
        <v>663372</v>
      </c>
      <c r="B643" s="9" t="inlineStr">
        <is>
          <t>Ryan Feltner</t>
        </is>
      </c>
      <c r="C643" s="9" t="inlineStr">
        <is>
          <t>COL</t>
        </is>
      </c>
      <c r="D643" s="9" t="n">
        <v>30</v>
      </c>
      <c r="E643" s="17" t="inlineStr">
        <is>
          <t>R</t>
        </is>
      </c>
      <c r="F643" s="17" t="n"/>
      <c r="G643" s="9" t="n">
        <v>130</v>
      </c>
      <c r="H643" s="9" t="n">
        <v>1586</v>
      </c>
      <c r="I643" s="9" t="inlineStr">
        <is>
          <t>Mid-Rotation Starter (SP2-3)</t>
        </is>
      </c>
      <c r="J643" s="17" t="inlineStr">
        <is>
          <t>Opening Day</t>
        </is>
      </c>
      <c r="K643" s="11">
        <f>IFERROR(INDEX(Roles!$B$17:$B$20,MATCH(J643,Roles!$A$17:$A$20,0)),1)</f>
        <v/>
      </c>
      <c r="L643" s="18" t="n">
        <v>1</v>
      </c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3">
        <f>SUMPRODUCT(M643:X643,$M$2:$X$2)*$K643*$L643</f>
        <v/>
      </c>
      <c r="Z643" s="14">
        <f>SUM(M643:X643)</f>
        <v/>
      </c>
      <c r="AA643" s="13">
        <f>SUMPRODUCT(M643:X643,$M$3:$X$3)*$K643*$L643</f>
        <v/>
      </c>
      <c r="AB643" s="13">
        <f>SUMPRODUCT(M643:X643,$M$4:$X$4)*$K643*$L643</f>
        <v/>
      </c>
      <c r="AC643" s="15">
        <f>SUMPRODUCT(M643:X643,$M$5:$X$5)*$K643*$L643</f>
        <v/>
      </c>
      <c r="AD643" s="15">
        <f>SUMPRODUCT(M643:X643,$M$6:$X$6)*$K643*$L643</f>
        <v/>
      </c>
      <c r="AE643" s="19" t="n"/>
    </row>
    <row r="644">
      <c r="A644" s="9" t="n">
        <v>669461</v>
      </c>
      <c r="B644" s="9" t="inlineStr">
        <is>
          <t>Matthew Liberatore</t>
        </is>
      </c>
      <c r="C644" s="9" t="inlineStr">
        <is>
          <t>STL</t>
        </is>
      </c>
      <c r="D644" s="9" t="n">
        <v>27</v>
      </c>
      <c r="E644" s="17" t="inlineStr">
        <is>
          <t>L</t>
        </is>
      </c>
      <c r="F644" s="17" t="n"/>
      <c r="G644" s="9" t="n">
        <v>289</v>
      </c>
      <c r="H644" s="9" t="n">
        <v>1731</v>
      </c>
      <c r="I644" s="9" t="inlineStr">
        <is>
          <t>End-of-Rotation Starter (SP4-5)</t>
        </is>
      </c>
      <c r="J644" s="17" t="inlineStr">
        <is>
          <t>Opening Day</t>
        </is>
      </c>
      <c r="K644" s="11">
        <f>IFERROR(INDEX(Roles!$B$17:$B$20,MATCH(J644,Roles!$A$17:$A$20,0)),1)</f>
        <v/>
      </c>
      <c r="L644" s="18" t="n">
        <v>1</v>
      </c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3">
        <f>SUMPRODUCT(M644:X644,$M$2:$X$2)*$K644*$L644</f>
        <v/>
      </c>
      <c r="Z644" s="14">
        <f>SUM(M644:X644)</f>
        <v/>
      </c>
      <c r="AA644" s="13">
        <f>SUMPRODUCT(M644:X644,$M$3:$X$3)*$K644*$L644</f>
        <v/>
      </c>
      <c r="AB644" s="13">
        <f>SUMPRODUCT(M644:X644,$M$4:$X$4)*$K644*$L644</f>
        <v/>
      </c>
      <c r="AC644" s="15">
        <f>SUMPRODUCT(M644:X644,$M$5:$X$5)*$K644*$L644</f>
        <v/>
      </c>
      <c r="AD644" s="15">
        <f>SUMPRODUCT(M644:X644,$M$6:$X$6)*$K644*$L644</f>
        <v/>
      </c>
      <c r="AE644" s="19" t="n"/>
    </row>
    <row r="645">
      <c r="A645" s="9" t="n">
        <v>682227</v>
      </c>
      <c r="B645" s="9" t="inlineStr">
        <is>
          <t>Brandon Williamson</t>
        </is>
      </c>
      <c r="C645" s="9" t="inlineStr">
        <is>
          <t>CIN</t>
        </is>
      </c>
      <c r="D645" s="9" t="n">
        <v>29</v>
      </c>
      <c r="E645" s="17" t="inlineStr">
        <is>
          <t>L</t>
        </is>
      </c>
      <c r="F645" s="17" t="n"/>
      <c r="G645" s="9" t="n">
        <v>128</v>
      </c>
      <c r="H645" s="9" t="n">
        <v>678</v>
      </c>
      <c r="I645" s="9" t="inlineStr">
        <is>
          <t>End-of-Rotation Starter (SP4-5)</t>
        </is>
      </c>
      <c r="J645" s="17" t="inlineStr">
        <is>
          <t>Opening Day</t>
        </is>
      </c>
      <c r="K645" s="11">
        <f>IFERROR(INDEX(Roles!$B$17:$B$20,MATCH(J645,Roles!$A$17:$A$20,0)),1)</f>
        <v/>
      </c>
      <c r="L645" s="18" t="n">
        <v>1</v>
      </c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3">
        <f>SUMPRODUCT(M645:X645,$M$2:$X$2)*$K645*$L645</f>
        <v/>
      </c>
      <c r="Z645" s="14">
        <f>SUM(M645:X645)</f>
        <v/>
      </c>
      <c r="AA645" s="13">
        <f>SUMPRODUCT(M645:X645,$M$3:$X$3)*$K645*$L645</f>
        <v/>
      </c>
      <c r="AB645" s="13">
        <f>SUMPRODUCT(M645:X645,$M$4:$X$4)*$K645*$L645</f>
        <v/>
      </c>
      <c r="AC645" s="15">
        <f>SUMPRODUCT(M645:X645,$M$5:$X$5)*$K645*$L645</f>
        <v/>
      </c>
      <c r="AD645" s="15">
        <f>SUMPRODUCT(M645:X645,$M$6:$X$6)*$K645*$L645</f>
        <v/>
      </c>
      <c r="AE645" s="19" t="n"/>
    </row>
    <row r="646">
      <c r="A646" s="9" t="n">
        <v>672710</v>
      </c>
      <c r="B646" s="9" t="inlineStr">
        <is>
          <t>Roansy Contreras</t>
        </is>
      </c>
      <c r="C646" s="9" t="inlineStr">
        <is>
          <t>COL</t>
        </is>
      </c>
      <c r="D646" s="9" t="n">
        <v>27</v>
      </c>
      <c r="E646" s="17" t="inlineStr">
        <is>
          <t>R</t>
        </is>
      </c>
      <c r="F646" s="17" t="n"/>
      <c r="G646" s="9" t="n">
        <v>51</v>
      </c>
      <c r="H646" s="9" t="n">
        <v>1059</v>
      </c>
      <c r="I646" s="9" t="inlineStr">
        <is>
          <t>Bullpen Depth Arm</t>
        </is>
      </c>
      <c r="J646" s="17" t="inlineStr">
        <is>
          <t>Opening Day</t>
        </is>
      </c>
      <c r="K646" s="11">
        <f>IFERROR(INDEX(Roles!$B$17:$B$20,MATCH(J646,Roles!$A$17:$A$20,0)),1)</f>
        <v/>
      </c>
      <c r="L646" s="18" t="n">
        <v>1</v>
      </c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3">
        <f>SUMPRODUCT(M646:X646,$M$2:$X$2)*$K646*$L646</f>
        <v/>
      </c>
      <c r="Z646" s="14">
        <f>SUM(M646:X646)</f>
        <v/>
      </c>
      <c r="AA646" s="13">
        <f>SUMPRODUCT(M646:X646,$M$3:$X$3)*$K646*$L646</f>
        <v/>
      </c>
      <c r="AB646" s="13">
        <f>SUMPRODUCT(M646:X646,$M$4:$X$4)*$K646*$L646</f>
        <v/>
      </c>
      <c r="AC646" s="15">
        <f>SUMPRODUCT(M646:X646,$M$5:$X$5)*$K646*$L646</f>
        <v/>
      </c>
      <c r="AD646" s="15">
        <f>SUMPRODUCT(M646:X646,$M$6:$X$6)*$K646*$L646</f>
        <v/>
      </c>
      <c r="AE646" s="19" t="n"/>
    </row>
    <row r="647">
      <c r="A647" s="9" t="n">
        <v>685314</v>
      </c>
      <c r="B647" s="9" t="inlineStr">
        <is>
          <t>Andrew Saalfrank</t>
        </is>
      </c>
      <c r="C647" s="9" t="inlineStr">
        <is>
          <t>ARI</t>
        </is>
      </c>
      <c r="D647" s="9" t="n">
        <v>29</v>
      </c>
      <c r="E647" s="17" t="inlineStr">
        <is>
          <t>L</t>
        </is>
      </c>
      <c r="F647" s="17" t="n"/>
      <c r="G647" s="9" t="n">
        <v>113</v>
      </c>
      <c r="H647" s="9" t="n">
        <v>162</v>
      </c>
      <c r="I647" s="9" t="inlineStr">
        <is>
          <t>Bullpen Depth Arm</t>
        </is>
      </c>
      <c r="J647" s="17" t="inlineStr">
        <is>
          <t>Opening Day</t>
        </is>
      </c>
      <c r="K647" s="11">
        <f>IFERROR(INDEX(Roles!$B$17:$B$20,MATCH(J647,Roles!$A$17:$A$20,0)),1)</f>
        <v/>
      </c>
      <c r="L647" s="18" t="n">
        <v>1</v>
      </c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3">
        <f>SUMPRODUCT(M647:X647,$M$2:$X$2)*$K647*$L647</f>
        <v/>
      </c>
      <c r="Z647" s="14">
        <f>SUM(M647:X647)</f>
        <v/>
      </c>
      <c r="AA647" s="13">
        <f>SUMPRODUCT(M647:X647,$M$3:$X$3)*$K647*$L647</f>
        <v/>
      </c>
      <c r="AB647" s="13">
        <f>SUMPRODUCT(M647:X647,$M$4:$X$4)*$K647*$L647</f>
        <v/>
      </c>
      <c r="AC647" s="15">
        <f>SUMPRODUCT(M647:X647,$M$5:$X$5)*$K647*$L647</f>
        <v/>
      </c>
      <c r="AD647" s="15">
        <f>SUMPRODUCT(M647:X647,$M$6:$X$6)*$K647*$L647</f>
        <v/>
      </c>
      <c r="AE647" s="19" t="n"/>
    </row>
    <row r="648">
      <c r="A648" s="9" t="n">
        <v>666168</v>
      </c>
      <c r="B648" s="9" t="inlineStr">
        <is>
          <t>Mason Thompson</t>
        </is>
      </c>
      <c r="C648" s="9" t="inlineStr">
        <is>
          <t>WSH</t>
        </is>
      </c>
      <c r="D648" s="9" t="n">
        <v>29</v>
      </c>
      <c r="E648" s="17" t="inlineStr">
        <is>
          <t>R</t>
        </is>
      </c>
      <c r="F648" s="17" t="n"/>
      <c r="G648" s="9" t="n">
        <v>60</v>
      </c>
      <c r="H648" s="9" t="n">
        <v>401</v>
      </c>
      <c r="I648" s="9" t="inlineStr">
        <is>
          <t>Bullpen Depth Arm</t>
        </is>
      </c>
      <c r="J648" s="17" t="inlineStr">
        <is>
          <t>Opening Day</t>
        </is>
      </c>
      <c r="K648" s="11">
        <f>IFERROR(INDEX(Roles!$B$17:$B$20,MATCH(J648,Roles!$A$17:$A$20,0)),1)</f>
        <v/>
      </c>
      <c r="L648" s="18" t="n">
        <v>1</v>
      </c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3">
        <f>SUMPRODUCT(M648:X648,$M$2:$X$2)*$K648*$L648</f>
        <v/>
      </c>
      <c r="Z648" s="14">
        <f>SUM(M648:X648)</f>
        <v/>
      </c>
      <c r="AA648" s="13">
        <f>SUMPRODUCT(M648:X648,$M$3:$X$3)*$K648*$L648</f>
        <v/>
      </c>
      <c r="AB648" s="13">
        <f>SUMPRODUCT(M648:X648,$M$4:$X$4)*$K648*$L648</f>
        <v/>
      </c>
      <c r="AC648" s="15">
        <f>SUMPRODUCT(M648:X648,$M$5:$X$5)*$K648*$L648</f>
        <v/>
      </c>
      <c r="AD648" s="15">
        <f>SUMPRODUCT(M648:X648,$M$6:$X$6)*$K648*$L648</f>
        <v/>
      </c>
      <c r="AE648" s="19" t="n"/>
    </row>
    <row r="649">
      <c r="A649" s="9" t="n">
        <v>608718</v>
      </c>
      <c r="B649" s="9" t="inlineStr">
        <is>
          <t>Brent Suter</t>
        </is>
      </c>
      <c r="C649" s="9" t="inlineStr">
        <is>
          <t>LAA</t>
        </is>
      </c>
      <c r="D649" s="9" t="n">
        <v>37</v>
      </c>
      <c r="E649" s="17" t="inlineStr">
        <is>
          <t>L</t>
        </is>
      </c>
      <c r="F649" s="17" t="n"/>
      <c r="G649" s="9" t="n">
        <v>156</v>
      </c>
      <c r="H649" s="9" t="n">
        <v>1281</v>
      </c>
      <c r="I649" s="9" t="inlineStr">
        <is>
          <t>Bullpen Depth Arm</t>
        </is>
      </c>
      <c r="J649" s="17" t="inlineStr">
        <is>
          <t>Opening Day</t>
        </is>
      </c>
      <c r="K649" s="11">
        <f>IFERROR(INDEX(Roles!$B$17:$B$20,MATCH(J649,Roles!$A$17:$A$20,0)),1)</f>
        <v/>
      </c>
      <c r="L649" s="18" t="n">
        <v>1</v>
      </c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3">
        <f>SUMPRODUCT(M649:X649,$M$2:$X$2)*$K649*$L649</f>
        <v/>
      </c>
      <c r="Z649" s="14">
        <f>SUM(M649:X649)</f>
        <v/>
      </c>
      <c r="AA649" s="13">
        <f>SUMPRODUCT(M649:X649,$M$3:$X$3)*$K649*$L649</f>
        <v/>
      </c>
      <c r="AB649" s="13">
        <f>SUMPRODUCT(M649:X649,$M$4:$X$4)*$K649*$L649</f>
        <v/>
      </c>
      <c r="AC649" s="15">
        <f>SUMPRODUCT(M649:X649,$M$5:$X$5)*$K649*$L649</f>
        <v/>
      </c>
      <c r="AD649" s="15">
        <f>SUMPRODUCT(M649:X649,$M$6:$X$6)*$K649*$L649</f>
        <v/>
      </c>
      <c r="AE649" s="19" t="n"/>
    </row>
    <row r="650">
      <c r="A650" s="9" t="n">
        <v>593974</v>
      </c>
      <c r="B650" s="9" t="inlineStr">
        <is>
          <t>Wandy Peralta</t>
        </is>
      </c>
      <c r="C650" s="9" t="inlineStr">
        <is>
          <t>SD</t>
        </is>
      </c>
      <c r="D650" s="9" t="n">
        <v>35</v>
      </c>
      <c r="E650" s="17" t="inlineStr">
        <is>
          <t>L</t>
        </is>
      </c>
      <c r="F650" s="17" t="n"/>
      <c r="G650" s="9" t="n">
        <v>128</v>
      </c>
      <c r="H650" s="9" t="n">
        <v>1053</v>
      </c>
      <c r="I650" s="9" t="inlineStr">
        <is>
          <t>Bullpen Depth Arm</t>
        </is>
      </c>
      <c r="J650" s="17" t="inlineStr">
        <is>
          <t>Opening Day</t>
        </is>
      </c>
      <c r="K650" s="11">
        <f>IFERROR(INDEX(Roles!$B$17:$B$20,MATCH(J650,Roles!$A$17:$A$20,0)),1)</f>
        <v/>
      </c>
      <c r="L650" s="18" t="n">
        <v>1</v>
      </c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3">
        <f>SUMPRODUCT(M650:X650,$M$2:$X$2)*$K650*$L650</f>
        <v/>
      </c>
      <c r="Z650" s="14">
        <f>SUM(M650:X650)</f>
        <v/>
      </c>
      <c r="AA650" s="13">
        <f>SUMPRODUCT(M650:X650,$M$3:$X$3)*$K650*$L650</f>
        <v/>
      </c>
      <c r="AB650" s="13">
        <f>SUMPRODUCT(M650:X650,$M$4:$X$4)*$K650*$L650</f>
        <v/>
      </c>
      <c r="AC650" s="15">
        <f>SUMPRODUCT(M650:X650,$M$5:$X$5)*$K650*$L650</f>
        <v/>
      </c>
      <c r="AD650" s="15">
        <f>SUMPRODUCT(M650:X650,$M$6:$X$6)*$K650*$L650</f>
        <v/>
      </c>
      <c r="AE650" s="19" t="n"/>
    </row>
    <row r="651">
      <c r="A651" s="9" t="n">
        <v>693821</v>
      </c>
      <c r="B651" s="9" t="inlineStr">
        <is>
          <t>Bryce Elder</t>
        </is>
      </c>
      <c r="C651" s="9" t="inlineStr">
        <is>
          <t>ATL</t>
        </is>
      </c>
      <c r="D651" s="9" t="n">
        <v>28</v>
      </c>
      <c r="E651" s="17" t="inlineStr">
        <is>
          <t>R</t>
        </is>
      </c>
      <c r="F651" s="17" t="n"/>
      <c r="G651" s="9" t="n">
        <v>342</v>
      </c>
      <c r="H651" s="9" t="n">
        <v>2206</v>
      </c>
      <c r="I651" s="9" t="inlineStr">
        <is>
          <t>Mid-Rotation Starter (SP2-3)</t>
        </is>
      </c>
      <c r="J651" s="17" t="inlineStr">
        <is>
          <t>Opening Day</t>
        </is>
      </c>
      <c r="K651" s="11">
        <f>IFERROR(INDEX(Roles!$B$17:$B$20,MATCH(J651,Roles!$A$17:$A$20,0)),1)</f>
        <v/>
      </c>
      <c r="L651" s="18" t="n">
        <v>1</v>
      </c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3">
        <f>SUMPRODUCT(M651:X651,$M$2:$X$2)*$K651*$L651</f>
        <v/>
      </c>
      <c r="Z651" s="14">
        <f>SUM(M651:X651)</f>
        <v/>
      </c>
      <c r="AA651" s="13">
        <f>SUMPRODUCT(M651:X651,$M$3:$X$3)*$K651*$L651</f>
        <v/>
      </c>
      <c r="AB651" s="13">
        <f>SUMPRODUCT(M651:X651,$M$4:$X$4)*$K651*$L651</f>
        <v/>
      </c>
      <c r="AC651" s="15">
        <f>SUMPRODUCT(M651:X651,$M$5:$X$5)*$K651*$L651</f>
        <v/>
      </c>
      <c r="AD651" s="15">
        <f>SUMPRODUCT(M651:X651,$M$6:$X$6)*$K651*$L651</f>
        <v/>
      </c>
      <c r="AE651" s="19" t="n"/>
    </row>
    <row r="652">
      <c r="A652" s="9" t="n">
        <v>676568</v>
      </c>
      <c r="B652" s="9" t="inlineStr">
        <is>
          <t>Ricky Vanasco</t>
        </is>
      </c>
      <c r="C652" s="9" t="inlineStr">
        <is>
          <t>DET</t>
        </is>
      </c>
      <c r="D652" s="9" t="n">
        <v>28</v>
      </c>
      <c r="E652" s="17" t="inlineStr">
        <is>
          <t>R</t>
        </is>
      </c>
      <c r="F652" s="17" t="n"/>
      <c r="G652" s="9" t="n">
        <v>40</v>
      </c>
      <c r="H652" s="9" t="n">
        <v>55</v>
      </c>
      <c r="I652" s="9" t="inlineStr">
        <is>
          <t>Bullpen Depth Arm</t>
        </is>
      </c>
      <c r="J652" s="17" t="inlineStr">
        <is>
          <t>Opening Day</t>
        </is>
      </c>
      <c r="K652" s="11">
        <f>IFERROR(INDEX(Roles!$B$17:$B$20,MATCH(J652,Roles!$A$17:$A$20,0)),1)</f>
        <v/>
      </c>
      <c r="L652" s="18" t="n">
        <v>1</v>
      </c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3">
        <f>SUMPRODUCT(M652:X652,$M$2:$X$2)*$K652*$L652</f>
        <v/>
      </c>
      <c r="Z652" s="14">
        <f>SUM(M652:X652)</f>
        <v/>
      </c>
      <c r="AA652" s="13">
        <f>SUMPRODUCT(M652:X652,$M$3:$X$3)*$K652*$L652</f>
        <v/>
      </c>
      <c r="AB652" s="13">
        <f>SUMPRODUCT(M652:X652,$M$4:$X$4)*$K652*$L652</f>
        <v/>
      </c>
      <c r="AC652" s="15">
        <f>SUMPRODUCT(M652:X652,$M$5:$X$5)*$K652*$L652</f>
        <v/>
      </c>
      <c r="AD652" s="15">
        <f>SUMPRODUCT(M652:X652,$M$6:$X$6)*$K652*$L652</f>
        <v/>
      </c>
      <c r="AE652" s="19" t="n"/>
    </row>
    <row r="653">
      <c r="A653" s="9" t="n">
        <v>471911</v>
      </c>
      <c r="B653" s="9" t="inlineStr">
        <is>
          <t>Carlos Carrasco</t>
        </is>
      </c>
      <c r="C653" s="9" t="inlineStr">
        <is>
          <t>ATL</t>
        </is>
      </c>
      <c r="D653" s="9" t="n">
        <v>40</v>
      </c>
      <c r="E653" s="17" t="inlineStr">
        <is>
          <t>R</t>
        </is>
      </c>
      <c r="F653" s="17" t="n"/>
      <c r="G653" s="9" t="n">
        <v>37</v>
      </c>
      <c r="H653" s="9" t="n">
        <v>1758</v>
      </c>
      <c r="I653" s="9" t="inlineStr">
        <is>
          <t>End-of-Rotation Starter (SP4-5)</t>
        </is>
      </c>
      <c r="J653" s="17" t="inlineStr">
        <is>
          <t>Opening Day</t>
        </is>
      </c>
      <c r="K653" s="11">
        <f>IFERROR(INDEX(Roles!$B$17:$B$20,MATCH(J653,Roles!$A$17:$A$20,0)),1)</f>
        <v/>
      </c>
      <c r="L653" s="18" t="n">
        <v>1</v>
      </c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3">
        <f>SUMPRODUCT(M653:X653,$M$2:$X$2)*$K653*$L653</f>
        <v/>
      </c>
      <c r="Z653" s="14">
        <f>SUM(M653:X653)</f>
        <v/>
      </c>
      <c r="AA653" s="13">
        <f>SUMPRODUCT(M653:X653,$M$3:$X$3)*$K653*$L653</f>
        <v/>
      </c>
      <c r="AB653" s="13">
        <f>SUMPRODUCT(M653:X653,$M$4:$X$4)*$K653*$L653</f>
        <v/>
      </c>
      <c r="AC653" s="15">
        <f>SUMPRODUCT(M653:X653,$M$5:$X$5)*$K653*$L653</f>
        <v/>
      </c>
      <c r="AD653" s="15">
        <f>SUMPRODUCT(M653:X653,$M$6:$X$6)*$K653*$L653</f>
        <v/>
      </c>
      <c r="AE653" s="19" t="n"/>
    </row>
    <row r="654">
      <c r="A654" s="9" t="n">
        <v>675512</v>
      </c>
      <c r="B654" s="9" t="inlineStr">
        <is>
          <t>Troy Melton</t>
        </is>
      </c>
      <c r="C654" s="9" t="inlineStr">
        <is>
          <t>DET</t>
        </is>
      </c>
      <c r="D654" s="9" t="n">
        <v>26</v>
      </c>
      <c r="E654" s="17" t="inlineStr">
        <is>
          <t>R</t>
        </is>
      </c>
      <c r="F654" s="17" t="n"/>
      <c r="G654" s="9" t="n">
        <v>102</v>
      </c>
      <c r="H654" s="9" t="n">
        <v>282</v>
      </c>
      <c r="I654" s="9" t="inlineStr">
        <is>
          <t>End-of-Rotation Starter (SP4-5)</t>
        </is>
      </c>
      <c r="J654" s="17" t="inlineStr">
        <is>
          <t>Opening Day</t>
        </is>
      </c>
      <c r="K654" s="11">
        <f>IFERROR(INDEX(Roles!$B$17:$B$20,MATCH(J654,Roles!$A$17:$A$20,0)),1)</f>
        <v/>
      </c>
      <c r="L654" s="18" t="n">
        <v>1</v>
      </c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3">
        <f>SUMPRODUCT(M654:X654,$M$2:$X$2)*$K654*$L654</f>
        <v/>
      </c>
      <c r="Z654" s="14">
        <f>SUM(M654:X654)</f>
        <v/>
      </c>
      <c r="AA654" s="13">
        <f>SUMPRODUCT(M654:X654,$M$3:$X$3)*$K654*$L654</f>
        <v/>
      </c>
      <c r="AB654" s="13">
        <f>SUMPRODUCT(M654:X654,$M$4:$X$4)*$K654*$L654</f>
        <v/>
      </c>
      <c r="AC654" s="15">
        <f>SUMPRODUCT(M654:X654,$M$5:$X$5)*$K654*$L654</f>
        <v/>
      </c>
      <c r="AD654" s="15">
        <f>SUMPRODUCT(M654:X654,$M$6:$X$6)*$K654*$L654</f>
        <v/>
      </c>
      <c r="AE654" s="19" t="n"/>
    </row>
    <row r="655">
      <c r="A655" s="9" t="n">
        <v>544150</v>
      </c>
      <c r="B655" s="9" t="inlineStr">
        <is>
          <t>Albert Suárez</t>
        </is>
      </c>
      <c r="C655" s="9" t="inlineStr">
        <is>
          <t>BAL</t>
        </is>
      </c>
      <c r="D655" s="9" t="n">
        <v>37</v>
      </c>
      <c r="E655" s="17" t="inlineStr">
        <is>
          <t>R</t>
        </is>
      </c>
      <c r="F655" s="17" t="n"/>
      <c r="G655" s="9" t="n">
        <v>116</v>
      </c>
      <c r="H655" s="9" t="n">
        <v>725</v>
      </c>
      <c r="I655" s="9" t="inlineStr">
        <is>
          <t>End-of-Rotation Starter (SP4-5)</t>
        </is>
      </c>
      <c r="J655" s="17" t="inlineStr">
        <is>
          <t>Opening Day</t>
        </is>
      </c>
      <c r="K655" s="11">
        <f>IFERROR(INDEX(Roles!$B$17:$B$20,MATCH(J655,Roles!$A$17:$A$20,0)),1)</f>
        <v/>
      </c>
      <c r="L655" s="18" t="n">
        <v>1</v>
      </c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3">
        <f>SUMPRODUCT(M655:X655,$M$2:$X$2)*$K655*$L655</f>
        <v/>
      </c>
      <c r="Z655" s="14">
        <f>SUM(M655:X655)</f>
        <v/>
      </c>
      <c r="AA655" s="13">
        <f>SUMPRODUCT(M655:X655,$M$3:$X$3)*$K655*$L655</f>
        <v/>
      </c>
      <c r="AB655" s="13">
        <f>SUMPRODUCT(M655:X655,$M$4:$X$4)*$K655*$L655</f>
        <v/>
      </c>
      <c r="AC655" s="15">
        <f>SUMPRODUCT(M655:X655,$M$5:$X$5)*$K655*$L655</f>
        <v/>
      </c>
      <c r="AD655" s="15">
        <f>SUMPRODUCT(M655:X655,$M$6:$X$6)*$K655*$L655</f>
        <v/>
      </c>
      <c r="AE655" s="19" t="n"/>
    </row>
    <row r="656">
      <c r="A656" s="9" t="n">
        <v>676106</v>
      </c>
      <c r="B656" s="9" t="inlineStr">
        <is>
          <t>Emerson Hancock</t>
        </is>
      </c>
      <c r="C656" s="9" t="inlineStr">
        <is>
          <t>SEA</t>
        </is>
      </c>
      <c r="D656" s="9" t="n">
        <v>28</v>
      </c>
      <c r="E656" s="17" t="inlineStr">
        <is>
          <t>R</t>
        </is>
      </c>
      <c r="F656" s="17" t="n"/>
      <c r="G656" s="9" t="n">
        <v>292</v>
      </c>
      <c r="H656" s="9" t="n">
        <v>992</v>
      </c>
      <c r="I656" s="9" t="inlineStr">
        <is>
          <t>End-of-Rotation Starter (SP4-5)</t>
        </is>
      </c>
      <c r="J656" s="17" t="inlineStr">
        <is>
          <t>Opening Day</t>
        </is>
      </c>
      <c r="K656" s="11">
        <f>IFERROR(INDEX(Roles!$B$17:$B$20,MATCH(J656,Roles!$A$17:$A$20,0)),1)</f>
        <v/>
      </c>
      <c r="L656" s="18" t="n">
        <v>1</v>
      </c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3">
        <f>SUMPRODUCT(M656:X656,$M$2:$X$2)*$K656*$L656</f>
        <v/>
      </c>
      <c r="Z656" s="14">
        <f>SUM(M656:X656)</f>
        <v/>
      </c>
      <c r="AA656" s="13">
        <f>SUMPRODUCT(M656:X656,$M$3:$X$3)*$K656*$L656</f>
        <v/>
      </c>
      <c r="AB656" s="13">
        <f>SUMPRODUCT(M656:X656,$M$4:$X$4)*$K656*$L656</f>
        <v/>
      </c>
      <c r="AC656" s="15">
        <f>SUMPRODUCT(M656:X656,$M$5:$X$5)*$K656*$L656</f>
        <v/>
      </c>
      <c r="AD656" s="15">
        <f>SUMPRODUCT(M656:X656,$M$6:$X$6)*$K656*$L656</f>
        <v/>
      </c>
      <c r="AE656" s="19" t="n"/>
    </row>
    <row r="657">
      <c r="A657" s="9" t="n">
        <v>607067</v>
      </c>
      <c r="B657" s="9" t="inlineStr">
        <is>
          <t>Colin Rea</t>
        </is>
      </c>
      <c r="C657" s="9" t="inlineStr">
        <is>
          <t>CHC</t>
        </is>
      </c>
      <c r="D657" s="9" t="n">
        <v>36</v>
      </c>
      <c r="E657" s="17" t="inlineStr">
        <is>
          <t>R</t>
        </is>
      </c>
      <c r="F657" s="17" t="n"/>
      <c r="G657" s="9" t="n">
        <v>304</v>
      </c>
      <c r="H657" s="9" t="n">
        <v>2197</v>
      </c>
      <c r="I657" s="9" t="inlineStr">
        <is>
          <t>Mid-Rotation Starter (SP2-3)</t>
        </is>
      </c>
      <c r="J657" s="17" t="inlineStr">
        <is>
          <t>Opening Day</t>
        </is>
      </c>
      <c r="K657" s="11">
        <f>IFERROR(INDEX(Roles!$B$17:$B$20,MATCH(J657,Roles!$A$17:$A$20,0)),1)</f>
        <v/>
      </c>
      <c r="L657" s="18" t="n">
        <v>1</v>
      </c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3">
        <f>SUMPRODUCT(M657:X657,$M$2:$X$2)*$K657*$L657</f>
        <v/>
      </c>
      <c r="Z657" s="14">
        <f>SUM(M657:X657)</f>
        <v/>
      </c>
      <c r="AA657" s="13">
        <f>SUMPRODUCT(M657:X657,$M$3:$X$3)*$K657*$L657</f>
        <v/>
      </c>
      <c r="AB657" s="13">
        <f>SUMPRODUCT(M657:X657,$M$4:$X$4)*$K657*$L657</f>
        <v/>
      </c>
      <c r="AC657" s="15">
        <f>SUMPRODUCT(M657:X657,$M$5:$X$5)*$K657*$L657</f>
        <v/>
      </c>
      <c r="AD657" s="15">
        <f>SUMPRODUCT(M657:X657,$M$6:$X$6)*$K657*$L657</f>
        <v/>
      </c>
      <c r="AE657" s="19" t="n"/>
    </row>
    <row r="658">
      <c r="A658" s="9" t="n">
        <v>621199</v>
      </c>
      <c r="B658" s="9" t="inlineStr">
        <is>
          <t>Matt Bowman</t>
        </is>
      </c>
      <c r="C658" s="9" t="inlineStr">
        <is>
          <t>BAL</t>
        </is>
      </c>
      <c r="D658" s="9" t="n">
        <v>36</v>
      </c>
      <c r="E658" s="17" t="inlineStr">
        <is>
          <t>R</t>
        </is>
      </c>
      <c r="F658" s="17" t="n"/>
      <c r="G658" s="9" t="n">
        <v>114</v>
      </c>
      <c r="H658" s="9" t="n">
        <v>266</v>
      </c>
      <c r="I658" s="9" t="inlineStr">
        <is>
          <t>Bullpen Depth Arm</t>
        </is>
      </c>
      <c r="J658" s="17" t="inlineStr">
        <is>
          <t>Opening Day</t>
        </is>
      </c>
      <c r="K658" s="11">
        <f>IFERROR(INDEX(Roles!$B$17:$B$20,MATCH(J658,Roles!$A$17:$A$20,0)),1)</f>
        <v/>
      </c>
      <c r="L658" s="18" t="n">
        <v>1</v>
      </c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3">
        <f>SUMPRODUCT(M658:X658,$M$2:$X$2)*$K658*$L658</f>
        <v/>
      </c>
      <c r="Z658" s="14">
        <f>SUM(M658:X658)</f>
        <v/>
      </c>
      <c r="AA658" s="13">
        <f>SUMPRODUCT(M658:X658,$M$3:$X$3)*$K658*$L658</f>
        <v/>
      </c>
      <c r="AB658" s="13">
        <f>SUMPRODUCT(M658:X658,$M$4:$X$4)*$K658*$L658</f>
        <v/>
      </c>
      <c r="AC658" s="15">
        <f>SUMPRODUCT(M658:X658,$M$5:$X$5)*$K658*$L658</f>
        <v/>
      </c>
      <c r="AD658" s="15">
        <f>SUMPRODUCT(M658:X658,$M$6:$X$6)*$K658*$L658</f>
        <v/>
      </c>
      <c r="AE658" s="19" t="n"/>
    </row>
    <row r="659">
      <c r="A659" s="9" t="n">
        <v>592866</v>
      </c>
      <c r="B659" s="9" t="inlineStr">
        <is>
          <t>Trevor Williams</t>
        </is>
      </c>
      <c r="C659" s="9" t="inlineStr">
        <is>
          <t>WSH</t>
        </is>
      </c>
      <c r="D659" s="9" t="n">
        <v>35</v>
      </c>
      <c r="E659" s="17" t="inlineStr">
        <is>
          <t>R</t>
        </is>
      </c>
      <c r="F659" s="17" t="n"/>
      <c r="G659" s="9" t="n">
        <v>373</v>
      </c>
      <c r="H659" s="9" t="n">
        <v>1664</v>
      </c>
      <c r="I659" s="9" t="inlineStr">
        <is>
          <t>End-of-Rotation Starter (SP4-5)</t>
        </is>
      </c>
      <c r="J659" s="17" t="inlineStr">
        <is>
          <t>Opening Day</t>
        </is>
      </c>
      <c r="K659" s="11">
        <f>IFERROR(INDEX(Roles!$B$17:$B$20,MATCH(J659,Roles!$A$17:$A$20,0)),1)</f>
        <v/>
      </c>
      <c r="L659" s="18" t="n">
        <v>1</v>
      </c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3">
        <f>SUMPRODUCT(M659:X659,$M$2:$X$2)*$K659*$L659</f>
        <v/>
      </c>
      <c r="Z659" s="14">
        <f>SUM(M659:X659)</f>
        <v/>
      </c>
      <c r="AA659" s="13">
        <f>SUMPRODUCT(M659:X659,$M$3:$X$3)*$K659*$L659</f>
        <v/>
      </c>
      <c r="AB659" s="13">
        <f>SUMPRODUCT(M659:X659,$M$4:$X$4)*$K659*$L659</f>
        <v/>
      </c>
      <c r="AC659" s="15">
        <f>SUMPRODUCT(M659:X659,$M$5:$X$5)*$K659*$L659</f>
        <v/>
      </c>
      <c r="AD659" s="15">
        <f>SUMPRODUCT(M659:X659,$M$6:$X$6)*$K659*$L659</f>
        <v/>
      </c>
      <c r="AE659" s="19" t="n"/>
    </row>
    <row r="660">
      <c r="A660" s="9" t="n">
        <v>664353</v>
      </c>
      <c r="B660" s="9" t="inlineStr">
        <is>
          <t>José Urquidy</t>
        </is>
      </c>
      <c r="C660" s="9" t="inlineStr">
        <is>
          <t>PIT</t>
        </is>
      </c>
      <c r="D660" s="9" t="n">
        <v>32</v>
      </c>
      <c r="E660" s="17" t="inlineStr">
        <is>
          <t>R</t>
        </is>
      </c>
      <c r="F660" s="17" t="n"/>
      <c r="G660" s="9" t="n">
        <v>36</v>
      </c>
      <c r="H660" s="9" t="n">
        <v>1006</v>
      </c>
      <c r="I660" s="9" t="inlineStr">
        <is>
          <t>Bullpen Depth Arm</t>
        </is>
      </c>
      <c r="J660" s="17" t="inlineStr">
        <is>
          <t>Opening Day</t>
        </is>
      </c>
      <c r="K660" s="11">
        <f>IFERROR(INDEX(Roles!$B$17:$B$20,MATCH(J660,Roles!$A$17:$A$20,0)),1)</f>
        <v/>
      </c>
      <c r="L660" s="18" t="n">
        <v>1</v>
      </c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3">
        <f>SUMPRODUCT(M660:X660,$M$2:$X$2)*$K660*$L660</f>
        <v/>
      </c>
      <c r="Z660" s="14">
        <f>SUM(M660:X660)</f>
        <v/>
      </c>
      <c r="AA660" s="13">
        <f>SUMPRODUCT(M660:X660,$M$3:$X$3)*$K660*$L660</f>
        <v/>
      </c>
      <c r="AB660" s="13">
        <f>SUMPRODUCT(M660:X660,$M$4:$X$4)*$K660*$L660</f>
        <v/>
      </c>
      <c r="AC660" s="15">
        <f>SUMPRODUCT(M660:X660,$M$5:$X$5)*$K660*$L660</f>
        <v/>
      </c>
      <c r="AD660" s="15">
        <f>SUMPRODUCT(M660:X660,$M$6:$X$6)*$K660*$L660</f>
        <v/>
      </c>
      <c r="AE660" s="19" t="n"/>
    </row>
    <row r="661">
      <c r="A661" s="9" t="n">
        <v>700669</v>
      </c>
      <c r="B661" s="9" t="inlineStr">
        <is>
          <t>Gordon Graceffo</t>
        </is>
      </c>
      <c r="C661" s="9" t="inlineStr">
        <is>
          <t>STL</t>
        </is>
      </c>
      <c r="D661" s="9" t="n">
        <v>27</v>
      </c>
      <c r="E661" s="17" t="inlineStr">
        <is>
          <t>R</t>
        </is>
      </c>
      <c r="F661" s="17" t="n"/>
      <c r="G661" s="9" t="n">
        <v>121</v>
      </c>
      <c r="H661" s="9" t="n">
        <v>345</v>
      </c>
      <c r="I661" s="9" t="inlineStr">
        <is>
          <t>Bullpen Depth Arm</t>
        </is>
      </c>
      <c r="J661" s="17" t="inlineStr">
        <is>
          <t>Opening Day</t>
        </is>
      </c>
      <c r="K661" s="11">
        <f>IFERROR(INDEX(Roles!$B$17:$B$20,MATCH(J661,Roles!$A$17:$A$20,0)),1)</f>
        <v/>
      </c>
      <c r="L661" s="18" t="n">
        <v>1</v>
      </c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3">
        <f>SUMPRODUCT(M661:X661,$M$2:$X$2)*$K661*$L661</f>
        <v/>
      </c>
      <c r="Z661" s="14">
        <f>SUM(M661:X661)</f>
        <v/>
      </c>
      <c r="AA661" s="13">
        <f>SUMPRODUCT(M661:X661,$M$3:$X$3)*$K661*$L661</f>
        <v/>
      </c>
      <c r="AB661" s="13">
        <f>SUMPRODUCT(M661:X661,$M$4:$X$4)*$K661*$L661</f>
        <v/>
      </c>
      <c r="AC661" s="15">
        <f>SUMPRODUCT(M661:X661,$M$5:$X$5)*$K661*$L661</f>
        <v/>
      </c>
      <c r="AD661" s="15">
        <f>SUMPRODUCT(M661:X661,$M$6:$X$6)*$K661*$L661</f>
        <v/>
      </c>
      <c r="AE661" s="19" t="n"/>
    </row>
    <row r="662">
      <c r="A662" s="9" t="n">
        <v>663465</v>
      </c>
      <c r="B662" s="9" t="inlineStr">
        <is>
          <t>Kolby Allard</t>
        </is>
      </c>
      <c r="C662" s="9" t="inlineStr">
        <is>
          <t>CLE</t>
        </is>
      </c>
      <c r="D662" s="9" t="n">
        <v>29</v>
      </c>
      <c r="E662" s="17" t="inlineStr">
        <is>
          <t>L</t>
        </is>
      </c>
      <c r="F662" s="17" t="n"/>
      <c r="G662" s="9" t="n">
        <v>45</v>
      </c>
      <c r="H662" s="9" t="n">
        <v>571</v>
      </c>
      <c r="I662" s="9" t="inlineStr">
        <is>
          <t>Bullpen Depth Arm</t>
        </is>
      </c>
      <c r="J662" s="17" t="inlineStr">
        <is>
          <t>Opening Day</t>
        </is>
      </c>
      <c r="K662" s="11">
        <f>IFERROR(INDEX(Roles!$B$17:$B$20,MATCH(J662,Roles!$A$17:$A$20,0)),1)</f>
        <v/>
      </c>
      <c r="L662" s="18" t="n">
        <v>1</v>
      </c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3">
        <f>SUMPRODUCT(M662:X662,$M$2:$X$2)*$K662*$L662</f>
        <v/>
      </c>
      <c r="Z662" s="14">
        <f>SUM(M662:X662)</f>
        <v/>
      </c>
      <c r="AA662" s="13">
        <f>SUMPRODUCT(M662:X662,$M$3:$X$3)*$K662*$L662</f>
        <v/>
      </c>
      <c r="AB662" s="13">
        <f>SUMPRODUCT(M662:X662,$M$4:$X$4)*$K662*$L662</f>
        <v/>
      </c>
      <c r="AC662" s="15">
        <f>SUMPRODUCT(M662:X662,$M$5:$X$5)*$K662*$L662</f>
        <v/>
      </c>
      <c r="AD662" s="15">
        <f>SUMPRODUCT(M662:X662,$M$6:$X$6)*$K662*$L662</f>
        <v/>
      </c>
      <c r="AE662" s="19" t="n"/>
    </row>
    <row r="663">
      <c r="A663" s="9" t="n">
        <v>669194</v>
      </c>
      <c r="B663" s="9" t="inlineStr">
        <is>
          <t>Ryne Nelson</t>
        </is>
      </c>
      <c r="C663" s="9" t="inlineStr">
        <is>
          <t>ARI</t>
        </is>
      </c>
      <c r="D663" s="9" t="n">
        <v>29</v>
      </c>
      <c r="E663" s="17" t="inlineStr">
        <is>
          <t>R</t>
        </is>
      </c>
      <c r="F663" s="17" t="n"/>
      <c r="G663" s="9" t="n">
        <v>304</v>
      </c>
      <c r="H663" s="9" t="n">
        <v>2241</v>
      </c>
      <c r="I663" s="9" t="inlineStr">
        <is>
          <t>Mid-Rotation Starter (SP2-3)</t>
        </is>
      </c>
      <c r="J663" s="17" t="inlineStr">
        <is>
          <t>Opening Day</t>
        </is>
      </c>
      <c r="K663" s="11">
        <f>IFERROR(INDEX(Roles!$B$17:$B$20,MATCH(J663,Roles!$A$17:$A$20,0)),1)</f>
        <v/>
      </c>
      <c r="L663" s="18" t="n">
        <v>1</v>
      </c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3">
        <f>SUMPRODUCT(M663:X663,$M$2:$X$2)*$K663*$L663</f>
        <v/>
      </c>
      <c r="Z663" s="14">
        <f>SUM(M663:X663)</f>
        <v/>
      </c>
      <c r="AA663" s="13">
        <f>SUMPRODUCT(M663:X663,$M$3:$X$3)*$K663*$L663</f>
        <v/>
      </c>
      <c r="AB663" s="13">
        <f>SUMPRODUCT(M663:X663,$M$4:$X$4)*$K663*$L663</f>
        <v/>
      </c>
      <c r="AC663" s="15">
        <f>SUMPRODUCT(M663:X663,$M$5:$X$5)*$K663*$L663</f>
        <v/>
      </c>
      <c r="AD663" s="15">
        <f>SUMPRODUCT(M663:X663,$M$6:$X$6)*$K663*$L663</f>
        <v/>
      </c>
      <c r="AE663" s="19" t="n"/>
    </row>
    <row r="664">
      <c r="A664" s="9" t="n">
        <v>623437</v>
      </c>
      <c r="B664" s="9" t="inlineStr">
        <is>
          <t>Justin Topa</t>
        </is>
      </c>
      <c r="C664" s="9" t="inlineStr">
        <is>
          <t>MIN</t>
        </is>
      </c>
      <c r="D664" s="9" t="n">
        <v>36</v>
      </c>
      <c r="E664" s="17" t="inlineStr">
        <is>
          <t>R</t>
        </is>
      </c>
      <c r="F664" s="17" t="n"/>
      <c r="G664" s="9" t="n">
        <v>92</v>
      </c>
      <c r="H664" s="9" t="n">
        <v>682</v>
      </c>
      <c r="I664" s="9" t="inlineStr">
        <is>
          <t>Bullpen Depth Arm</t>
        </is>
      </c>
      <c r="J664" s="17" t="inlineStr">
        <is>
          <t>Opening Day</t>
        </is>
      </c>
      <c r="K664" s="11">
        <f>IFERROR(INDEX(Roles!$B$17:$B$20,MATCH(J664,Roles!$A$17:$A$20,0)),1)</f>
        <v/>
      </c>
      <c r="L664" s="18" t="n">
        <v>1</v>
      </c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3">
        <f>SUMPRODUCT(M664:X664,$M$2:$X$2)*$K664*$L664</f>
        <v/>
      </c>
      <c r="Z664" s="14">
        <f>SUM(M664:X664)</f>
        <v/>
      </c>
      <c r="AA664" s="13">
        <f>SUMPRODUCT(M664:X664,$M$3:$X$3)*$K664*$L664</f>
        <v/>
      </c>
      <c r="AB664" s="13">
        <f>SUMPRODUCT(M664:X664,$M$4:$X$4)*$K664*$L664</f>
        <v/>
      </c>
      <c r="AC664" s="15">
        <f>SUMPRODUCT(M664:X664,$M$5:$X$5)*$K664*$L664</f>
        <v/>
      </c>
      <c r="AD664" s="15">
        <f>SUMPRODUCT(M664:X664,$M$6:$X$6)*$K664*$L664</f>
        <v/>
      </c>
      <c r="AE664" s="19" t="n"/>
    </row>
    <row r="665">
      <c r="A665" s="9" t="n">
        <v>594902</v>
      </c>
      <c r="B665" s="9" t="inlineStr">
        <is>
          <t>Ben Lively</t>
        </is>
      </c>
      <c r="C665" s="9" t="inlineStr">
        <is>
          <t>CLE</t>
        </is>
      </c>
      <c r="D665" s="9" t="n">
        <v>35</v>
      </c>
      <c r="E665" s="17" t="inlineStr">
        <is>
          <t>R</t>
        </is>
      </c>
      <c r="F665" s="17" t="n"/>
      <c r="G665" s="9" t="n">
        <v>178</v>
      </c>
      <c r="H665" s="9" t="n">
        <v>1193</v>
      </c>
      <c r="I665" s="9" t="inlineStr">
        <is>
          <t>Mid-Rotation Starter (SP2-3)</t>
        </is>
      </c>
      <c r="J665" s="17" t="inlineStr">
        <is>
          <t>Opening Day</t>
        </is>
      </c>
      <c r="K665" s="11">
        <f>IFERROR(INDEX(Roles!$B$17:$B$20,MATCH(J665,Roles!$A$17:$A$20,0)),1)</f>
        <v/>
      </c>
      <c r="L665" s="18" t="n">
        <v>1</v>
      </c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3">
        <f>SUMPRODUCT(M665:X665,$M$2:$X$2)*$K665*$L665</f>
        <v/>
      </c>
      <c r="Z665" s="14">
        <f>SUM(M665:X665)</f>
        <v/>
      </c>
      <c r="AA665" s="13">
        <f>SUMPRODUCT(M665:X665,$M$3:$X$3)*$K665*$L665</f>
        <v/>
      </c>
      <c r="AB665" s="13">
        <f>SUMPRODUCT(M665:X665,$M$4:$X$4)*$K665*$L665</f>
        <v/>
      </c>
      <c r="AC665" s="15">
        <f>SUMPRODUCT(M665:X665,$M$5:$X$5)*$K665*$L665</f>
        <v/>
      </c>
      <c r="AD665" s="15">
        <f>SUMPRODUCT(M665:X665,$M$6:$X$6)*$K665*$L665</f>
        <v/>
      </c>
      <c r="AE665" s="19" t="n"/>
    </row>
    <row r="666">
      <c r="A666" s="9" t="n">
        <v>677865</v>
      </c>
      <c r="B666" s="9" t="inlineStr">
        <is>
          <t>Justin Bruihl</t>
        </is>
      </c>
      <c r="C666" s="9" t="inlineStr">
        <is>
          <t>STL</t>
        </is>
      </c>
      <c r="D666" s="9" t="n">
        <v>30</v>
      </c>
      <c r="E666" s="17" t="inlineStr">
        <is>
          <t>L</t>
        </is>
      </c>
      <c r="F666" s="17" t="n"/>
      <c r="G666" s="9" t="n">
        <v>132</v>
      </c>
      <c r="H666" s="9" t="n">
        <v>445</v>
      </c>
      <c r="I666" s="9" t="inlineStr">
        <is>
          <t>Bullpen Depth Arm</t>
        </is>
      </c>
      <c r="J666" s="17" t="inlineStr">
        <is>
          <t>Opening Day</t>
        </is>
      </c>
      <c r="K666" s="11">
        <f>IFERROR(INDEX(Roles!$B$17:$B$20,MATCH(J666,Roles!$A$17:$A$20,0)),1)</f>
        <v/>
      </c>
      <c r="L666" s="18" t="n">
        <v>1</v>
      </c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3">
        <f>SUMPRODUCT(M666:X666,$M$2:$X$2)*$K666*$L666</f>
        <v/>
      </c>
      <c r="Z666" s="14">
        <f>SUM(M666:X666)</f>
        <v/>
      </c>
      <c r="AA666" s="13">
        <f>SUMPRODUCT(M666:X666,$M$3:$X$3)*$K666*$L666</f>
        <v/>
      </c>
      <c r="AB666" s="13">
        <f>SUMPRODUCT(M666:X666,$M$4:$X$4)*$K666*$L666</f>
        <v/>
      </c>
      <c r="AC666" s="15">
        <f>SUMPRODUCT(M666:X666,$M$5:$X$5)*$K666*$L666</f>
        <v/>
      </c>
      <c r="AD666" s="15">
        <f>SUMPRODUCT(M666:X666,$M$6:$X$6)*$K666*$L666</f>
        <v/>
      </c>
      <c r="AE666" s="19" t="n"/>
    </row>
    <row r="667">
      <c r="A667" s="9" t="n">
        <v>668933</v>
      </c>
      <c r="B667" s="9" t="inlineStr">
        <is>
          <t>Graham Ashcraft</t>
        </is>
      </c>
      <c r="C667" s="9" t="inlineStr">
        <is>
          <t>CIN</t>
        </is>
      </c>
      <c r="D667" s="9" t="n">
        <v>29</v>
      </c>
      <c r="E667" s="17" t="inlineStr">
        <is>
          <t>R</t>
        </is>
      </c>
      <c r="F667" s="17" t="n"/>
      <c r="G667" s="9" t="n">
        <v>109</v>
      </c>
      <c r="H667" s="9" t="n">
        <v>1831</v>
      </c>
      <c r="I667" s="9" t="inlineStr">
        <is>
          <t>Bullpen Depth Arm</t>
        </is>
      </c>
      <c r="J667" s="17" t="inlineStr">
        <is>
          <t>Opening Day</t>
        </is>
      </c>
      <c r="K667" s="11">
        <f>IFERROR(INDEX(Roles!$B$17:$B$20,MATCH(J667,Roles!$A$17:$A$20,0)),1)</f>
        <v/>
      </c>
      <c r="L667" s="18" t="n">
        <v>1</v>
      </c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3">
        <f>SUMPRODUCT(M667:X667,$M$2:$X$2)*$K667*$L667</f>
        <v/>
      </c>
      <c r="Z667" s="14">
        <f>SUM(M667:X667)</f>
        <v/>
      </c>
      <c r="AA667" s="13">
        <f>SUMPRODUCT(M667:X667,$M$3:$X$3)*$K667*$L667</f>
        <v/>
      </c>
      <c r="AB667" s="13">
        <f>SUMPRODUCT(M667:X667,$M$4:$X$4)*$K667*$L667</f>
        <v/>
      </c>
      <c r="AC667" s="15">
        <f>SUMPRODUCT(M667:X667,$M$5:$X$5)*$K667*$L667</f>
        <v/>
      </c>
      <c r="AD667" s="15">
        <f>SUMPRODUCT(M667:X667,$M$6:$X$6)*$K667*$L667</f>
        <v/>
      </c>
      <c r="AE667" s="19" t="n"/>
    </row>
    <row r="668">
      <c r="A668" s="9" t="n">
        <v>678394</v>
      </c>
      <c r="B668" s="9" t="inlineStr">
        <is>
          <t>Brayan Bello</t>
        </is>
      </c>
      <c r="C668" s="9" t="inlineStr">
        <is>
          <t>BOS</t>
        </is>
      </c>
      <c r="D668" s="9" t="n">
        <v>28</v>
      </c>
      <c r="E668" s="17" t="inlineStr">
        <is>
          <t>R</t>
        </is>
      </c>
      <c r="F668" s="17" t="n"/>
      <c r="G668" s="9" t="n">
        <v>282</v>
      </c>
      <c r="H668" s="9" t="n">
        <v>2620</v>
      </c>
      <c r="I668" s="9" t="inlineStr">
        <is>
          <t>Mid-Rotation Starter (SP2-3)</t>
        </is>
      </c>
      <c r="J668" s="17" t="inlineStr">
        <is>
          <t>Opening Day</t>
        </is>
      </c>
      <c r="K668" s="11">
        <f>IFERROR(INDEX(Roles!$B$17:$B$20,MATCH(J668,Roles!$A$17:$A$20,0)),1)</f>
        <v/>
      </c>
      <c r="L668" s="18" t="n">
        <v>1</v>
      </c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3">
        <f>SUMPRODUCT(M668:X668,$M$2:$X$2)*$K668*$L668</f>
        <v/>
      </c>
      <c r="Z668" s="14">
        <f>SUM(M668:X668)</f>
        <v/>
      </c>
      <c r="AA668" s="13">
        <f>SUMPRODUCT(M668:X668,$M$3:$X$3)*$K668*$L668</f>
        <v/>
      </c>
      <c r="AB668" s="13">
        <f>SUMPRODUCT(M668:X668,$M$4:$X$4)*$K668*$L668</f>
        <v/>
      </c>
      <c r="AC668" s="15">
        <f>SUMPRODUCT(M668:X668,$M$5:$X$5)*$K668*$L668</f>
        <v/>
      </c>
      <c r="AD668" s="15">
        <f>SUMPRODUCT(M668:X668,$M$6:$X$6)*$K668*$L668</f>
        <v/>
      </c>
      <c r="AE668" s="19" t="n"/>
    </row>
    <row r="669">
      <c r="A669" s="9" t="n">
        <v>641302</v>
      </c>
      <c r="B669" s="9" t="inlineStr">
        <is>
          <t>Tyler Alexander</t>
        </is>
      </c>
      <c r="C669" s="9" t="inlineStr">
        <is>
          <t>TEX</t>
        </is>
      </c>
      <c r="D669" s="9" t="n">
        <v>32</v>
      </c>
      <c r="E669" s="17" t="inlineStr">
        <is>
          <t>L</t>
        </is>
      </c>
      <c r="F669" s="17" t="n"/>
      <c r="G669" s="9" t="n">
        <v>117</v>
      </c>
      <c r="H669" s="9" t="n">
        <v>1603</v>
      </c>
      <c r="I669" s="9" t="inlineStr">
        <is>
          <t>Bullpen Depth Arm</t>
        </is>
      </c>
      <c r="J669" s="17" t="inlineStr">
        <is>
          <t>Opening Day</t>
        </is>
      </c>
      <c r="K669" s="11">
        <f>IFERROR(INDEX(Roles!$B$17:$B$20,MATCH(J669,Roles!$A$17:$A$20,0)),1)</f>
        <v/>
      </c>
      <c r="L669" s="18" t="n">
        <v>1</v>
      </c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3">
        <f>SUMPRODUCT(M669:X669,$M$2:$X$2)*$K669*$L669</f>
        <v/>
      </c>
      <c r="Z669" s="14">
        <f>SUM(M669:X669)</f>
        <v/>
      </c>
      <c r="AA669" s="13">
        <f>SUMPRODUCT(M669:X669,$M$3:$X$3)*$K669*$L669</f>
        <v/>
      </c>
      <c r="AB669" s="13">
        <f>SUMPRODUCT(M669:X669,$M$4:$X$4)*$K669*$L669</f>
        <v/>
      </c>
      <c r="AC669" s="15">
        <f>SUMPRODUCT(M669:X669,$M$5:$X$5)*$K669*$L669</f>
        <v/>
      </c>
      <c r="AD669" s="15">
        <f>SUMPRODUCT(M669:X669,$M$6:$X$6)*$K669*$L669</f>
        <v/>
      </c>
      <c r="AE669" s="19" t="n"/>
    </row>
    <row r="670">
      <c r="A670" s="9" t="n">
        <v>702795</v>
      </c>
      <c r="B670" s="9" t="inlineStr">
        <is>
          <t>Ryan Loutos</t>
        </is>
      </c>
      <c r="C670" s="9" t="inlineStr">
        <is>
          <t>WSH</t>
        </is>
      </c>
      <c r="D670" s="9" t="n">
        <v>28</v>
      </c>
      <c r="E670" s="17" t="inlineStr">
        <is>
          <t>R</t>
        </is>
      </c>
      <c r="F670" s="17" t="n"/>
      <c r="G670" s="9" t="n">
        <v>68</v>
      </c>
      <c r="H670" s="9" t="n">
        <v>78</v>
      </c>
      <c r="I670" s="9" t="inlineStr">
        <is>
          <t>Bullpen Depth Arm</t>
        </is>
      </c>
      <c r="J670" s="17" t="inlineStr">
        <is>
          <t>Opening Day</t>
        </is>
      </c>
      <c r="K670" s="11">
        <f>IFERROR(INDEX(Roles!$B$17:$B$20,MATCH(J670,Roles!$A$17:$A$20,0)),1)</f>
        <v/>
      </c>
      <c r="L670" s="18" t="n">
        <v>1</v>
      </c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3">
        <f>SUMPRODUCT(M670:X670,$M$2:$X$2)*$K670*$L670</f>
        <v/>
      </c>
      <c r="Z670" s="14">
        <f>SUM(M670:X670)</f>
        <v/>
      </c>
      <c r="AA670" s="13">
        <f>SUMPRODUCT(M670:X670,$M$3:$X$3)*$K670*$L670</f>
        <v/>
      </c>
      <c r="AB670" s="13">
        <f>SUMPRODUCT(M670:X670,$M$4:$X$4)*$K670*$L670</f>
        <v/>
      </c>
      <c r="AC670" s="15">
        <f>SUMPRODUCT(M670:X670,$M$5:$X$5)*$K670*$L670</f>
        <v/>
      </c>
      <c r="AD670" s="15">
        <f>SUMPRODUCT(M670:X670,$M$6:$X$6)*$K670*$L670</f>
        <v/>
      </c>
      <c r="AE670" s="19" t="n"/>
    </row>
    <row r="671">
      <c r="A671" s="9" t="n">
        <v>691951</v>
      </c>
      <c r="B671" s="9" t="inlineStr">
        <is>
          <t>Sam Aldegheri</t>
        </is>
      </c>
      <c r="C671" s="9" t="inlineStr">
        <is>
          <t>LAA</t>
        </is>
      </c>
      <c r="D671" s="9" t="n">
        <v>25</v>
      </c>
      <c r="E671" s="17" t="inlineStr">
        <is>
          <t>L</t>
        </is>
      </c>
      <c r="F671" s="17" t="n"/>
      <c r="G671" s="9" t="n">
        <v>51</v>
      </c>
      <c r="H671" s="9" t="n">
        <v>191</v>
      </c>
      <c r="I671" s="9" t="inlineStr">
        <is>
          <t>End-of-Rotation Starter (SP4-5)</t>
        </is>
      </c>
      <c r="J671" s="17" t="inlineStr">
        <is>
          <t>Opening Day</t>
        </is>
      </c>
      <c r="K671" s="11">
        <f>IFERROR(INDEX(Roles!$B$17:$B$20,MATCH(J671,Roles!$A$17:$A$20,0)),1)</f>
        <v/>
      </c>
      <c r="L671" s="18" t="n">
        <v>1</v>
      </c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3">
        <f>SUMPRODUCT(M671:X671,$M$2:$X$2)*$K671*$L671</f>
        <v/>
      </c>
      <c r="Z671" s="14">
        <f>SUM(M671:X671)</f>
        <v/>
      </c>
      <c r="AA671" s="13">
        <f>SUMPRODUCT(M671:X671,$M$3:$X$3)*$K671*$L671</f>
        <v/>
      </c>
      <c r="AB671" s="13">
        <f>SUMPRODUCT(M671:X671,$M$4:$X$4)*$K671*$L671</f>
        <v/>
      </c>
      <c r="AC671" s="15">
        <f>SUMPRODUCT(M671:X671,$M$5:$X$5)*$K671*$L671</f>
        <v/>
      </c>
      <c r="AD671" s="15">
        <f>SUMPRODUCT(M671:X671,$M$6:$X$6)*$K671*$L671</f>
        <v/>
      </c>
      <c r="AE671" s="19" t="n"/>
    </row>
    <row r="672">
      <c r="A672" s="9" t="n">
        <v>687223</v>
      </c>
      <c r="B672" s="9" t="inlineStr">
        <is>
          <t>Carson Palmquist</t>
        </is>
      </c>
      <c r="C672" s="9" t="inlineStr">
        <is>
          <t>COL</t>
        </is>
      </c>
      <c r="D672" s="9" t="n">
        <v>26</v>
      </c>
      <c r="E672" s="17" t="inlineStr">
        <is>
          <t>L</t>
        </is>
      </c>
      <c r="F672" s="17" t="n"/>
      <c r="G672" s="9" t="n">
        <v>175</v>
      </c>
      <c r="H672" s="9" t="n">
        <v>175</v>
      </c>
      <c r="I672" s="9" t="inlineStr">
        <is>
          <t>End-of-Rotation Starter (SP4-5)</t>
        </is>
      </c>
      <c r="J672" s="17" t="inlineStr">
        <is>
          <t>Opening Day</t>
        </is>
      </c>
      <c r="K672" s="11">
        <f>IFERROR(INDEX(Roles!$B$17:$B$20,MATCH(J672,Roles!$A$17:$A$20,0)),1)</f>
        <v/>
      </c>
      <c r="L672" s="18" t="n">
        <v>1</v>
      </c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3">
        <f>SUMPRODUCT(M672:X672,$M$2:$X$2)*$K672*$L672</f>
        <v/>
      </c>
      <c r="Z672" s="14">
        <f>SUM(M672:X672)</f>
        <v/>
      </c>
      <c r="AA672" s="13">
        <f>SUMPRODUCT(M672:X672,$M$3:$X$3)*$K672*$L672</f>
        <v/>
      </c>
      <c r="AB672" s="13">
        <f>SUMPRODUCT(M672:X672,$M$4:$X$4)*$K672*$L672</f>
        <v/>
      </c>
      <c r="AC672" s="15">
        <f>SUMPRODUCT(M672:X672,$M$5:$X$5)*$K672*$L672</f>
        <v/>
      </c>
      <c r="AD672" s="15">
        <f>SUMPRODUCT(M672:X672,$M$6:$X$6)*$K672*$L672</f>
        <v/>
      </c>
      <c r="AE672" s="19" t="n"/>
    </row>
    <row r="673">
      <c r="A673" s="9" t="n">
        <v>702352</v>
      </c>
      <c r="B673" s="9" t="inlineStr">
        <is>
          <t>Spencer Bivens</t>
        </is>
      </c>
      <c r="C673" s="9" t="inlineStr">
        <is>
          <t>SF</t>
        </is>
      </c>
      <c r="D673" s="9" t="n">
        <v>33</v>
      </c>
      <c r="E673" s="17" t="inlineStr">
        <is>
          <t>R</t>
        </is>
      </c>
      <c r="F673" s="17" t="n"/>
      <c r="G673" s="9" t="n">
        <v>343</v>
      </c>
      <c r="H673" s="9" t="n">
        <v>545</v>
      </c>
      <c r="I673" s="9" t="inlineStr">
        <is>
          <t>Bullpen Depth Arm</t>
        </is>
      </c>
      <c r="J673" s="17" t="inlineStr">
        <is>
          <t>Opening Day</t>
        </is>
      </c>
      <c r="K673" s="11">
        <f>IFERROR(INDEX(Roles!$B$17:$B$20,MATCH(J673,Roles!$A$17:$A$20,0)),1)</f>
        <v/>
      </c>
      <c r="L673" s="18" t="n">
        <v>1</v>
      </c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3">
        <f>SUMPRODUCT(M673:X673,$M$2:$X$2)*$K673*$L673</f>
        <v/>
      </c>
      <c r="Z673" s="14">
        <f>SUM(M673:X673)</f>
        <v/>
      </c>
      <c r="AA673" s="13">
        <f>SUMPRODUCT(M673:X673,$M$3:$X$3)*$K673*$L673</f>
        <v/>
      </c>
      <c r="AB673" s="13">
        <f>SUMPRODUCT(M673:X673,$M$4:$X$4)*$K673*$L673</f>
        <v/>
      </c>
      <c r="AC673" s="15">
        <f>SUMPRODUCT(M673:X673,$M$5:$X$5)*$K673*$L673</f>
        <v/>
      </c>
      <c r="AD673" s="15">
        <f>SUMPRODUCT(M673:X673,$M$6:$X$6)*$K673*$L673</f>
        <v/>
      </c>
      <c r="AE673" s="19" t="n"/>
    </row>
    <row r="674">
      <c r="A674" s="9" t="n">
        <v>663623</v>
      </c>
      <c r="B674" s="9" t="inlineStr">
        <is>
          <t>Jake Irvin</t>
        </is>
      </c>
      <c r="C674" s="9" t="inlineStr">
        <is>
          <t>WSH</t>
        </is>
      </c>
      <c r="D674" s="9" t="n">
        <v>30</v>
      </c>
      <c r="E674" s="17" t="inlineStr">
        <is>
          <t>R</t>
        </is>
      </c>
      <c r="F674" s="17" t="n"/>
      <c r="G674" s="9" t="n">
        <v>228</v>
      </c>
      <c r="H674" s="9" t="n">
        <v>2314</v>
      </c>
      <c r="I674" s="9" t="inlineStr">
        <is>
          <t>Mid-Rotation Starter (SP2-3)</t>
        </is>
      </c>
      <c r="J674" s="17" t="inlineStr">
        <is>
          <t>Opening Day</t>
        </is>
      </c>
      <c r="K674" s="11">
        <f>IFERROR(INDEX(Roles!$B$17:$B$20,MATCH(J674,Roles!$A$17:$A$20,0)),1)</f>
        <v/>
      </c>
      <c r="L674" s="18" t="n">
        <v>1</v>
      </c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3">
        <f>SUMPRODUCT(M674:X674,$M$2:$X$2)*$K674*$L674</f>
        <v/>
      </c>
      <c r="Z674" s="14">
        <f>SUM(M674:X674)</f>
        <v/>
      </c>
      <c r="AA674" s="13">
        <f>SUMPRODUCT(M674:X674,$M$3:$X$3)*$K674*$L674</f>
        <v/>
      </c>
      <c r="AB674" s="13">
        <f>SUMPRODUCT(M674:X674,$M$4:$X$4)*$K674*$L674</f>
        <v/>
      </c>
      <c r="AC674" s="15">
        <f>SUMPRODUCT(M674:X674,$M$5:$X$5)*$K674*$L674</f>
        <v/>
      </c>
      <c r="AD674" s="15">
        <f>SUMPRODUCT(M674:X674,$M$6:$X$6)*$K674*$L674</f>
        <v/>
      </c>
      <c r="AE674" s="19" t="n"/>
    </row>
    <row r="675">
      <c r="A675" s="9" t="n">
        <v>669422</v>
      </c>
      <c r="B675" s="9" t="inlineStr">
        <is>
          <t>Matt Sauer</t>
        </is>
      </c>
      <c r="C675" s="9" t="inlineStr">
        <is>
          <t>LAD</t>
        </is>
      </c>
      <c r="D675" s="9" t="n">
        <v>28</v>
      </c>
      <c r="E675" s="17" t="inlineStr">
        <is>
          <t>R</t>
        </is>
      </c>
      <c r="F675" s="17" t="n"/>
      <c r="G675" s="9" t="n">
        <v>129</v>
      </c>
      <c r="H675" s="9" t="n">
        <v>213</v>
      </c>
      <c r="I675" s="9" t="inlineStr">
        <is>
          <t>Bullpen Depth Arm</t>
        </is>
      </c>
      <c r="J675" s="17" t="inlineStr">
        <is>
          <t>Opening Day</t>
        </is>
      </c>
      <c r="K675" s="11">
        <f>IFERROR(INDEX(Roles!$B$17:$B$20,MATCH(J675,Roles!$A$17:$A$20,0)),1)</f>
        <v/>
      </c>
      <c r="L675" s="18" t="n">
        <v>1</v>
      </c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3">
        <f>SUMPRODUCT(M675:X675,$M$2:$X$2)*$K675*$L675</f>
        <v/>
      </c>
      <c r="Z675" s="14">
        <f>SUM(M675:X675)</f>
        <v/>
      </c>
      <c r="AA675" s="13">
        <f>SUMPRODUCT(M675:X675,$M$3:$X$3)*$K675*$L675</f>
        <v/>
      </c>
      <c r="AB675" s="13">
        <f>SUMPRODUCT(M675:X675,$M$4:$X$4)*$K675*$L675</f>
        <v/>
      </c>
      <c r="AC675" s="15">
        <f>SUMPRODUCT(M675:X675,$M$5:$X$5)*$K675*$L675</f>
        <v/>
      </c>
      <c r="AD675" s="15">
        <f>SUMPRODUCT(M675:X675,$M$6:$X$6)*$K675*$L675</f>
        <v/>
      </c>
      <c r="AE675" s="19" t="n"/>
    </row>
    <row r="676">
      <c r="A676" s="9" t="n">
        <v>695076</v>
      </c>
      <c r="B676" s="9" t="inlineStr">
        <is>
          <t>Rhett Lowder</t>
        </is>
      </c>
      <c r="C676" s="9" t="inlineStr">
        <is>
          <t>CIN</t>
        </is>
      </c>
      <c r="D676" s="9" t="n">
        <v>25</v>
      </c>
      <c r="E676" s="17" t="inlineStr">
        <is>
          <t>R</t>
        </is>
      </c>
      <c r="F676" s="17" t="n"/>
      <c r="G676" s="9" t="n">
        <v>182</v>
      </c>
      <c r="H676" s="9" t="n">
        <v>310</v>
      </c>
      <c r="I676" s="9" t="inlineStr">
        <is>
          <t>End-of-Rotation Starter (SP4-5)</t>
        </is>
      </c>
      <c r="J676" s="17" t="inlineStr">
        <is>
          <t>Opening Day</t>
        </is>
      </c>
      <c r="K676" s="11">
        <f>IFERROR(INDEX(Roles!$B$17:$B$20,MATCH(J676,Roles!$A$17:$A$20,0)),1)</f>
        <v/>
      </c>
      <c r="L676" s="18" t="n">
        <v>1</v>
      </c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3">
        <f>SUMPRODUCT(M676:X676,$M$2:$X$2)*$K676*$L676</f>
        <v/>
      </c>
      <c r="Z676" s="14">
        <f>SUM(M676:X676)</f>
        <v/>
      </c>
      <c r="AA676" s="13">
        <f>SUMPRODUCT(M676:X676,$M$3:$X$3)*$K676*$L676</f>
        <v/>
      </c>
      <c r="AB676" s="13">
        <f>SUMPRODUCT(M676:X676,$M$4:$X$4)*$K676*$L676</f>
        <v/>
      </c>
      <c r="AC676" s="15">
        <f>SUMPRODUCT(M676:X676,$M$5:$X$5)*$K676*$L676</f>
        <v/>
      </c>
      <c r="AD676" s="15">
        <f>SUMPRODUCT(M676:X676,$M$6:$X$6)*$K676*$L676</f>
        <v/>
      </c>
      <c r="AE676" s="19" t="n"/>
    </row>
    <row r="677">
      <c r="A677" s="9" t="n">
        <v>641672</v>
      </c>
      <c r="B677" s="9" t="inlineStr">
        <is>
          <t>Thomas Hatch</t>
        </is>
      </c>
      <c r="C677" s="9" t="inlineStr">
        <is>
          <t>MIN</t>
        </is>
      </c>
      <c r="D677" s="9" t="n">
        <v>32</v>
      </c>
      <c r="E677" s="17" t="inlineStr">
        <is>
          <t>R</t>
        </is>
      </c>
      <c r="F677" s="17" t="n"/>
      <c r="G677" s="9" t="n">
        <v>152</v>
      </c>
      <c r="H677" s="9" t="n">
        <v>307</v>
      </c>
      <c r="I677" s="9" t="inlineStr">
        <is>
          <t>Bullpen Depth Arm</t>
        </is>
      </c>
      <c r="J677" s="17" t="inlineStr">
        <is>
          <t>Opening Day</t>
        </is>
      </c>
      <c r="K677" s="11">
        <f>IFERROR(INDEX(Roles!$B$17:$B$20,MATCH(J677,Roles!$A$17:$A$20,0)),1)</f>
        <v/>
      </c>
      <c r="L677" s="18" t="n">
        <v>1</v>
      </c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3">
        <f>SUMPRODUCT(M677:X677,$M$2:$X$2)*$K677*$L677</f>
        <v/>
      </c>
      <c r="Z677" s="14">
        <f>SUM(M677:X677)</f>
        <v/>
      </c>
      <c r="AA677" s="13">
        <f>SUMPRODUCT(M677:X677,$M$3:$X$3)*$K677*$L677</f>
        <v/>
      </c>
      <c r="AB677" s="13">
        <f>SUMPRODUCT(M677:X677,$M$4:$X$4)*$K677*$L677</f>
        <v/>
      </c>
      <c r="AC677" s="15">
        <f>SUMPRODUCT(M677:X677,$M$5:$X$5)*$K677*$L677</f>
        <v/>
      </c>
      <c r="AD677" s="15">
        <f>SUMPRODUCT(M677:X677,$M$6:$X$6)*$K677*$L677</f>
        <v/>
      </c>
      <c r="AE677" s="19" t="n"/>
    </row>
    <row r="678">
      <c r="A678" s="9" t="n">
        <v>670174</v>
      </c>
      <c r="B678" s="9" t="inlineStr">
        <is>
          <t>Josh Winckowski</t>
        </is>
      </c>
      <c r="C678" s="9" t="inlineStr">
        <is>
          <t>BOS</t>
        </is>
      </c>
      <c r="D678" s="9" t="n">
        <v>29</v>
      </c>
      <c r="E678" s="17" t="inlineStr">
        <is>
          <t>R</t>
        </is>
      </c>
      <c r="F678" s="17" t="n"/>
      <c r="G678" s="9" t="n">
        <v>52</v>
      </c>
      <c r="H678" s="9" t="n">
        <v>1071</v>
      </c>
      <c r="I678" s="9" t="inlineStr">
        <is>
          <t>Bullpen Depth Arm</t>
        </is>
      </c>
      <c r="J678" s="17" t="inlineStr">
        <is>
          <t>Opening Day</t>
        </is>
      </c>
      <c r="K678" s="11">
        <f>IFERROR(INDEX(Roles!$B$17:$B$20,MATCH(J678,Roles!$A$17:$A$20,0)),1)</f>
        <v/>
      </c>
      <c r="L678" s="18" t="n">
        <v>1</v>
      </c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3">
        <f>SUMPRODUCT(M678:X678,$M$2:$X$2)*$K678*$L678</f>
        <v/>
      </c>
      <c r="Z678" s="14">
        <f>SUM(M678:X678)</f>
        <v/>
      </c>
      <c r="AA678" s="13">
        <f>SUMPRODUCT(M678:X678,$M$3:$X$3)*$K678*$L678</f>
        <v/>
      </c>
      <c r="AB678" s="13">
        <f>SUMPRODUCT(M678:X678,$M$4:$X$4)*$K678*$L678</f>
        <v/>
      </c>
      <c r="AC678" s="15">
        <f>SUMPRODUCT(M678:X678,$M$5:$X$5)*$K678*$L678</f>
        <v/>
      </c>
      <c r="AD678" s="15">
        <f>SUMPRODUCT(M678:X678,$M$6:$X$6)*$K678*$L678</f>
        <v/>
      </c>
      <c r="AE678" s="19" t="n"/>
    </row>
    <row r="679">
      <c r="A679" s="9" t="n">
        <v>641343</v>
      </c>
      <c r="B679" s="9" t="inlineStr">
        <is>
          <t>Jake Bauers</t>
        </is>
      </c>
      <c r="C679" s="9" t="inlineStr">
        <is>
          <t>MIL</t>
        </is>
      </c>
      <c r="D679" s="9" t="n">
        <v>31</v>
      </c>
      <c r="E679" s="17" t="inlineStr">
        <is>
          <t>L</t>
        </is>
      </c>
      <c r="F679" s="17" t="n"/>
      <c r="G679" s="9" t="n">
        <v>29</v>
      </c>
      <c r="H679" s="9" t="n">
        <v>49</v>
      </c>
      <c r="I679" s="9" t="inlineStr">
        <is>
          <t>Bullpen Depth Arm</t>
        </is>
      </c>
      <c r="J679" s="17" t="inlineStr">
        <is>
          <t>Opening Day</t>
        </is>
      </c>
      <c r="K679" s="11">
        <f>IFERROR(INDEX(Roles!$B$17:$B$20,MATCH(J679,Roles!$A$17:$A$20,0)),1)</f>
        <v/>
      </c>
      <c r="L679" s="18" t="n">
        <v>1</v>
      </c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3">
        <f>SUMPRODUCT(M679:X679,$M$2:$X$2)*$K679*$L679</f>
        <v/>
      </c>
      <c r="Z679" s="14">
        <f>SUM(M679:X679)</f>
        <v/>
      </c>
      <c r="AA679" s="13">
        <f>SUMPRODUCT(M679:X679,$M$3:$X$3)*$K679*$L679</f>
        <v/>
      </c>
      <c r="AB679" s="13">
        <f>SUMPRODUCT(M679:X679,$M$4:$X$4)*$K679*$L679</f>
        <v/>
      </c>
      <c r="AC679" s="15">
        <f>SUMPRODUCT(M679:X679,$M$5:$X$5)*$K679*$L679</f>
        <v/>
      </c>
      <c r="AD679" s="15">
        <f>SUMPRODUCT(M679:X679,$M$6:$X$6)*$K679*$L679</f>
        <v/>
      </c>
      <c r="AE679" s="19" t="n"/>
    </row>
    <row r="680">
      <c r="A680" s="9" t="n">
        <v>669020</v>
      </c>
      <c r="B680" s="9" t="inlineStr">
        <is>
          <t>Ryan Rolison</t>
        </is>
      </c>
      <c r="C680" s="9" t="inlineStr">
        <is>
          <t>CHC</t>
        </is>
      </c>
      <c r="D680" s="9" t="n">
        <v>29</v>
      </c>
      <c r="E680" s="17" t="inlineStr">
        <is>
          <t>L</t>
        </is>
      </c>
      <c r="F680" s="17" t="n"/>
      <c r="G680" s="9" t="n">
        <v>92</v>
      </c>
      <c r="H680" s="9" t="n">
        <v>285</v>
      </c>
      <c r="I680" s="9" t="inlineStr">
        <is>
          <t>Bullpen Depth Arm</t>
        </is>
      </c>
      <c r="J680" s="17" t="inlineStr">
        <is>
          <t>Opening Day</t>
        </is>
      </c>
      <c r="K680" s="11">
        <f>IFERROR(INDEX(Roles!$B$17:$B$20,MATCH(J680,Roles!$A$17:$A$20,0)),1)</f>
        <v/>
      </c>
      <c r="L680" s="18" t="n">
        <v>1</v>
      </c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3">
        <f>SUMPRODUCT(M680:X680,$M$2:$X$2)*$K680*$L680</f>
        <v/>
      </c>
      <c r="Z680" s="14">
        <f>SUM(M680:X680)</f>
        <v/>
      </c>
      <c r="AA680" s="13">
        <f>SUMPRODUCT(M680:X680,$M$3:$X$3)*$K680*$L680</f>
        <v/>
      </c>
      <c r="AB680" s="13">
        <f>SUMPRODUCT(M680:X680,$M$4:$X$4)*$K680*$L680</f>
        <v/>
      </c>
      <c r="AC680" s="15">
        <f>SUMPRODUCT(M680:X680,$M$5:$X$5)*$K680*$L680</f>
        <v/>
      </c>
      <c r="AD680" s="15">
        <f>SUMPRODUCT(M680:X680,$M$6:$X$6)*$K680*$L680</f>
        <v/>
      </c>
      <c r="AE680" s="19" t="n"/>
    </row>
    <row r="681">
      <c r="A681" s="9" t="n">
        <v>687064</v>
      </c>
      <c r="B681" s="9" t="inlineStr">
        <is>
          <t>Brandon Young</t>
        </is>
      </c>
      <c r="C681" s="9" t="inlineStr">
        <is>
          <t>BAL</t>
        </is>
      </c>
      <c r="D681" s="9" t="n">
        <v>28</v>
      </c>
      <c r="E681" s="17" t="inlineStr">
        <is>
          <t>R</t>
        </is>
      </c>
      <c r="F681" s="17" t="n"/>
      <c r="G681" s="9" t="n">
        <v>214</v>
      </c>
      <c r="H681" s="9" t="n">
        <v>470</v>
      </c>
      <c r="I681" s="9" t="inlineStr">
        <is>
          <t>Mid-Rotation Starter (SP2-3)</t>
        </is>
      </c>
      <c r="J681" s="17" t="inlineStr">
        <is>
          <t>Opening Day</t>
        </is>
      </c>
      <c r="K681" s="11">
        <f>IFERROR(INDEX(Roles!$B$17:$B$20,MATCH(J681,Roles!$A$17:$A$20,0)),1)</f>
        <v/>
      </c>
      <c r="L681" s="18" t="n">
        <v>1</v>
      </c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3">
        <f>SUMPRODUCT(M681:X681,$M$2:$X$2)*$K681*$L681</f>
        <v/>
      </c>
      <c r="Z681" s="14">
        <f>SUM(M681:X681)</f>
        <v/>
      </c>
      <c r="AA681" s="13">
        <f>SUMPRODUCT(M681:X681,$M$3:$X$3)*$K681*$L681</f>
        <v/>
      </c>
      <c r="AB681" s="13">
        <f>SUMPRODUCT(M681:X681,$M$4:$X$4)*$K681*$L681</f>
        <v/>
      </c>
      <c r="AC681" s="15">
        <f>SUMPRODUCT(M681:X681,$M$5:$X$5)*$K681*$L681</f>
        <v/>
      </c>
      <c r="AD681" s="15">
        <f>SUMPRODUCT(M681:X681,$M$6:$X$6)*$K681*$L681</f>
        <v/>
      </c>
      <c r="AE681" s="19" t="n"/>
    </row>
    <row r="682">
      <c r="A682" s="9" t="n">
        <v>663773</v>
      </c>
      <c r="B682" s="9" t="inlineStr">
        <is>
          <t>Bryan Hoeing</t>
        </is>
      </c>
      <c r="C682" s="9" t="inlineStr">
        <is>
          <t>SD</t>
        </is>
      </c>
      <c r="D682" s="9" t="n">
        <v>30</v>
      </c>
      <c r="E682" s="17" t="inlineStr">
        <is>
          <t>R</t>
        </is>
      </c>
      <c r="F682" s="17" t="n"/>
      <c r="G682" s="9" t="n">
        <v>36</v>
      </c>
      <c r="H682" s="9" t="n">
        <v>611</v>
      </c>
      <c r="I682" s="9" t="inlineStr">
        <is>
          <t>Bullpen Depth Arm</t>
        </is>
      </c>
      <c r="J682" s="17" t="inlineStr">
        <is>
          <t>Opening Day</t>
        </is>
      </c>
      <c r="K682" s="11">
        <f>IFERROR(INDEX(Roles!$B$17:$B$20,MATCH(J682,Roles!$A$17:$A$20,0)),1)</f>
        <v/>
      </c>
      <c r="L682" s="18" t="n">
        <v>1</v>
      </c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3">
        <f>SUMPRODUCT(M682:X682,$M$2:$X$2)*$K682*$L682</f>
        <v/>
      </c>
      <c r="Z682" s="14">
        <f>SUM(M682:X682)</f>
        <v/>
      </c>
      <c r="AA682" s="13">
        <f>SUMPRODUCT(M682:X682,$M$3:$X$3)*$K682*$L682</f>
        <v/>
      </c>
      <c r="AB682" s="13">
        <f>SUMPRODUCT(M682:X682,$M$4:$X$4)*$K682*$L682</f>
        <v/>
      </c>
      <c r="AC682" s="15">
        <f>SUMPRODUCT(M682:X682,$M$5:$X$5)*$K682*$L682</f>
        <v/>
      </c>
      <c r="AD682" s="15">
        <f>SUMPRODUCT(M682:X682,$M$6:$X$6)*$K682*$L682</f>
        <v/>
      </c>
      <c r="AE682" s="19" t="n"/>
    </row>
    <row r="683">
      <c r="A683" s="9" t="n">
        <v>606930</v>
      </c>
      <c r="B683" s="9" t="inlineStr">
        <is>
          <t>Jacob Barnes</t>
        </is>
      </c>
      <c r="C683" s="9" t="inlineStr">
        <is>
          <t>TOR</t>
        </is>
      </c>
      <c r="D683" s="9" t="n">
        <v>37</v>
      </c>
      <c r="E683" s="17" t="inlineStr">
        <is>
          <t>R</t>
        </is>
      </c>
      <c r="F683" s="17" t="n"/>
      <c r="G683" s="9" t="n">
        <v>36</v>
      </c>
      <c r="H683" s="9" t="n">
        <v>471</v>
      </c>
      <c r="I683" s="9" t="inlineStr">
        <is>
          <t>Bullpen Depth Arm</t>
        </is>
      </c>
      <c r="J683" s="17" t="inlineStr">
        <is>
          <t>Opening Day</t>
        </is>
      </c>
      <c r="K683" s="11">
        <f>IFERROR(INDEX(Roles!$B$17:$B$20,MATCH(J683,Roles!$A$17:$A$20,0)),1)</f>
        <v/>
      </c>
      <c r="L683" s="18" t="n">
        <v>1</v>
      </c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3">
        <f>SUMPRODUCT(M683:X683,$M$2:$X$2)*$K683*$L683</f>
        <v/>
      </c>
      <c r="Z683" s="14">
        <f>SUM(M683:X683)</f>
        <v/>
      </c>
      <c r="AA683" s="13">
        <f>SUMPRODUCT(M683:X683,$M$3:$X$3)*$K683*$L683</f>
        <v/>
      </c>
      <c r="AB683" s="13">
        <f>SUMPRODUCT(M683:X683,$M$4:$X$4)*$K683*$L683</f>
        <v/>
      </c>
      <c r="AC683" s="15">
        <f>SUMPRODUCT(M683:X683,$M$5:$X$5)*$K683*$L683</f>
        <v/>
      </c>
      <c r="AD683" s="15">
        <f>SUMPRODUCT(M683:X683,$M$6:$X$6)*$K683*$L683</f>
        <v/>
      </c>
      <c r="AE683" s="19" t="n"/>
    </row>
    <row r="684">
      <c r="A684" s="9" t="n">
        <v>681151</v>
      </c>
      <c r="B684" s="9" t="inlineStr">
        <is>
          <t>Jayden Murray</t>
        </is>
      </c>
      <c r="C684" s="9" t="inlineStr">
        <is>
          <t>HOU</t>
        </is>
      </c>
      <c r="D684" s="9" t="n">
        <v>30</v>
      </c>
      <c r="E684" s="17" t="inlineStr">
        <is>
          <t>R</t>
        </is>
      </c>
      <c r="F684" s="17" t="n"/>
      <c r="G684" s="9" t="n">
        <v>53</v>
      </c>
      <c r="H684" s="9" t="n">
        <v>100</v>
      </c>
      <c r="I684" s="9" t="inlineStr">
        <is>
          <t>Bullpen Depth Arm</t>
        </is>
      </c>
      <c r="J684" s="17" t="inlineStr">
        <is>
          <t>Opening Day</t>
        </is>
      </c>
      <c r="K684" s="11">
        <f>IFERROR(INDEX(Roles!$B$17:$B$20,MATCH(J684,Roles!$A$17:$A$20,0)),1)</f>
        <v/>
      </c>
      <c r="L684" s="18" t="n">
        <v>1</v>
      </c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3">
        <f>SUMPRODUCT(M684:X684,$M$2:$X$2)*$K684*$L684</f>
        <v/>
      </c>
      <c r="Z684" s="14">
        <f>SUM(M684:X684)</f>
        <v/>
      </c>
      <c r="AA684" s="13">
        <f>SUMPRODUCT(M684:X684,$M$3:$X$3)*$K684*$L684</f>
        <v/>
      </c>
      <c r="AB684" s="13">
        <f>SUMPRODUCT(M684:X684,$M$4:$X$4)*$K684*$L684</f>
        <v/>
      </c>
      <c r="AC684" s="15">
        <f>SUMPRODUCT(M684:X684,$M$5:$X$5)*$K684*$L684</f>
        <v/>
      </c>
      <c r="AD684" s="15">
        <f>SUMPRODUCT(M684:X684,$M$6:$X$6)*$K684*$L684</f>
        <v/>
      </c>
      <c r="AE684" s="19" t="n"/>
    </row>
    <row r="685">
      <c r="A685" s="9" t="n">
        <v>665871</v>
      </c>
      <c r="B685" s="9" t="inlineStr">
        <is>
          <t>Javier Assad</t>
        </is>
      </c>
      <c r="C685" s="9" t="inlineStr">
        <is>
          <t>CHC</t>
        </is>
      </c>
      <c r="D685" s="9" t="n">
        <v>29</v>
      </c>
      <c r="E685" s="17" t="inlineStr">
        <is>
          <t>R</t>
        </is>
      </c>
      <c r="F685" s="17" t="n"/>
      <c r="G685" s="9" t="n">
        <v>129</v>
      </c>
      <c r="H685" s="9" t="n">
        <v>1535</v>
      </c>
      <c r="I685" s="9" t="inlineStr">
        <is>
          <t>End-of-Rotation Starter (SP4-5)</t>
        </is>
      </c>
      <c r="J685" s="17" t="inlineStr">
        <is>
          <t>Opening Day</t>
        </is>
      </c>
      <c r="K685" s="11">
        <f>IFERROR(INDEX(Roles!$B$17:$B$20,MATCH(J685,Roles!$A$17:$A$20,0)),1)</f>
        <v/>
      </c>
      <c r="L685" s="18" t="n">
        <v>1</v>
      </c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3">
        <f>SUMPRODUCT(M685:X685,$M$2:$X$2)*$K685*$L685</f>
        <v/>
      </c>
      <c r="Z685" s="14">
        <f>SUM(M685:X685)</f>
        <v/>
      </c>
      <c r="AA685" s="13">
        <f>SUMPRODUCT(M685:X685,$M$3:$X$3)*$K685*$L685</f>
        <v/>
      </c>
      <c r="AB685" s="13">
        <f>SUMPRODUCT(M685:X685,$M$4:$X$4)*$K685*$L685</f>
        <v/>
      </c>
      <c r="AC685" s="15">
        <f>SUMPRODUCT(M685:X685,$M$5:$X$5)*$K685*$L685</f>
        <v/>
      </c>
      <c r="AD685" s="15">
        <f>SUMPRODUCT(M685:X685,$M$6:$X$6)*$K685*$L685</f>
        <v/>
      </c>
      <c r="AE685" s="19" t="n"/>
    </row>
    <row r="686">
      <c r="A686" s="9" t="n">
        <v>670810</v>
      </c>
      <c r="B686" s="9" t="inlineStr">
        <is>
          <t>Logan Gillaspie</t>
        </is>
      </c>
      <c r="C686" s="9" t="inlineStr">
        <is>
          <t>SD</t>
        </is>
      </c>
      <c r="D686" s="9" t="n">
        <v>30</v>
      </c>
      <c r="E686" s="17" t="inlineStr">
        <is>
          <t>R</t>
        </is>
      </c>
      <c r="F686" s="17" t="n"/>
      <c r="G686" s="9" t="n">
        <v>31</v>
      </c>
      <c r="H686" s="9" t="n">
        <v>200</v>
      </c>
      <c r="I686" s="9" t="inlineStr">
        <is>
          <t>Bullpen Depth Arm</t>
        </is>
      </c>
      <c r="J686" s="17" t="inlineStr">
        <is>
          <t>Opening Day</t>
        </is>
      </c>
      <c r="K686" s="11">
        <f>IFERROR(INDEX(Roles!$B$17:$B$20,MATCH(J686,Roles!$A$17:$A$20,0)),1)</f>
        <v/>
      </c>
      <c r="L686" s="18" t="n">
        <v>1</v>
      </c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3">
        <f>SUMPRODUCT(M686:X686,$M$2:$X$2)*$K686*$L686</f>
        <v/>
      </c>
      <c r="Z686" s="14">
        <f>SUM(M686:X686)</f>
        <v/>
      </c>
      <c r="AA686" s="13">
        <f>SUMPRODUCT(M686:X686,$M$3:$X$3)*$K686*$L686</f>
        <v/>
      </c>
      <c r="AB686" s="13">
        <f>SUMPRODUCT(M686:X686,$M$4:$X$4)*$K686*$L686</f>
        <v/>
      </c>
      <c r="AC686" s="15">
        <f>SUMPRODUCT(M686:X686,$M$5:$X$5)*$K686*$L686</f>
        <v/>
      </c>
      <c r="AD686" s="15">
        <f>SUMPRODUCT(M686:X686,$M$6:$X$6)*$K686*$L686</f>
        <v/>
      </c>
      <c r="AE686" s="19" t="n"/>
    </row>
    <row r="687">
      <c r="A687" s="9" t="n">
        <v>701552</v>
      </c>
      <c r="B687" s="9" t="inlineStr">
        <is>
          <t>Andre Granillo</t>
        </is>
      </c>
      <c r="C687" s="9" t="inlineStr">
        <is>
          <t>WSH</t>
        </is>
      </c>
      <c r="D687" s="9" t="n">
        <v>27</v>
      </c>
      <c r="E687" s="17" t="inlineStr">
        <is>
          <t>R</t>
        </is>
      </c>
      <c r="F687" s="17" t="n"/>
      <c r="G687" s="9" t="n">
        <v>50</v>
      </c>
      <c r="H687" s="9" t="n">
        <v>141</v>
      </c>
      <c r="I687" s="9" t="inlineStr">
        <is>
          <t>Bullpen Depth Arm</t>
        </is>
      </c>
      <c r="J687" s="17" t="inlineStr">
        <is>
          <t>Opening Day</t>
        </is>
      </c>
      <c r="K687" s="11">
        <f>IFERROR(INDEX(Roles!$B$17:$B$20,MATCH(J687,Roles!$A$17:$A$20,0)),1)</f>
        <v/>
      </c>
      <c r="L687" s="18" t="n">
        <v>1</v>
      </c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3">
        <f>SUMPRODUCT(M687:X687,$M$2:$X$2)*$K687*$L687</f>
        <v/>
      </c>
      <c r="Z687" s="14">
        <f>SUM(M687:X687)</f>
        <v/>
      </c>
      <c r="AA687" s="13">
        <f>SUMPRODUCT(M687:X687,$M$3:$X$3)*$K687*$L687</f>
        <v/>
      </c>
      <c r="AB687" s="13">
        <f>SUMPRODUCT(M687:X687,$M$4:$X$4)*$K687*$L687</f>
        <v/>
      </c>
      <c r="AC687" s="15">
        <f>SUMPRODUCT(M687:X687,$M$5:$X$5)*$K687*$L687</f>
        <v/>
      </c>
      <c r="AD687" s="15">
        <f>SUMPRODUCT(M687:X687,$M$6:$X$6)*$K687*$L687</f>
        <v/>
      </c>
      <c r="AE687" s="19" t="n"/>
    </row>
    <row r="688">
      <c r="A688" s="9" t="n">
        <v>669947</v>
      </c>
      <c r="B688" s="9" t="inlineStr">
        <is>
          <t>Jesse Scholtens</t>
        </is>
      </c>
      <c r="C688" s="9" t="inlineStr">
        <is>
          <t>TB</t>
        </is>
      </c>
      <c r="D688" s="9" t="n">
        <v>33</v>
      </c>
      <c r="E688" s="17" t="inlineStr">
        <is>
          <t>R</t>
        </is>
      </c>
      <c r="F688" s="17" t="n"/>
      <c r="G688" s="9" t="n">
        <v>164</v>
      </c>
      <c r="H688" s="9" t="n">
        <v>579</v>
      </c>
      <c r="I688" s="9" t="inlineStr">
        <is>
          <t>End-of-Rotation Starter (SP4-5)</t>
        </is>
      </c>
      <c r="J688" s="17" t="inlineStr">
        <is>
          <t>Opening Day</t>
        </is>
      </c>
      <c r="K688" s="11">
        <f>IFERROR(INDEX(Roles!$B$17:$B$20,MATCH(J688,Roles!$A$17:$A$20,0)),1)</f>
        <v/>
      </c>
      <c r="L688" s="18" t="n">
        <v>1</v>
      </c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3">
        <f>SUMPRODUCT(M688:X688,$M$2:$X$2)*$K688*$L688</f>
        <v/>
      </c>
      <c r="Z688" s="14">
        <f>SUM(M688:X688)</f>
        <v/>
      </c>
      <c r="AA688" s="13">
        <f>SUMPRODUCT(M688:X688,$M$3:$X$3)*$K688*$L688</f>
        <v/>
      </c>
      <c r="AB688" s="13">
        <f>SUMPRODUCT(M688:X688,$M$4:$X$4)*$K688*$L688</f>
        <v/>
      </c>
      <c r="AC688" s="15">
        <f>SUMPRODUCT(M688:X688,$M$5:$X$5)*$K688*$L688</f>
        <v/>
      </c>
      <c r="AD688" s="15">
        <f>SUMPRODUCT(M688:X688,$M$6:$X$6)*$K688*$L688</f>
        <v/>
      </c>
      <c r="AE688" s="19" t="n"/>
    </row>
    <row r="689">
      <c r="A689" s="9" t="n">
        <v>547179</v>
      </c>
      <c r="B689" s="9" t="inlineStr">
        <is>
          <t>Michael Lorenzen</t>
        </is>
      </c>
      <c r="C689" s="9" t="inlineStr">
        <is>
          <t>COL</t>
        </is>
      </c>
      <c r="D689" s="9" t="n">
        <v>35</v>
      </c>
      <c r="E689" s="17" t="inlineStr">
        <is>
          <t>R</t>
        </is>
      </c>
      <c r="F689" s="17" t="n"/>
      <c r="G689" s="9" t="n">
        <v>301</v>
      </c>
      <c r="H689" s="9" t="n">
        <v>2478</v>
      </c>
      <c r="I689" s="9" t="inlineStr">
        <is>
          <t>End-of-Rotation Starter (SP4-5)</t>
        </is>
      </c>
      <c r="J689" s="17" t="inlineStr">
        <is>
          <t>Opening Day</t>
        </is>
      </c>
      <c r="K689" s="11">
        <f>IFERROR(INDEX(Roles!$B$17:$B$20,MATCH(J689,Roles!$A$17:$A$20,0)),1)</f>
        <v/>
      </c>
      <c r="L689" s="18" t="n">
        <v>1</v>
      </c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3">
        <f>SUMPRODUCT(M689:X689,$M$2:$X$2)*$K689*$L689</f>
        <v/>
      </c>
      <c r="Z689" s="14">
        <f>SUM(M689:X689)</f>
        <v/>
      </c>
      <c r="AA689" s="13">
        <f>SUMPRODUCT(M689:X689,$M$3:$X$3)*$K689*$L689</f>
        <v/>
      </c>
      <c r="AB689" s="13">
        <f>SUMPRODUCT(M689:X689,$M$4:$X$4)*$K689*$L689</f>
        <v/>
      </c>
      <c r="AC689" s="15">
        <f>SUMPRODUCT(M689:X689,$M$5:$X$5)*$K689*$L689</f>
        <v/>
      </c>
      <c r="AD689" s="15">
        <f>SUMPRODUCT(M689:X689,$M$6:$X$6)*$K689*$L689</f>
        <v/>
      </c>
      <c r="AE689" s="19" t="n"/>
    </row>
    <row r="690">
      <c r="A690" s="9" t="n">
        <v>682990</v>
      </c>
      <c r="B690" s="9" t="inlineStr">
        <is>
          <t>Quinn Priester</t>
        </is>
      </c>
      <c r="C690" s="9" t="inlineStr">
        <is>
          <t>MIL</t>
        </is>
      </c>
      <c r="D690" s="9" t="n">
        <v>26</v>
      </c>
      <c r="E690" s="17" t="inlineStr">
        <is>
          <t>R</t>
        </is>
      </c>
      <c r="F690" s="17" t="n"/>
      <c r="G690" s="9" t="n">
        <v>653</v>
      </c>
      <c r="H690" s="9" t="n">
        <v>1108</v>
      </c>
      <c r="I690" s="9" t="inlineStr">
        <is>
          <t>Mid-Rotation Starter (SP2-3)</t>
        </is>
      </c>
      <c r="J690" s="17" t="inlineStr">
        <is>
          <t>Opening Day</t>
        </is>
      </c>
      <c r="K690" s="11">
        <f>IFERROR(INDEX(Roles!$B$17:$B$20,MATCH(J690,Roles!$A$17:$A$20,0)),1)</f>
        <v/>
      </c>
      <c r="L690" s="18" t="n">
        <v>1</v>
      </c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3">
        <f>SUMPRODUCT(M690:X690,$M$2:$X$2)*$K690*$L690</f>
        <v/>
      </c>
      <c r="Z690" s="14">
        <f>SUM(M690:X690)</f>
        <v/>
      </c>
      <c r="AA690" s="13">
        <f>SUMPRODUCT(M690:X690,$M$3:$X$3)*$K690*$L690</f>
        <v/>
      </c>
      <c r="AB690" s="13">
        <f>SUMPRODUCT(M690:X690,$M$4:$X$4)*$K690*$L690</f>
        <v/>
      </c>
      <c r="AC690" s="15">
        <f>SUMPRODUCT(M690:X690,$M$5:$X$5)*$K690*$L690</f>
        <v/>
      </c>
      <c r="AD690" s="15">
        <f>SUMPRODUCT(M690:X690,$M$6:$X$6)*$K690*$L690</f>
        <v/>
      </c>
      <c r="AE690" s="19" t="n"/>
    </row>
    <row r="691">
      <c r="A691" s="9" t="n">
        <v>672841</v>
      </c>
      <c r="B691" s="9" t="inlineStr">
        <is>
          <t>Carlos Vargas</t>
        </is>
      </c>
      <c r="C691" s="9" t="inlineStr">
        <is>
          <t>SEA</t>
        </is>
      </c>
      <c r="D691" s="9" t="n">
        <v>27</v>
      </c>
      <c r="E691" s="17" t="inlineStr">
        <is>
          <t>R</t>
        </is>
      </c>
      <c r="F691" s="17" t="n"/>
      <c r="G691" s="9" t="n">
        <v>331</v>
      </c>
      <c r="H691" s="9" t="n">
        <v>353</v>
      </c>
      <c r="I691" s="9" t="inlineStr">
        <is>
          <t>Bullpen Depth Arm</t>
        </is>
      </c>
      <c r="J691" s="17" t="inlineStr">
        <is>
          <t>Opening Day</t>
        </is>
      </c>
      <c r="K691" s="11">
        <f>IFERROR(INDEX(Roles!$B$17:$B$20,MATCH(J691,Roles!$A$17:$A$20,0)),1)</f>
        <v/>
      </c>
      <c r="L691" s="18" t="n">
        <v>1</v>
      </c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3">
        <f>SUMPRODUCT(M691:X691,$M$2:$X$2)*$K691*$L691</f>
        <v/>
      </c>
      <c r="Z691" s="14">
        <f>SUM(M691:X691)</f>
        <v/>
      </c>
      <c r="AA691" s="13">
        <f>SUMPRODUCT(M691:X691,$M$3:$X$3)*$K691*$L691</f>
        <v/>
      </c>
      <c r="AB691" s="13">
        <f>SUMPRODUCT(M691:X691,$M$4:$X$4)*$K691*$L691</f>
        <v/>
      </c>
      <c r="AC691" s="15">
        <f>SUMPRODUCT(M691:X691,$M$5:$X$5)*$K691*$L691</f>
        <v/>
      </c>
      <c r="AD691" s="15">
        <f>SUMPRODUCT(M691:X691,$M$6:$X$6)*$K691*$L691</f>
        <v/>
      </c>
      <c r="AE691" s="19" t="n"/>
    </row>
    <row r="692">
      <c r="A692" s="9" t="n">
        <v>663941</v>
      </c>
      <c r="B692" s="9" t="inlineStr">
        <is>
          <t>Tristan Beck</t>
        </is>
      </c>
      <c r="C692" s="9" t="inlineStr">
        <is>
          <t>SF</t>
        </is>
      </c>
      <c r="D692" s="9" t="n">
        <v>31</v>
      </c>
      <c r="E692" s="17" t="inlineStr">
        <is>
          <t>R</t>
        </is>
      </c>
      <c r="F692" s="17" t="n"/>
      <c r="G692" s="9" t="n">
        <v>39</v>
      </c>
      <c r="H692" s="9" t="n">
        <v>692</v>
      </c>
      <c r="I692" s="9" t="inlineStr">
        <is>
          <t>Bullpen Depth Arm</t>
        </is>
      </c>
      <c r="J692" s="17" t="inlineStr">
        <is>
          <t>Opening Day</t>
        </is>
      </c>
      <c r="K692" s="11">
        <f>IFERROR(INDEX(Roles!$B$17:$B$20,MATCH(J692,Roles!$A$17:$A$20,0)),1)</f>
        <v/>
      </c>
      <c r="L692" s="18" t="n">
        <v>1</v>
      </c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3">
        <f>SUMPRODUCT(M692:X692,$M$2:$X$2)*$K692*$L692</f>
        <v/>
      </c>
      <c r="Z692" s="14">
        <f>SUM(M692:X692)</f>
        <v/>
      </c>
      <c r="AA692" s="13">
        <f>SUMPRODUCT(M692:X692,$M$3:$X$3)*$K692*$L692</f>
        <v/>
      </c>
      <c r="AB692" s="13">
        <f>SUMPRODUCT(M692:X692,$M$4:$X$4)*$K692*$L692</f>
        <v/>
      </c>
      <c r="AC692" s="15">
        <f>SUMPRODUCT(M692:X692,$M$5:$X$5)*$K692*$L692</f>
        <v/>
      </c>
      <c r="AD692" s="15">
        <f>SUMPRODUCT(M692:X692,$M$6:$X$6)*$K692*$L692</f>
        <v/>
      </c>
      <c r="AE692" s="19" t="n"/>
    </row>
    <row r="693">
      <c r="A693" s="9" t="n">
        <v>695684</v>
      </c>
      <c r="B693" s="9" t="inlineStr">
        <is>
          <t>Elmer Rodríguez</t>
        </is>
      </c>
      <c r="C693" s="9" t="inlineStr">
        <is>
          <t>NYY</t>
        </is>
      </c>
      <c r="D693" s="9" t="n">
        <v>23</v>
      </c>
      <c r="E693" s="17" t="inlineStr">
        <is>
          <t>R</t>
        </is>
      </c>
      <c r="F693" s="17" t="n"/>
      <c r="G693" s="9" t="n">
        <v>64</v>
      </c>
      <c r="H693" s="9" t="n">
        <v>64</v>
      </c>
      <c r="I693" s="9" t="inlineStr">
        <is>
          <t>End-of-Rotation Starter (SP4-5)</t>
        </is>
      </c>
      <c r="J693" s="17" t="inlineStr">
        <is>
          <t>Opening Day</t>
        </is>
      </c>
      <c r="K693" s="11">
        <f>IFERROR(INDEX(Roles!$B$17:$B$20,MATCH(J693,Roles!$A$17:$A$20,0)),1)</f>
        <v/>
      </c>
      <c r="L693" s="18" t="n">
        <v>1</v>
      </c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3">
        <f>SUMPRODUCT(M693:X693,$M$2:$X$2)*$K693*$L693</f>
        <v/>
      </c>
      <c r="Z693" s="14">
        <f>SUM(M693:X693)</f>
        <v/>
      </c>
      <c r="AA693" s="13">
        <f>SUMPRODUCT(M693:X693,$M$3:$X$3)*$K693*$L693</f>
        <v/>
      </c>
      <c r="AB693" s="13">
        <f>SUMPRODUCT(M693:X693,$M$4:$X$4)*$K693*$L693</f>
        <v/>
      </c>
      <c r="AC693" s="15">
        <f>SUMPRODUCT(M693:X693,$M$5:$X$5)*$K693*$L693</f>
        <v/>
      </c>
      <c r="AD693" s="15">
        <f>SUMPRODUCT(M693:X693,$M$6:$X$6)*$K693*$L693</f>
        <v/>
      </c>
      <c r="AE693" s="19" t="n"/>
    </row>
    <row r="694">
      <c r="A694" s="9" t="n">
        <v>689441</v>
      </c>
      <c r="B694" s="9" t="inlineStr">
        <is>
          <t>Coleman Crow</t>
        </is>
      </c>
      <c r="C694" s="9" t="inlineStr">
        <is>
          <t>MIL</t>
        </is>
      </c>
      <c r="D694" s="9" t="n">
        <v>26</v>
      </c>
      <c r="E694" s="17" t="inlineStr">
        <is>
          <t>R</t>
        </is>
      </c>
      <c r="F694" s="17" t="n"/>
      <c r="G694" s="9" t="n">
        <v>85</v>
      </c>
      <c r="H694" s="9" t="n">
        <v>85</v>
      </c>
      <c r="I694" s="9" t="inlineStr">
        <is>
          <t>End-of-Rotation Starter (SP4-5)</t>
        </is>
      </c>
      <c r="J694" s="17" t="inlineStr">
        <is>
          <t>Opening Day</t>
        </is>
      </c>
      <c r="K694" s="11">
        <f>IFERROR(INDEX(Roles!$B$17:$B$20,MATCH(J694,Roles!$A$17:$A$20,0)),1)</f>
        <v/>
      </c>
      <c r="L694" s="18" t="n">
        <v>1</v>
      </c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3">
        <f>SUMPRODUCT(M694:X694,$M$2:$X$2)*$K694*$L694</f>
        <v/>
      </c>
      <c r="Z694" s="14">
        <f>SUM(M694:X694)</f>
        <v/>
      </c>
      <c r="AA694" s="13">
        <f>SUMPRODUCT(M694:X694,$M$3:$X$3)*$K694*$L694</f>
        <v/>
      </c>
      <c r="AB694" s="13">
        <f>SUMPRODUCT(M694:X694,$M$4:$X$4)*$K694*$L694</f>
        <v/>
      </c>
      <c r="AC694" s="15">
        <f>SUMPRODUCT(M694:X694,$M$5:$X$5)*$K694*$L694</f>
        <v/>
      </c>
      <c r="AD694" s="15">
        <f>SUMPRODUCT(M694:X694,$M$6:$X$6)*$K694*$L694</f>
        <v/>
      </c>
      <c r="AE694" s="19" t="n"/>
    </row>
    <row r="695">
      <c r="A695" s="9" t="n">
        <v>573186</v>
      </c>
      <c r="B695" s="9" t="inlineStr">
        <is>
          <t>Marcus Stroman</t>
        </is>
      </c>
      <c r="C695" s="9" t="inlineStr">
        <is>
          <t>NYY</t>
        </is>
      </c>
      <c r="D695" s="9" t="n">
        <v>36</v>
      </c>
      <c r="E695" s="17" t="inlineStr">
        <is>
          <t>R</t>
        </is>
      </c>
      <c r="F695" s="17" t="n"/>
      <c r="G695" s="9" t="n">
        <v>175</v>
      </c>
      <c r="H695" s="9" t="n">
        <v>1994</v>
      </c>
      <c r="I695" s="9" t="inlineStr">
        <is>
          <t>End-of-Rotation Starter (SP4-5)</t>
        </is>
      </c>
      <c r="J695" s="17" t="inlineStr">
        <is>
          <t>Opening Day</t>
        </is>
      </c>
      <c r="K695" s="11">
        <f>IFERROR(INDEX(Roles!$B$17:$B$20,MATCH(J695,Roles!$A$17:$A$20,0)),1)</f>
        <v/>
      </c>
      <c r="L695" s="18" t="n">
        <v>1</v>
      </c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3">
        <f>SUMPRODUCT(M695:X695,$M$2:$X$2)*$K695*$L695</f>
        <v/>
      </c>
      <c r="Z695" s="14">
        <f>SUM(M695:X695)</f>
        <v/>
      </c>
      <c r="AA695" s="13">
        <f>SUMPRODUCT(M695:X695,$M$3:$X$3)*$K695*$L695</f>
        <v/>
      </c>
      <c r="AB695" s="13">
        <f>SUMPRODUCT(M695:X695,$M$4:$X$4)*$K695*$L695</f>
        <v/>
      </c>
      <c r="AC695" s="15">
        <f>SUMPRODUCT(M695:X695,$M$5:$X$5)*$K695*$L695</f>
        <v/>
      </c>
      <c r="AD695" s="15">
        <f>SUMPRODUCT(M695:X695,$M$6:$X$6)*$K695*$L695</f>
        <v/>
      </c>
      <c r="AE695" s="19" t="n"/>
    </row>
    <row r="696">
      <c r="A696" s="9" t="n">
        <v>676661</v>
      </c>
      <c r="B696" s="9" t="inlineStr">
        <is>
          <t>Max Lazar</t>
        </is>
      </c>
      <c r="C696" s="9" t="inlineStr">
        <is>
          <t>PHI</t>
        </is>
      </c>
      <c r="D696" s="9" t="n">
        <v>28</v>
      </c>
      <c r="E696" s="17" t="inlineStr">
        <is>
          <t>R</t>
        </is>
      </c>
      <c r="F696" s="17" t="n"/>
      <c r="G696" s="9" t="n">
        <v>170</v>
      </c>
      <c r="H696" s="9" t="n">
        <v>224</v>
      </c>
      <c r="I696" s="9" t="inlineStr">
        <is>
          <t>Bullpen Depth Arm</t>
        </is>
      </c>
      <c r="J696" s="17" t="inlineStr">
        <is>
          <t>Opening Day</t>
        </is>
      </c>
      <c r="K696" s="11">
        <f>IFERROR(INDEX(Roles!$B$17:$B$20,MATCH(J696,Roles!$A$17:$A$20,0)),1)</f>
        <v/>
      </c>
      <c r="L696" s="18" t="n">
        <v>1</v>
      </c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3">
        <f>SUMPRODUCT(M696:X696,$M$2:$X$2)*$K696*$L696</f>
        <v/>
      </c>
      <c r="Z696" s="14">
        <f>SUM(M696:X696)</f>
        <v/>
      </c>
      <c r="AA696" s="13">
        <f>SUMPRODUCT(M696:X696,$M$3:$X$3)*$K696*$L696</f>
        <v/>
      </c>
      <c r="AB696" s="13">
        <f>SUMPRODUCT(M696:X696,$M$4:$X$4)*$K696*$L696</f>
        <v/>
      </c>
      <c r="AC696" s="15">
        <f>SUMPRODUCT(M696:X696,$M$5:$X$5)*$K696*$L696</f>
        <v/>
      </c>
      <c r="AD696" s="15">
        <f>SUMPRODUCT(M696:X696,$M$6:$X$6)*$K696*$L696</f>
        <v/>
      </c>
      <c r="AE696" s="19" t="n"/>
    </row>
    <row r="697">
      <c r="A697" s="9" t="n">
        <v>527048</v>
      </c>
      <c r="B697" s="9" t="inlineStr">
        <is>
          <t>Martín Pérez</t>
        </is>
      </c>
      <c r="C697" s="9" t="inlineStr">
        <is>
          <t>ATL</t>
        </is>
      </c>
      <c r="D697" s="9" t="n">
        <v>36</v>
      </c>
      <c r="E697" s="17" t="inlineStr">
        <is>
          <t>L</t>
        </is>
      </c>
      <c r="F697" s="17" t="n"/>
      <c r="G697" s="9" t="n">
        <v>225</v>
      </c>
      <c r="H697" s="9" t="n">
        <v>2472</v>
      </c>
      <c r="I697" s="9" t="inlineStr">
        <is>
          <t>End-of-Rotation Starter (SP4-5)</t>
        </is>
      </c>
      <c r="J697" s="17" t="inlineStr">
        <is>
          <t>Opening Day</t>
        </is>
      </c>
      <c r="K697" s="11">
        <f>IFERROR(INDEX(Roles!$B$17:$B$20,MATCH(J697,Roles!$A$17:$A$20,0)),1)</f>
        <v/>
      </c>
      <c r="L697" s="18" t="n">
        <v>1</v>
      </c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3">
        <f>SUMPRODUCT(M697:X697,$M$2:$X$2)*$K697*$L697</f>
        <v/>
      </c>
      <c r="Z697" s="14">
        <f>SUM(M697:X697)</f>
        <v/>
      </c>
      <c r="AA697" s="13">
        <f>SUMPRODUCT(M697:X697,$M$3:$X$3)*$K697*$L697</f>
        <v/>
      </c>
      <c r="AB697" s="13">
        <f>SUMPRODUCT(M697:X697,$M$4:$X$4)*$K697*$L697</f>
        <v/>
      </c>
      <c r="AC697" s="15">
        <f>SUMPRODUCT(M697:X697,$M$5:$X$5)*$K697*$L697</f>
        <v/>
      </c>
      <c r="AD697" s="15">
        <f>SUMPRODUCT(M697:X697,$M$6:$X$6)*$K697*$L697</f>
        <v/>
      </c>
      <c r="AE697" s="19" t="n"/>
    </row>
    <row r="698">
      <c r="A698" s="9" t="n">
        <v>607259</v>
      </c>
      <c r="B698" s="9" t="inlineStr">
        <is>
          <t>Nick Martinez</t>
        </is>
      </c>
      <c r="C698" s="9" t="inlineStr">
        <is>
          <t>TB</t>
        </is>
      </c>
      <c r="D698" s="9" t="n">
        <v>36</v>
      </c>
      <c r="E698" s="17" t="inlineStr">
        <is>
          <t>R</t>
        </is>
      </c>
      <c r="F698" s="17" t="n"/>
      <c r="G698" s="9" t="n">
        <v>318</v>
      </c>
      <c r="H698" s="9" t="n">
        <v>2480</v>
      </c>
      <c r="I698" s="9" t="inlineStr">
        <is>
          <t>End-of-Rotation Starter (SP4-5)</t>
        </is>
      </c>
      <c r="J698" s="17" t="inlineStr">
        <is>
          <t>Opening Day</t>
        </is>
      </c>
      <c r="K698" s="11">
        <f>IFERROR(INDEX(Roles!$B$17:$B$20,MATCH(J698,Roles!$A$17:$A$20,0)),1)</f>
        <v/>
      </c>
      <c r="L698" s="18" t="n">
        <v>1</v>
      </c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3">
        <f>SUMPRODUCT(M698:X698,$M$2:$X$2)*$K698*$L698</f>
        <v/>
      </c>
      <c r="Z698" s="14">
        <f>SUM(M698:X698)</f>
        <v/>
      </c>
      <c r="AA698" s="13">
        <f>SUMPRODUCT(M698:X698,$M$3:$X$3)*$K698*$L698</f>
        <v/>
      </c>
      <c r="AB698" s="13">
        <f>SUMPRODUCT(M698:X698,$M$4:$X$4)*$K698*$L698</f>
        <v/>
      </c>
      <c r="AC698" s="15">
        <f>SUMPRODUCT(M698:X698,$M$5:$X$5)*$K698*$L698</f>
        <v/>
      </c>
      <c r="AD698" s="15">
        <f>SUMPRODUCT(M698:X698,$M$6:$X$6)*$K698*$L698</f>
        <v/>
      </c>
      <c r="AE698" s="19" t="n"/>
    </row>
    <row r="699">
      <c r="A699" s="9" t="n">
        <v>669270</v>
      </c>
      <c r="B699" s="9" t="inlineStr">
        <is>
          <t>Joel Kuhnel</t>
        </is>
      </c>
      <c r="C699" s="9" t="inlineStr">
        <is>
          <t>MIL</t>
        </is>
      </c>
      <c r="D699" s="9" t="n">
        <v>32</v>
      </c>
      <c r="E699" s="17" t="inlineStr">
        <is>
          <t>R</t>
        </is>
      </c>
      <c r="F699" s="17" t="n"/>
      <c r="G699" s="9" t="n">
        <v>119</v>
      </c>
      <c r="H699" s="9" t="n">
        <v>471</v>
      </c>
      <c r="I699" s="9" t="inlineStr">
        <is>
          <t>Bullpen Depth Arm</t>
        </is>
      </c>
      <c r="J699" s="17" t="inlineStr">
        <is>
          <t>Opening Day</t>
        </is>
      </c>
      <c r="K699" s="11">
        <f>IFERROR(INDEX(Roles!$B$17:$B$20,MATCH(J699,Roles!$A$17:$A$20,0)),1)</f>
        <v/>
      </c>
      <c r="L699" s="18" t="n">
        <v>1</v>
      </c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3">
        <f>SUMPRODUCT(M699:X699,$M$2:$X$2)*$K699*$L699</f>
        <v/>
      </c>
      <c r="Z699" s="14">
        <f>SUM(M699:X699)</f>
        <v/>
      </c>
      <c r="AA699" s="13">
        <f>SUMPRODUCT(M699:X699,$M$3:$X$3)*$K699*$L699</f>
        <v/>
      </c>
      <c r="AB699" s="13">
        <f>SUMPRODUCT(M699:X699,$M$4:$X$4)*$K699*$L699</f>
        <v/>
      </c>
      <c r="AC699" s="15">
        <f>SUMPRODUCT(M699:X699,$M$5:$X$5)*$K699*$L699</f>
        <v/>
      </c>
      <c r="AD699" s="15">
        <f>SUMPRODUCT(M699:X699,$M$6:$X$6)*$K699*$L699</f>
        <v/>
      </c>
      <c r="AE699" s="19" t="n"/>
    </row>
    <row r="700">
      <c r="A700" s="9" t="n">
        <v>688138</v>
      </c>
      <c r="B700" s="9" t="inlineStr">
        <is>
          <t>Logan Evans</t>
        </is>
      </c>
      <c r="C700" s="9" t="inlineStr">
        <is>
          <t>SEA</t>
        </is>
      </c>
      <c r="D700" s="9" t="n">
        <v>26</v>
      </c>
      <c r="E700" s="17" t="inlineStr">
        <is>
          <t>R</t>
        </is>
      </c>
      <c r="F700" s="17" t="n"/>
      <c r="G700" s="9" t="n">
        <v>350</v>
      </c>
      <c r="H700" s="9" t="n">
        <v>350</v>
      </c>
      <c r="I700" s="9" t="inlineStr">
        <is>
          <t>Mid-Rotation Starter (SP2-3)</t>
        </is>
      </c>
      <c r="J700" s="17" t="inlineStr">
        <is>
          <t>Opening Day</t>
        </is>
      </c>
      <c r="K700" s="11">
        <f>IFERROR(INDEX(Roles!$B$17:$B$20,MATCH(J700,Roles!$A$17:$A$20,0)),1)</f>
        <v/>
      </c>
      <c r="L700" s="18" t="n">
        <v>1</v>
      </c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3">
        <f>SUMPRODUCT(M700:X700,$M$2:$X$2)*$K700*$L700</f>
        <v/>
      </c>
      <c r="Z700" s="14">
        <f>SUM(M700:X700)</f>
        <v/>
      </c>
      <c r="AA700" s="13">
        <f>SUMPRODUCT(M700:X700,$M$3:$X$3)*$K700*$L700</f>
        <v/>
      </c>
      <c r="AB700" s="13">
        <f>SUMPRODUCT(M700:X700,$M$4:$X$4)*$K700*$L700</f>
        <v/>
      </c>
      <c r="AC700" s="15">
        <f>SUMPRODUCT(M700:X700,$M$5:$X$5)*$K700*$L700</f>
        <v/>
      </c>
      <c r="AD700" s="15">
        <f>SUMPRODUCT(M700:X700,$M$6:$X$6)*$K700*$L700</f>
        <v/>
      </c>
      <c r="AE700" s="19" t="n"/>
    </row>
    <row r="701">
      <c r="A701" s="9" t="n">
        <v>641585</v>
      </c>
      <c r="B701" s="9" t="inlineStr">
        <is>
          <t>J.P. France</t>
        </is>
      </c>
      <c r="C701" s="9" t="inlineStr">
        <is>
          <t>HOU</t>
        </is>
      </c>
      <c r="D701" s="9" t="n">
        <v>32</v>
      </c>
      <c r="E701" s="17" t="inlineStr">
        <is>
          <t>R</t>
        </is>
      </c>
      <c r="F701" s="17" t="n"/>
      <c r="G701" s="9" t="n">
        <v>31</v>
      </c>
      <c r="H701" s="9" t="n">
        <v>749</v>
      </c>
      <c r="I701" s="9" t="inlineStr">
        <is>
          <t>End-of-Rotation Starter (SP4-5)</t>
        </is>
      </c>
      <c r="J701" s="17" t="inlineStr">
        <is>
          <t>Opening Day</t>
        </is>
      </c>
      <c r="K701" s="11">
        <f>IFERROR(INDEX(Roles!$B$17:$B$20,MATCH(J701,Roles!$A$17:$A$20,0)),1)</f>
        <v/>
      </c>
      <c r="L701" s="18" t="n">
        <v>1</v>
      </c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3">
        <f>SUMPRODUCT(M701:X701,$M$2:$X$2)*$K701*$L701</f>
        <v/>
      </c>
      <c r="Z701" s="14">
        <f>SUM(M701:X701)</f>
        <v/>
      </c>
      <c r="AA701" s="13">
        <f>SUMPRODUCT(M701:X701,$M$3:$X$3)*$K701*$L701</f>
        <v/>
      </c>
      <c r="AB701" s="13">
        <f>SUMPRODUCT(M701:X701,$M$4:$X$4)*$K701*$L701</f>
        <v/>
      </c>
      <c r="AC701" s="15">
        <f>SUMPRODUCT(M701:X701,$M$5:$X$5)*$K701*$L701</f>
        <v/>
      </c>
      <c r="AD701" s="15">
        <f>SUMPRODUCT(M701:X701,$M$6:$X$6)*$K701*$L701</f>
        <v/>
      </c>
      <c r="AE701" s="19" t="n"/>
    </row>
    <row r="702">
      <c r="A702" s="9" t="n">
        <v>641312</v>
      </c>
      <c r="B702" s="9" t="inlineStr">
        <is>
          <t>Shaun Anderson</t>
        </is>
      </c>
      <c r="C702" s="9" t="inlineStr">
        <is>
          <t>LAA</t>
        </is>
      </c>
      <c r="D702" s="9" t="n">
        <v>32</v>
      </c>
      <c r="E702" s="17" t="inlineStr">
        <is>
          <t>R</t>
        </is>
      </c>
      <c r="F702" s="17" t="n"/>
      <c r="G702" s="9" t="n">
        <v>73</v>
      </c>
      <c r="H702" s="9" t="n">
        <v>221</v>
      </c>
      <c r="I702" s="9" t="inlineStr">
        <is>
          <t>Bullpen Depth Arm</t>
        </is>
      </c>
      <c r="J702" s="17" t="inlineStr">
        <is>
          <t>Opening Day</t>
        </is>
      </c>
      <c r="K702" s="11">
        <f>IFERROR(INDEX(Roles!$B$17:$B$20,MATCH(J702,Roles!$A$17:$A$20,0)),1)</f>
        <v/>
      </c>
      <c r="L702" s="18" t="n">
        <v>1</v>
      </c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3">
        <f>SUMPRODUCT(M702:X702,$M$2:$X$2)*$K702*$L702</f>
        <v/>
      </c>
      <c r="Z702" s="14">
        <f>SUM(M702:X702)</f>
        <v/>
      </c>
      <c r="AA702" s="13">
        <f>SUMPRODUCT(M702:X702,$M$3:$X$3)*$K702*$L702</f>
        <v/>
      </c>
      <c r="AB702" s="13">
        <f>SUMPRODUCT(M702:X702,$M$4:$X$4)*$K702*$L702</f>
        <v/>
      </c>
      <c r="AC702" s="15">
        <f>SUMPRODUCT(M702:X702,$M$5:$X$5)*$K702*$L702</f>
        <v/>
      </c>
      <c r="AD702" s="15">
        <f>SUMPRODUCT(M702:X702,$M$6:$X$6)*$K702*$L702</f>
        <v/>
      </c>
      <c r="AE702" s="19" t="n"/>
    </row>
    <row r="703">
      <c r="A703" s="9" t="n">
        <v>657756</v>
      </c>
      <c r="B703" s="9" t="inlineStr">
        <is>
          <t>Connor Seabold</t>
        </is>
      </c>
      <c r="C703" s="9" t="inlineStr">
        <is>
          <t>TOR</t>
        </is>
      </c>
      <c r="D703" s="9" t="n">
        <v>31</v>
      </c>
      <c r="E703" s="17" t="inlineStr">
        <is>
          <t>R</t>
        </is>
      </c>
      <c r="F703" s="17" t="n"/>
      <c r="G703" s="9" t="n">
        <v>87</v>
      </c>
      <c r="H703" s="9" t="n">
        <v>641</v>
      </c>
      <c r="I703" s="9" t="inlineStr">
        <is>
          <t>Bullpen Depth Arm</t>
        </is>
      </c>
      <c r="J703" s="17" t="inlineStr">
        <is>
          <t>Opening Day</t>
        </is>
      </c>
      <c r="K703" s="11">
        <f>IFERROR(INDEX(Roles!$B$17:$B$20,MATCH(J703,Roles!$A$17:$A$20,0)),1)</f>
        <v/>
      </c>
      <c r="L703" s="18" t="n">
        <v>1</v>
      </c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3">
        <f>SUMPRODUCT(M703:X703,$M$2:$X$2)*$K703*$L703</f>
        <v/>
      </c>
      <c r="Z703" s="14">
        <f>SUM(M703:X703)</f>
        <v/>
      </c>
      <c r="AA703" s="13">
        <f>SUMPRODUCT(M703:X703,$M$3:$X$3)*$K703*$L703</f>
        <v/>
      </c>
      <c r="AB703" s="13">
        <f>SUMPRODUCT(M703:X703,$M$4:$X$4)*$K703*$L703</f>
        <v/>
      </c>
      <c r="AC703" s="15">
        <f>SUMPRODUCT(M703:X703,$M$5:$X$5)*$K703*$L703</f>
        <v/>
      </c>
      <c r="AD703" s="15">
        <f>SUMPRODUCT(M703:X703,$M$6:$X$6)*$K703*$L703</f>
        <v/>
      </c>
      <c r="AE703" s="19" t="n"/>
    </row>
    <row r="704">
      <c r="A704" s="9" t="n">
        <v>542881</v>
      </c>
      <c r="B704" s="9" t="inlineStr">
        <is>
          <t>Tyler Anderson</t>
        </is>
      </c>
      <c r="C704" s="9" t="inlineStr">
        <is>
          <t>LAA</t>
        </is>
      </c>
      <c r="D704" s="9" t="n">
        <v>37</v>
      </c>
      <c r="E704" s="17" t="inlineStr">
        <is>
          <t>L</t>
        </is>
      </c>
      <c r="F704" s="17" t="n"/>
      <c r="G704" s="9" t="n">
        <v>599</v>
      </c>
      <c r="H704" s="9" t="n">
        <v>2700</v>
      </c>
      <c r="I704" s="9" t="inlineStr">
        <is>
          <t>Mid-Rotation Starter (SP2-3)</t>
        </is>
      </c>
      <c r="J704" s="17" t="inlineStr">
        <is>
          <t>Opening Day</t>
        </is>
      </c>
      <c r="K704" s="11">
        <f>IFERROR(INDEX(Roles!$B$17:$B$20,MATCH(J704,Roles!$A$17:$A$20,0)),1)</f>
        <v/>
      </c>
      <c r="L704" s="18" t="n">
        <v>1</v>
      </c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3">
        <f>SUMPRODUCT(M704:X704,$M$2:$X$2)*$K704*$L704</f>
        <v/>
      </c>
      <c r="Z704" s="14">
        <f>SUM(M704:X704)</f>
        <v/>
      </c>
      <c r="AA704" s="13">
        <f>SUMPRODUCT(M704:X704,$M$3:$X$3)*$K704*$L704</f>
        <v/>
      </c>
      <c r="AB704" s="13">
        <f>SUMPRODUCT(M704:X704,$M$4:$X$4)*$K704*$L704</f>
        <v/>
      </c>
      <c r="AC704" s="15">
        <f>SUMPRODUCT(M704:X704,$M$5:$X$5)*$K704*$L704</f>
        <v/>
      </c>
      <c r="AD704" s="15">
        <f>SUMPRODUCT(M704:X704,$M$6:$X$6)*$K704*$L704</f>
        <v/>
      </c>
      <c r="AE704" s="19" t="n"/>
    </row>
    <row r="705">
      <c r="A705" s="9" t="n">
        <v>674072</v>
      </c>
      <c r="B705" s="9" t="inlineStr">
        <is>
          <t>Tommy Henry</t>
        </is>
      </c>
      <c r="C705" s="9" t="inlineStr">
        <is>
          <t>ARI</t>
        </is>
      </c>
      <c r="D705" s="9" t="n">
        <v>29</v>
      </c>
      <c r="E705" s="17" t="inlineStr">
        <is>
          <t>L</t>
        </is>
      </c>
      <c r="F705" s="17" t="n"/>
      <c r="G705" s="9" t="n">
        <v>26</v>
      </c>
      <c r="H705" s="9" t="n">
        <v>794</v>
      </c>
      <c r="I705" s="9" t="inlineStr">
        <is>
          <t>End-of-Rotation Starter (SP4-5)</t>
        </is>
      </c>
      <c r="J705" s="17" t="inlineStr">
        <is>
          <t>Opening Day</t>
        </is>
      </c>
      <c r="K705" s="11">
        <f>IFERROR(INDEX(Roles!$B$17:$B$20,MATCH(J705,Roles!$A$17:$A$20,0)),1)</f>
        <v/>
      </c>
      <c r="L705" s="18" t="n">
        <v>1</v>
      </c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3">
        <f>SUMPRODUCT(M705:X705,$M$2:$X$2)*$K705*$L705</f>
        <v/>
      </c>
      <c r="Z705" s="14">
        <f>SUM(M705:X705)</f>
        <v/>
      </c>
      <c r="AA705" s="13">
        <f>SUMPRODUCT(M705:X705,$M$3:$X$3)*$K705*$L705</f>
        <v/>
      </c>
      <c r="AB705" s="13">
        <f>SUMPRODUCT(M705:X705,$M$4:$X$4)*$K705*$L705</f>
        <v/>
      </c>
      <c r="AC705" s="15">
        <f>SUMPRODUCT(M705:X705,$M$5:$X$5)*$K705*$L705</f>
        <v/>
      </c>
      <c r="AD705" s="15">
        <f>SUMPRODUCT(M705:X705,$M$6:$X$6)*$K705*$L705</f>
        <v/>
      </c>
      <c r="AE705" s="19" t="n"/>
    </row>
    <row r="706">
      <c r="A706" s="9" t="n">
        <v>621111</v>
      </c>
      <c r="B706" s="9" t="inlineStr">
        <is>
          <t>Walker Buehler</t>
        </is>
      </c>
      <c r="C706" s="9" t="inlineStr">
        <is>
          <t>SD</t>
        </is>
      </c>
      <c r="D706" s="9" t="n">
        <v>32</v>
      </c>
      <c r="E706" s="17" t="inlineStr">
        <is>
          <t>R</t>
        </is>
      </c>
      <c r="F706" s="17" t="n"/>
      <c r="G706" s="9" t="n">
        <v>266</v>
      </c>
      <c r="H706" s="9" t="n">
        <v>1449</v>
      </c>
      <c r="I706" s="9" t="inlineStr">
        <is>
          <t>End-of-Rotation Starter (SP4-5)</t>
        </is>
      </c>
      <c r="J706" s="17" t="inlineStr">
        <is>
          <t>Opening Day</t>
        </is>
      </c>
      <c r="K706" s="11">
        <f>IFERROR(INDEX(Roles!$B$17:$B$20,MATCH(J706,Roles!$A$17:$A$20,0)),1)</f>
        <v/>
      </c>
      <c r="L706" s="18" t="n">
        <v>1</v>
      </c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3">
        <f>SUMPRODUCT(M706:X706,$M$2:$X$2)*$K706*$L706</f>
        <v/>
      </c>
      <c r="Z706" s="14">
        <f>SUM(M706:X706)</f>
        <v/>
      </c>
      <c r="AA706" s="13">
        <f>SUMPRODUCT(M706:X706,$M$3:$X$3)*$K706*$L706</f>
        <v/>
      </c>
      <c r="AB706" s="13">
        <f>SUMPRODUCT(M706:X706,$M$4:$X$4)*$K706*$L706</f>
        <v/>
      </c>
      <c r="AC706" s="15">
        <f>SUMPRODUCT(M706:X706,$M$5:$X$5)*$K706*$L706</f>
        <v/>
      </c>
      <c r="AD706" s="15">
        <f>SUMPRODUCT(M706:X706,$M$6:$X$6)*$K706*$L706</f>
        <v/>
      </c>
      <c r="AE706" s="19" t="n"/>
    </row>
    <row r="707">
      <c r="A707" s="9" t="n">
        <v>641743</v>
      </c>
      <c r="B707" s="9" t="inlineStr">
        <is>
          <t>Anthony Kay</t>
        </is>
      </c>
      <c r="C707" s="9" t="inlineStr">
        <is>
          <t>CWS</t>
        </is>
      </c>
      <c r="D707" s="9" t="n">
        <v>32</v>
      </c>
      <c r="E707" s="17" t="inlineStr">
        <is>
          <t>L</t>
        </is>
      </c>
      <c r="F707" s="17" t="n"/>
      <c r="G707" s="9" t="n">
        <v>279</v>
      </c>
      <c r="H707" s="9" t="n">
        <v>355</v>
      </c>
      <c r="I707" s="9" t="inlineStr">
        <is>
          <t>End-of-Rotation Starter (SP4-5)</t>
        </is>
      </c>
      <c r="J707" s="17" t="inlineStr">
        <is>
          <t>Opening Day</t>
        </is>
      </c>
      <c r="K707" s="11">
        <f>IFERROR(INDEX(Roles!$B$17:$B$20,MATCH(J707,Roles!$A$17:$A$20,0)),1)</f>
        <v/>
      </c>
      <c r="L707" s="18" t="n">
        <v>1</v>
      </c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3">
        <f>SUMPRODUCT(M707:X707,$M$2:$X$2)*$K707*$L707</f>
        <v/>
      </c>
      <c r="Z707" s="14">
        <f>SUM(M707:X707)</f>
        <v/>
      </c>
      <c r="AA707" s="13">
        <f>SUMPRODUCT(M707:X707,$M$3:$X$3)*$K707*$L707</f>
        <v/>
      </c>
      <c r="AB707" s="13">
        <f>SUMPRODUCT(M707:X707,$M$4:$X$4)*$K707*$L707</f>
        <v/>
      </c>
      <c r="AC707" s="15">
        <f>SUMPRODUCT(M707:X707,$M$5:$X$5)*$K707*$L707</f>
        <v/>
      </c>
      <c r="AD707" s="15">
        <f>SUMPRODUCT(M707:X707,$M$6:$X$6)*$K707*$L707</f>
        <v/>
      </c>
      <c r="AE707" s="19" t="n"/>
    </row>
    <row r="708">
      <c r="A708" s="9" t="n">
        <v>663969</v>
      </c>
      <c r="B708" s="9" t="inlineStr">
        <is>
          <t>Tyler Phillips</t>
        </is>
      </c>
      <c r="C708" s="9" t="inlineStr">
        <is>
          <t>MIA</t>
        </is>
      </c>
      <c r="D708" s="9" t="n">
        <v>29</v>
      </c>
      <c r="E708" s="17" t="inlineStr">
        <is>
          <t>R</t>
        </is>
      </c>
      <c r="F708" s="17" t="n"/>
      <c r="G708" s="9" t="n">
        <v>189</v>
      </c>
      <c r="H708" s="9" t="n">
        <v>662</v>
      </c>
      <c r="I708" s="9" t="inlineStr">
        <is>
          <t>Bullpen Depth Arm</t>
        </is>
      </c>
      <c r="J708" s="17" t="inlineStr">
        <is>
          <t>Opening Day</t>
        </is>
      </c>
      <c r="K708" s="11">
        <f>IFERROR(INDEX(Roles!$B$17:$B$20,MATCH(J708,Roles!$A$17:$A$20,0)),1)</f>
        <v/>
      </c>
      <c r="L708" s="18" t="n">
        <v>1</v>
      </c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3">
        <f>SUMPRODUCT(M708:X708,$M$2:$X$2)*$K708*$L708</f>
        <v/>
      </c>
      <c r="Z708" s="14">
        <f>SUM(M708:X708)</f>
        <v/>
      </c>
      <c r="AA708" s="13">
        <f>SUMPRODUCT(M708:X708,$M$3:$X$3)*$K708*$L708</f>
        <v/>
      </c>
      <c r="AB708" s="13">
        <f>SUMPRODUCT(M708:X708,$M$4:$X$4)*$K708*$L708</f>
        <v/>
      </c>
      <c r="AC708" s="15">
        <f>SUMPRODUCT(M708:X708,$M$5:$X$5)*$K708*$L708</f>
        <v/>
      </c>
      <c r="AD708" s="15">
        <f>SUMPRODUCT(M708:X708,$M$6:$X$6)*$K708*$L708</f>
        <v/>
      </c>
      <c r="AE708" s="19" t="n"/>
    </row>
    <row r="709">
      <c r="A709" s="9" t="n">
        <v>672456</v>
      </c>
      <c r="B709" s="9" t="inlineStr">
        <is>
          <t>Keider Montero</t>
        </is>
      </c>
      <c r="C709" s="9" t="inlineStr">
        <is>
          <t>DET</t>
        </is>
      </c>
      <c r="D709" s="9" t="n">
        <v>26</v>
      </c>
      <c r="E709" s="17" t="inlineStr">
        <is>
          <t>R</t>
        </is>
      </c>
      <c r="F709" s="17" t="n"/>
      <c r="G709" s="9" t="n">
        <v>264</v>
      </c>
      <c r="H709" s="9" t="n">
        <v>1065</v>
      </c>
      <c r="I709" s="9" t="inlineStr">
        <is>
          <t>Mid-Rotation Starter (SP2-3)</t>
        </is>
      </c>
      <c r="J709" s="17" t="inlineStr">
        <is>
          <t>Opening Day</t>
        </is>
      </c>
      <c r="K709" s="11">
        <f>IFERROR(INDEX(Roles!$B$17:$B$20,MATCH(J709,Roles!$A$17:$A$20,0)),1)</f>
        <v/>
      </c>
      <c r="L709" s="18" t="n">
        <v>1</v>
      </c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3">
        <f>SUMPRODUCT(M709:X709,$M$2:$X$2)*$K709*$L709</f>
        <v/>
      </c>
      <c r="Z709" s="14">
        <f>SUM(M709:X709)</f>
        <v/>
      </c>
      <c r="AA709" s="13">
        <f>SUMPRODUCT(M709:X709,$M$3:$X$3)*$K709*$L709</f>
        <v/>
      </c>
      <c r="AB709" s="13">
        <f>SUMPRODUCT(M709:X709,$M$4:$X$4)*$K709*$L709</f>
        <v/>
      </c>
      <c r="AC709" s="15">
        <f>SUMPRODUCT(M709:X709,$M$5:$X$5)*$K709*$L709</f>
        <v/>
      </c>
      <c r="AD709" s="15">
        <f>SUMPRODUCT(M709:X709,$M$6:$X$6)*$K709*$L709</f>
        <v/>
      </c>
      <c r="AE709" s="19" t="n"/>
    </row>
    <row r="710">
      <c r="A710" s="9" t="n">
        <v>674285</v>
      </c>
      <c r="B710" s="9" t="inlineStr">
        <is>
          <t>Eduardo Salazar</t>
        </is>
      </c>
      <c r="C710" s="9" t="inlineStr">
        <is>
          <t>WSH</t>
        </is>
      </c>
      <c r="D710" s="9" t="n">
        <v>29</v>
      </c>
      <c r="E710" s="17" t="inlineStr">
        <is>
          <t>R</t>
        </is>
      </c>
      <c r="F710" s="17" t="n"/>
      <c r="G710" s="9" t="n">
        <v>150</v>
      </c>
      <c r="H710" s="9" t="n">
        <v>344</v>
      </c>
      <c r="I710" s="9" t="inlineStr">
        <is>
          <t>Bullpen Depth Arm</t>
        </is>
      </c>
      <c r="J710" s="17" t="inlineStr">
        <is>
          <t>Opening Day</t>
        </is>
      </c>
      <c r="K710" s="11">
        <f>IFERROR(INDEX(Roles!$B$17:$B$20,MATCH(J710,Roles!$A$17:$A$20,0)),1)</f>
        <v/>
      </c>
      <c r="L710" s="18" t="n">
        <v>1</v>
      </c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3">
        <f>SUMPRODUCT(M710:X710,$M$2:$X$2)*$K710*$L710</f>
        <v/>
      </c>
      <c r="Z710" s="14">
        <f>SUM(M710:X710)</f>
        <v/>
      </c>
      <c r="AA710" s="13">
        <f>SUMPRODUCT(M710:X710,$M$3:$X$3)*$K710*$L710</f>
        <v/>
      </c>
      <c r="AB710" s="13">
        <f>SUMPRODUCT(M710:X710,$M$4:$X$4)*$K710*$L710</f>
        <v/>
      </c>
      <c r="AC710" s="15">
        <f>SUMPRODUCT(M710:X710,$M$5:$X$5)*$K710*$L710</f>
        <v/>
      </c>
      <c r="AD710" s="15">
        <f>SUMPRODUCT(M710:X710,$M$6:$X$6)*$K710*$L710</f>
        <v/>
      </c>
      <c r="AE710" s="19" t="n"/>
    </row>
    <row r="711">
      <c r="A711" s="9" t="n">
        <v>641793</v>
      </c>
      <c r="B711" s="9" t="inlineStr">
        <is>
          <t>Zack Littell</t>
        </is>
      </c>
      <c r="C711" s="9" t="inlineStr">
        <is>
          <t>WSH</t>
        </is>
      </c>
      <c r="D711" s="9" t="n">
        <v>31</v>
      </c>
      <c r="E711" s="17" t="inlineStr">
        <is>
          <t>R</t>
        </is>
      </c>
      <c r="F711" s="17" t="n"/>
      <c r="G711" s="9" t="n">
        <v>278</v>
      </c>
      <c r="H711" s="9" t="n">
        <v>2262</v>
      </c>
      <c r="I711" s="9" t="inlineStr">
        <is>
          <t>Mid-Rotation Starter (SP2-3)</t>
        </is>
      </c>
      <c r="J711" s="17" t="inlineStr">
        <is>
          <t>Opening Day</t>
        </is>
      </c>
      <c r="K711" s="11">
        <f>IFERROR(INDEX(Roles!$B$17:$B$20,MATCH(J711,Roles!$A$17:$A$20,0)),1)</f>
        <v/>
      </c>
      <c r="L711" s="18" t="n">
        <v>1</v>
      </c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3">
        <f>SUMPRODUCT(M711:X711,$M$2:$X$2)*$K711*$L711</f>
        <v/>
      </c>
      <c r="Z711" s="14">
        <f>SUM(M711:X711)</f>
        <v/>
      </c>
      <c r="AA711" s="13">
        <f>SUMPRODUCT(M711:X711,$M$3:$X$3)*$K711*$L711</f>
        <v/>
      </c>
      <c r="AB711" s="13">
        <f>SUMPRODUCT(M711:X711,$M$4:$X$4)*$K711*$L711</f>
        <v/>
      </c>
      <c r="AC711" s="15">
        <f>SUMPRODUCT(M711:X711,$M$5:$X$5)*$K711*$L711</f>
        <v/>
      </c>
      <c r="AD711" s="15">
        <f>SUMPRODUCT(M711:X711,$M$6:$X$6)*$K711*$L711</f>
        <v/>
      </c>
      <c r="AE711" s="19" t="n"/>
    </row>
    <row r="712">
      <c r="A712" s="9" t="n">
        <v>695534</v>
      </c>
      <c r="B712" s="9" t="inlineStr">
        <is>
          <t>Chase Petty</t>
        </is>
      </c>
      <c r="C712" s="9" t="inlineStr">
        <is>
          <t>CIN</t>
        </is>
      </c>
      <c r="D712" s="9" t="n">
        <v>24</v>
      </c>
      <c r="E712" s="17" t="inlineStr">
        <is>
          <t>R</t>
        </is>
      </c>
      <c r="F712" s="17" t="n"/>
      <c r="G712" s="9" t="n">
        <v>45</v>
      </c>
      <c r="H712" s="9" t="n">
        <v>85</v>
      </c>
      <c r="I712" s="9" t="inlineStr">
        <is>
          <t>End-of-Rotation Starter (SP4-5)</t>
        </is>
      </c>
      <c r="J712" s="17" t="inlineStr">
        <is>
          <t>Opening Day</t>
        </is>
      </c>
      <c r="K712" s="11">
        <f>IFERROR(INDEX(Roles!$B$17:$B$20,MATCH(J712,Roles!$A$17:$A$20,0)),1)</f>
        <v/>
      </c>
      <c r="L712" s="18" t="n">
        <v>1</v>
      </c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3">
        <f>SUMPRODUCT(M712:X712,$M$2:$X$2)*$K712*$L712</f>
        <v/>
      </c>
      <c r="Z712" s="14">
        <f>SUM(M712:X712)</f>
        <v/>
      </c>
      <c r="AA712" s="13">
        <f>SUMPRODUCT(M712:X712,$M$3:$X$3)*$K712*$L712</f>
        <v/>
      </c>
      <c r="AB712" s="13">
        <f>SUMPRODUCT(M712:X712,$M$4:$X$4)*$K712*$L712</f>
        <v/>
      </c>
      <c r="AC712" s="15">
        <f>SUMPRODUCT(M712:X712,$M$5:$X$5)*$K712*$L712</f>
        <v/>
      </c>
      <c r="AD712" s="15">
        <f>SUMPRODUCT(M712:X712,$M$6:$X$6)*$K712*$L712</f>
        <v/>
      </c>
      <c r="AE712" s="19" t="n"/>
    </row>
    <row r="713">
      <c r="A713" s="9" t="n">
        <v>663978</v>
      </c>
      <c r="B713" s="9" t="inlineStr">
        <is>
          <t>Chris Paddack</t>
        </is>
      </c>
      <c r="C713" s="9" t="inlineStr">
        <is>
          <t>CIN</t>
        </is>
      </c>
      <c r="D713" s="9" t="n">
        <v>31</v>
      </c>
      <c r="E713" s="17" t="inlineStr">
        <is>
          <t>R</t>
        </is>
      </c>
      <c r="F713" s="17" t="n"/>
      <c r="G713" s="9" t="n">
        <v>224</v>
      </c>
      <c r="H713" s="9" t="n">
        <v>1393</v>
      </c>
      <c r="I713" s="9" t="inlineStr">
        <is>
          <t>End-of-Rotation Starter (SP4-5)</t>
        </is>
      </c>
      <c r="J713" s="17" t="inlineStr">
        <is>
          <t>Opening Day</t>
        </is>
      </c>
      <c r="K713" s="11">
        <f>IFERROR(INDEX(Roles!$B$17:$B$20,MATCH(J713,Roles!$A$17:$A$20,0)),1)</f>
        <v/>
      </c>
      <c r="L713" s="18" t="n">
        <v>1</v>
      </c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3">
        <f>SUMPRODUCT(M713:X713,$M$2:$X$2)*$K713*$L713</f>
        <v/>
      </c>
      <c r="Z713" s="14">
        <f>SUM(M713:X713)</f>
        <v/>
      </c>
      <c r="AA713" s="13">
        <f>SUMPRODUCT(M713:X713,$M$3:$X$3)*$K713*$L713</f>
        <v/>
      </c>
      <c r="AB713" s="13">
        <f>SUMPRODUCT(M713:X713,$M$4:$X$4)*$K713*$L713</f>
        <v/>
      </c>
      <c r="AC713" s="15">
        <f>SUMPRODUCT(M713:X713,$M$5:$X$5)*$K713*$L713</f>
        <v/>
      </c>
      <c r="AD713" s="15">
        <f>SUMPRODUCT(M713:X713,$M$6:$X$6)*$K713*$L713</f>
        <v/>
      </c>
      <c r="AE713" s="19" t="n"/>
    </row>
    <row r="714">
      <c r="A714" s="9" t="n">
        <v>669920</v>
      </c>
      <c r="B714" s="9" t="inlineStr">
        <is>
          <t>Jason Alexander</t>
        </is>
      </c>
      <c r="C714" s="9" t="inlineStr">
        <is>
          <t>HOU</t>
        </is>
      </c>
      <c r="D714" s="9" t="n">
        <v>34</v>
      </c>
      <c r="E714" s="17" t="inlineStr">
        <is>
          <t>R</t>
        </is>
      </c>
      <c r="F714" s="17" t="n"/>
      <c r="G714" s="9" t="n">
        <v>84</v>
      </c>
      <c r="H714" s="9" t="n">
        <v>741</v>
      </c>
      <c r="I714" s="9" t="inlineStr">
        <is>
          <t>End-of-Rotation Starter (SP4-5)</t>
        </is>
      </c>
      <c r="J714" s="17" t="inlineStr">
        <is>
          <t>Opening Day</t>
        </is>
      </c>
      <c r="K714" s="11">
        <f>IFERROR(INDEX(Roles!$B$17:$B$20,MATCH(J714,Roles!$A$17:$A$20,0)),1)</f>
        <v/>
      </c>
      <c r="L714" s="18" t="n">
        <v>1</v>
      </c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3">
        <f>SUMPRODUCT(M714:X714,$M$2:$X$2)*$K714*$L714</f>
        <v/>
      </c>
      <c r="Z714" s="14">
        <f>SUM(M714:X714)</f>
        <v/>
      </c>
      <c r="AA714" s="13">
        <f>SUMPRODUCT(M714:X714,$M$3:$X$3)*$K714*$L714</f>
        <v/>
      </c>
      <c r="AB714" s="13">
        <f>SUMPRODUCT(M714:X714,$M$4:$X$4)*$K714*$L714</f>
        <v/>
      </c>
      <c r="AC714" s="15">
        <f>SUMPRODUCT(M714:X714,$M$5:$X$5)*$K714*$L714</f>
        <v/>
      </c>
      <c r="AD714" s="15">
        <f>SUMPRODUCT(M714:X714,$M$6:$X$6)*$K714*$L714</f>
        <v/>
      </c>
      <c r="AE714" s="19" t="n"/>
    </row>
    <row r="715">
      <c r="A715" s="9" t="n">
        <v>642232</v>
      </c>
      <c r="B715" s="9" t="inlineStr">
        <is>
          <t>Ryan Yarbrough</t>
        </is>
      </c>
      <c r="C715" s="9" t="inlineStr">
        <is>
          <t>NYY</t>
        </is>
      </c>
      <c r="D715" s="9" t="n">
        <v>35</v>
      </c>
      <c r="E715" s="17" t="inlineStr">
        <is>
          <t>L</t>
        </is>
      </c>
      <c r="F715" s="17" t="n"/>
      <c r="G715" s="9" t="n">
        <v>90</v>
      </c>
      <c r="H715" s="9" t="n">
        <v>1484</v>
      </c>
      <c r="I715" s="9" t="inlineStr">
        <is>
          <t>Middle Relief</t>
        </is>
      </c>
      <c r="J715" s="17" t="inlineStr">
        <is>
          <t>Opening Day</t>
        </is>
      </c>
      <c r="K715" s="11">
        <f>IFERROR(INDEX(Roles!$B$17:$B$20,MATCH(J715,Roles!$A$17:$A$20,0)),1)</f>
        <v/>
      </c>
      <c r="L715" s="18" t="n">
        <v>1</v>
      </c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3">
        <f>SUMPRODUCT(M715:X715,$M$2:$X$2)*$K715*$L715</f>
        <v/>
      </c>
      <c r="Z715" s="14">
        <f>SUM(M715:X715)</f>
        <v/>
      </c>
      <c r="AA715" s="13">
        <f>SUMPRODUCT(M715:X715,$M$3:$X$3)*$K715*$L715</f>
        <v/>
      </c>
      <c r="AB715" s="13">
        <f>SUMPRODUCT(M715:X715,$M$4:$X$4)*$K715*$L715</f>
        <v/>
      </c>
      <c r="AC715" s="15">
        <f>SUMPRODUCT(M715:X715,$M$5:$X$5)*$K715*$L715</f>
        <v/>
      </c>
      <c r="AD715" s="15">
        <f>SUMPRODUCT(M715:X715,$M$6:$X$6)*$K715*$L715</f>
        <v/>
      </c>
      <c r="AE715" s="19" t="n"/>
    </row>
    <row r="716">
      <c r="A716" s="9" t="n">
        <v>624431</v>
      </c>
      <c r="B716" s="9" t="inlineStr">
        <is>
          <t>Jose Trevino</t>
        </is>
      </c>
      <c r="C716" s="9" t="inlineStr">
        <is>
          <t>CIN</t>
        </is>
      </c>
      <c r="D716" s="9" t="n">
        <v>34</v>
      </c>
      <c r="E716" s="17" t="inlineStr">
        <is>
          <t>R</t>
        </is>
      </c>
      <c r="F716" s="17" t="n"/>
      <c r="G716" s="9" t="n">
        <v>29</v>
      </c>
      <c r="H716" s="9" t="n">
        <v>54</v>
      </c>
      <c r="I716" s="9" t="inlineStr">
        <is>
          <t>Bullpen Depth Arm</t>
        </is>
      </c>
      <c r="J716" s="17" t="inlineStr">
        <is>
          <t>Opening Day</t>
        </is>
      </c>
      <c r="K716" s="11">
        <f>IFERROR(INDEX(Roles!$B$17:$B$20,MATCH(J716,Roles!$A$17:$A$20,0)),1)</f>
        <v/>
      </c>
      <c r="L716" s="18" t="n">
        <v>1</v>
      </c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3">
        <f>SUMPRODUCT(M716:X716,$M$2:$X$2)*$K716*$L716</f>
        <v/>
      </c>
      <c r="Z716" s="14">
        <f>SUM(M716:X716)</f>
        <v/>
      </c>
      <c r="AA716" s="13">
        <f>SUMPRODUCT(M716:X716,$M$3:$X$3)*$K716*$L716</f>
        <v/>
      </c>
      <c r="AB716" s="13">
        <f>SUMPRODUCT(M716:X716,$M$4:$X$4)*$K716*$L716</f>
        <v/>
      </c>
      <c r="AC716" s="15">
        <f>SUMPRODUCT(M716:X716,$M$5:$X$5)*$K716*$L716</f>
        <v/>
      </c>
      <c r="AD716" s="15">
        <f>SUMPRODUCT(M716:X716,$M$6:$X$6)*$K716*$L716</f>
        <v/>
      </c>
      <c r="AE716" s="19" t="n"/>
    </row>
    <row r="717">
      <c r="A717" s="9" t="n">
        <v>642528</v>
      </c>
      <c r="B717" s="9" t="inlineStr">
        <is>
          <t>Jonathan Loáisiga</t>
        </is>
      </c>
      <c r="C717" s="9" t="inlineStr">
        <is>
          <t>ARI</t>
        </is>
      </c>
      <c r="D717" s="9" t="n">
        <v>32</v>
      </c>
      <c r="E717" s="17" t="inlineStr">
        <is>
          <t>R</t>
        </is>
      </c>
      <c r="F717" s="17" t="n"/>
      <c r="G717" s="9" t="n">
        <v>98</v>
      </c>
      <c r="H717" s="9" t="n">
        <v>525</v>
      </c>
      <c r="I717" s="9" t="inlineStr">
        <is>
          <t>Bullpen Depth Arm</t>
        </is>
      </c>
      <c r="J717" s="17" t="inlineStr">
        <is>
          <t>Opening Day</t>
        </is>
      </c>
      <c r="K717" s="11">
        <f>IFERROR(INDEX(Roles!$B$17:$B$20,MATCH(J717,Roles!$A$17:$A$20,0)),1)</f>
        <v/>
      </c>
      <c r="L717" s="18" t="n">
        <v>1</v>
      </c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3">
        <f>SUMPRODUCT(M717:X717,$M$2:$X$2)*$K717*$L717</f>
        <v/>
      </c>
      <c r="Z717" s="14">
        <f>SUM(M717:X717)</f>
        <v/>
      </c>
      <c r="AA717" s="13">
        <f>SUMPRODUCT(M717:X717,$M$3:$X$3)*$K717*$L717</f>
        <v/>
      </c>
      <c r="AB717" s="13">
        <f>SUMPRODUCT(M717:X717,$M$4:$X$4)*$K717*$L717</f>
        <v/>
      </c>
      <c r="AC717" s="15">
        <f>SUMPRODUCT(M717:X717,$M$5:$X$5)*$K717*$L717</f>
        <v/>
      </c>
      <c r="AD717" s="15">
        <f>SUMPRODUCT(M717:X717,$M$6:$X$6)*$K717*$L717</f>
        <v/>
      </c>
      <c r="AE717" s="19" t="n"/>
    </row>
    <row r="718">
      <c r="A718" s="9" t="n">
        <v>669145</v>
      </c>
      <c r="B718" s="9" t="inlineStr">
        <is>
          <t>Bruce Zimmermann</t>
        </is>
      </c>
      <c r="C718" s="9" t="inlineStr">
        <is>
          <t>MIL</t>
        </is>
      </c>
      <c r="D718" s="9" t="n">
        <v>32</v>
      </c>
      <c r="E718" s="17" t="inlineStr">
        <is>
          <t>L</t>
        </is>
      </c>
      <c r="F718" s="17" t="n"/>
      <c r="G718" s="9" t="n">
        <v>28</v>
      </c>
      <c r="H718" s="9" t="n">
        <v>409</v>
      </c>
      <c r="I718" s="9" t="inlineStr">
        <is>
          <t>Ace (SP1)</t>
        </is>
      </c>
      <c r="J718" s="17" t="inlineStr">
        <is>
          <t>Opening Day</t>
        </is>
      </c>
      <c r="K718" s="11">
        <f>IFERROR(INDEX(Roles!$B$17:$B$20,MATCH(J718,Roles!$A$17:$A$20,0)),1)</f>
        <v/>
      </c>
      <c r="L718" s="18" t="n">
        <v>1</v>
      </c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3">
        <f>SUMPRODUCT(M718:X718,$M$2:$X$2)*$K718*$L718</f>
        <v/>
      </c>
      <c r="Z718" s="14">
        <f>SUM(M718:X718)</f>
        <v/>
      </c>
      <c r="AA718" s="13">
        <f>SUMPRODUCT(M718:X718,$M$3:$X$3)*$K718*$L718</f>
        <v/>
      </c>
      <c r="AB718" s="13">
        <f>SUMPRODUCT(M718:X718,$M$4:$X$4)*$K718*$L718</f>
        <v/>
      </c>
      <c r="AC718" s="15">
        <f>SUMPRODUCT(M718:X718,$M$5:$X$5)*$K718*$L718</f>
        <v/>
      </c>
      <c r="AD718" s="15">
        <f>SUMPRODUCT(M718:X718,$M$6:$X$6)*$K718*$L718</f>
        <v/>
      </c>
      <c r="AE718" s="19" t="n"/>
    </row>
    <row r="719">
      <c r="A719" s="9" t="n">
        <v>647315</v>
      </c>
      <c r="B719" s="9" t="inlineStr">
        <is>
          <t>Zach Pop</t>
        </is>
      </c>
      <c r="C719" s="9" t="inlineStr">
        <is>
          <t>PHI</t>
        </is>
      </c>
      <c r="D719" s="9" t="n">
        <v>30</v>
      </c>
      <c r="E719" s="17" t="inlineStr">
        <is>
          <t>R</t>
        </is>
      </c>
      <c r="F719" s="17" t="n"/>
      <c r="G719" s="9" t="n">
        <v>31</v>
      </c>
      <c r="H719" s="9" t="n">
        <v>492</v>
      </c>
      <c r="I719" s="9" t="inlineStr">
        <is>
          <t>Bullpen Depth Arm</t>
        </is>
      </c>
      <c r="J719" s="17" t="inlineStr">
        <is>
          <t>Opening Day</t>
        </is>
      </c>
      <c r="K719" s="11">
        <f>IFERROR(INDEX(Roles!$B$17:$B$20,MATCH(J719,Roles!$A$17:$A$20,0)),1)</f>
        <v/>
      </c>
      <c r="L719" s="18" t="n">
        <v>1</v>
      </c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3">
        <f>SUMPRODUCT(M719:X719,$M$2:$X$2)*$K719*$L719</f>
        <v/>
      </c>
      <c r="Z719" s="14">
        <f>SUM(M719:X719)</f>
        <v/>
      </c>
      <c r="AA719" s="13">
        <f>SUMPRODUCT(M719:X719,$M$3:$X$3)*$K719*$L719</f>
        <v/>
      </c>
      <c r="AB719" s="13">
        <f>SUMPRODUCT(M719:X719,$M$4:$X$4)*$K719*$L719</f>
        <v/>
      </c>
      <c r="AC719" s="15">
        <f>SUMPRODUCT(M719:X719,$M$5:$X$5)*$K719*$L719</f>
        <v/>
      </c>
      <c r="AD719" s="15">
        <f>SUMPRODUCT(M719:X719,$M$6:$X$6)*$K719*$L719</f>
        <v/>
      </c>
      <c r="AE719" s="19" t="n"/>
    </row>
    <row r="720">
      <c r="A720" s="9" t="n">
        <v>571771</v>
      </c>
      <c r="B720" s="9" t="inlineStr">
        <is>
          <t>Enrique Hernández</t>
        </is>
      </c>
      <c r="C720" s="9" t="inlineStr">
        <is>
          <t>LAD</t>
        </is>
      </c>
      <c r="D720" s="9" t="n">
        <v>35</v>
      </c>
      <c r="E720" s="17" t="inlineStr">
        <is>
          <t>R</t>
        </is>
      </c>
      <c r="F720" s="17" t="n"/>
      <c r="G720" s="9" t="n">
        <v>37</v>
      </c>
      <c r="H720" s="9" t="n">
        <v>55</v>
      </c>
      <c r="I720" s="9" t="inlineStr">
        <is>
          <t>Bullpen Depth Arm</t>
        </is>
      </c>
      <c r="J720" s="17" t="inlineStr">
        <is>
          <t>Opening Day</t>
        </is>
      </c>
      <c r="K720" s="11">
        <f>IFERROR(INDEX(Roles!$B$17:$B$20,MATCH(J720,Roles!$A$17:$A$20,0)),1)</f>
        <v/>
      </c>
      <c r="L720" s="18" t="n">
        <v>1</v>
      </c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3">
        <f>SUMPRODUCT(M720:X720,$M$2:$X$2)*$K720*$L720</f>
        <v/>
      </c>
      <c r="Z720" s="14">
        <f>SUM(M720:X720)</f>
        <v/>
      </c>
      <c r="AA720" s="13">
        <f>SUMPRODUCT(M720:X720,$M$3:$X$3)*$K720*$L720</f>
        <v/>
      </c>
      <c r="AB720" s="13">
        <f>SUMPRODUCT(M720:X720,$M$4:$X$4)*$K720*$L720</f>
        <v/>
      </c>
      <c r="AC720" s="15">
        <f>SUMPRODUCT(M720:X720,$M$5:$X$5)*$K720*$L720</f>
        <v/>
      </c>
      <c r="AD720" s="15">
        <f>SUMPRODUCT(M720:X720,$M$6:$X$6)*$K720*$L720</f>
        <v/>
      </c>
      <c r="AE720" s="19" t="n"/>
    </row>
    <row r="721">
      <c r="A721" s="9" t="n">
        <v>686826</v>
      </c>
      <c r="B721" s="9" t="inlineStr">
        <is>
          <t>Bryce Jarvis</t>
        </is>
      </c>
      <c r="C721" s="9" t="inlineStr">
        <is>
          <t>ARI</t>
        </is>
      </c>
      <c r="D721" s="9" t="n">
        <v>29</v>
      </c>
      <c r="E721" s="17" t="inlineStr">
        <is>
          <t>R</t>
        </is>
      </c>
      <c r="F721" s="17" t="n"/>
      <c r="G721" s="9" t="n">
        <v>98</v>
      </c>
      <c r="H721" s="9" t="n">
        <v>448</v>
      </c>
      <c r="I721" s="9" t="inlineStr">
        <is>
          <t>Bullpen Depth Arm</t>
        </is>
      </c>
      <c r="J721" s="17" t="inlineStr">
        <is>
          <t>Opening Day</t>
        </is>
      </c>
      <c r="K721" s="11">
        <f>IFERROR(INDEX(Roles!$B$17:$B$20,MATCH(J721,Roles!$A$17:$A$20,0)),1)</f>
        <v/>
      </c>
      <c r="L721" s="18" t="n">
        <v>1</v>
      </c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3">
        <f>SUMPRODUCT(M721:X721,$M$2:$X$2)*$K721*$L721</f>
        <v/>
      </c>
      <c r="Z721" s="14">
        <f>SUM(M721:X721)</f>
        <v/>
      </c>
      <c r="AA721" s="13">
        <f>SUMPRODUCT(M721:X721,$M$3:$X$3)*$K721*$L721</f>
        <v/>
      </c>
      <c r="AB721" s="13">
        <f>SUMPRODUCT(M721:X721,$M$4:$X$4)*$K721*$L721</f>
        <v/>
      </c>
      <c r="AC721" s="15">
        <f>SUMPRODUCT(M721:X721,$M$5:$X$5)*$K721*$L721</f>
        <v/>
      </c>
      <c r="AD721" s="15">
        <f>SUMPRODUCT(M721:X721,$M$6:$X$6)*$K721*$L721</f>
        <v/>
      </c>
      <c r="AE721" s="19" t="n"/>
    </row>
    <row r="722">
      <c r="A722" s="9" t="n">
        <v>681867</v>
      </c>
      <c r="B722" s="9" t="inlineStr">
        <is>
          <t>Cooper Criswell</t>
        </is>
      </c>
      <c r="C722" s="9" t="inlineStr">
        <is>
          <t>SEA</t>
        </is>
      </c>
      <c r="D722" s="9" t="n">
        <v>30</v>
      </c>
      <c r="E722" s="17" t="inlineStr">
        <is>
          <t>R</t>
        </is>
      </c>
      <c r="F722" s="17" t="n"/>
      <c r="G722" s="9" t="n">
        <v>121</v>
      </c>
      <c r="H722" s="9" t="n">
        <v>789</v>
      </c>
      <c r="I722" s="9" t="inlineStr">
        <is>
          <t>Middle Relief</t>
        </is>
      </c>
      <c r="J722" s="17" t="inlineStr">
        <is>
          <t>Opening Day</t>
        </is>
      </c>
      <c r="K722" s="11">
        <f>IFERROR(INDEX(Roles!$B$17:$B$20,MATCH(J722,Roles!$A$17:$A$20,0)),1)</f>
        <v/>
      </c>
      <c r="L722" s="18" t="n">
        <v>1</v>
      </c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3">
        <f>SUMPRODUCT(M722:X722,$M$2:$X$2)*$K722*$L722</f>
        <v/>
      </c>
      <c r="Z722" s="14">
        <f>SUM(M722:X722)</f>
        <v/>
      </c>
      <c r="AA722" s="13">
        <f>SUMPRODUCT(M722:X722,$M$3:$X$3)*$K722*$L722</f>
        <v/>
      </c>
      <c r="AB722" s="13">
        <f>SUMPRODUCT(M722:X722,$M$4:$X$4)*$K722*$L722</f>
        <v/>
      </c>
      <c r="AC722" s="15">
        <f>SUMPRODUCT(M722:X722,$M$5:$X$5)*$K722*$L722</f>
        <v/>
      </c>
      <c r="AD722" s="15">
        <f>SUMPRODUCT(M722:X722,$M$6:$X$6)*$K722*$L722</f>
        <v/>
      </c>
      <c r="AE722" s="19" t="n"/>
    </row>
    <row r="723">
      <c r="A723" s="9" t="n">
        <v>676083</v>
      </c>
      <c r="B723" s="9" t="inlineStr">
        <is>
          <t>Janson Junk</t>
        </is>
      </c>
      <c r="C723" s="9" t="inlineStr">
        <is>
          <t>MIA</t>
        </is>
      </c>
      <c r="D723" s="9" t="n">
        <v>31</v>
      </c>
      <c r="E723" s="17" t="inlineStr">
        <is>
          <t>R</t>
        </is>
      </c>
      <c r="F723" s="17" t="n"/>
      <c r="G723" s="9" t="n">
        <v>255</v>
      </c>
      <c r="H723" s="9" t="n">
        <v>820</v>
      </c>
      <c r="I723" s="9" t="inlineStr">
        <is>
          <t>Mid-Rotation Starter (SP2-3)</t>
        </is>
      </c>
      <c r="J723" s="17" t="inlineStr">
        <is>
          <t>Opening Day</t>
        </is>
      </c>
      <c r="K723" s="11">
        <f>IFERROR(INDEX(Roles!$B$17:$B$20,MATCH(J723,Roles!$A$17:$A$20,0)),1)</f>
        <v/>
      </c>
      <c r="L723" s="18" t="n">
        <v>1</v>
      </c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3">
        <f>SUMPRODUCT(M723:X723,$M$2:$X$2)*$K723*$L723</f>
        <v/>
      </c>
      <c r="Z723" s="14">
        <f>SUM(M723:X723)</f>
        <v/>
      </c>
      <c r="AA723" s="13">
        <f>SUMPRODUCT(M723:X723,$M$3:$X$3)*$K723*$L723</f>
        <v/>
      </c>
      <c r="AB723" s="13">
        <f>SUMPRODUCT(M723:X723,$M$4:$X$4)*$K723*$L723</f>
        <v/>
      </c>
      <c r="AC723" s="15">
        <f>SUMPRODUCT(M723:X723,$M$5:$X$5)*$K723*$L723</f>
        <v/>
      </c>
      <c r="AD723" s="15">
        <f>SUMPRODUCT(M723:X723,$M$6:$X$6)*$K723*$L723</f>
        <v/>
      </c>
      <c r="AE723" s="19" t="n"/>
    </row>
    <row r="724">
      <c r="A724" s="9" t="n">
        <v>643361</v>
      </c>
      <c r="B724" s="9" t="inlineStr">
        <is>
          <t>Kevin Herget</t>
        </is>
      </c>
      <c r="C724" s="9" t="inlineStr">
        <is>
          <t>NYM</t>
        </is>
      </c>
      <c r="D724" s="9" t="n">
        <v>36</v>
      </c>
      <c r="E724" s="17" t="inlineStr">
        <is>
          <t>R</t>
        </is>
      </c>
      <c r="F724" s="17" t="n"/>
      <c r="G724" s="9" t="n">
        <v>56</v>
      </c>
      <c r="H724" s="9" t="n">
        <v>234</v>
      </c>
      <c r="I724" s="9" t="inlineStr">
        <is>
          <t>Bullpen Depth Arm</t>
        </is>
      </c>
      <c r="J724" s="17" t="inlineStr">
        <is>
          <t>Opening Day</t>
        </is>
      </c>
      <c r="K724" s="11">
        <f>IFERROR(INDEX(Roles!$B$17:$B$20,MATCH(J724,Roles!$A$17:$A$20,0)),1)</f>
        <v/>
      </c>
      <c r="L724" s="18" t="n">
        <v>1</v>
      </c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3">
        <f>SUMPRODUCT(M724:X724,$M$2:$X$2)*$K724*$L724</f>
        <v/>
      </c>
      <c r="Z724" s="14">
        <f>SUM(M724:X724)</f>
        <v/>
      </c>
      <c r="AA724" s="13">
        <f>SUMPRODUCT(M724:X724,$M$3:$X$3)*$K724*$L724</f>
        <v/>
      </c>
      <c r="AB724" s="13">
        <f>SUMPRODUCT(M724:X724,$M$4:$X$4)*$K724*$L724</f>
        <v/>
      </c>
      <c r="AC724" s="15">
        <f>SUMPRODUCT(M724:X724,$M$5:$X$5)*$K724*$L724</f>
        <v/>
      </c>
      <c r="AD724" s="15">
        <f>SUMPRODUCT(M724:X724,$M$6:$X$6)*$K724*$L724</f>
        <v/>
      </c>
      <c r="AE724" s="19" t="n"/>
    </row>
    <row r="725">
      <c r="A725" s="9" t="n">
        <v>663568</v>
      </c>
      <c r="B725" s="9" t="inlineStr">
        <is>
          <t>Stephen Kolek</t>
        </is>
      </c>
      <c r="C725" s="9" t="inlineStr">
        <is>
          <t>KC</t>
        </is>
      </c>
      <c r="D725" s="9" t="n">
        <v>30</v>
      </c>
      <c r="E725" s="17" t="inlineStr">
        <is>
          <t>R</t>
        </is>
      </c>
      <c r="F725" s="17" t="n"/>
      <c r="G725" s="9" t="n">
        <v>172</v>
      </c>
      <c r="H725" s="9" t="n">
        <v>844</v>
      </c>
      <c r="I725" s="9" t="inlineStr">
        <is>
          <t>Mid-Rotation Starter (SP2-3)</t>
        </is>
      </c>
      <c r="J725" s="17" t="inlineStr">
        <is>
          <t>Opening Day</t>
        </is>
      </c>
      <c r="K725" s="11">
        <f>IFERROR(INDEX(Roles!$B$17:$B$20,MATCH(J725,Roles!$A$17:$A$20,0)),1)</f>
        <v/>
      </c>
      <c r="L725" s="18" t="n">
        <v>1</v>
      </c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3">
        <f>SUMPRODUCT(M725:X725,$M$2:$X$2)*$K725*$L725</f>
        <v/>
      </c>
      <c r="Z725" s="14">
        <f>SUM(M725:X725)</f>
        <v/>
      </c>
      <c r="AA725" s="13">
        <f>SUMPRODUCT(M725:X725,$M$3:$X$3)*$K725*$L725</f>
        <v/>
      </c>
      <c r="AB725" s="13">
        <f>SUMPRODUCT(M725:X725,$M$4:$X$4)*$K725*$L725</f>
        <v/>
      </c>
      <c r="AC725" s="15">
        <f>SUMPRODUCT(M725:X725,$M$5:$X$5)*$K725*$L725</f>
        <v/>
      </c>
      <c r="AD725" s="15">
        <f>SUMPRODUCT(M725:X725,$M$6:$X$6)*$K725*$L725</f>
        <v/>
      </c>
      <c r="AE725" s="19" t="n"/>
    </row>
    <row r="726">
      <c r="A726" s="9" t="n">
        <v>541640</v>
      </c>
      <c r="B726" s="9" t="inlineStr">
        <is>
          <t>Erasmo Ramírez</t>
        </is>
      </c>
      <c r="C726" s="9" t="inlineStr">
        <is>
          <t>MIN</t>
        </is>
      </c>
      <c r="D726" s="9" t="n">
        <v>37</v>
      </c>
      <c r="E726" s="17" t="inlineStr">
        <is>
          <t>R</t>
        </is>
      </c>
      <c r="F726" s="17" t="n"/>
      <c r="G726" s="9" t="n">
        <v>42</v>
      </c>
      <c r="H726" s="9" t="n">
        <v>748</v>
      </c>
      <c r="I726" s="9" t="inlineStr">
        <is>
          <t>Bullpen Depth Arm</t>
        </is>
      </c>
      <c r="J726" s="17" t="inlineStr">
        <is>
          <t>Opening Day</t>
        </is>
      </c>
      <c r="K726" s="11">
        <f>IFERROR(INDEX(Roles!$B$17:$B$20,MATCH(J726,Roles!$A$17:$A$20,0)),1)</f>
        <v/>
      </c>
      <c r="L726" s="18" t="n">
        <v>1</v>
      </c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3">
        <f>SUMPRODUCT(M726:X726,$M$2:$X$2)*$K726*$L726</f>
        <v/>
      </c>
      <c r="Z726" s="14">
        <f>SUM(M726:X726)</f>
        <v/>
      </c>
      <c r="AA726" s="13">
        <f>SUMPRODUCT(M726:X726,$M$3:$X$3)*$K726*$L726</f>
        <v/>
      </c>
      <c r="AB726" s="13">
        <f>SUMPRODUCT(M726:X726,$M$4:$X$4)*$K726*$L726</f>
        <v/>
      </c>
      <c r="AC726" s="15">
        <f>SUMPRODUCT(M726:X726,$M$5:$X$5)*$K726*$L726</f>
        <v/>
      </c>
      <c r="AD726" s="15">
        <f>SUMPRODUCT(M726:X726,$M$6:$X$6)*$K726*$L726</f>
        <v/>
      </c>
      <c r="AE726" s="19" t="n"/>
    </row>
    <row r="727">
      <c r="A727" s="9" t="n">
        <v>571578</v>
      </c>
      <c r="B727" s="9" t="inlineStr">
        <is>
          <t>Patrick Corbin</t>
        </is>
      </c>
      <c r="C727" s="9" t="inlineStr">
        <is>
          <t>TOR</t>
        </is>
      </c>
      <c r="D727" s="9" t="n">
        <v>37</v>
      </c>
      <c r="E727" s="17" t="inlineStr">
        <is>
          <t>L</t>
        </is>
      </c>
      <c r="F727" s="17" t="n"/>
      <c r="G727" s="9" t="n">
        <v>252</v>
      </c>
      <c r="H727" s="9" t="n">
        <v>3182</v>
      </c>
      <c r="I727" s="9" t="inlineStr">
        <is>
          <t>Mid-Rotation Starter (SP2-3)</t>
        </is>
      </c>
      <c r="J727" s="17" t="inlineStr">
        <is>
          <t>Opening Day</t>
        </is>
      </c>
      <c r="K727" s="11">
        <f>IFERROR(INDEX(Roles!$B$17:$B$20,MATCH(J727,Roles!$A$17:$A$20,0)),1)</f>
        <v/>
      </c>
      <c r="L727" s="18" t="n">
        <v>1</v>
      </c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3">
        <f>SUMPRODUCT(M727:X727,$M$2:$X$2)*$K727*$L727</f>
        <v/>
      </c>
      <c r="Z727" s="14">
        <f>SUM(M727:X727)</f>
        <v/>
      </c>
      <c r="AA727" s="13">
        <f>SUMPRODUCT(M727:X727,$M$3:$X$3)*$K727*$L727</f>
        <v/>
      </c>
      <c r="AB727" s="13">
        <f>SUMPRODUCT(M727:X727,$M$4:$X$4)*$K727*$L727</f>
        <v/>
      </c>
      <c r="AC727" s="15">
        <f>SUMPRODUCT(M727:X727,$M$5:$X$5)*$K727*$L727</f>
        <v/>
      </c>
      <c r="AD727" s="15">
        <f>SUMPRODUCT(M727:X727,$M$6:$X$6)*$K727*$L727</f>
        <v/>
      </c>
      <c r="AE727" s="19" t="n"/>
    </row>
    <row r="728">
      <c r="A728" s="9" t="n">
        <v>680730</v>
      </c>
      <c r="B728" s="9" t="inlineStr">
        <is>
          <t>Mitchell Parker</t>
        </is>
      </c>
      <c r="C728" s="9" t="inlineStr">
        <is>
          <t>WSH</t>
        </is>
      </c>
      <c r="D728" s="9" t="n">
        <v>27</v>
      </c>
      <c r="E728" s="17" t="inlineStr">
        <is>
          <t>L</t>
        </is>
      </c>
      <c r="F728" s="17" t="n"/>
      <c r="G728" s="9" t="n">
        <v>139</v>
      </c>
      <c r="H728" s="9" t="n">
        <v>1510</v>
      </c>
      <c r="I728" s="9" t="inlineStr">
        <is>
          <t>End-of-Rotation Starter (SP4-5)</t>
        </is>
      </c>
      <c r="J728" s="17" t="inlineStr">
        <is>
          <t>Opening Day</t>
        </is>
      </c>
      <c r="K728" s="11">
        <f>IFERROR(INDEX(Roles!$B$17:$B$20,MATCH(J728,Roles!$A$17:$A$20,0)),1)</f>
        <v/>
      </c>
      <c r="L728" s="18" t="n">
        <v>1</v>
      </c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3">
        <f>SUMPRODUCT(M728:X728,$M$2:$X$2)*$K728*$L728</f>
        <v/>
      </c>
      <c r="Z728" s="14">
        <f>SUM(M728:X728)</f>
        <v/>
      </c>
      <c r="AA728" s="13">
        <f>SUMPRODUCT(M728:X728,$M$3:$X$3)*$K728*$L728</f>
        <v/>
      </c>
      <c r="AB728" s="13">
        <f>SUMPRODUCT(M728:X728,$M$4:$X$4)*$K728*$L728</f>
        <v/>
      </c>
      <c r="AC728" s="15">
        <f>SUMPRODUCT(M728:X728,$M$5:$X$5)*$K728*$L728</f>
        <v/>
      </c>
      <c r="AD728" s="15">
        <f>SUMPRODUCT(M728:X728,$M$6:$X$6)*$K728*$L728</f>
        <v/>
      </c>
      <c r="AE728" s="19" t="n"/>
    </row>
    <row r="729">
      <c r="A729" s="9" t="n">
        <v>500779</v>
      </c>
      <c r="B729" s="9" t="inlineStr">
        <is>
          <t>Jose Quintana</t>
        </is>
      </c>
      <c r="C729" s="9" t="inlineStr">
        <is>
          <t>COL</t>
        </is>
      </c>
      <c r="D729" s="9" t="n">
        <v>38</v>
      </c>
      <c r="E729" s="17" t="inlineStr">
        <is>
          <t>L</t>
        </is>
      </c>
      <c r="F729" s="17" t="n"/>
      <c r="G729" s="9" t="n">
        <v>181</v>
      </c>
      <c r="H729" s="9" t="n">
        <v>2452</v>
      </c>
      <c r="I729" s="9" t="inlineStr">
        <is>
          <t>Mid-Rotation Starter (SP2-3)</t>
        </is>
      </c>
      <c r="J729" s="17" t="inlineStr">
        <is>
          <t>Opening Day</t>
        </is>
      </c>
      <c r="K729" s="11">
        <f>IFERROR(INDEX(Roles!$B$17:$B$20,MATCH(J729,Roles!$A$17:$A$20,0)),1)</f>
        <v/>
      </c>
      <c r="L729" s="18" t="n">
        <v>1</v>
      </c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3">
        <f>SUMPRODUCT(M729:X729,$M$2:$X$2)*$K729*$L729</f>
        <v/>
      </c>
      <c r="Z729" s="14">
        <f>SUM(M729:X729)</f>
        <v/>
      </c>
      <c r="AA729" s="13">
        <f>SUMPRODUCT(M729:X729,$M$3:$X$3)*$K729*$L729</f>
        <v/>
      </c>
      <c r="AB729" s="13">
        <f>SUMPRODUCT(M729:X729,$M$4:$X$4)*$K729*$L729</f>
        <v/>
      </c>
      <c r="AC729" s="15">
        <f>SUMPRODUCT(M729:X729,$M$5:$X$5)*$K729*$L729</f>
        <v/>
      </c>
      <c r="AD729" s="15">
        <f>SUMPRODUCT(M729:X729,$M$6:$X$6)*$K729*$L729</f>
        <v/>
      </c>
      <c r="AE729" s="19" t="n"/>
    </row>
    <row r="730">
      <c r="A730" s="9" t="n">
        <v>683155</v>
      </c>
      <c r="B730" s="9" t="inlineStr">
        <is>
          <t>Joey Estes</t>
        </is>
      </c>
      <c r="C730" s="9" t="inlineStr">
        <is>
          <t>OAK</t>
        </is>
      </c>
      <c r="D730" s="9" t="n">
        <v>25</v>
      </c>
      <c r="E730" s="17" t="inlineStr">
        <is>
          <t>R</t>
        </is>
      </c>
      <c r="F730" s="17" t="n"/>
      <c r="G730" s="9" t="n">
        <v>55</v>
      </c>
      <c r="H730" s="9" t="n">
        <v>645</v>
      </c>
      <c r="I730" s="9" t="inlineStr">
        <is>
          <t>End-of-Rotation Starter (SP4-5)</t>
        </is>
      </c>
      <c r="J730" s="17" t="inlineStr">
        <is>
          <t>Opening Day</t>
        </is>
      </c>
      <c r="K730" s="11">
        <f>IFERROR(INDEX(Roles!$B$17:$B$20,MATCH(J730,Roles!$A$17:$A$20,0)),1)</f>
        <v/>
      </c>
      <c r="L730" s="18" t="n">
        <v>1</v>
      </c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3">
        <f>SUMPRODUCT(M730:X730,$M$2:$X$2)*$K730*$L730</f>
        <v/>
      </c>
      <c r="Z730" s="14">
        <f>SUM(M730:X730)</f>
        <v/>
      </c>
      <c r="AA730" s="13">
        <f>SUMPRODUCT(M730:X730,$M$3:$X$3)*$K730*$L730</f>
        <v/>
      </c>
      <c r="AB730" s="13">
        <f>SUMPRODUCT(M730:X730,$M$4:$X$4)*$K730*$L730</f>
        <v/>
      </c>
      <c r="AC730" s="15">
        <f>SUMPRODUCT(M730:X730,$M$5:$X$5)*$K730*$L730</f>
        <v/>
      </c>
      <c r="AD730" s="15">
        <f>SUMPRODUCT(M730:X730,$M$6:$X$6)*$K730*$L730</f>
        <v/>
      </c>
      <c r="AE730" s="19" t="n"/>
    </row>
    <row r="731">
      <c r="A731" s="9" t="n">
        <v>592836</v>
      </c>
      <c r="B731" s="9" t="inlineStr">
        <is>
          <t>Taijuan Walker</t>
        </is>
      </c>
      <c r="C731" s="9" t="inlineStr">
        <is>
          <t>PHI</t>
        </is>
      </c>
      <c r="D731" s="9" t="n">
        <v>34</v>
      </c>
      <c r="E731" s="17" t="inlineStr">
        <is>
          <t>R</t>
        </is>
      </c>
      <c r="F731" s="17" t="n"/>
      <c r="G731" s="9" t="n">
        <v>115</v>
      </c>
      <c r="H731" s="9" t="n">
        <v>2416</v>
      </c>
      <c r="I731" s="9" t="inlineStr">
        <is>
          <t>End-of-Rotation Starter (SP4-5)</t>
        </is>
      </c>
      <c r="J731" s="17" t="inlineStr">
        <is>
          <t>Opening Day</t>
        </is>
      </c>
      <c r="K731" s="11">
        <f>IFERROR(INDEX(Roles!$B$17:$B$20,MATCH(J731,Roles!$A$17:$A$20,0)),1)</f>
        <v/>
      </c>
      <c r="L731" s="18" t="n">
        <v>1</v>
      </c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3">
        <f>SUMPRODUCT(M731:X731,$M$2:$X$2)*$K731*$L731</f>
        <v/>
      </c>
      <c r="Z731" s="14">
        <f>SUM(M731:X731)</f>
        <v/>
      </c>
      <c r="AA731" s="13">
        <f>SUMPRODUCT(M731:X731,$M$3:$X$3)*$K731*$L731</f>
        <v/>
      </c>
      <c r="AB731" s="13">
        <f>SUMPRODUCT(M731:X731,$M$4:$X$4)*$K731*$L731</f>
        <v/>
      </c>
      <c r="AC731" s="15">
        <f>SUMPRODUCT(M731:X731,$M$5:$X$5)*$K731*$L731</f>
        <v/>
      </c>
      <c r="AD731" s="15">
        <f>SUMPRODUCT(M731:X731,$M$6:$X$6)*$K731*$L731</f>
        <v/>
      </c>
      <c r="AE731" s="19" t="n"/>
    </row>
    <row r="732">
      <c r="A732" s="9" t="n">
        <v>694346</v>
      </c>
      <c r="B732" s="9" t="inlineStr">
        <is>
          <t>Trey Gibson</t>
        </is>
      </c>
      <c r="C732" s="9" t="inlineStr">
        <is>
          <t>BAL</t>
        </is>
      </c>
      <c r="D732" s="9" t="n">
        <v>25</v>
      </c>
      <c r="E732" s="17" t="inlineStr">
        <is>
          <t>R</t>
        </is>
      </c>
      <c r="F732" s="17" t="n"/>
      <c r="G732" s="9" t="n">
        <v>74</v>
      </c>
      <c r="H732" s="9" t="n">
        <v>74</v>
      </c>
      <c r="I732" s="9" t="inlineStr">
        <is>
          <t>End-of-Rotation Starter (SP4-5)</t>
        </is>
      </c>
      <c r="J732" s="17" t="inlineStr">
        <is>
          <t>Opening Day</t>
        </is>
      </c>
      <c r="K732" s="11">
        <f>IFERROR(INDEX(Roles!$B$17:$B$20,MATCH(J732,Roles!$A$17:$A$20,0)),1)</f>
        <v/>
      </c>
      <c r="L732" s="18" t="n">
        <v>1</v>
      </c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3">
        <f>SUMPRODUCT(M732:X732,$M$2:$X$2)*$K732*$L732</f>
        <v/>
      </c>
      <c r="Z732" s="14">
        <f>SUM(M732:X732)</f>
        <v/>
      </c>
      <c r="AA732" s="13">
        <f>SUMPRODUCT(M732:X732,$M$3:$X$3)*$K732*$L732</f>
        <v/>
      </c>
      <c r="AB732" s="13">
        <f>SUMPRODUCT(M732:X732,$M$4:$X$4)*$K732*$L732</f>
        <v/>
      </c>
      <c r="AC732" s="15">
        <f>SUMPRODUCT(M732:X732,$M$5:$X$5)*$K732*$L732</f>
        <v/>
      </c>
      <c r="AD732" s="15">
        <f>SUMPRODUCT(M732:X732,$M$6:$X$6)*$K732*$L732</f>
        <v/>
      </c>
      <c r="AE732" s="19" t="n"/>
    </row>
    <row r="733">
      <c r="A733" s="9" t="n">
        <v>518397</v>
      </c>
      <c r="B733" s="9" t="inlineStr">
        <is>
          <t>Scott Alexander</t>
        </is>
      </c>
      <c r="C733" s="9" t="inlineStr">
        <is>
          <t>SF</t>
        </is>
      </c>
      <c r="D733" s="9" t="n">
        <v>37</v>
      </c>
      <c r="E733" s="17" t="inlineStr">
        <is>
          <t>L</t>
        </is>
      </c>
      <c r="F733" s="17" t="n"/>
      <c r="G733" s="9" t="n">
        <v>81</v>
      </c>
      <c r="H733" s="9" t="n">
        <v>512</v>
      </c>
      <c r="I733" s="9" t="inlineStr">
        <is>
          <t>Bullpen Depth Arm</t>
        </is>
      </c>
      <c r="J733" s="17" t="inlineStr">
        <is>
          <t>Opening Day</t>
        </is>
      </c>
      <c r="K733" s="11">
        <f>IFERROR(INDEX(Roles!$B$17:$B$20,MATCH(J733,Roles!$A$17:$A$20,0)),1)</f>
        <v/>
      </c>
      <c r="L733" s="18" t="n">
        <v>1</v>
      </c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3">
        <f>SUMPRODUCT(M733:X733,$M$2:$X$2)*$K733*$L733</f>
        <v/>
      </c>
      <c r="Z733" s="14">
        <f>SUM(M733:X733)</f>
        <v/>
      </c>
      <c r="AA733" s="13">
        <f>SUMPRODUCT(M733:X733,$M$3:$X$3)*$K733*$L733</f>
        <v/>
      </c>
      <c r="AB733" s="13">
        <f>SUMPRODUCT(M733:X733,$M$4:$X$4)*$K733*$L733</f>
        <v/>
      </c>
      <c r="AC733" s="15">
        <f>SUMPRODUCT(M733:X733,$M$5:$X$5)*$K733*$L733</f>
        <v/>
      </c>
      <c r="AD733" s="15">
        <f>SUMPRODUCT(M733:X733,$M$6:$X$6)*$K733*$L733</f>
        <v/>
      </c>
      <c r="AE733" s="19" t="n"/>
    </row>
    <row r="734">
      <c r="A734" s="9" t="n">
        <v>669724</v>
      </c>
      <c r="B734" s="9" t="inlineStr">
        <is>
          <t>Brenan Hanifee</t>
        </is>
      </c>
      <c r="C734" s="9" t="inlineStr">
        <is>
          <t>DET</t>
        </is>
      </c>
      <c r="D734" s="9" t="n">
        <v>29</v>
      </c>
      <c r="E734" s="17" t="inlineStr">
        <is>
          <t>R</t>
        </is>
      </c>
      <c r="F734" s="17" t="n"/>
      <c r="G734" s="9" t="n">
        <v>55</v>
      </c>
      <c r="H734" s="9" t="n">
        <v>458</v>
      </c>
      <c r="I734" s="9" t="inlineStr">
        <is>
          <t>Bullpen Depth Arm</t>
        </is>
      </c>
      <c r="J734" s="17" t="inlineStr">
        <is>
          <t>Opening Day</t>
        </is>
      </c>
      <c r="K734" s="11">
        <f>IFERROR(INDEX(Roles!$B$17:$B$20,MATCH(J734,Roles!$A$17:$A$20,0)),1)</f>
        <v/>
      </c>
      <c r="L734" s="18" t="n">
        <v>1</v>
      </c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3">
        <f>SUMPRODUCT(M734:X734,$M$2:$X$2)*$K734*$L734</f>
        <v/>
      </c>
      <c r="Z734" s="14">
        <f>SUM(M734:X734)</f>
        <v/>
      </c>
      <c r="AA734" s="13">
        <f>SUMPRODUCT(M734:X734,$M$3:$X$3)*$K734*$L734</f>
        <v/>
      </c>
      <c r="AB734" s="13">
        <f>SUMPRODUCT(M734:X734,$M$4:$X$4)*$K734*$L734</f>
        <v/>
      </c>
      <c r="AC734" s="15">
        <f>SUMPRODUCT(M734:X734,$M$5:$X$5)*$K734*$L734</f>
        <v/>
      </c>
      <c r="AD734" s="15">
        <f>SUMPRODUCT(M734:X734,$M$6:$X$6)*$K734*$L734</f>
        <v/>
      </c>
      <c r="AE734" s="19" t="n"/>
    </row>
    <row r="735">
      <c r="A735" s="9" t="n">
        <v>643511</v>
      </c>
      <c r="B735" s="9" t="inlineStr">
        <is>
          <t>Tyler Rogers</t>
        </is>
      </c>
      <c r="C735" s="9" t="inlineStr">
        <is>
          <t>TOR</t>
        </is>
      </c>
      <c r="D735" s="9" t="n">
        <v>36</v>
      </c>
      <c r="E735" s="17" t="inlineStr">
        <is>
          <t>R</t>
        </is>
      </c>
      <c r="F735" s="17" t="n"/>
      <c r="G735" s="9" t="n">
        <v>119</v>
      </c>
      <c r="H735" s="9" t="n">
        <v>1336</v>
      </c>
      <c r="I735" s="9" t="inlineStr">
        <is>
          <t>Middle Relief</t>
        </is>
      </c>
      <c r="J735" s="17" t="inlineStr">
        <is>
          <t>Opening Day</t>
        </is>
      </c>
      <c r="K735" s="11">
        <f>IFERROR(INDEX(Roles!$B$17:$B$20,MATCH(J735,Roles!$A$17:$A$20,0)),1)</f>
        <v/>
      </c>
      <c r="L735" s="18" t="n">
        <v>1</v>
      </c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3">
        <f>SUMPRODUCT(M735:X735,$M$2:$X$2)*$K735*$L735</f>
        <v/>
      </c>
      <c r="Z735" s="14">
        <f>SUM(M735:X735)</f>
        <v/>
      </c>
      <c r="AA735" s="13">
        <f>SUMPRODUCT(M735:X735,$M$3:$X$3)*$K735*$L735</f>
        <v/>
      </c>
      <c r="AB735" s="13">
        <f>SUMPRODUCT(M735:X735,$M$4:$X$4)*$K735*$L735</f>
        <v/>
      </c>
      <c r="AC735" s="15">
        <f>SUMPRODUCT(M735:X735,$M$5:$X$5)*$K735*$L735</f>
        <v/>
      </c>
      <c r="AD735" s="15">
        <f>SUMPRODUCT(M735:X735,$M$6:$X$6)*$K735*$L735</f>
        <v/>
      </c>
      <c r="AE735" s="19" t="n"/>
    </row>
    <row r="736">
      <c r="A736" s="9" t="n">
        <v>596271</v>
      </c>
      <c r="B736" s="9" t="inlineStr">
        <is>
          <t>Casey Lawrence</t>
        </is>
      </c>
      <c r="C736" s="9" t="inlineStr">
        <is>
          <t>SEA</t>
        </is>
      </c>
      <c r="D736" s="9" t="n">
        <v>39</v>
      </c>
      <c r="E736" s="17" t="inlineStr">
        <is>
          <t>R</t>
        </is>
      </c>
      <c r="F736" s="17" t="n"/>
      <c r="G736" s="9" t="n">
        <v>80</v>
      </c>
      <c r="H736" s="9" t="n">
        <v>281</v>
      </c>
      <c r="I736" s="9" t="inlineStr">
        <is>
          <t>Bullpen Depth Arm</t>
        </is>
      </c>
      <c r="J736" s="17" t="inlineStr">
        <is>
          <t>Opening Day</t>
        </is>
      </c>
      <c r="K736" s="11">
        <f>IFERROR(INDEX(Roles!$B$17:$B$20,MATCH(J736,Roles!$A$17:$A$20,0)),1)</f>
        <v/>
      </c>
      <c r="L736" s="18" t="n">
        <v>1</v>
      </c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3">
        <f>SUMPRODUCT(M736:X736,$M$2:$X$2)*$K736*$L736</f>
        <v/>
      </c>
      <c r="Z736" s="14">
        <f>SUM(M736:X736)</f>
        <v/>
      </c>
      <c r="AA736" s="13">
        <f>SUMPRODUCT(M736:X736,$M$3:$X$3)*$K736*$L736</f>
        <v/>
      </c>
      <c r="AB736" s="13">
        <f>SUMPRODUCT(M736:X736,$M$4:$X$4)*$K736*$L736</f>
        <v/>
      </c>
      <c r="AC736" s="15">
        <f>SUMPRODUCT(M736:X736,$M$5:$X$5)*$K736*$L736</f>
        <v/>
      </c>
      <c r="AD736" s="15">
        <f>SUMPRODUCT(M736:X736,$M$6:$X$6)*$K736*$L736</f>
        <v/>
      </c>
      <c r="AE736" s="19" t="n"/>
    </row>
    <row r="737">
      <c r="A737" s="9" t="n">
        <v>669060</v>
      </c>
      <c r="B737" s="9" t="inlineStr">
        <is>
          <t>Bryse Wilson</t>
        </is>
      </c>
      <c r="C737" s="9" t="inlineStr">
        <is>
          <t>CWS</t>
        </is>
      </c>
      <c r="D737" s="9" t="n">
        <v>29</v>
      </c>
      <c r="E737" s="17" t="inlineStr">
        <is>
          <t>R</t>
        </is>
      </c>
      <c r="F737" s="17" t="n"/>
      <c r="G737" s="9" t="n">
        <v>224</v>
      </c>
      <c r="H737" s="9" t="n">
        <v>1489</v>
      </c>
      <c r="I737" s="9" t="inlineStr">
        <is>
          <t>Bullpen Depth Arm</t>
        </is>
      </c>
      <c r="J737" s="17" t="inlineStr">
        <is>
          <t>Opening Day</t>
        </is>
      </c>
      <c r="K737" s="11">
        <f>IFERROR(INDEX(Roles!$B$17:$B$20,MATCH(J737,Roles!$A$17:$A$20,0)),1)</f>
        <v/>
      </c>
      <c r="L737" s="18" t="n">
        <v>1</v>
      </c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3">
        <f>SUMPRODUCT(M737:X737,$M$2:$X$2)*$K737*$L737</f>
        <v/>
      </c>
      <c r="Z737" s="14">
        <f>SUM(M737:X737)</f>
        <v/>
      </c>
      <c r="AA737" s="13">
        <f>SUMPRODUCT(M737:X737,$M$3:$X$3)*$K737*$L737</f>
        <v/>
      </c>
      <c r="AB737" s="13">
        <f>SUMPRODUCT(M737:X737,$M$4:$X$4)*$K737*$L737</f>
        <v/>
      </c>
      <c r="AC737" s="15">
        <f>SUMPRODUCT(M737:X737,$M$5:$X$5)*$K737*$L737</f>
        <v/>
      </c>
      <c r="AD737" s="15">
        <f>SUMPRODUCT(M737:X737,$M$6:$X$6)*$K737*$L737</f>
        <v/>
      </c>
      <c r="AE737" s="19" t="n"/>
    </row>
    <row r="738">
      <c r="A738" s="9" t="n">
        <v>800049</v>
      </c>
      <c r="B738" s="9" t="inlineStr">
        <is>
          <t>Adam Mazur</t>
        </is>
      </c>
      <c r="C738" s="9" t="inlineStr">
        <is>
          <t>MIA</t>
        </is>
      </c>
      <c r="D738" s="9" t="n">
        <v>26</v>
      </c>
      <c r="E738" s="17" t="inlineStr">
        <is>
          <t>R</t>
        </is>
      </c>
      <c r="F738" s="17" t="n"/>
      <c r="G738" s="9" t="n">
        <v>139</v>
      </c>
      <c r="H738" s="9" t="n">
        <v>297</v>
      </c>
      <c r="I738" s="9" t="inlineStr">
        <is>
          <t>End-of-Rotation Starter (SP4-5)</t>
        </is>
      </c>
      <c r="J738" s="17" t="inlineStr">
        <is>
          <t>Opening Day</t>
        </is>
      </c>
      <c r="K738" s="11">
        <f>IFERROR(INDEX(Roles!$B$17:$B$20,MATCH(J738,Roles!$A$17:$A$20,0)),1)</f>
        <v/>
      </c>
      <c r="L738" s="18" t="n">
        <v>1</v>
      </c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3">
        <f>SUMPRODUCT(M738:X738,$M$2:$X$2)*$K738*$L738</f>
        <v/>
      </c>
      <c r="Z738" s="14">
        <f>SUM(M738:X738)</f>
        <v/>
      </c>
      <c r="AA738" s="13">
        <f>SUMPRODUCT(M738:X738,$M$3:$X$3)*$K738*$L738</f>
        <v/>
      </c>
      <c r="AB738" s="13">
        <f>SUMPRODUCT(M738:X738,$M$4:$X$4)*$K738*$L738</f>
        <v/>
      </c>
      <c r="AC738" s="15">
        <f>SUMPRODUCT(M738:X738,$M$5:$X$5)*$K738*$L738</f>
        <v/>
      </c>
      <c r="AD738" s="15">
        <f>SUMPRODUCT(M738:X738,$M$6:$X$6)*$K738*$L738</f>
        <v/>
      </c>
      <c r="AE738" s="19" t="n"/>
    </row>
    <row r="739">
      <c r="A739" s="9" t="n">
        <v>489119</v>
      </c>
      <c r="B739" s="9" t="inlineStr">
        <is>
          <t>Wade Miley</t>
        </is>
      </c>
      <c r="C739" s="9" t="inlineStr">
        <is>
          <t>CIN</t>
        </is>
      </c>
      <c r="D739" s="9" t="n">
        <v>40</v>
      </c>
      <c r="E739" s="17" t="inlineStr">
        <is>
          <t>L</t>
        </is>
      </c>
      <c r="F739" s="17" t="n"/>
      <c r="G739" s="9" t="n">
        <v>55</v>
      </c>
      <c r="H739" s="9" t="n">
        <v>734</v>
      </c>
      <c r="I739" s="9" t="inlineStr">
        <is>
          <t>End-of-Rotation Starter (SP4-5)</t>
        </is>
      </c>
      <c r="J739" s="17" t="inlineStr">
        <is>
          <t>Opening Day</t>
        </is>
      </c>
      <c r="K739" s="11">
        <f>IFERROR(INDEX(Roles!$B$17:$B$20,MATCH(J739,Roles!$A$17:$A$20,0)),1)</f>
        <v/>
      </c>
      <c r="L739" s="18" t="n">
        <v>1</v>
      </c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3">
        <f>SUMPRODUCT(M739:X739,$M$2:$X$2)*$K739*$L739</f>
        <v/>
      </c>
      <c r="Z739" s="14">
        <f>SUM(M739:X739)</f>
        <v/>
      </c>
      <c r="AA739" s="13">
        <f>SUMPRODUCT(M739:X739,$M$3:$X$3)*$K739*$L739</f>
        <v/>
      </c>
      <c r="AB739" s="13">
        <f>SUMPRODUCT(M739:X739,$M$4:$X$4)*$K739*$L739</f>
        <v/>
      </c>
      <c r="AC739" s="15">
        <f>SUMPRODUCT(M739:X739,$M$5:$X$5)*$K739*$L739</f>
        <v/>
      </c>
      <c r="AD739" s="15">
        <f>SUMPRODUCT(M739:X739,$M$6:$X$6)*$K739*$L739</f>
        <v/>
      </c>
      <c r="AE739" s="19" t="n"/>
    </row>
    <row r="740">
      <c r="A740" s="9" t="n">
        <v>688642</v>
      </c>
      <c r="B740" s="9" t="inlineStr">
        <is>
          <t>Zach Agnos</t>
        </is>
      </c>
      <c r="C740" s="9" t="inlineStr">
        <is>
          <t>COL</t>
        </is>
      </c>
      <c r="D740" s="9" t="n">
        <v>26</v>
      </c>
      <c r="E740" s="17" t="inlineStr">
        <is>
          <t>R</t>
        </is>
      </c>
      <c r="F740" s="17" t="n"/>
      <c r="G740" s="9" t="n">
        <v>185</v>
      </c>
      <c r="H740" s="9" t="n">
        <v>323</v>
      </c>
      <c r="I740" s="9" t="inlineStr">
        <is>
          <t>Bullpen Depth Arm</t>
        </is>
      </c>
      <c r="J740" s="17" t="inlineStr">
        <is>
          <t>Opening Day</t>
        </is>
      </c>
      <c r="K740" s="11">
        <f>IFERROR(INDEX(Roles!$B$17:$B$20,MATCH(J740,Roles!$A$17:$A$20,0)),1)</f>
        <v/>
      </c>
      <c r="L740" s="18" t="n">
        <v>1</v>
      </c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3">
        <f>SUMPRODUCT(M740:X740,$M$2:$X$2)*$K740*$L740</f>
        <v/>
      </c>
      <c r="Z740" s="14">
        <f>SUM(M740:X740)</f>
        <v/>
      </c>
      <c r="AA740" s="13">
        <f>SUMPRODUCT(M740:X740,$M$3:$X$3)*$K740*$L740</f>
        <v/>
      </c>
      <c r="AB740" s="13">
        <f>SUMPRODUCT(M740:X740,$M$4:$X$4)*$K740*$L740</f>
        <v/>
      </c>
      <c r="AC740" s="15">
        <f>SUMPRODUCT(M740:X740,$M$5:$X$5)*$K740*$L740</f>
        <v/>
      </c>
      <c r="AD740" s="15">
        <f>SUMPRODUCT(M740:X740,$M$6:$X$6)*$K740*$L740</f>
        <v/>
      </c>
      <c r="AE740" s="19" t="n"/>
    </row>
    <row r="741">
      <c r="A741" s="9" t="n">
        <v>700241</v>
      </c>
      <c r="B741" s="9" t="inlineStr">
        <is>
          <t>Michael McGreevy</t>
        </is>
      </c>
      <c r="C741" s="9" t="inlineStr">
        <is>
          <t>STL</t>
        </is>
      </c>
      <c r="D741" s="9" t="n">
        <v>26</v>
      </c>
      <c r="E741" s="17" t="inlineStr">
        <is>
          <t>R</t>
        </is>
      </c>
      <c r="F741" s="17" t="n"/>
      <c r="G741" s="9" t="n">
        <v>285</v>
      </c>
      <c r="H741" s="9" t="n">
        <v>771</v>
      </c>
      <c r="I741" s="9" t="inlineStr">
        <is>
          <t>Mid-Rotation Starter (SP2-3)</t>
        </is>
      </c>
      <c r="J741" s="17" t="inlineStr">
        <is>
          <t>Opening Day</t>
        </is>
      </c>
      <c r="K741" s="11">
        <f>IFERROR(INDEX(Roles!$B$17:$B$20,MATCH(J741,Roles!$A$17:$A$20,0)),1)</f>
        <v/>
      </c>
      <c r="L741" s="18" t="n">
        <v>1</v>
      </c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3">
        <f>SUMPRODUCT(M741:X741,$M$2:$X$2)*$K741*$L741</f>
        <v/>
      </c>
      <c r="Z741" s="14">
        <f>SUM(M741:X741)</f>
        <v/>
      </c>
      <c r="AA741" s="13">
        <f>SUMPRODUCT(M741:X741,$M$3:$X$3)*$K741*$L741</f>
        <v/>
      </c>
      <c r="AB741" s="13">
        <f>SUMPRODUCT(M741:X741,$M$4:$X$4)*$K741*$L741</f>
        <v/>
      </c>
      <c r="AC741" s="15">
        <f>SUMPRODUCT(M741:X741,$M$5:$X$5)*$K741*$L741</f>
        <v/>
      </c>
      <c r="AD741" s="15">
        <f>SUMPRODUCT(M741:X741,$M$6:$X$6)*$K741*$L741</f>
        <v/>
      </c>
      <c r="AE741" s="19" t="n"/>
    </row>
    <row r="742">
      <c r="A742" s="9" t="n">
        <v>605288</v>
      </c>
      <c r="B742" s="9" t="inlineStr">
        <is>
          <t>Adrian Houser</t>
        </is>
      </c>
      <c r="C742" s="9" t="inlineStr">
        <is>
          <t>SF</t>
        </is>
      </c>
      <c r="D742" s="9" t="n">
        <v>34</v>
      </c>
      <c r="E742" s="17" t="inlineStr">
        <is>
          <t>R</t>
        </is>
      </c>
      <c r="F742" s="17" t="n"/>
      <c r="G742" s="9" t="n">
        <v>296</v>
      </c>
      <c r="H742" s="9" t="n">
        <v>2059</v>
      </c>
      <c r="I742" s="9" t="inlineStr">
        <is>
          <t>Mid-Rotation Starter (SP2-3)</t>
        </is>
      </c>
      <c r="J742" s="17" t="inlineStr">
        <is>
          <t>Opening Day</t>
        </is>
      </c>
      <c r="K742" s="11">
        <f>IFERROR(INDEX(Roles!$B$17:$B$20,MATCH(J742,Roles!$A$17:$A$20,0)),1)</f>
        <v/>
      </c>
      <c r="L742" s="18" t="n">
        <v>1</v>
      </c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3">
        <f>SUMPRODUCT(M742:X742,$M$2:$X$2)*$K742*$L742</f>
        <v/>
      </c>
      <c r="Z742" s="14">
        <f>SUM(M742:X742)</f>
        <v/>
      </c>
      <c r="AA742" s="13">
        <f>SUMPRODUCT(M742:X742,$M$3:$X$3)*$K742*$L742</f>
        <v/>
      </c>
      <c r="AB742" s="13">
        <f>SUMPRODUCT(M742:X742,$M$4:$X$4)*$K742*$L742</f>
        <v/>
      </c>
      <c r="AC742" s="15">
        <f>SUMPRODUCT(M742:X742,$M$5:$X$5)*$K742*$L742</f>
        <v/>
      </c>
      <c r="AD742" s="15">
        <f>SUMPRODUCT(M742:X742,$M$6:$X$6)*$K742*$L742</f>
        <v/>
      </c>
      <c r="AE742" s="19" t="n"/>
    </row>
    <row r="743">
      <c r="A743" s="9" t="n">
        <v>663559</v>
      </c>
      <c r="B743" s="9" t="inlineStr">
        <is>
          <t>Bailey Falter</t>
        </is>
      </c>
      <c r="C743" s="9" t="inlineStr">
        <is>
          <t>KC</t>
        </is>
      </c>
      <c r="D743" s="9" t="n">
        <v>30</v>
      </c>
      <c r="E743" s="17" t="inlineStr">
        <is>
          <t>L</t>
        </is>
      </c>
      <c r="F743" s="17" t="n"/>
      <c r="G743" s="9" t="n">
        <v>57</v>
      </c>
      <c r="H743" s="9" t="n">
        <v>1860</v>
      </c>
      <c r="I743" s="9" t="inlineStr">
        <is>
          <t>End-of-Rotation Starter (SP4-5)</t>
        </is>
      </c>
      <c r="J743" s="17" t="inlineStr">
        <is>
          <t>Opening Day</t>
        </is>
      </c>
      <c r="K743" s="11">
        <f>IFERROR(INDEX(Roles!$B$17:$B$20,MATCH(J743,Roles!$A$17:$A$20,0)),1)</f>
        <v/>
      </c>
      <c r="L743" s="18" t="n">
        <v>1</v>
      </c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3">
        <f>SUMPRODUCT(M743:X743,$M$2:$X$2)*$K743*$L743</f>
        <v/>
      </c>
      <c r="Z743" s="14">
        <f>SUM(M743:X743)</f>
        <v/>
      </c>
      <c r="AA743" s="13">
        <f>SUMPRODUCT(M743:X743,$M$3:$X$3)*$K743*$L743</f>
        <v/>
      </c>
      <c r="AB743" s="13">
        <f>SUMPRODUCT(M743:X743,$M$4:$X$4)*$K743*$L743</f>
        <v/>
      </c>
      <c r="AC743" s="15">
        <f>SUMPRODUCT(M743:X743,$M$5:$X$5)*$K743*$L743</f>
        <v/>
      </c>
      <c r="AD743" s="15">
        <f>SUMPRODUCT(M743:X743,$M$6:$X$6)*$K743*$L743</f>
        <v/>
      </c>
      <c r="AE743" s="19" t="n"/>
    </row>
    <row r="744">
      <c r="A744" s="9" t="n">
        <v>608566</v>
      </c>
      <c r="B744" s="9" t="inlineStr">
        <is>
          <t>Germán Márquez</t>
        </is>
      </c>
      <c r="C744" s="9" t="inlineStr">
        <is>
          <t>SD</t>
        </is>
      </c>
      <c r="D744" s="9" t="n">
        <v>32</v>
      </c>
      <c r="E744" s="17" t="inlineStr">
        <is>
          <t>R</t>
        </is>
      </c>
      <c r="F744" s="17" t="n"/>
      <c r="G744" s="9" t="n">
        <v>128</v>
      </c>
      <c r="H744" s="9" t="n">
        <v>1598</v>
      </c>
      <c r="I744" s="9" t="inlineStr">
        <is>
          <t>End-of-Rotation Starter (SP4-5)</t>
        </is>
      </c>
      <c r="J744" s="17" t="inlineStr">
        <is>
          <t>Opening Day</t>
        </is>
      </c>
      <c r="K744" s="11">
        <f>IFERROR(INDEX(Roles!$B$17:$B$20,MATCH(J744,Roles!$A$17:$A$20,0)),1)</f>
        <v/>
      </c>
      <c r="L744" s="18" t="n">
        <v>1</v>
      </c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3">
        <f>SUMPRODUCT(M744:X744,$M$2:$X$2)*$K744*$L744</f>
        <v/>
      </c>
      <c r="Z744" s="14">
        <f>SUM(M744:X744)</f>
        <v/>
      </c>
      <c r="AA744" s="13">
        <f>SUMPRODUCT(M744:X744,$M$3:$X$3)*$K744*$L744</f>
        <v/>
      </c>
      <c r="AB744" s="13">
        <f>SUMPRODUCT(M744:X744,$M$4:$X$4)*$K744*$L744</f>
        <v/>
      </c>
      <c r="AC744" s="15">
        <f>SUMPRODUCT(M744:X744,$M$5:$X$5)*$K744*$L744</f>
        <v/>
      </c>
      <c r="AD744" s="15">
        <f>SUMPRODUCT(M744:X744,$M$6:$X$6)*$K744*$L744</f>
        <v/>
      </c>
      <c r="AE744" s="19" t="n"/>
    </row>
    <row r="745">
      <c r="A745" s="9" t="n">
        <v>607200</v>
      </c>
      <c r="B745" s="9" t="inlineStr">
        <is>
          <t>Erick Fedde</t>
        </is>
      </c>
      <c r="C745" s="9" t="inlineStr">
        <is>
          <t>CWS</t>
        </is>
      </c>
      <c r="D745" s="9" t="n">
        <v>34</v>
      </c>
      <c r="E745" s="17" t="inlineStr">
        <is>
          <t>R</t>
        </is>
      </c>
      <c r="F745" s="17" t="n"/>
      <c r="G745" s="9" t="n">
        <v>276</v>
      </c>
      <c r="H745" s="9" t="n">
        <v>2198</v>
      </c>
      <c r="I745" s="9" t="inlineStr">
        <is>
          <t>Mid-Rotation Starter (SP2-3)</t>
        </is>
      </c>
      <c r="J745" s="17" t="inlineStr">
        <is>
          <t>Opening Day</t>
        </is>
      </c>
      <c r="K745" s="11">
        <f>IFERROR(INDEX(Roles!$B$17:$B$20,MATCH(J745,Roles!$A$17:$A$20,0)),1)</f>
        <v/>
      </c>
      <c r="L745" s="18" t="n">
        <v>1</v>
      </c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3">
        <f>SUMPRODUCT(M745:X745,$M$2:$X$2)*$K745*$L745</f>
        <v/>
      </c>
      <c r="Z745" s="14">
        <f>SUM(M745:X745)</f>
        <v/>
      </c>
      <c r="AA745" s="13">
        <f>SUMPRODUCT(M745:X745,$M$3:$X$3)*$K745*$L745</f>
        <v/>
      </c>
      <c r="AB745" s="13">
        <f>SUMPRODUCT(M745:X745,$M$4:$X$4)*$K745*$L745</f>
        <v/>
      </c>
      <c r="AC745" s="15">
        <f>SUMPRODUCT(M745:X745,$M$5:$X$5)*$K745*$L745</f>
        <v/>
      </c>
      <c r="AD745" s="15">
        <f>SUMPRODUCT(M745:X745,$M$6:$X$6)*$K745*$L745</f>
        <v/>
      </c>
      <c r="AE745" s="19" t="n"/>
    </row>
    <row r="746">
      <c r="A746" s="9" t="n">
        <v>669467</v>
      </c>
      <c r="B746" s="9" t="inlineStr">
        <is>
          <t>Andre Pallante</t>
        </is>
      </c>
      <c r="C746" s="9" t="inlineStr">
        <is>
          <t>STL</t>
        </is>
      </c>
      <c r="D746" s="9" t="n">
        <v>28</v>
      </c>
      <c r="E746" s="17" t="inlineStr">
        <is>
          <t>R</t>
        </is>
      </c>
      <c r="F746" s="17" t="n"/>
      <c r="G746" s="9" t="n">
        <v>274</v>
      </c>
      <c r="H746" s="9" t="n">
        <v>2257</v>
      </c>
      <c r="I746" s="9" t="inlineStr">
        <is>
          <t>End-of-Rotation Starter (SP4-5)</t>
        </is>
      </c>
      <c r="J746" s="17" t="inlineStr">
        <is>
          <t>Opening Day</t>
        </is>
      </c>
      <c r="K746" s="11">
        <f>IFERROR(INDEX(Roles!$B$17:$B$20,MATCH(J746,Roles!$A$17:$A$20,0)),1)</f>
        <v/>
      </c>
      <c r="L746" s="18" t="n">
        <v>1</v>
      </c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3">
        <f>SUMPRODUCT(M746:X746,$M$2:$X$2)*$K746*$L746</f>
        <v/>
      </c>
      <c r="Z746" s="14">
        <f>SUM(M746:X746)</f>
        <v/>
      </c>
      <c r="AA746" s="13">
        <f>SUMPRODUCT(M746:X746,$M$3:$X$3)*$K746*$L746</f>
        <v/>
      </c>
      <c r="AB746" s="13">
        <f>SUMPRODUCT(M746:X746,$M$4:$X$4)*$K746*$L746</f>
        <v/>
      </c>
      <c r="AC746" s="15">
        <f>SUMPRODUCT(M746:X746,$M$5:$X$5)*$K746*$L746</f>
        <v/>
      </c>
      <c r="AD746" s="15">
        <f>SUMPRODUCT(M746:X746,$M$6:$X$6)*$K746*$L746</f>
        <v/>
      </c>
      <c r="AE746" s="19" t="n"/>
    </row>
    <row r="747">
      <c r="A747" s="9" t="n">
        <v>607536</v>
      </c>
      <c r="B747" s="9" t="inlineStr">
        <is>
          <t>Kyle Freeland</t>
        </is>
      </c>
      <c r="C747" s="9" t="inlineStr">
        <is>
          <t>COL</t>
        </is>
      </c>
      <c r="D747" s="9" t="n">
        <v>34</v>
      </c>
      <c r="E747" s="17" t="inlineStr">
        <is>
          <t>L</t>
        </is>
      </c>
      <c r="F747" s="17" t="n"/>
      <c r="G747" s="9" t="n">
        <v>252</v>
      </c>
      <c r="H747" s="9" t="n">
        <v>2894</v>
      </c>
      <c r="I747" s="9" t="inlineStr">
        <is>
          <t>Mid-Rotation Starter (SP2-3)</t>
        </is>
      </c>
      <c r="J747" s="17" t="inlineStr">
        <is>
          <t>Opening Day</t>
        </is>
      </c>
      <c r="K747" s="11">
        <f>IFERROR(INDEX(Roles!$B$17:$B$20,MATCH(J747,Roles!$A$17:$A$20,0)),1)</f>
        <v/>
      </c>
      <c r="L747" s="18" t="n">
        <v>1</v>
      </c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3">
        <f>SUMPRODUCT(M747:X747,$M$2:$X$2)*$K747*$L747</f>
        <v/>
      </c>
      <c r="Z747" s="14">
        <f>SUM(M747:X747)</f>
        <v/>
      </c>
      <c r="AA747" s="13">
        <f>SUMPRODUCT(M747:X747,$M$3:$X$3)*$K747*$L747</f>
        <v/>
      </c>
      <c r="AB747" s="13">
        <f>SUMPRODUCT(M747:X747,$M$4:$X$4)*$K747*$L747</f>
        <v/>
      </c>
      <c r="AC747" s="15">
        <f>SUMPRODUCT(M747:X747,$M$5:$X$5)*$K747*$L747</f>
        <v/>
      </c>
      <c r="AD747" s="15">
        <f>SUMPRODUCT(M747:X747,$M$6:$X$6)*$K747*$L747</f>
        <v/>
      </c>
      <c r="AE747" s="19" t="n"/>
    </row>
    <row r="748">
      <c r="A748" s="9" t="n">
        <v>678368</v>
      </c>
      <c r="B748" s="9" t="inlineStr">
        <is>
          <t>Valente Bellozo</t>
        </is>
      </c>
      <c r="C748" s="9" t="inlineStr">
        <is>
          <t>COL</t>
        </is>
      </c>
      <c r="D748" s="9" t="n">
        <v>27</v>
      </c>
      <c r="E748" s="17" t="inlineStr">
        <is>
          <t>R</t>
        </is>
      </c>
      <c r="F748" s="17" t="n"/>
      <c r="G748" s="9" t="n">
        <v>48</v>
      </c>
      <c r="H748" s="9" t="n">
        <v>691</v>
      </c>
      <c r="I748" s="9" t="inlineStr">
        <is>
          <t>End-of-Rotation Starter (SP4-5)</t>
        </is>
      </c>
      <c r="J748" s="17" t="inlineStr">
        <is>
          <t>Opening Day</t>
        </is>
      </c>
      <c r="K748" s="11">
        <f>IFERROR(INDEX(Roles!$B$17:$B$20,MATCH(J748,Roles!$A$17:$A$20,0)),1)</f>
        <v/>
      </c>
      <c r="L748" s="18" t="n">
        <v>1</v>
      </c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3">
        <f>SUMPRODUCT(M748:X748,$M$2:$X$2)*$K748*$L748</f>
        <v/>
      </c>
      <c r="Z748" s="14">
        <f>SUM(M748:X748)</f>
        <v/>
      </c>
      <c r="AA748" s="13">
        <f>SUMPRODUCT(M748:X748,$M$3:$X$3)*$K748*$L748</f>
        <v/>
      </c>
      <c r="AB748" s="13">
        <f>SUMPRODUCT(M748:X748,$M$4:$X$4)*$K748*$L748</f>
        <v/>
      </c>
      <c r="AC748" s="15">
        <f>SUMPRODUCT(M748:X748,$M$5:$X$5)*$K748*$L748</f>
        <v/>
      </c>
      <c r="AD748" s="15">
        <f>SUMPRODUCT(M748:X748,$M$6:$X$6)*$K748*$L748</f>
        <v/>
      </c>
      <c r="AE748" s="19" t="n"/>
    </row>
    <row r="749">
      <c r="A749" s="9" t="n">
        <v>694363</v>
      </c>
      <c r="B749" s="9" t="inlineStr">
        <is>
          <t>Jared Shuster</t>
        </is>
      </c>
      <c r="C749" s="9" t="inlineStr">
        <is>
          <t>STL</t>
        </is>
      </c>
      <c r="D749" s="9" t="n">
        <v>28</v>
      </c>
      <c r="E749" s="17" t="inlineStr">
        <is>
          <t>L</t>
        </is>
      </c>
      <c r="F749" s="17" t="n"/>
      <c r="G749" s="9" t="n">
        <v>32</v>
      </c>
      <c r="H749" s="9" t="n">
        <v>665</v>
      </c>
      <c r="I749" s="9" t="inlineStr">
        <is>
          <t>Bullpen Depth Arm</t>
        </is>
      </c>
      <c r="J749" s="17" t="inlineStr">
        <is>
          <t>Opening Day</t>
        </is>
      </c>
      <c r="K749" s="11">
        <f>IFERROR(INDEX(Roles!$B$17:$B$20,MATCH(J749,Roles!$A$17:$A$20,0)),1)</f>
        <v/>
      </c>
      <c r="L749" s="18" t="n">
        <v>1</v>
      </c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3">
        <f>SUMPRODUCT(M749:X749,$M$2:$X$2)*$K749*$L749</f>
        <v/>
      </c>
      <c r="Z749" s="14">
        <f>SUM(M749:X749)</f>
        <v/>
      </c>
      <c r="AA749" s="13">
        <f>SUMPRODUCT(M749:X749,$M$3:$X$3)*$K749*$L749</f>
        <v/>
      </c>
      <c r="AB749" s="13">
        <f>SUMPRODUCT(M749:X749,$M$4:$X$4)*$K749*$L749</f>
        <v/>
      </c>
      <c r="AC749" s="15">
        <f>SUMPRODUCT(M749:X749,$M$5:$X$5)*$K749*$L749</f>
        <v/>
      </c>
      <c r="AD749" s="15">
        <f>SUMPRODUCT(M749:X749,$M$6:$X$6)*$K749*$L749</f>
        <v/>
      </c>
      <c r="AE749" s="19" t="n"/>
    </row>
    <row r="750">
      <c r="A750" s="9" t="n">
        <v>519008</v>
      </c>
      <c r="B750" s="9" t="inlineStr">
        <is>
          <t>T.J. McFarland</t>
        </is>
      </c>
      <c r="C750" s="9" t="inlineStr">
        <is>
          <t>OAK</t>
        </is>
      </c>
      <c r="D750" s="9" t="n">
        <v>38</v>
      </c>
      <c r="E750" s="17" t="inlineStr">
        <is>
          <t>L</t>
        </is>
      </c>
      <c r="F750" s="17" t="n"/>
      <c r="G750" s="9" t="n">
        <v>74</v>
      </c>
      <c r="H750" s="9" t="n">
        <v>465</v>
      </c>
      <c r="I750" s="9" t="inlineStr">
        <is>
          <t>Bullpen Depth Arm</t>
        </is>
      </c>
      <c r="J750" s="17" t="inlineStr">
        <is>
          <t>Opening Day</t>
        </is>
      </c>
      <c r="K750" s="11">
        <f>IFERROR(INDEX(Roles!$B$17:$B$20,MATCH(J750,Roles!$A$17:$A$20,0)),1)</f>
        <v/>
      </c>
      <c r="L750" s="18" t="n">
        <v>1</v>
      </c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3">
        <f>SUMPRODUCT(M750:X750,$M$2:$X$2)*$K750*$L750</f>
        <v/>
      </c>
      <c r="Z750" s="14">
        <f>SUM(M750:X750)</f>
        <v/>
      </c>
      <c r="AA750" s="13">
        <f>SUMPRODUCT(M750:X750,$M$3:$X$3)*$K750*$L750</f>
        <v/>
      </c>
      <c r="AB750" s="13">
        <f>SUMPRODUCT(M750:X750,$M$4:$X$4)*$K750*$L750</f>
        <v/>
      </c>
      <c r="AC750" s="15">
        <f>SUMPRODUCT(M750:X750,$M$5:$X$5)*$K750*$L750</f>
        <v/>
      </c>
      <c r="AD750" s="15">
        <f>SUMPRODUCT(M750:X750,$M$6:$X$6)*$K750*$L750</f>
        <v/>
      </c>
      <c r="AE750" s="19" t="n"/>
    </row>
    <row r="751">
      <c r="A751" s="9" t="n">
        <v>543294</v>
      </c>
      <c r="B751" s="9" t="inlineStr">
        <is>
          <t>Kyle Hendricks</t>
        </is>
      </c>
      <c r="C751" s="9" t="inlineStr">
        <is>
          <t>LAA</t>
        </is>
      </c>
      <c r="D751" s="9" t="n">
        <v>37</v>
      </c>
      <c r="E751" s="17" t="inlineStr">
        <is>
          <t>R</t>
        </is>
      </c>
      <c r="F751" s="17" t="n"/>
      <c r="G751" s="9" t="n">
        <v>695</v>
      </c>
      <c r="H751" s="9" t="n">
        <v>2196</v>
      </c>
      <c r="I751" s="9" t="inlineStr">
        <is>
          <t>End-of-Rotation Starter (SP4-5)</t>
        </is>
      </c>
      <c r="J751" s="17" t="inlineStr">
        <is>
          <t>Opening Day</t>
        </is>
      </c>
      <c r="K751" s="11">
        <f>IFERROR(INDEX(Roles!$B$17:$B$20,MATCH(J751,Roles!$A$17:$A$20,0)),1)</f>
        <v/>
      </c>
      <c r="L751" s="18" t="n">
        <v>1</v>
      </c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3">
        <f>SUMPRODUCT(M751:X751,$M$2:$X$2)*$K751*$L751</f>
        <v/>
      </c>
      <c r="Z751" s="14">
        <f>SUM(M751:X751)</f>
        <v/>
      </c>
      <c r="AA751" s="13">
        <f>SUMPRODUCT(M751:X751,$M$3:$X$3)*$K751*$L751</f>
        <v/>
      </c>
      <c r="AB751" s="13">
        <f>SUMPRODUCT(M751:X751,$M$4:$X$4)*$K751*$L751</f>
        <v/>
      </c>
      <c r="AC751" s="15">
        <f>SUMPRODUCT(M751:X751,$M$5:$X$5)*$K751*$L751</f>
        <v/>
      </c>
      <c r="AD751" s="15">
        <f>SUMPRODUCT(M751:X751,$M$6:$X$6)*$K751*$L751</f>
        <v/>
      </c>
      <c r="AE751" s="19" t="n"/>
    </row>
    <row r="752">
      <c r="A752" s="9" t="n">
        <v>623167</v>
      </c>
      <c r="B752" s="9" t="inlineStr">
        <is>
          <t>Chris Flexen</t>
        </is>
      </c>
      <c r="C752" s="9" t="inlineStr">
        <is>
          <t>CHC</t>
        </is>
      </c>
      <c r="D752" s="9" t="n">
        <v>32</v>
      </c>
      <c r="E752" s="17" t="inlineStr">
        <is>
          <t>R</t>
        </is>
      </c>
      <c r="F752" s="17" t="n"/>
      <c r="G752" s="9" t="n">
        <v>178</v>
      </c>
      <c r="H752" s="9" t="n">
        <v>1941</v>
      </c>
      <c r="I752" s="9" t="inlineStr">
        <is>
          <t>End-of-Rotation Starter (SP4-5)</t>
        </is>
      </c>
      <c r="J752" s="17" t="inlineStr">
        <is>
          <t>Opening Day</t>
        </is>
      </c>
      <c r="K752" s="11">
        <f>IFERROR(INDEX(Roles!$B$17:$B$20,MATCH(J752,Roles!$A$17:$A$20,0)),1)</f>
        <v/>
      </c>
      <c r="L752" s="18" t="n">
        <v>1</v>
      </c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3">
        <f>SUMPRODUCT(M752:X752,$M$2:$X$2)*$K752*$L752</f>
        <v/>
      </c>
      <c r="Z752" s="14">
        <f>SUM(M752:X752)</f>
        <v/>
      </c>
      <c r="AA752" s="13">
        <f>SUMPRODUCT(M752:X752,$M$3:$X$3)*$K752*$L752</f>
        <v/>
      </c>
      <c r="AB752" s="13">
        <f>SUMPRODUCT(M752:X752,$M$4:$X$4)*$K752*$L752</f>
        <v/>
      </c>
      <c r="AC752" s="15">
        <f>SUMPRODUCT(M752:X752,$M$5:$X$5)*$K752*$L752</f>
        <v/>
      </c>
      <c r="AD752" s="15">
        <f>SUMPRODUCT(M752:X752,$M$6:$X$6)*$K752*$L752</f>
        <v/>
      </c>
      <c r="AE752" s="19" t="n"/>
    </row>
    <row r="753">
      <c r="A753" s="9" t="n">
        <v>571945</v>
      </c>
      <c r="B753" s="9" t="inlineStr">
        <is>
          <t>Miles Mikolas</t>
        </is>
      </c>
      <c r="C753" s="9" t="inlineStr">
        <is>
          <t>WSH</t>
        </is>
      </c>
      <c r="D753" s="9" t="n">
        <v>38</v>
      </c>
      <c r="E753" s="17" t="inlineStr">
        <is>
          <t>R</t>
        </is>
      </c>
      <c r="F753" s="17" t="n"/>
      <c r="G753" s="9" t="n">
        <v>262</v>
      </c>
      <c r="H753" s="9" t="n">
        <v>3316</v>
      </c>
      <c r="I753" s="9" t="inlineStr">
        <is>
          <t>Mid-Rotation Starter (SP2-3)</t>
        </is>
      </c>
      <c r="J753" s="17" t="inlineStr">
        <is>
          <t>Opening Day</t>
        </is>
      </c>
      <c r="K753" s="11">
        <f>IFERROR(INDEX(Roles!$B$17:$B$20,MATCH(J753,Roles!$A$17:$A$20,0)),1)</f>
        <v/>
      </c>
      <c r="L753" s="18" t="n">
        <v>1</v>
      </c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3">
        <f>SUMPRODUCT(M753:X753,$M$2:$X$2)*$K753*$L753</f>
        <v/>
      </c>
      <c r="Z753" s="14">
        <f>SUM(M753:X753)</f>
        <v/>
      </c>
      <c r="AA753" s="13">
        <f>SUMPRODUCT(M753:X753,$M$3:$X$3)*$K753*$L753</f>
        <v/>
      </c>
      <c r="AB753" s="13">
        <f>SUMPRODUCT(M753:X753,$M$4:$X$4)*$K753*$L753</f>
        <v/>
      </c>
      <c r="AC753" s="15">
        <f>SUMPRODUCT(M753:X753,$M$5:$X$5)*$K753*$L753</f>
        <v/>
      </c>
      <c r="AD753" s="15">
        <f>SUMPRODUCT(M753:X753,$M$6:$X$6)*$K753*$L753</f>
        <v/>
      </c>
      <c r="AE753" s="19" t="n"/>
    </row>
    <row r="754">
      <c r="A754" s="9" t="n">
        <v>615698</v>
      </c>
      <c r="B754" s="9" t="inlineStr">
        <is>
          <t>Cal Quantrill</t>
        </is>
      </c>
      <c r="C754" s="9" t="inlineStr">
        <is>
          <t>TEX</t>
        </is>
      </c>
      <c r="D754" s="9" t="n">
        <v>32</v>
      </c>
      <c r="E754" s="17" t="inlineStr">
        <is>
          <t>R</t>
        </is>
      </c>
      <c r="F754" s="17" t="n"/>
      <c r="G754" s="9" t="n">
        <v>100</v>
      </c>
      <c r="H754" s="9" t="n">
        <v>2483</v>
      </c>
      <c r="I754" s="9" t="inlineStr">
        <is>
          <t>End-of-Rotation Starter (SP4-5)</t>
        </is>
      </c>
      <c r="J754" s="17" t="inlineStr">
        <is>
          <t>Opening Day</t>
        </is>
      </c>
      <c r="K754" s="11">
        <f>IFERROR(INDEX(Roles!$B$17:$B$20,MATCH(J754,Roles!$A$17:$A$20,0)),1)</f>
        <v/>
      </c>
      <c r="L754" s="18" t="n">
        <v>1</v>
      </c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3">
        <f>SUMPRODUCT(M754:X754,$M$2:$X$2)*$K754*$L754</f>
        <v/>
      </c>
      <c r="Z754" s="14">
        <f>SUM(M754:X754)</f>
        <v/>
      </c>
      <c r="AA754" s="13">
        <f>SUMPRODUCT(M754:X754,$M$3:$X$3)*$K754*$L754</f>
        <v/>
      </c>
      <c r="AB754" s="13">
        <f>SUMPRODUCT(M754:X754,$M$4:$X$4)*$K754*$L754</f>
        <v/>
      </c>
      <c r="AC754" s="15">
        <f>SUMPRODUCT(M754:X754,$M$5:$X$5)*$K754*$L754</f>
        <v/>
      </c>
      <c r="AD754" s="15">
        <f>SUMPRODUCT(M754:X754,$M$6:$X$6)*$K754*$L754</f>
        <v/>
      </c>
      <c r="AE754" s="19" t="n"/>
    </row>
    <row r="755">
      <c r="A755" s="9" t="n">
        <v>681190</v>
      </c>
      <c r="B755" s="9" t="inlineStr">
        <is>
          <t>Randy Vásquez</t>
        </is>
      </c>
      <c r="C755" s="9" t="inlineStr">
        <is>
          <t>SD</t>
        </is>
      </c>
      <c r="D755" s="9" t="n">
        <v>28</v>
      </c>
      <c r="E755" s="17" t="inlineStr">
        <is>
          <t>R</t>
        </is>
      </c>
      <c r="F755" s="17" t="n"/>
      <c r="G755" s="9" t="n">
        <v>291</v>
      </c>
      <c r="H755" s="9" t="n">
        <v>1458</v>
      </c>
      <c r="I755" s="9" t="inlineStr">
        <is>
          <t>End-of-Rotation Starter (SP4-5)</t>
        </is>
      </c>
      <c r="J755" s="17" t="inlineStr">
        <is>
          <t>Opening Day</t>
        </is>
      </c>
      <c r="K755" s="11">
        <f>IFERROR(INDEX(Roles!$B$17:$B$20,MATCH(J755,Roles!$A$17:$A$20,0)),1)</f>
        <v/>
      </c>
      <c r="L755" s="18" t="n">
        <v>1</v>
      </c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3">
        <f>SUMPRODUCT(M755:X755,$M$2:$X$2)*$K755*$L755</f>
        <v/>
      </c>
      <c r="Z755" s="14">
        <f>SUM(M755:X755)</f>
        <v/>
      </c>
      <c r="AA755" s="13">
        <f>SUMPRODUCT(M755:X755,$M$3:$X$3)*$K755*$L755</f>
        <v/>
      </c>
      <c r="AB755" s="13">
        <f>SUMPRODUCT(M755:X755,$M$4:$X$4)*$K755*$L755</f>
        <v/>
      </c>
      <c r="AC755" s="15">
        <f>SUMPRODUCT(M755:X755,$M$5:$X$5)*$K755*$L755</f>
        <v/>
      </c>
      <c r="AD755" s="15">
        <f>SUMPRODUCT(M755:X755,$M$6:$X$6)*$K755*$L755</f>
        <v/>
      </c>
      <c r="AE755" s="19" t="n"/>
    </row>
    <row r="756">
      <c r="A756" s="9" t="n">
        <v>596295</v>
      </c>
      <c r="B756" s="9" t="inlineStr">
        <is>
          <t>Austin Gomber</t>
        </is>
      </c>
      <c r="C756" s="9" t="inlineStr">
        <is>
          <t>COL</t>
        </is>
      </c>
      <c r="D756" s="9" t="n">
        <v>33</v>
      </c>
      <c r="E756" s="17" t="inlineStr">
        <is>
          <t>L</t>
        </is>
      </c>
      <c r="F756" s="17" t="n"/>
      <c r="G756" s="9" t="n">
        <v>272</v>
      </c>
      <c r="H756" s="9" t="n">
        <v>2100</v>
      </c>
      <c r="I756" s="9" t="inlineStr">
        <is>
          <t>Mid-Rotation Starter (SP2-3)</t>
        </is>
      </c>
      <c r="J756" s="17" t="inlineStr">
        <is>
          <t>Opening Day</t>
        </is>
      </c>
      <c r="K756" s="11">
        <f>IFERROR(INDEX(Roles!$B$17:$B$20,MATCH(J756,Roles!$A$17:$A$20,0)),1)</f>
        <v/>
      </c>
      <c r="L756" s="18" t="n">
        <v>1</v>
      </c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3">
        <f>SUMPRODUCT(M756:X756,$M$2:$X$2)*$K756*$L756</f>
        <v/>
      </c>
      <c r="Z756" s="14">
        <f>SUM(M756:X756)</f>
        <v/>
      </c>
      <c r="AA756" s="13">
        <f>SUMPRODUCT(M756:X756,$M$3:$X$3)*$K756*$L756</f>
        <v/>
      </c>
      <c r="AB756" s="13">
        <f>SUMPRODUCT(M756:X756,$M$4:$X$4)*$K756*$L756</f>
        <v/>
      </c>
      <c r="AC756" s="15">
        <f>SUMPRODUCT(M756:X756,$M$5:$X$5)*$K756*$L756</f>
        <v/>
      </c>
      <c r="AD756" s="15">
        <f>SUMPRODUCT(M756:X756,$M$6:$X$6)*$K756*$L756</f>
        <v/>
      </c>
      <c r="AE756" s="19" t="n"/>
    </row>
    <row r="757">
      <c r="A757" s="9" t="n">
        <v>663765</v>
      </c>
      <c r="B757" s="9" t="inlineStr">
        <is>
          <t>Jake Woodford</t>
        </is>
      </c>
      <c r="C757" s="9" t="inlineStr">
        <is>
          <t>MIL</t>
        </is>
      </c>
      <c r="D757" s="9" t="n">
        <v>30</v>
      </c>
      <c r="E757" s="17" t="inlineStr">
        <is>
          <t>R</t>
        </is>
      </c>
      <c r="F757" s="17" t="n"/>
      <c r="G757" s="9" t="n">
        <v>112</v>
      </c>
      <c r="H757" s="9" t="n">
        <v>859</v>
      </c>
      <c r="I757" s="9" t="inlineStr">
        <is>
          <t>Bullpen Depth Arm</t>
        </is>
      </c>
      <c r="J757" s="17" t="inlineStr">
        <is>
          <t>Opening Day</t>
        </is>
      </c>
      <c r="K757" s="11">
        <f>IFERROR(INDEX(Roles!$B$17:$B$20,MATCH(J757,Roles!$A$17:$A$20,0)),1)</f>
        <v/>
      </c>
      <c r="L757" s="18" t="n">
        <v>1</v>
      </c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3">
        <f>SUMPRODUCT(M757:X757,$M$2:$X$2)*$K757*$L757</f>
        <v/>
      </c>
      <c r="Z757" s="14">
        <f>SUM(M757:X757)</f>
        <v/>
      </c>
      <c r="AA757" s="13">
        <f>SUMPRODUCT(M757:X757,$M$3:$X$3)*$K757*$L757</f>
        <v/>
      </c>
      <c r="AB757" s="13">
        <f>SUMPRODUCT(M757:X757,$M$4:$X$4)*$K757*$L757</f>
        <v/>
      </c>
      <c r="AC757" s="15">
        <f>SUMPRODUCT(M757:X757,$M$5:$X$5)*$K757*$L757</f>
        <v/>
      </c>
      <c r="AD757" s="15">
        <f>SUMPRODUCT(M757:X757,$M$6:$X$6)*$K757*$L757</f>
        <v/>
      </c>
      <c r="AE757" s="19" t="n"/>
    </row>
    <row r="758">
      <c r="A758" s="9" t="n">
        <v>608372</v>
      </c>
      <c r="B758" s="9" t="inlineStr">
        <is>
          <t>Tomoyuki Sugano</t>
        </is>
      </c>
      <c r="C758" s="9" t="inlineStr">
        <is>
          <t>COL</t>
        </is>
      </c>
      <c r="D758" s="9" t="n">
        <v>37</v>
      </c>
      <c r="E758" s="17" t="inlineStr">
        <is>
          <t>R</t>
        </is>
      </c>
      <c r="F758" s="17" t="n"/>
      <c r="G758" s="9" t="n">
        <v>287</v>
      </c>
      <c r="H758" s="9" t="n">
        <v>962</v>
      </c>
      <c r="I758" s="9" t="inlineStr">
        <is>
          <t>Mid-Rotation Starter (SP2-3)</t>
        </is>
      </c>
      <c r="J758" s="17" t="inlineStr">
        <is>
          <t>Opening Day</t>
        </is>
      </c>
      <c r="K758" s="11">
        <f>IFERROR(INDEX(Roles!$B$17:$B$20,MATCH(J758,Roles!$A$17:$A$20,0)),1)</f>
        <v/>
      </c>
      <c r="L758" s="18" t="n">
        <v>1</v>
      </c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3">
        <f>SUMPRODUCT(M758:X758,$M$2:$X$2)*$K758*$L758</f>
        <v/>
      </c>
      <c r="Z758" s="14">
        <f>SUM(M758:X758)</f>
        <v/>
      </c>
      <c r="AA758" s="13">
        <f>SUMPRODUCT(M758:X758,$M$3:$X$3)*$K758*$L758</f>
        <v/>
      </c>
      <c r="AB758" s="13">
        <f>SUMPRODUCT(M758:X758,$M$4:$X$4)*$K758*$L758</f>
        <v/>
      </c>
      <c r="AC758" s="15">
        <f>SUMPRODUCT(M758:X758,$M$5:$X$5)*$K758*$L758</f>
        <v/>
      </c>
      <c r="AD758" s="15">
        <f>SUMPRODUCT(M758:X758,$M$6:$X$6)*$K758*$L758</f>
        <v/>
      </c>
      <c r="AE758" s="19" t="n"/>
    </row>
    <row r="759">
      <c r="A759" s="9" t="n">
        <v>667463</v>
      </c>
      <c r="B759" s="9" t="inlineStr">
        <is>
          <t>John King</t>
        </is>
      </c>
      <c r="C759" s="9" t="inlineStr">
        <is>
          <t>MIA</t>
        </is>
      </c>
      <c r="D759" s="9" t="n">
        <v>32</v>
      </c>
      <c r="E759" s="17" t="inlineStr">
        <is>
          <t>L</t>
        </is>
      </c>
      <c r="F759" s="17" t="n"/>
      <c r="G759" s="9" t="n">
        <v>101</v>
      </c>
      <c r="H759" s="9" t="n">
        <v>950</v>
      </c>
      <c r="I759" s="9" t="inlineStr">
        <is>
          <t>Bullpen Depth Arm</t>
        </is>
      </c>
      <c r="J759" s="17" t="inlineStr">
        <is>
          <t>Opening Day</t>
        </is>
      </c>
      <c r="K759" s="11">
        <f>IFERROR(INDEX(Roles!$B$17:$B$20,MATCH(J759,Roles!$A$17:$A$20,0)),1)</f>
        <v/>
      </c>
      <c r="L759" s="18" t="n">
        <v>1</v>
      </c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3">
        <f>SUMPRODUCT(M759:X759,$M$2:$X$2)*$K759*$L759</f>
        <v/>
      </c>
      <c r="Z759" s="14">
        <f>SUM(M759:X759)</f>
        <v/>
      </c>
      <c r="AA759" s="13">
        <f>SUMPRODUCT(M759:X759,$M$3:$X$3)*$K759*$L759</f>
        <v/>
      </c>
      <c r="AB759" s="13">
        <f>SUMPRODUCT(M759:X759,$M$4:$X$4)*$K759*$L759</f>
        <v/>
      </c>
      <c r="AC759" s="15">
        <f>SUMPRODUCT(M759:X759,$M$5:$X$5)*$K759*$L759</f>
        <v/>
      </c>
      <c r="AD759" s="15">
        <f>SUMPRODUCT(M759:X759,$M$6:$X$6)*$K759*$L759</f>
        <v/>
      </c>
      <c r="AE759" s="19" t="n"/>
    </row>
    <row r="760">
      <c r="A760" s="9" t="n">
        <v>570632</v>
      </c>
      <c r="B760" s="9" t="inlineStr">
        <is>
          <t>José Ureña</t>
        </is>
      </c>
      <c r="C760" s="9" t="inlineStr">
        <is>
          <t>LAA</t>
        </is>
      </c>
      <c r="D760" s="9" t="n">
        <v>35</v>
      </c>
      <c r="E760" s="17" t="inlineStr">
        <is>
          <t>R</t>
        </is>
      </c>
      <c r="F760" s="17" t="n"/>
      <c r="G760" s="9" t="n">
        <v>245</v>
      </c>
      <c r="H760" s="9" t="n">
        <v>1343</v>
      </c>
      <c r="I760" s="9" t="inlineStr">
        <is>
          <t>Bullpen Depth Arm</t>
        </is>
      </c>
      <c r="J760" s="17" t="inlineStr">
        <is>
          <t>Opening Day</t>
        </is>
      </c>
      <c r="K760" s="11">
        <f>IFERROR(INDEX(Roles!$B$17:$B$20,MATCH(J760,Roles!$A$17:$A$20,0)),1)</f>
        <v/>
      </c>
      <c r="L760" s="18" t="n">
        <v>1</v>
      </c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3">
        <f>SUMPRODUCT(M760:X760,$M$2:$X$2)*$K760*$L760</f>
        <v/>
      </c>
      <c r="Z760" s="14">
        <f>SUM(M760:X760)</f>
        <v/>
      </c>
      <c r="AA760" s="13">
        <f>SUMPRODUCT(M760:X760,$M$3:$X$3)*$K760*$L760</f>
        <v/>
      </c>
      <c r="AB760" s="13">
        <f>SUMPRODUCT(M760:X760,$M$4:$X$4)*$K760*$L760</f>
        <v/>
      </c>
      <c r="AC760" s="15">
        <f>SUMPRODUCT(M760:X760,$M$5:$X$5)*$K760*$L760</f>
        <v/>
      </c>
      <c r="AD760" s="15">
        <f>SUMPRODUCT(M760:X760,$M$6:$X$6)*$K760*$L760</f>
        <v/>
      </c>
      <c r="AE760" s="19" t="n"/>
    </row>
    <row r="761">
      <c r="A761" s="9" t="n">
        <v>686799</v>
      </c>
      <c r="B761" s="9" t="inlineStr">
        <is>
          <t>Jack Kochanowicz</t>
        </is>
      </c>
      <c r="C761" s="9" t="inlineStr">
        <is>
          <t>LAA</t>
        </is>
      </c>
      <c r="D761" s="9" t="n">
        <v>26</v>
      </c>
      <c r="E761" s="17" t="inlineStr">
        <is>
          <t>R</t>
        </is>
      </c>
      <c r="F761" s="17" t="n"/>
      <c r="G761" s="9" t="n">
        <v>296</v>
      </c>
      <c r="H761" s="9" t="n">
        <v>1074</v>
      </c>
      <c r="I761" s="9" t="inlineStr">
        <is>
          <t>Mid-Rotation Starter (SP2-3)</t>
        </is>
      </c>
      <c r="J761" s="17" t="inlineStr">
        <is>
          <t>Opening Day</t>
        </is>
      </c>
      <c r="K761" s="11">
        <f>IFERROR(INDEX(Roles!$B$17:$B$20,MATCH(J761,Roles!$A$17:$A$20,0)),1)</f>
        <v/>
      </c>
      <c r="L761" s="18" t="n">
        <v>1</v>
      </c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3">
        <f>SUMPRODUCT(M761:X761,$M$2:$X$2)*$K761*$L761</f>
        <v/>
      </c>
      <c r="Z761" s="14">
        <f>SUM(M761:X761)</f>
        <v/>
      </c>
      <c r="AA761" s="13">
        <f>SUMPRODUCT(M761:X761,$M$3:$X$3)*$K761*$L761</f>
        <v/>
      </c>
      <c r="AB761" s="13">
        <f>SUMPRODUCT(M761:X761,$M$4:$X$4)*$K761*$L761</f>
        <v/>
      </c>
      <c r="AC761" s="15">
        <f>SUMPRODUCT(M761:X761,$M$5:$X$5)*$K761*$L761</f>
        <v/>
      </c>
      <c r="AD761" s="15">
        <f>SUMPRODUCT(M761:X761,$M$6:$X$6)*$K761*$L761</f>
        <v/>
      </c>
      <c r="AE761" s="19" t="n"/>
    </row>
    <row r="762">
      <c r="A762" s="9" t="n">
        <v>622608</v>
      </c>
      <c r="B762" s="9" t="inlineStr">
        <is>
          <t>Antonio Senzatela</t>
        </is>
      </c>
      <c r="C762" s="9" t="inlineStr">
        <is>
          <t>COL</t>
        </is>
      </c>
      <c r="D762" s="9" t="n">
        <v>32</v>
      </c>
      <c r="E762" s="17" t="inlineStr">
        <is>
          <t>R</t>
        </is>
      </c>
      <c r="F762" s="17" t="n"/>
      <c r="G762" s="9" t="n">
        <v>145</v>
      </c>
      <c r="H762" s="9" t="n">
        <v>1260</v>
      </c>
      <c r="I762" s="9" t="inlineStr">
        <is>
          <t>End-of-Rotation Starter (SP4-5)</t>
        </is>
      </c>
      <c r="J762" s="17" t="inlineStr">
        <is>
          <t>Opening Day</t>
        </is>
      </c>
      <c r="K762" s="11">
        <f>IFERROR(INDEX(Roles!$B$17:$B$20,MATCH(J762,Roles!$A$17:$A$20,0)),1)</f>
        <v/>
      </c>
      <c r="L762" s="18" t="n">
        <v>1</v>
      </c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3">
        <f>SUMPRODUCT(M762:X762,$M$2:$X$2)*$K762*$L762</f>
        <v/>
      </c>
      <c r="Z762" s="14">
        <f>SUM(M762:X762)</f>
        <v/>
      </c>
      <c r="AA762" s="13">
        <f>SUMPRODUCT(M762:X762,$M$3:$X$3)*$K762*$L762</f>
        <v/>
      </c>
      <c r="AB762" s="13">
        <f>SUMPRODUCT(M762:X762,$M$4:$X$4)*$K762*$L762</f>
        <v/>
      </c>
      <c r="AC762" s="15">
        <f>SUMPRODUCT(M762:X762,$M$5:$X$5)*$K762*$L762</f>
        <v/>
      </c>
      <c r="AD762" s="15">
        <f>SUMPRODUCT(M762:X762,$M$6:$X$6)*$K762*$L762</f>
        <v/>
      </c>
      <c r="AE762" s="19" t="n"/>
    </row>
    <row r="763">
      <c r="A763" s="9" t="n">
        <v>687134</v>
      </c>
      <c r="B763" s="9" t="inlineStr">
        <is>
          <t>Bradley Blalock</t>
        </is>
      </c>
      <c r="C763" s="9" t="inlineStr">
        <is>
          <t>COL</t>
        </is>
      </c>
      <c r="D763" s="9" t="n">
        <v>26</v>
      </c>
      <c r="E763" s="17" t="inlineStr">
        <is>
          <t>R</t>
        </is>
      </c>
      <c r="F763" s="17" t="n"/>
      <c r="G763" s="9" t="n">
        <v>275</v>
      </c>
      <c r="H763" s="9" t="n">
        <v>422</v>
      </c>
      <c r="I763" s="9" t="inlineStr">
        <is>
          <t>End-of-Rotation Starter (SP4-5)</t>
        </is>
      </c>
      <c r="J763" s="17" t="inlineStr">
        <is>
          <t>Opening Day</t>
        </is>
      </c>
      <c r="K763" s="11">
        <f>IFERROR(INDEX(Roles!$B$17:$B$20,MATCH(J763,Roles!$A$17:$A$20,0)),1)</f>
        <v/>
      </c>
      <c r="L763" s="18" t="n">
        <v>1</v>
      </c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3">
        <f>SUMPRODUCT(M763:X763,$M$2:$X$2)*$K763*$L763</f>
        <v/>
      </c>
      <c r="Z763" s="14">
        <f>SUM(M763:X763)</f>
        <v/>
      </c>
      <c r="AA763" s="13">
        <f>SUMPRODUCT(M763:X763,$M$3:$X$3)*$K763*$L763</f>
        <v/>
      </c>
      <c r="AB763" s="13">
        <f>SUMPRODUCT(M763:X763,$M$4:$X$4)*$K763*$L763</f>
        <v/>
      </c>
      <c r="AC763" s="15">
        <f>SUMPRODUCT(M763:X763,$M$5:$X$5)*$K763*$L763</f>
        <v/>
      </c>
      <c r="AD763" s="15">
        <f>SUMPRODUCT(M763:X763,$M$6:$X$6)*$K763*$L763</f>
        <v/>
      </c>
      <c r="AE763" s="19" t="n"/>
    </row>
    <row r="764">
      <c r="A764" s="9" t="n">
        <v>657612</v>
      </c>
      <c r="B764" s="9" t="inlineStr">
        <is>
          <t>Tim Hill</t>
        </is>
      </c>
      <c r="C764" s="9" t="inlineStr">
        <is>
          <t>NYY</t>
        </is>
      </c>
      <c r="D764" s="9" t="n">
        <v>37</v>
      </c>
      <c r="E764" s="17" t="inlineStr">
        <is>
          <t>L</t>
        </is>
      </c>
      <c r="F764" s="17" t="n"/>
      <c r="G764" s="9" t="n">
        <v>111</v>
      </c>
      <c r="H764" s="9" t="n">
        <v>1072</v>
      </c>
      <c r="I764" s="9" t="inlineStr">
        <is>
          <t>Bullpen Depth Arm</t>
        </is>
      </c>
      <c r="J764" s="17" t="inlineStr">
        <is>
          <t>Opening Day</t>
        </is>
      </c>
      <c r="K764" s="11">
        <f>IFERROR(INDEX(Roles!$B$17:$B$20,MATCH(J764,Roles!$A$17:$A$20,0)),1)</f>
        <v/>
      </c>
      <c r="L764" s="18" t="n">
        <v>1</v>
      </c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3">
        <f>SUMPRODUCT(M764:X764,$M$2:$X$2)*$K764*$L764</f>
        <v/>
      </c>
      <c r="Z764" s="14">
        <f>SUM(M764:X764)</f>
        <v/>
      </c>
      <c r="AA764" s="13">
        <f>SUMPRODUCT(M764:X764,$M$3:$X$3)*$K764*$L764</f>
        <v/>
      </c>
      <c r="AB764" s="13">
        <f>SUMPRODUCT(M764:X764,$M$4:$X$4)*$K764*$L764</f>
        <v/>
      </c>
      <c r="AC764" s="15">
        <f>SUMPRODUCT(M764:X764,$M$5:$X$5)*$K764*$L764</f>
        <v/>
      </c>
      <c r="AD764" s="15">
        <f>SUMPRODUCT(M764:X764,$M$6:$X$6)*$K764*$L764</f>
        <v/>
      </c>
      <c r="AE764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0" t="n">
        <v>195</v>
      </c>
      <c r="C2" s="20" t="n">
        <v>32</v>
      </c>
      <c r="D2" s="20" t="n">
        <v>32</v>
      </c>
      <c r="E2" s="21" t="n">
        <v>0</v>
      </c>
      <c r="F2" s="21" t="n">
        <v>0</v>
      </c>
      <c r="G2" s="22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0" t="n">
        <v>170</v>
      </c>
      <c r="C3" s="20" t="n">
        <v>30</v>
      </c>
      <c r="D3" s="20" t="n">
        <v>30</v>
      </c>
      <c r="E3" s="21" t="n">
        <v>0</v>
      </c>
      <c r="F3" s="21" t="n">
        <v>0</v>
      </c>
      <c r="G3" s="22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0" t="n">
        <v>130</v>
      </c>
      <c r="C4" s="20" t="n">
        <v>25</v>
      </c>
      <c r="D4" s="20" t="n">
        <v>26</v>
      </c>
      <c r="E4" s="21" t="n">
        <v>0</v>
      </c>
      <c r="F4" s="21" t="n">
        <v>0.01</v>
      </c>
      <c r="G4" s="22" t="inlineStr">
        <is>
          <t>Shorter leash; occasional bullpen appearance.</t>
        </is>
      </c>
    </row>
    <row r="5" ht="30" customHeight="1">
      <c r="A5" s="9" t="inlineStr">
        <is>
          <t>Innings-Limited Starter</t>
        </is>
      </c>
      <c r="B5" s="20" t="n">
        <v>110</v>
      </c>
      <c r="C5" s="20" t="n">
        <v>22</v>
      </c>
      <c r="D5" s="20" t="n">
        <v>22</v>
      </c>
      <c r="E5" s="21" t="n">
        <v>0</v>
      </c>
      <c r="F5" s="21" t="n">
        <v>0</v>
      </c>
      <c r="G5" s="22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0" t="n">
        <v>95</v>
      </c>
      <c r="C6" s="20" t="n">
        <v>8</v>
      </c>
      <c r="D6" s="20" t="n">
        <v>30</v>
      </c>
      <c r="E6" s="21" t="n">
        <v>0.01</v>
      </c>
      <c r="F6" s="21" t="n">
        <v>0.04</v>
      </c>
      <c r="G6" s="22" t="inlineStr">
        <is>
          <t>Moves between rotation and bullpen.</t>
        </is>
      </c>
    </row>
    <row r="7" ht="30" customHeight="1">
      <c r="A7" s="9" t="inlineStr">
        <is>
          <t>Opener</t>
        </is>
      </c>
      <c r="B7" s="20" t="n">
        <v>55</v>
      </c>
      <c r="C7" s="20" t="n">
        <v>18</v>
      </c>
      <c r="D7" s="20" t="n">
        <v>45</v>
      </c>
      <c r="E7" s="21" t="n">
        <v>0</v>
      </c>
      <c r="F7" s="21" t="n">
        <v>0.03</v>
      </c>
      <c r="G7" s="22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0" t="n">
        <v>62</v>
      </c>
      <c r="C8" s="20" t="n">
        <v>0</v>
      </c>
      <c r="D8" s="20" t="n">
        <v>60</v>
      </c>
      <c r="E8" s="21" t="n">
        <v>0.65</v>
      </c>
      <c r="F8" s="21" t="n">
        <v>0.05</v>
      </c>
      <c r="G8" s="22" t="inlineStr">
        <is>
          <t>Takes the large majority of the team's save pool. Note IP is NEARLY FLAT across bullpen roles — what differs is save and hold context, which is why these roles are worth separating.</t>
        </is>
      </c>
    </row>
    <row r="9" ht="30" customHeight="1">
      <c r="A9" s="9" t="inlineStr">
        <is>
          <t>Late Inning RP (Setup)</t>
        </is>
      </c>
      <c r="B9" s="20" t="n">
        <v>65</v>
      </c>
      <c r="C9" s="20" t="n">
        <v>0</v>
      </c>
      <c r="D9" s="20" t="n">
        <v>65</v>
      </c>
      <c r="E9" s="21" t="n">
        <v>0.12</v>
      </c>
      <c r="F9" s="21" t="n">
        <v>0.28</v>
      </c>
      <c r="G9" s="22" t="inlineStr">
        <is>
          <t>Primary hold earner; fills in for the closer.</t>
        </is>
      </c>
    </row>
    <row r="10" ht="30" customHeight="1">
      <c r="A10" s="9" t="inlineStr">
        <is>
          <t>Middle Relief</t>
        </is>
      </c>
      <c r="B10" s="20" t="n">
        <v>60</v>
      </c>
      <c r="C10" s="20" t="n">
        <v>0</v>
      </c>
      <c r="D10" s="20" t="n">
        <v>58</v>
      </c>
      <c r="E10" s="21" t="n">
        <v>0.04</v>
      </c>
      <c r="F10" s="21" t="n">
        <v>0.14</v>
      </c>
      <c r="G10" s="22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0" t="n">
        <v>40</v>
      </c>
      <c r="C11" s="20" t="n">
        <v>0</v>
      </c>
      <c r="D11" s="20" t="n">
        <v>35</v>
      </c>
      <c r="E11" s="21" t="n">
        <v>0.01</v>
      </c>
      <c r="F11" s="21" t="n">
        <v>0.05</v>
      </c>
      <c r="G11" s="22" t="inlineStr">
        <is>
          <t>Up and down from AAA; mop-up and spot duty.</t>
        </is>
      </c>
    </row>
    <row r="12" ht="30" customHeight="1">
      <c r="A12" s="9" t="inlineStr">
        <is>
          <t>Rehab / Injury Return</t>
        </is>
      </c>
      <c r="B12" s="20" t="n">
        <v>60</v>
      </c>
      <c r="C12" s="20" t="n">
        <v>10</v>
      </c>
      <c r="D12" s="20" t="n">
        <v>14</v>
      </c>
      <c r="E12" s="21" t="n">
        <v>0.02</v>
      </c>
      <c r="F12" s="21" t="n">
        <v>0.03</v>
      </c>
      <c r="G12" s="22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0" t="n">
        <v>1</v>
      </c>
      <c r="C13" s="20" t="n">
        <v>0</v>
      </c>
      <c r="D13" s="20" t="n">
        <v>1</v>
      </c>
      <c r="E13" s="21" t="n">
        <v>0</v>
      </c>
      <c r="F13" s="21" t="n">
        <v>0</v>
      </c>
      <c r="G13" s="22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1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1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1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1" t="n">
        <v>0.2</v>
      </c>
      <c r="C20" s="9" t="inlineStr">
        <is>
          <t>September callup / late activation.</t>
        </is>
      </c>
    </row>
    <row r="22">
      <c r="A22" s="23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4" t="n">
        <v>0</v>
      </c>
      <c r="C2" s="25" t="n"/>
    </row>
    <row r="3">
      <c r="A3" s="9" t="inlineStr">
        <is>
          <t>ATL</t>
        </is>
      </c>
      <c r="B3" s="24" t="n">
        <v>0</v>
      </c>
      <c r="C3" s="25" t="n"/>
    </row>
    <row r="4">
      <c r="A4" s="9" t="inlineStr">
        <is>
          <t>BAL</t>
        </is>
      </c>
      <c r="B4" s="24" t="n">
        <v>0</v>
      </c>
      <c r="C4" s="25" t="n"/>
    </row>
    <row r="5">
      <c r="A5" s="9" t="inlineStr">
        <is>
          <t>BOS</t>
        </is>
      </c>
      <c r="B5" s="24" t="n">
        <v>0</v>
      </c>
      <c r="C5" s="25" t="n"/>
    </row>
    <row r="6">
      <c r="A6" s="9" t="inlineStr">
        <is>
          <t>CHC</t>
        </is>
      </c>
      <c r="B6" s="24" t="n">
        <v>0</v>
      </c>
      <c r="C6" s="25" t="n"/>
    </row>
    <row r="7">
      <c r="A7" s="9" t="inlineStr">
        <is>
          <t>CIN</t>
        </is>
      </c>
      <c r="B7" s="24" t="n">
        <v>0</v>
      </c>
      <c r="C7" s="25" t="n"/>
    </row>
    <row r="8">
      <c r="A8" s="9" t="inlineStr">
        <is>
          <t>CLE</t>
        </is>
      </c>
      <c r="B8" s="24" t="n">
        <v>0</v>
      </c>
      <c r="C8" s="25" t="n"/>
    </row>
    <row r="9">
      <c r="A9" s="9" t="inlineStr">
        <is>
          <t>COL</t>
        </is>
      </c>
      <c r="B9" s="24" t="n">
        <v>0</v>
      </c>
      <c r="C9" s="25" t="n"/>
    </row>
    <row r="10">
      <c r="A10" s="9" t="inlineStr">
        <is>
          <t>CWS</t>
        </is>
      </c>
      <c r="B10" s="24" t="n">
        <v>0</v>
      </c>
      <c r="C10" s="25" t="n"/>
    </row>
    <row r="11">
      <c r="A11" s="9" t="inlineStr">
        <is>
          <t>DET</t>
        </is>
      </c>
      <c r="B11" s="24" t="n">
        <v>0</v>
      </c>
      <c r="C11" s="25" t="n"/>
    </row>
    <row r="12">
      <c r="A12" s="9" t="inlineStr">
        <is>
          <t>HOU</t>
        </is>
      </c>
      <c r="B12" s="24" t="n">
        <v>0</v>
      </c>
      <c r="C12" s="25" t="n"/>
    </row>
    <row r="13">
      <c r="A13" s="9" t="inlineStr">
        <is>
          <t>KC</t>
        </is>
      </c>
      <c r="B13" s="24" t="n">
        <v>0</v>
      </c>
      <c r="C13" s="25" t="n"/>
    </row>
    <row r="14">
      <c r="A14" s="9" t="inlineStr">
        <is>
          <t>LAA</t>
        </is>
      </c>
      <c r="B14" s="24" t="n">
        <v>0</v>
      </c>
      <c r="C14" s="25" t="n"/>
    </row>
    <row r="15">
      <c r="A15" s="9" t="inlineStr">
        <is>
          <t>LAD</t>
        </is>
      </c>
      <c r="B15" s="24" t="n">
        <v>0</v>
      </c>
      <c r="C15" s="25" t="n"/>
    </row>
    <row r="16">
      <c r="A16" s="9" t="inlineStr">
        <is>
          <t>MIA</t>
        </is>
      </c>
      <c r="B16" s="24" t="n">
        <v>0</v>
      </c>
      <c r="C16" s="25" t="n"/>
    </row>
    <row r="17">
      <c r="A17" s="9" t="inlineStr">
        <is>
          <t>MIL</t>
        </is>
      </c>
      <c r="B17" s="24" t="n">
        <v>0</v>
      </c>
      <c r="C17" s="25" t="n"/>
    </row>
    <row r="18">
      <c r="A18" s="9" t="inlineStr">
        <is>
          <t>MIN</t>
        </is>
      </c>
      <c r="B18" s="24" t="n">
        <v>0</v>
      </c>
      <c r="C18" s="25" t="n"/>
    </row>
    <row r="19">
      <c r="A19" s="9" t="inlineStr">
        <is>
          <t>NYM</t>
        </is>
      </c>
      <c r="B19" s="24" t="n">
        <v>0</v>
      </c>
      <c r="C19" s="25" t="n"/>
    </row>
    <row r="20">
      <c r="A20" s="9" t="inlineStr">
        <is>
          <t>NYY</t>
        </is>
      </c>
      <c r="B20" s="24" t="n">
        <v>0</v>
      </c>
      <c r="C20" s="25" t="n"/>
    </row>
    <row r="21">
      <c r="A21" s="9" t="inlineStr">
        <is>
          <t>OAK</t>
        </is>
      </c>
      <c r="B21" s="24" t="n">
        <v>0</v>
      </c>
      <c r="C21" s="25" t="n"/>
    </row>
    <row r="22">
      <c r="A22" s="9" t="inlineStr">
        <is>
          <t>PHI</t>
        </is>
      </c>
      <c r="B22" s="24" t="n">
        <v>0</v>
      </c>
      <c r="C22" s="25" t="n"/>
    </row>
    <row r="23">
      <c r="A23" s="9" t="inlineStr">
        <is>
          <t>PIT</t>
        </is>
      </c>
      <c r="B23" s="24" t="n">
        <v>0</v>
      </c>
      <c r="C23" s="25" t="n"/>
    </row>
    <row r="24">
      <c r="A24" s="9" t="inlineStr">
        <is>
          <t>SD</t>
        </is>
      </c>
      <c r="B24" s="24" t="n">
        <v>0</v>
      </c>
      <c r="C24" s="25" t="n"/>
    </row>
    <row r="25">
      <c r="A25" s="9" t="inlineStr">
        <is>
          <t>SEA</t>
        </is>
      </c>
      <c r="B25" s="24" t="n">
        <v>0</v>
      </c>
      <c r="C25" s="25" t="n"/>
    </row>
    <row r="26">
      <c r="A26" s="9" t="inlineStr">
        <is>
          <t>SF</t>
        </is>
      </c>
      <c r="B26" s="24" t="n">
        <v>0</v>
      </c>
      <c r="C26" s="25" t="n"/>
    </row>
    <row r="27">
      <c r="A27" s="9" t="inlineStr">
        <is>
          <t>STL</t>
        </is>
      </c>
      <c r="B27" s="24" t="n">
        <v>0</v>
      </c>
      <c r="C27" s="25" t="n"/>
    </row>
    <row r="28">
      <c r="A28" s="9" t="inlineStr">
        <is>
          <t>TB</t>
        </is>
      </c>
      <c r="B28" s="24" t="n">
        <v>0</v>
      </c>
      <c r="C28" s="25" t="n"/>
    </row>
    <row r="29">
      <c r="A29" s="9" t="inlineStr">
        <is>
          <t>TEX</t>
        </is>
      </c>
      <c r="B29" s="24" t="n">
        <v>0</v>
      </c>
      <c r="C29" s="25" t="n"/>
    </row>
    <row r="30">
      <c r="A30" s="9" t="inlineStr">
        <is>
          <t>TOR</t>
        </is>
      </c>
      <c r="B30" s="24" t="n">
        <v>0</v>
      </c>
      <c r="C30" s="25" t="n"/>
    </row>
    <row r="31">
      <c r="A31" s="9" t="inlineStr">
        <is>
          <t>WSH</t>
        </is>
      </c>
      <c r="B31" s="24" t="n">
        <v>0</v>
      </c>
      <c r="C31" s="25" t="n"/>
    </row>
    <row r="33">
      <c r="A33" s="23" t="inlineStr">
        <is>
          <t>Fraction of each club's IP budget held back for a signing it has not made yet. 0 to 0.5.</t>
        </is>
      </c>
    </row>
    <row r="34">
      <c r="A34" s="23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3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3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2026-09-17T17:11:09Z</dcterms:created>
  <dcterms:modified xsi:type="dcterms:W3CDTF">2026-09-17T17:11:09Z</dcterms:modified>
</cp:coreProperties>
</file>